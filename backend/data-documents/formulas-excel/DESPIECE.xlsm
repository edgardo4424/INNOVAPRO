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sah\OneDrive\Escritorio\Proyecto\INNOVAPRO\backend\data-documents\formulas-excel\"/>
    </mc:Choice>
  </mc:AlternateContent>
  <xr:revisionPtr revIDLastSave="0" documentId="13_ncr:1_{05434924-2471-4FD0-9825-C0E3D9DEF1D3}" xr6:coauthVersionLast="47" xr6:coauthVersionMax="47" xr10:uidLastSave="{00000000-0000-0000-0000-000000000000}"/>
  <bookViews>
    <workbookView xWindow="-120" yWindow="-16320" windowWidth="29040" windowHeight="15720" tabRatio="808" firstSheet="4" activeTab="13" xr2:uid="{D1D14334-7FA9-4B77-87F2-E3BD75139E62}"/>
  </bookViews>
  <sheets>
    <sheet name="BDPIEZAS" sheetId="6" r:id="rId1"/>
    <sheet name="ALQUILER" sheetId="40" r:id="rId2"/>
    <sheet name="VENTA" sheetId="57" r:id="rId3"/>
    <sheet name="PRESTAMO" sheetId="58" r:id="rId4"/>
    <sheet name="General" sheetId="41" r:id="rId5"/>
    <sheet name="Fachada" sheetId="42" r:id="rId6"/>
    <sheet name="Escalera" sheetId="51" r:id="rId7"/>
    <sheet name="Trabajo" sheetId="66" r:id="rId8"/>
    <sheet name="Escuadras" sheetId="43" r:id="rId9"/>
    <sheet name="Puntales" sheetId="46" r:id="rId10"/>
    <sheet name="Encofrado" sheetId="52" r:id="rId11"/>
    <sheet name="Descarga" sheetId="44" r:id="rId12"/>
    <sheet name="Colgante" sheetId="45" r:id="rId13"/>
    <sheet name="Elevador" sheetId="47" r:id="rId14"/>
    <sheet name="Apoyo1Despiece" sheetId="39" r:id="rId15"/>
    <sheet name="Apoyo2Despiece" sheetId="59" r:id="rId16"/>
    <sheet name="Apoyo3Despiece" sheetId="60" r:id="rId17"/>
  </sheets>
  <definedNames>
    <definedName name="_xlnm._FilterDatabase" localSheetId="1" hidden="1">ALQUILER!$B$17:$F$562</definedName>
    <definedName name="_xlnm._FilterDatabase" localSheetId="15" hidden="1">Apoyo2Despiece!$A$2:$AG$2</definedName>
    <definedName name="_xlnm._FilterDatabase" localSheetId="0" hidden="1">BDPIEZAS!$B$4:$G$4</definedName>
    <definedName name="_xlnm._FilterDatabase" localSheetId="11" hidden="1">Descarga!$B$9:$G$9</definedName>
    <definedName name="_xlnm._FilterDatabase" localSheetId="10" hidden="1">Encofrado!$B$5:$G$5</definedName>
    <definedName name="_xlnm._FilterDatabase" localSheetId="6" hidden="1">Escalera!$B$12:$K$124</definedName>
    <definedName name="_xlnm._FilterDatabase" localSheetId="8" hidden="1">Escuadras!$C$24:$M$24</definedName>
    <definedName name="_xlnm._FilterDatabase" localSheetId="5" hidden="1">Fachada!$C$20:$P$20</definedName>
    <definedName name="_xlnm._FilterDatabase" localSheetId="4" hidden="1">General!$B$5:$G$552</definedName>
    <definedName name="_xlnm._FilterDatabase" localSheetId="3" hidden="1">PRESTAMO!$B$17:$F$564</definedName>
    <definedName name="_xlnm._FilterDatabase" localSheetId="9" hidden="1">Puntales!$C$9:$H$21</definedName>
    <definedName name="_xlnm._FilterDatabase" localSheetId="7" hidden="1">Trabajo!$B$18:$P$100</definedName>
    <definedName name="_xlnm._FilterDatabase" localSheetId="2" hidden="1">VENTA!$B$17:$F$24</definedName>
    <definedName name="_xleta.BASE" hidden="1" xlm="1">#NAME?</definedName>
    <definedName name="_xleta.CODE" hidden="1" xlm="1">#NAME?</definedName>
    <definedName name="_xleta.CONCATENATE" hidden="1" xlm="1">#NAME?</definedName>
    <definedName name="_xleta.EXP" hidden="1" xlm="1">#NAME?</definedName>
    <definedName name="_xleta.IF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TRUNC" hidden="1" xlm="1">#NAME?</definedName>
    <definedName name="aea">#REF!</definedName>
    <definedName name="aeb">#REF!</definedName>
    <definedName name="_xlnm.Print_Area" localSheetId="1">ALQUILER!$C$5:$F$582</definedName>
    <definedName name="_xlnm.Print_Area" localSheetId="3">PRESTAMO!$C$5:$F$582</definedName>
    <definedName name="_xlnm.Print_Area" localSheetId="2">VENTA!$C$5:$F$40</definedName>
    <definedName name="BD_Innova_Comercial" localSheetId="15">#REF!</definedName>
    <definedName name="BD_Innova_Comercial" localSheetId="16">#REF!</definedName>
    <definedName name="BD_Innova_Comercial" localSheetId="10">#REF!</definedName>
    <definedName name="BD_Innova_Comercial" localSheetId="6">#REF!</definedName>
    <definedName name="BD_Innova_Comercial" localSheetId="3">#REF!</definedName>
    <definedName name="BD_Innova_Comercial" localSheetId="2">#REF!</definedName>
    <definedName name="BD_Innova_Comercial">#REF!</definedName>
    <definedName name="BD_Innova_Proveedora" localSheetId="15">#REF!</definedName>
    <definedName name="BD_Innova_Proveedora" localSheetId="16">#REF!</definedName>
    <definedName name="BD_Innova_Proveedora" localSheetId="10">#REF!</definedName>
    <definedName name="BD_Innova_Proveedora" localSheetId="6">#REF!</definedName>
    <definedName name="BD_Innova_Proveedora" localSheetId="3">#REF!</definedName>
    <definedName name="BD_Innova_Proveedora" localSheetId="2">#REF!</definedName>
    <definedName name="BD_Innova_Proveedora">#REF!</definedName>
    <definedName name="BD_Servicios_Partidas" localSheetId="15">#REF!</definedName>
    <definedName name="BD_Servicios_Partidas" localSheetId="16">#REF!</definedName>
    <definedName name="BD_Servicios_Partidas" localSheetId="10">#REF!</definedName>
    <definedName name="BD_Servicios_Partidas" localSheetId="6">#REF!</definedName>
    <definedName name="BD_Servicios_Partidas" localSheetId="3">#REF!</definedName>
    <definedName name="BD_Servicios_Partidas" localSheetId="2">#REF!</definedName>
    <definedName name="BD_Servicios_Partidas">#REF!</definedName>
    <definedName name="BD_Servicios_Servicios" localSheetId="15">#REF!</definedName>
    <definedName name="BD_Servicios_Servicios" localSheetId="16">#REF!</definedName>
    <definedName name="BD_Servicios_Servicios" localSheetId="10">#REF!</definedName>
    <definedName name="BD_Servicios_Servicios" localSheetId="6">#REF!</definedName>
    <definedName name="BD_Servicios_Servicios" localSheetId="3">#REF!</definedName>
    <definedName name="BD_Servicios_Servicios" localSheetId="2">#REF!</definedName>
    <definedName name="BD_Servicios_Servicios">#REF!</definedName>
    <definedName name="eia">#REF!</definedName>
    <definedName name="eib">#REF!</definedName>
    <definedName name="iaa">#REF!</definedName>
    <definedName name="iab">#REF!</definedName>
    <definedName name="ira">#REF!</definedName>
    <definedName name="irb">#REF!</definedName>
    <definedName name="_xlnm.Print_Titles" localSheetId="1">ALQUILER!$5:$17</definedName>
    <definedName name="_xlnm.Print_Titles" localSheetId="3">PRESTAMO!$5:$17</definedName>
    <definedName name="_xlnm.Print_Titles" localSheetId="2">VENTA!$5:$17</definedName>
    <definedName name="VISORCUENTA">INDIRECT(#REF!)</definedName>
    <definedName name="VISORFIRMA">INDIRECT(#REF!)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44" l="1"/>
  <c r="F23" i="51"/>
  <c r="F13" i="51" l="1"/>
  <c r="F14" i="51" s="1"/>
  <c r="F17" i="51"/>
  <c r="F19" i="51"/>
  <c r="F22" i="51"/>
  <c r="F24" i="51"/>
  <c r="F25" i="51"/>
  <c r="F26" i="51"/>
  <c r="F28" i="51"/>
  <c r="F32" i="51"/>
  <c r="F59" i="51"/>
  <c r="F60" i="51"/>
  <c r="F61" i="51"/>
  <c r="F62" i="51"/>
  <c r="F71" i="51"/>
  <c r="F72" i="51"/>
  <c r="F73" i="51"/>
  <c r="F74" i="51"/>
  <c r="F77" i="51"/>
  <c r="F78" i="51"/>
  <c r="F80" i="51"/>
  <c r="F88" i="51"/>
  <c r="F89" i="51"/>
  <c r="F90" i="51"/>
  <c r="F123" i="51" s="1"/>
  <c r="F93" i="51"/>
  <c r="F95" i="51"/>
  <c r="F96" i="51"/>
  <c r="F98" i="51"/>
  <c r="F99" i="51" s="1"/>
  <c r="F101" i="51"/>
  <c r="F102" i="51" s="1"/>
  <c r="F103" i="51"/>
  <c r="F105" i="51" s="1"/>
  <c r="F104" i="51"/>
  <c r="F106" i="51" s="1"/>
  <c r="F108" i="51"/>
  <c r="F110" i="51"/>
  <c r="F111" i="51"/>
  <c r="F112" i="51" s="1"/>
  <c r="F113" i="51"/>
  <c r="F115" i="51"/>
  <c r="F117" i="51"/>
  <c r="F119" i="51"/>
  <c r="F124" i="51"/>
  <c r="H17" i="51"/>
  <c r="H19" i="51"/>
  <c r="H22" i="51"/>
  <c r="H23" i="51"/>
  <c r="H24" i="51"/>
  <c r="H25" i="51"/>
  <c r="H26" i="51"/>
  <c r="H28" i="51"/>
  <c r="H32" i="51"/>
  <c r="H59" i="51"/>
  <c r="H60" i="51"/>
  <c r="H61" i="51"/>
  <c r="H62" i="51"/>
  <c r="H71" i="51"/>
  <c r="H72" i="51"/>
  <c r="H73" i="51"/>
  <c r="H74" i="51"/>
  <c r="H77" i="51"/>
  <c r="H78" i="51"/>
  <c r="H80" i="51"/>
  <c r="H88" i="51"/>
  <c r="H89" i="51"/>
  <c r="H122" i="51" s="1"/>
  <c r="H90" i="51"/>
  <c r="H123" i="51" s="1"/>
  <c r="H92" i="51"/>
  <c r="H93" i="51"/>
  <c r="H95" i="51"/>
  <c r="H96" i="51"/>
  <c r="H98" i="51"/>
  <c r="H99" i="51"/>
  <c r="H100" i="51"/>
  <c r="H101" i="51"/>
  <c r="H102" i="51"/>
  <c r="H103" i="51"/>
  <c r="H104" i="51"/>
  <c r="H106" i="51" s="1"/>
  <c r="H105" i="51"/>
  <c r="H108" i="51"/>
  <c r="H110" i="51"/>
  <c r="H111" i="51"/>
  <c r="H112" i="51"/>
  <c r="H121" i="51" s="1"/>
  <c r="H113" i="51"/>
  <c r="H115" i="51"/>
  <c r="H117" i="51"/>
  <c r="H119" i="51"/>
  <c r="H124" i="51"/>
  <c r="I158" i="47"/>
  <c r="J158" i="47"/>
  <c r="K158" i="47"/>
  <c r="L158" i="47"/>
  <c r="M158" i="47"/>
  <c r="N158" i="47"/>
  <c r="O158" i="47"/>
  <c r="P158" i="47"/>
  <c r="I159" i="47"/>
  <c r="J159" i="47"/>
  <c r="K159" i="47"/>
  <c r="L159" i="47"/>
  <c r="M159" i="47"/>
  <c r="N159" i="47"/>
  <c r="O159" i="47"/>
  <c r="P159" i="47"/>
  <c r="I152" i="47"/>
  <c r="J152" i="47"/>
  <c r="K152" i="47"/>
  <c r="L152" i="47"/>
  <c r="M152" i="47"/>
  <c r="N152" i="47"/>
  <c r="O152" i="47"/>
  <c r="P152" i="47"/>
  <c r="I150" i="47"/>
  <c r="J150" i="47"/>
  <c r="K150" i="47"/>
  <c r="L150" i="47"/>
  <c r="M150" i="47"/>
  <c r="N150" i="47"/>
  <c r="O150" i="47"/>
  <c r="P150" i="47"/>
  <c r="I143" i="47"/>
  <c r="J143" i="47"/>
  <c r="K143" i="47"/>
  <c r="L143" i="47"/>
  <c r="M143" i="47"/>
  <c r="N143" i="47"/>
  <c r="O143" i="47"/>
  <c r="P143" i="47"/>
  <c r="I141" i="47"/>
  <c r="J141" i="47"/>
  <c r="K141" i="47"/>
  <c r="L141" i="47"/>
  <c r="M141" i="47"/>
  <c r="N141" i="47"/>
  <c r="O141" i="47"/>
  <c r="P141" i="47"/>
  <c r="I138" i="47"/>
  <c r="J138" i="47"/>
  <c r="K138" i="47"/>
  <c r="L138" i="47"/>
  <c r="M138" i="47"/>
  <c r="N138" i="47"/>
  <c r="O138" i="47"/>
  <c r="P138" i="47"/>
  <c r="I118" i="47"/>
  <c r="J118" i="47"/>
  <c r="K118" i="47"/>
  <c r="L118" i="47"/>
  <c r="M118" i="47"/>
  <c r="N118" i="47"/>
  <c r="O118" i="47"/>
  <c r="P118" i="47"/>
  <c r="I116" i="47"/>
  <c r="J116" i="47"/>
  <c r="K116" i="47"/>
  <c r="L116" i="47"/>
  <c r="M116" i="47"/>
  <c r="N116" i="47"/>
  <c r="O116" i="47"/>
  <c r="P116" i="47"/>
  <c r="I108" i="47"/>
  <c r="J108" i="47"/>
  <c r="K108" i="47"/>
  <c r="L108" i="47"/>
  <c r="M108" i="47"/>
  <c r="N108" i="47"/>
  <c r="O108" i="47"/>
  <c r="P108" i="47"/>
  <c r="I109" i="47"/>
  <c r="J109" i="47"/>
  <c r="K109" i="47"/>
  <c r="L109" i="47"/>
  <c r="M109" i="47"/>
  <c r="N109" i="47"/>
  <c r="O109" i="47"/>
  <c r="P109" i="47"/>
  <c r="I110" i="47"/>
  <c r="J110" i="47"/>
  <c r="K110" i="47"/>
  <c r="L110" i="47"/>
  <c r="M110" i="47"/>
  <c r="N110" i="47"/>
  <c r="O110" i="47"/>
  <c r="P110" i="47"/>
  <c r="I111" i="47"/>
  <c r="J111" i="47"/>
  <c r="K111" i="47"/>
  <c r="L111" i="47"/>
  <c r="M111" i="47"/>
  <c r="N111" i="47"/>
  <c r="O111" i="47"/>
  <c r="P111" i="47"/>
  <c r="I112" i="47"/>
  <c r="J112" i="47"/>
  <c r="K112" i="47"/>
  <c r="L112" i="47"/>
  <c r="M112" i="47"/>
  <c r="N112" i="47"/>
  <c r="O112" i="47"/>
  <c r="P112" i="47"/>
  <c r="I113" i="47"/>
  <c r="J113" i="47"/>
  <c r="K113" i="47"/>
  <c r="L113" i="47"/>
  <c r="M113" i="47"/>
  <c r="N113" i="47"/>
  <c r="O113" i="47"/>
  <c r="P113" i="47"/>
  <c r="I93" i="47"/>
  <c r="J93" i="47"/>
  <c r="K93" i="47"/>
  <c r="L93" i="47"/>
  <c r="M93" i="47"/>
  <c r="N93" i="47"/>
  <c r="O93" i="47"/>
  <c r="P93" i="47"/>
  <c r="I94" i="47"/>
  <c r="J94" i="47"/>
  <c r="K94" i="47"/>
  <c r="L94" i="47"/>
  <c r="M94" i="47"/>
  <c r="N94" i="47"/>
  <c r="O94" i="47"/>
  <c r="P94" i="47"/>
  <c r="I95" i="47"/>
  <c r="J95" i="47"/>
  <c r="K95" i="47"/>
  <c r="L95" i="47"/>
  <c r="M95" i="47"/>
  <c r="N95" i="47"/>
  <c r="O95" i="47"/>
  <c r="P95" i="47"/>
  <c r="I96" i="47"/>
  <c r="J96" i="47"/>
  <c r="K96" i="47"/>
  <c r="L96" i="47"/>
  <c r="M96" i="47"/>
  <c r="N96" i="47"/>
  <c r="O96" i="47"/>
  <c r="P96" i="47"/>
  <c r="I87" i="47"/>
  <c r="J87" i="47"/>
  <c r="K87" i="47"/>
  <c r="L87" i="47"/>
  <c r="M87" i="47"/>
  <c r="N87" i="47"/>
  <c r="O87" i="47"/>
  <c r="P87" i="47"/>
  <c r="I88" i="47"/>
  <c r="J88" i="47"/>
  <c r="K88" i="47"/>
  <c r="L88" i="47"/>
  <c r="M88" i="47"/>
  <c r="N88" i="47"/>
  <c r="O88" i="47"/>
  <c r="P88" i="47"/>
  <c r="I89" i="47"/>
  <c r="J89" i="47"/>
  <c r="K89" i="47"/>
  <c r="L89" i="47"/>
  <c r="M89" i="47"/>
  <c r="N89" i="47"/>
  <c r="O89" i="47"/>
  <c r="P89" i="47"/>
  <c r="I90" i="47"/>
  <c r="J90" i="47"/>
  <c r="K90" i="47"/>
  <c r="L90" i="47"/>
  <c r="M90" i="47"/>
  <c r="N90" i="47"/>
  <c r="O90" i="47"/>
  <c r="P90" i="47"/>
  <c r="I85" i="47"/>
  <c r="J85" i="47"/>
  <c r="K85" i="47"/>
  <c r="L85" i="47"/>
  <c r="M85" i="47"/>
  <c r="N85" i="47"/>
  <c r="O85" i="47"/>
  <c r="P85" i="47"/>
  <c r="I80" i="47"/>
  <c r="J80" i="47"/>
  <c r="K80" i="47"/>
  <c r="L80" i="47"/>
  <c r="M80" i="47"/>
  <c r="N80" i="47"/>
  <c r="O80" i="47"/>
  <c r="P80" i="47"/>
  <c r="I81" i="47"/>
  <c r="J81" i="47"/>
  <c r="K81" i="47"/>
  <c r="L81" i="47"/>
  <c r="M81" i="47"/>
  <c r="N81" i="47"/>
  <c r="O81" i="47"/>
  <c r="P81" i="47"/>
  <c r="I73" i="47"/>
  <c r="J73" i="47"/>
  <c r="K73" i="47"/>
  <c r="L73" i="47"/>
  <c r="M73" i="47"/>
  <c r="N73" i="47"/>
  <c r="O73" i="47"/>
  <c r="P73" i="47"/>
  <c r="I74" i="47"/>
  <c r="J74" i="47"/>
  <c r="K74" i="47"/>
  <c r="L74" i="47"/>
  <c r="M74" i="47"/>
  <c r="N74" i="47"/>
  <c r="O74" i="47"/>
  <c r="P74" i="47"/>
  <c r="I67" i="47"/>
  <c r="J67" i="47"/>
  <c r="K67" i="47"/>
  <c r="L67" i="47"/>
  <c r="M67" i="47"/>
  <c r="N67" i="47"/>
  <c r="O67" i="47"/>
  <c r="P67" i="47"/>
  <c r="I68" i="47"/>
  <c r="J68" i="47"/>
  <c r="K68" i="47"/>
  <c r="L68" i="47"/>
  <c r="M68" i="47"/>
  <c r="N68" i="47"/>
  <c r="O68" i="47"/>
  <c r="P68" i="47"/>
  <c r="I69" i="47"/>
  <c r="J69" i="47"/>
  <c r="K69" i="47"/>
  <c r="L69" i="47"/>
  <c r="M69" i="47"/>
  <c r="N69" i="47"/>
  <c r="O69" i="47"/>
  <c r="P69" i="47"/>
  <c r="I70" i="47"/>
  <c r="J70" i="47"/>
  <c r="K70" i="47"/>
  <c r="L70" i="47"/>
  <c r="M70" i="47"/>
  <c r="N70" i="47"/>
  <c r="O70" i="47"/>
  <c r="P70" i="47"/>
  <c r="I63" i="47"/>
  <c r="J63" i="47"/>
  <c r="K63" i="47"/>
  <c r="L63" i="47"/>
  <c r="M63" i="47"/>
  <c r="N63" i="47"/>
  <c r="O63" i="47"/>
  <c r="P63" i="47"/>
  <c r="I64" i="47"/>
  <c r="J64" i="47"/>
  <c r="K64" i="47"/>
  <c r="L64" i="47"/>
  <c r="M64" i="47"/>
  <c r="N64" i="47"/>
  <c r="O64" i="47"/>
  <c r="P64" i="47"/>
  <c r="I65" i="47"/>
  <c r="J65" i="47"/>
  <c r="K65" i="47"/>
  <c r="L65" i="47"/>
  <c r="M65" i="47"/>
  <c r="N65" i="47"/>
  <c r="O65" i="47"/>
  <c r="P65" i="47"/>
  <c r="I57" i="47"/>
  <c r="J57" i="47"/>
  <c r="K57" i="47"/>
  <c r="L57" i="47"/>
  <c r="M57" i="47"/>
  <c r="N57" i="47"/>
  <c r="O57" i="47"/>
  <c r="P57" i="47"/>
  <c r="I55" i="47"/>
  <c r="J55" i="47"/>
  <c r="K55" i="47"/>
  <c r="L55" i="47"/>
  <c r="M55" i="47"/>
  <c r="N55" i="47"/>
  <c r="O55" i="47"/>
  <c r="P55" i="47"/>
  <c r="I52" i="47"/>
  <c r="J52" i="47"/>
  <c r="K52" i="47"/>
  <c r="L52" i="47"/>
  <c r="M52" i="47"/>
  <c r="N52" i="47"/>
  <c r="O52" i="47"/>
  <c r="P52" i="47"/>
  <c r="I50" i="47"/>
  <c r="J50" i="47"/>
  <c r="K50" i="47"/>
  <c r="L50" i="47"/>
  <c r="M50" i="47"/>
  <c r="N50" i="47"/>
  <c r="O50" i="47"/>
  <c r="P50" i="47"/>
  <c r="I36" i="47"/>
  <c r="J36" i="47"/>
  <c r="K36" i="47"/>
  <c r="L36" i="47"/>
  <c r="M36" i="47"/>
  <c r="N36" i="47"/>
  <c r="O36" i="47"/>
  <c r="P36" i="47"/>
  <c r="I37" i="47"/>
  <c r="J37" i="47"/>
  <c r="K37" i="47"/>
  <c r="L37" i="47"/>
  <c r="M37" i="47"/>
  <c r="N37" i="47"/>
  <c r="O37" i="47"/>
  <c r="P37" i="47"/>
  <c r="I38" i="47"/>
  <c r="J38" i="47"/>
  <c r="K38" i="47"/>
  <c r="L38" i="47"/>
  <c r="M38" i="47"/>
  <c r="N38" i="47"/>
  <c r="O38" i="47"/>
  <c r="P38" i="47"/>
  <c r="I39" i="47"/>
  <c r="J39" i="47"/>
  <c r="K39" i="47"/>
  <c r="L39" i="47"/>
  <c r="M39" i="47"/>
  <c r="N39" i="47"/>
  <c r="O39" i="47"/>
  <c r="P39" i="47"/>
  <c r="I40" i="47"/>
  <c r="J40" i="47"/>
  <c r="K40" i="47"/>
  <c r="L40" i="47"/>
  <c r="M40" i="47"/>
  <c r="N40" i="47"/>
  <c r="O40" i="47"/>
  <c r="P40" i="47"/>
  <c r="I27" i="47"/>
  <c r="J27" i="47"/>
  <c r="K27" i="47"/>
  <c r="L27" i="47"/>
  <c r="M27" i="47"/>
  <c r="N27" i="47"/>
  <c r="O27" i="47"/>
  <c r="P27" i="47"/>
  <c r="I24" i="47"/>
  <c r="J24" i="47"/>
  <c r="K24" i="47"/>
  <c r="L24" i="47"/>
  <c r="M24" i="47"/>
  <c r="N24" i="47"/>
  <c r="O24" i="47"/>
  <c r="P24" i="47"/>
  <c r="I25" i="47"/>
  <c r="J25" i="47"/>
  <c r="K25" i="47"/>
  <c r="L25" i="47"/>
  <c r="M25" i="47"/>
  <c r="N25" i="47"/>
  <c r="O25" i="47"/>
  <c r="P25" i="47"/>
  <c r="I22" i="47"/>
  <c r="J22" i="47"/>
  <c r="K22" i="47"/>
  <c r="L22" i="47"/>
  <c r="M22" i="47"/>
  <c r="N22" i="47"/>
  <c r="O22" i="47"/>
  <c r="P22" i="47"/>
  <c r="I23" i="47"/>
  <c r="J23" i="47"/>
  <c r="K23" i="47"/>
  <c r="L23" i="47"/>
  <c r="M23" i="47"/>
  <c r="N23" i="47"/>
  <c r="O23" i="47"/>
  <c r="P23" i="47"/>
  <c r="I512" i="41"/>
  <c r="J512" i="41" s="1"/>
  <c r="K512" i="41"/>
  <c r="L512" i="41"/>
  <c r="N512" i="41"/>
  <c r="P512" i="41"/>
  <c r="I513" i="41"/>
  <c r="J513" i="41" s="1"/>
  <c r="K513" i="41"/>
  <c r="L513" i="41"/>
  <c r="N513" i="41"/>
  <c r="P513" i="41"/>
  <c r="I514" i="41"/>
  <c r="J514" i="41" s="1"/>
  <c r="K514" i="41"/>
  <c r="L514" i="41"/>
  <c r="M514" i="41" s="1"/>
  <c r="N514" i="41"/>
  <c r="P514" i="41"/>
  <c r="I515" i="41"/>
  <c r="J515" i="41" s="1"/>
  <c r="K515" i="41"/>
  <c r="L515" i="41"/>
  <c r="N515" i="41"/>
  <c r="P515" i="41"/>
  <c r="I516" i="41"/>
  <c r="J516" i="41" s="1"/>
  <c r="K516" i="41"/>
  <c r="L516" i="41"/>
  <c r="N516" i="41"/>
  <c r="P516" i="41"/>
  <c r="I517" i="41"/>
  <c r="J517" i="41" s="1"/>
  <c r="K517" i="41"/>
  <c r="L517" i="41"/>
  <c r="N517" i="41"/>
  <c r="P517" i="41"/>
  <c r="I498" i="41"/>
  <c r="J498" i="41" s="1"/>
  <c r="K498" i="41"/>
  <c r="L498" i="41"/>
  <c r="N498" i="41"/>
  <c r="P498" i="41"/>
  <c r="I499" i="41"/>
  <c r="J499" i="41" s="1"/>
  <c r="K499" i="41"/>
  <c r="L499" i="41"/>
  <c r="N499" i="41"/>
  <c r="P499" i="41"/>
  <c r="I500" i="41"/>
  <c r="J500" i="41" s="1"/>
  <c r="K500" i="41"/>
  <c r="L500" i="41"/>
  <c r="N500" i="41"/>
  <c r="P500" i="41"/>
  <c r="I501" i="41"/>
  <c r="J501" i="41" s="1"/>
  <c r="K501" i="41"/>
  <c r="L501" i="41"/>
  <c r="N501" i="41"/>
  <c r="P501" i="41"/>
  <c r="I502" i="41"/>
  <c r="J502" i="41" s="1"/>
  <c r="K502" i="41"/>
  <c r="L502" i="41"/>
  <c r="N502" i="41"/>
  <c r="P502" i="41"/>
  <c r="I503" i="41"/>
  <c r="J503" i="41" s="1"/>
  <c r="K503" i="41"/>
  <c r="L503" i="41"/>
  <c r="N503" i="41"/>
  <c r="P503" i="41"/>
  <c r="I504" i="41"/>
  <c r="J504" i="41" s="1"/>
  <c r="K504" i="41"/>
  <c r="L504" i="41"/>
  <c r="N504" i="41"/>
  <c r="P504" i="41"/>
  <c r="I505" i="41"/>
  <c r="J505" i="41" s="1"/>
  <c r="K505" i="41"/>
  <c r="L505" i="41"/>
  <c r="N505" i="41"/>
  <c r="P505" i="41"/>
  <c r="I506" i="41"/>
  <c r="J506" i="41" s="1"/>
  <c r="K506" i="41"/>
  <c r="L506" i="41"/>
  <c r="N506" i="41"/>
  <c r="P506" i="41"/>
  <c r="I507" i="41"/>
  <c r="J507" i="41" s="1"/>
  <c r="K507" i="41"/>
  <c r="L507" i="41"/>
  <c r="N507" i="41"/>
  <c r="P507" i="41"/>
  <c r="I508" i="41"/>
  <c r="J508" i="41" s="1"/>
  <c r="K508" i="41"/>
  <c r="L508" i="41"/>
  <c r="N508" i="41"/>
  <c r="P508" i="41"/>
  <c r="I509" i="41"/>
  <c r="J509" i="41" s="1"/>
  <c r="K509" i="41"/>
  <c r="L509" i="41"/>
  <c r="N509" i="41"/>
  <c r="P509" i="41"/>
  <c r="I510" i="41"/>
  <c r="J510" i="41" s="1"/>
  <c r="K510" i="41"/>
  <c r="L510" i="41"/>
  <c r="N510" i="41"/>
  <c r="P510" i="41"/>
  <c r="I511" i="41"/>
  <c r="J511" i="41" s="1"/>
  <c r="K511" i="41"/>
  <c r="I518" i="41"/>
  <c r="J518" i="41" s="1"/>
  <c r="K518" i="41"/>
  <c r="L518" i="41"/>
  <c r="N518" i="41"/>
  <c r="P518" i="41"/>
  <c r="I519" i="41"/>
  <c r="J519" i="41" s="1"/>
  <c r="K519" i="41"/>
  <c r="L519" i="41"/>
  <c r="N519" i="41"/>
  <c r="P519" i="41"/>
  <c r="I520" i="41"/>
  <c r="J520" i="41" s="1"/>
  <c r="K520" i="41"/>
  <c r="L520" i="41"/>
  <c r="N520" i="41"/>
  <c r="P520" i="41"/>
  <c r="I521" i="41"/>
  <c r="J521" i="41" s="1"/>
  <c r="K521" i="41"/>
  <c r="L521" i="41"/>
  <c r="N521" i="41"/>
  <c r="P521" i="41"/>
  <c r="I522" i="41"/>
  <c r="J522" i="41" s="1"/>
  <c r="K522" i="41"/>
  <c r="L522" i="41"/>
  <c r="N522" i="41"/>
  <c r="P522" i="41"/>
  <c r="I523" i="41"/>
  <c r="J523" i="41" s="1"/>
  <c r="K523" i="41"/>
  <c r="L523" i="41"/>
  <c r="N523" i="41"/>
  <c r="P523" i="41"/>
  <c r="I524" i="41"/>
  <c r="J524" i="41" s="1"/>
  <c r="K524" i="41"/>
  <c r="L524" i="41"/>
  <c r="N524" i="41"/>
  <c r="P524" i="41"/>
  <c r="I525" i="41"/>
  <c r="J525" i="41" s="1"/>
  <c r="K525" i="41"/>
  <c r="L525" i="41"/>
  <c r="N525" i="41"/>
  <c r="P525" i="41"/>
  <c r="I526" i="41"/>
  <c r="J526" i="41" s="1"/>
  <c r="K526" i="41"/>
  <c r="L526" i="41"/>
  <c r="N526" i="41"/>
  <c r="P526" i="41"/>
  <c r="I527" i="41"/>
  <c r="J527" i="41" s="1"/>
  <c r="K527" i="41"/>
  <c r="L527" i="41"/>
  <c r="N527" i="41"/>
  <c r="P527" i="41"/>
  <c r="I528" i="41"/>
  <c r="J528" i="41" s="1"/>
  <c r="K528" i="41"/>
  <c r="L528" i="41"/>
  <c r="N528" i="41"/>
  <c r="P528" i="41"/>
  <c r="I529" i="41"/>
  <c r="J529" i="41" s="1"/>
  <c r="K529" i="41"/>
  <c r="L529" i="41"/>
  <c r="N529" i="41"/>
  <c r="P529" i="41"/>
  <c r="I530" i="41"/>
  <c r="J530" i="41" s="1"/>
  <c r="K530" i="41"/>
  <c r="L530" i="41"/>
  <c r="N530" i="41"/>
  <c r="P530" i="41"/>
  <c r="I531" i="41"/>
  <c r="J531" i="41" s="1"/>
  <c r="K531" i="41"/>
  <c r="L531" i="41"/>
  <c r="N531" i="41"/>
  <c r="P531" i="41"/>
  <c r="I532" i="41"/>
  <c r="J532" i="41" s="1"/>
  <c r="K532" i="41"/>
  <c r="L532" i="41"/>
  <c r="N532" i="41"/>
  <c r="P532" i="41"/>
  <c r="I533" i="41"/>
  <c r="J533" i="41" s="1"/>
  <c r="K533" i="41"/>
  <c r="L533" i="41"/>
  <c r="N533" i="41"/>
  <c r="P533" i="41"/>
  <c r="I534" i="41"/>
  <c r="J534" i="41" s="1"/>
  <c r="K534" i="41"/>
  <c r="L534" i="41"/>
  <c r="N534" i="41"/>
  <c r="P534" i="41"/>
  <c r="I535" i="41"/>
  <c r="J535" i="41" s="1"/>
  <c r="K535" i="41"/>
  <c r="L535" i="41"/>
  <c r="N535" i="41"/>
  <c r="P535" i="41"/>
  <c r="I536" i="41"/>
  <c r="J536" i="41" s="1"/>
  <c r="K536" i="41"/>
  <c r="L536" i="41"/>
  <c r="N536" i="41"/>
  <c r="P536" i="41"/>
  <c r="I537" i="41"/>
  <c r="J537" i="41" s="1"/>
  <c r="K537" i="41"/>
  <c r="L537" i="41"/>
  <c r="N537" i="41"/>
  <c r="P537" i="41"/>
  <c r="I538" i="41"/>
  <c r="J538" i="41" s="1"/>
  <c r="K538" i="41"/>
  <c r="L538" i="41"/>
  <c r="N538" i="41"/>
  <c r="P538" i="41"/>
  <c r="I539" i="41"/>
  <c r="J539" i="41" s="1"/>
  <c r="K539" i="41"/>
  <c r="L539" i="41"/>
  <c r="N539" i="41"/>
  <c r="P539" i="41"/>
  <c r="I540" i="41"/>
  <c r="J540" i="41" s="1"/>
  <c r="K540" i="41"/>
  <c r="L540" i="41"/>
  <c r="N540" i="41"/>
  <c r="P540" i="41"/>
  <c r="I541" i="41"/>
  <c r="J541" i="41" s="1"/>
  <c r="K541" i="41"/>
  <c r="L541" i="41"/>
  <c r="N541" i="41"/>
  <c r="P541" i="41"/>
  <c r="I542" i="41"/>
  <c r="J542" i="41" s="1"/>
  <c r="K542" i="41"/>
  <c r="L542" i="41"/>
  <c r="N542" i="41"/>
  <c r="P542" i="41"/>
  <c r="I543" i="41"/>
  <c r="J543" i="41" s="1"/>
  <c r="K543" i="41"/>
  <c r="L543" i="41"/>
  <c r="N543" i="41"/>
  <c r="P543" i="41"/>
  <c r="I544" i="41"/>
  <c r="J544" i="41" s="1"/>
  <c r="K544" i="41"/>
  <c r="L544" i="41"/>
  <c r="N544" i="41"/>
  <c r="P544" i="41"/>
  <c r="I545" i="41"/>
  <c r="J545" i="41" s="1"/>
  <c r="K545" i="41"/>
  <c r="L545" i="41"/>
  <c r="N545" i="41"/>
  <c r="P545" i="41"/>
  <c r="I546" i="41"/>
  <c r="J546" i="41" s="1"/>
  <c r="K546" i="41"/>
  <c r="L546" i="41"/>
  <c r="N546" i="41"/>
  <c r="P546" i="41"/>
  <c r="H516" i="58"/>
  <c r="I516" i="58" s="1"/>
  <c r="U516" i="58"/>
  <c r="W516" i="58"/>
  <c r="Y516" i="58"/>
  <c r="H517" i="58"/>
  <c r="I517" i="58" s="1"/>
  <c r="H518" i="58"/>
  <c r="H519" i="58"/>
  <c r="K519" i="58" s="1"/>
  <c r="H520" i="58"/>
  <c r="I520" i="58" s="1"/>
  <c r="H507" i="58"/>
  <c r="I507" i="58" s="1"/>
  <c r="H508" i="58"/>
  <c r="U508" i="58" s="1"/>
  <c r="H509" i="58"/>
  <c r="R509" i="58" s="1"/>
  <c r="H510" i="58"/>
  <c r="W510" i="58" s="1"/>
  <c r="H511" i="58"/>
  <c r="H512" i="58"/>
  <c r="H513" i="58"/>
  <c r="I513" i="58" s="1"/>
  <c r="H514" i="58"/>
  <c r="H515" i="58"/>
  <c r="K515" i="58" s="1"/>
  <c r="H521" i="58"/>
  <c r="H522" i="58"/>
  <c r="R522" i="58" s="1"/>
  <c r="H523" i="58"/>
  <c r="H524" i="58"/>
  <c r="W524" i="58" s="1"/>
  <c r="H525" i="58"/>
  <c r="I525" i="58" s="1"/>
  <c r="H526" i="58"/>
  <c r="H527" i="58"/>
  <c r="H528" i="58"/>
  <c r="I528" i="58" s="1"/>
  <c r="H505" i="58"/>
  <c r="U505" i="58" s="1"/>
  <c r="H506" i="58"/>
  <c r="W506" i="58" s="1"/>
  <c r="H529" i="58"/>
  <c r="Y529" i="58" s="1"/>
  <c r="H530" i="58"/>
  <c r="H531" i="58"/>
  <c r="Y531" i="58" s="1"/>
  <c r="H532" i="58"/>
  <c r="Y532" i="58" s="1"/>
  <c r="H533" i="58"/>
  <c r="H534" i="58"/>
  <c r="N534" i="58" s="1"/>
  <c r="H535" i="58"/>
  <c r="I535" i="58" s="1"/>
  <c r="H536" i="58"/>
  <c r="H537" i="58"/>
  <c r="I537" i="58" s="1"/>
  <c r="H538" i="58"/>
  <c r="I538" i="58" s="1"/>
  <c r="H539" i="58"/>
  <c r="I539" i="58" s="1"/>
  <c r="H540" i="58"/>
  <c r="H541" i="58"/>
  <c r="K541" i="58" s="1"/>
  <c r="H542" i="58"/>
  <c r="H543" i="58"/>
  <c r="H544" i="58"/>
  <c r="U544" i="58" s="1"/>
  <c r="H545" i="58"/>
  <c r="Y545" i="58" s="1"/>
  <c r="H546" i="58"/>
  <c r="P546" i="58" s="1"/>
  <c r="H547" i="58"/>
  <c r="I547" i="58" s="1"/>
  <c r="H548" i="58"/>
  <c r="H549" i="58"/>
  <c r="H550" i="58"/>
  <c r="U550" i="58" s="1"/>
  <c r="H551" i="58"/>
  <c r="Y551" i="58" s="1"/>
  <c r="H552" i="58"/>
  <c r="H553" i="58"/>
  <c r="H479" i="40"/>
  <c r="I479" i="40" s="1"/>
  <c r="W479" i="40"/>
  <c r="H480" i="40"/>
  <c r="I480" i="40" s="1"/>
  <c r="H481" i="40"/>
  <c r="K481" i="40" s="1"/>
  <c r="H482" i="40"/>
  <c r="W482" i="40" s="1"/>
  <c r="H483" i="40"/>
  <c r="W483" i="40" s="1"/>
  <c r="H484" i="40"/>
  <c r="I484" i="40" s="1"/>
  <c r="H529" i="40"/>
  <c r="K529" i="40" s="1"/>
  <c r="H530" i="40"/>
  <c r="I530" i="40" s="1"/>
  <c r="H526" i="40"/>
  <c r="I526" i="40" s="1"/>
  <c r="H521" i="40"/>
  <c r="H514" i="40"/>
  <c r="I514" i="40" s="1"/>
  <c r="H512" i="40"/>
  <c r="I512" i="40" s="1"/>
  <c r="H509" i="40"/>
  <c r="I509" i="40" s="1"/>
  <c r="H489" i="40"/>
  <c r="I489" i="40" s="1"/>
  <c r="H486" i="40"/>
  <c r="W486" i="40" s="1"/>
  <c r="H464" i="40"/>
  <c r="I464" i="40" s="1"/>
  <c r="H465" i="40"/>
  <c r="H466" i="40"/>
  <c r="H467" i="40"/>
  <c r="K467" i="40" s="1"/>
  <c r="H460" i="40"/>
  <c r="I460" i="40" s="1"/>
  <c r="H461" i="40"/>
  <c r="K461" i="40" s="1"/>
  <c r="H462" i="40"/>
  <c r="I462" i="40" s="1"/>
  <c r="H463" i="40"/>
  <c r="H456" i="40"/>
  <c r="K456" i="40" s="1"/>
  <c r="H451" i="40"/>
  <c r="I451" i="40" s="1"/>
  <c r="H452" i="40"/>
  <c r="I452" i="40" s="1"/>
  <c r="H444" i="40"/>
  <c r="H445" i="40"/>
  <c r="I445" i="40" s="1"/>
  <c r="H438" i="40"/>
  <c r="K438" i="40" s="1"/>
  <c r="H439" i="40"/>
  <c r="I439" i="40" s="1"/>
  <c r="H440" i="40"/>
  <c r="H441" i="40"/>
  <c r="I441" i="40" s="1"/>
  <c r="H434" i="40"/>
  <c r="I434" i="40" s="1"/>
  <c r="H435" i="40"/>
  <c r="W435" i="40" s="1"/>
  <c r="H436" i="40"/>
  <c r="W436" i="40" s="1"/>
  <c r="H429" i="40"/>
  <c r="I429" i="40" s="1"/>
  <c r="H426" i="40"/>
  <c r="N426" i="40" s="1"/>
  <c r="H423" i="40"/>
  <c r="I423" i="40" s="1"/>
  <c r="H421" i="40"/>
  <c r="H412" i="40"/>
  <c r="I412" i="40" s="1"/>
  <c r="H407" i="40"/>
  <c r="H408" i="40"/>
  <c r="H409" i="40"/>
  <c r="I409" i="40" s="1"/>
  <c r="H410" i="40"/>
  <c r="Y410" i="40" s="1"/>
  <c r="H393" i="40"/>
  <c r="I393" i="40" s="1"/>
  <c r="H394" i="40"/>
  <c r="H395" i="40"/>
  <c r="P395" i="40" s="1"/>
  <c r="H396" i="40"/>
  <c r="I396" i="40" s="1"/>
  <c r="H398" i="40"/>
  <c r="W398" i="40" s="1"/>
  <c r="F91" i="51" l="1"/>
  <c r="F21" i="51"/>
  <c r="F121" i="51"/>
  <c r="F122" i="51"/>
  <c r="H21" i="51"/>
  <c r="F92" i="51"/>
  <c r="Q516" i="41"/>
  <c r="O516" i="41"/>
  <c r="M516" i="41"/>
  <c r="M506" i="41"/>
  <c r="F100" i="51"/>
  <c r="H91" i="51"/>
  <c r="O512" i="41"/>
  <c r="M512" i="41"/>
  <c r="M517" i="41"/>
  <c r="Q517" i="41"/>
  <c r="O541" i="41"/>
  <c r="M541" i="41"/>
  <c r="Q527" i="41"/>
  <c r="O524" i="41"/>
  <c r="M540" i="41"/>
  <c r="Q542" i="41"/>
  <c r="M515" i="41"/>
  <c r="Q512" i="41"/>
  <c r="Q530" i="41"/>
  <c r="O527" i="41"/>
  <c r="M513" i="41"/>
  <c r="O542" i="41"/>
  <c r="O517" i="41"/>
  <c r="O514" i="41"/>
  <c r="Q513" i="41"/>
  <c r="O505" i="41"/>
  <c r="O513" i="41"/>
  <c r="O504" i="41"/>
  <c r="O507" i="41"/>
  <c r="M508" i="41"/>
  <c r="M539" i="41"/>
  <c r="M523" i="41"/>
  <c r="O515" i="41"/>
  <c r="M510" i="41"/>
  <c r="Q514" i="41"/>
  <c r="O544" i="41"/>
  <c r="M544" i="41"/>
  <c r="O546" i="41"/>
  <c r="M530" i="41"/>
  <c r="M543" i="41"/>
  <c r="Q540" i="41"/>
  <c r="O530" i="41"/>
  <c r="O508" i="41"/>
  <c r="M542" i="41"/>
  <c r="M526" i="41"/>
  <c r="Q515" i="41"/>
  <c r="Q544" i="41"/>
  <c r="Q503" i="41"/>
  <c r="M531" i="41"/>
  <c r="O503" i="41"/>
  <c r="O506" i="41"/>
  <c r="M503" i="41"/>
  <c r="O531" i="41"/>
  <c r="M528" i="41"/>
  <c r="M507" i="41"/>
  <c r="M504" i="41"/>
  <c r="O543" i="41"/>
  <c r="M534" i="41"/>
  <c r="M519" i="41"/>
  <c r="Q545" i="41"/>
  <c r="Q539" i="41"/>
  <c r="M509" i="41"/>
  <c r="Q541" i="41"/>
  <c r="Q532" i="41"/>
  <c r="O523" i="41"/>
  <c r="Q543" i="41"/>
  <c r="Q507" i="41"/>
  <c r="M498" i="41"/>
  <c r="M546" i="41"/>
  <c r="Q501" i="41"/>
  <c r="M527" i="41"/>
  <c r="Q504" i="41"/>
  <c r="Q524" i="41"/>
  <c r="O518" i="41"/>
  <c r="Q529" i="41"/>
  <c r="M518" i="41"/>
  <c r="M535" i="41"/>
  <c r="M532" i="41"/>
  <c r="O529" i="41"/>
  <c r="Q526" i="41"/>
  <c r="O509" i="41"/>
  <c r="M545" i="41"/>
  <c r="O540" i="41"/>
  <c r="M529" i="41"/>
  <c r="O526" i="41"/>
  <c r="Q506" i="41"/>
  <c r="Q508" i="41"/>
  <c r="O534" i="41"/>
  <c r="Q499" i="41"/>
  <c r="Q528" i="41"/>
  <c r="Q525" i="41"/>
  <c r="O528" i="41"/>
  <c r="O525" i="41"/>
  <c r="Q510" i="41"/>
  <c r="Q505" i="41"/>
  <c r="Q502" i="41"/>
  <c r="M538" i="41"/>
  <c r="O532" i="41"/>
  <c r="M522" i="41"/>
  <c r="O510" i="41"/>
  <c r="M500" i="41"/>
  <c r="O502" i="41"/>
  <c r="M524" i="41"/>
  <c r="M502" i="41"/>
  <c r="Q537" i="41"/>
  <c r="Q531" i="41"/>
  <c r="Q523" i="41"/>
  <c r="Q521" i="41"/>
  <c r="Q509" i="41"/>
  <c r="M499" i="41"/>
  <c r="Q534" i="41"/>
  <c r="Q518" i="41"/>
  <c r="O545" i="41"/>
  <c r="O539" i="41"/>
  <c r="O501" i="41"/>
  <c r="M501" i="41"/>
  <c r="M536" i="41"/>
  <c r="M533" i="41"/>
  <c r="M525" i="41"/>
  <c r="M520" i="41"/>
  <c r="M505" i="41"/>
  <c r="O498" i="41"/>
  <c r="Q546" i="41"/>
  <c r="O537" i="41"/>
  <c r="Q535" i="41"/>
  <c r="O521" i="41"/>
  <c r="Q519" i="41"/>
  <c r="O499" i="41"/>
  <c r="M537" i="41"/>
  <c r="O535" i="41"/>
  <c r="Q533" i="41"/>
  <c r="M521" i="41"/>
  <c r="O519" i="41"/>
  <c r="O533" i="41"/>
  <c r="Q538" i="41"/>
  <c r="Q522" i="41"/>
  <c r="Q500" i="41"/>
  <c r="O538" i="41"/>
  <c r="Q536" i="41"/>
  <c r="O522" i="41"/>
  <c r="Q520" i="41"/>
  <c r="O500" i="41"/>
  <c r="Q498" i="41"/>
  <c r="O536" i="41"/>
  <c r="O520" i="41"/>
  <c r="R516" i="58"/>
  <c r="P516" i="58"/>
  <c r="N516" i="58"/>
  <c r="K516" i="58"/>
  <c r="U520" i="58"/>
  <c r="Y519" i="58"/>
  <c r="Y548" i="58"/>
  <c r="W518" i="58"/>
  <c r="K547" i="58"/>
  <c r="I532" i="58"/>
  <c r="R517" i="58"/>
  <c r="U518" i="58"/>
  <c r="U531" i="58"/>
  <c r="P518" i="58"/>
  <c r="I518" i="58"/>
  <c r="Y517" i="58"/>
  <c r="W517" i="58"/>
  <c r="Y518" i="58"/>
  <c r="W538" i="58"/>
  <c r="Y510" i="58"/>
  <c r="R518" i="58"/>
  <c r="U517" i="58"/>
  <c r="N518" i="58"/>
  <c r="P517" i="58"/>
  <c r="K518" i="58"/>
  <c r="N517" i="58"/>
  <c r="K517" i="58"/>
  <c r="P512" i="58"/>
  <c r="I512" i="58"/>
  <c r="U514" i="58"/>
  <c r="N520" i="58"/>
  <c r="N539" i="58"/>
  <c r="U519" i="58"/>
  <c r="W519" i="58"/>
  <c r="R519" i="58"/>
  <c r="K534" i="58"/>
  <c r="I519" i="58"/>
  <c r="W520" i="58"/>
  <c r="Y512" i="58"/>
  <c r="U510" i="58"/>
  <c r="K507" i="58"/>
  <c r="Y524" i="58"/>
  <c r="W512" i="58"/>
  <c r="W522" i="58"/>
  <c r="P510" i="58"/>
  <c r="P519" i="58"/>
  <c r="N512" i="58"/>
  <c r="R510" i="58"/>
  <c r="N522" i="58"/>
  <c r="N519" i="58"/>
  <c r="K522" i="58"/>
  <c r="K512" i="58"/>
  <c r="K510" i="58"/>
  <c r="K520" i="58"/>
  <c r="I510" i="58"/>
  <c r="N527" i="58"/>
  <c r="W534" i="58"/>
  <c r="Y511" i="58"/>
  <c r="N525" i="58"/>
  <c r="I551" i="58"/>
  <c r="P545" i="58"/>
  <c r="P527" i="58"/>
  <c r="K525" i="58"/>
  <c r="I521" i="58"/>
  <c r="I508" i="58"/>
  <c r="Y515" i="58"/>
  <c r="R511" i="58"/>
  <c r="Y507" i="58"/>
  <c r="K545" i="58"/>
  <c r="U524" i="58"/>
  <c r="U507" i="58"/>
  <c r="W515" i="58"/>
  <c r="I536" i="58"/>
  <c r="I524" i="58"/>
  <c r="Y521" i="58"/>
  <c r="U515" i="58"/>
  <c r="U512" i="58"/>
  <c r="P511" i="58"/>
  <c r="R507" i="58"/>
  <c r="R520" i="58"/>
  <c r="W521" i="58"/>
  <c r="W548" i="58"/>
  <c r="P526" i="58"/>
  <c r="Y523" i="58"/>
  <c r="U521" i="58"/>
  <c r="R515" i="58"/>
  <c r="R512" i="58"/>
  <c r="N511" i="58"/>
  <c r="W509" i="58"/>
  <c r="N507" i="58"/>
  <c r="P520" i="58"/>
  <c r="R526" i="58"/>
  <c r="N535" i="58"/>
  <c r="U548" i="58"/>
  <c r="R543" i="58"/>
  <c r="P505" i="58"/>
  <c r="U509" i="58"/>
  <c r="P543" i="58"/>
  <c r="K526" i="58"/>
  <c r="I523" i="58"/>
  <c r="R521" i="58"/>
  <c r="P515" i="58"/>
  <c r="I511" i="58"/>
  <c r="N515" i="58"/>
  <c r="W528" i="58"/>
  <c r="U528" i="58"/>
  <c r="U525" i="58"/>
  <c r="Y546" i="58"/>
  <c r="K533" i="58"/>
  <c r="P522" i="58"/>
  <c r="N521" i="58"/>
  <c r="Y508" i="58"/>
  <c r="W525" i="58"/>
  <c r="P521" i="58"/>
  <c r="W546" i="58"/>
  <c r="R528" i="58"/>
  <c r="R525" i="58"/>
  <c r="I515" i="58"/>
  <c r="W508" i="58"/>
  <c r="Y520" i="58"/>
  <c r="K521" i="58"/>
  <c r="R508" i="58"/>
  <c r="K527" i="58"/>
  <c r="N526" i="58"/>
  <c r="W523" i="58"/>
  <c r="R546" i="58"/>
  <c r="W531" i="58"/>
  <c r="P525" i="58"/>
  <c r="Y522" i="58"/>
  <c r="I522" i="58"/>
  <c r="R514" i="58"/>
  <c r="U513" i="58"/>
  <c r="K511" i="58"/>
  <c r="N510" i="58"/>
  <c r="W507" i="58"/>
  <c r="W513" i="58"/>
  <c r="N548" i="58"/>
  <c r="K538" i="58"/>
  <c r="I527" i="58"/>
  <c r="R524" i="58"/>
  <c r="U523" i="58"/>
  <c r="P509" i="58"/>
  <c r="P514" i="58"/>
  <c r="N509" i="58"/>
  <c r="W547" i="58"/>
  <c r="N546" i="58"/>
  <c r="K537" i="58"/>
  <c r="P524" i="58"/>
  <c r="R513" i="58"/>
  <c r="U547" i="58"/>
  <c r="I534" i="58"/>
  <c r="Y530" i="58"/>
  <c r="Y526" i="58"/>
  <c r="I526" i="58"/>
  <c r="R523" i="58"/>
  <c r="U522" i="58"/>
  <c r="N514" i="58"/>
  <c r="W511" i="58"/>
  <c r="P508" i="58"/>
  <c r="R530" i="58"/>
  <c r="N524" i="58"/>
  <c r="P513" i="58"/>
  <c r="K546" i="58"/>
  <c r="Y533" i="58"/>
  <c r="W527" i="58"/>
  <c r="W526" i="58"/>
  <c r="P523" i="58"/>
  <c r="U511" i="58"/>
  <c r="K509" i="58"/>
  <c r="N508" i="58"/>
  <c r="P547" i="58"/>
  <c r="U533" i="58"/>
  <c r="K530" i="58"/>
  <c r="U527" i="58"/>
  <c r="Y525" i="58"/>
  <c r="K514" i="58"/>
  <c r="N513" i="58"/>
  <c r="P507" i="58"/>
  <c r="Y527" i="58"/>
  <c r="I546" i="58"/>
  <c r="Y540" i="58"/>
  <c r="Y535" i="58"/>
  <c r="R533" i="58"/>
  <c r="U526" i="58"/>
  <c r="K524" i="58"/>
  <c r="N523" i="58"/>
  <c r="Y509" i="58"/>
  <c r="I509" i="58"/>
  <c r="N547" i="58"/>
  <c r="U535" i="58"/>
  <c r="I530" i="58"/>
  <c r="R527" i="58"/>
  <c r="Y514" i="58"/>
  <c r="I514" i="58"/>
  <c r="K508" i="58"/>
  <c r="K513" i="58"/>
  <c r="K523" i="58"/>
  <c r="W514" i="58"/>
  <c r="K539" i="58"/>
  <c r="K535" i="58"/>
  <c r="I533" i="58"/>
  <c r="Y513" i="58"/>
  <c r="R548" i="58"/>
  <c r="I552" i="58"/>
  <c r="I545" i="58"/>
  <c r="U540" i="58"/>
  <c r="W536" i="58"/>
  <c r="P531" i="58"/>
  <c r="P528" i="58"/>
  <c r="U536" i="58"/>
  <c r="R544" i="58"/>
  <c r="P542" i="58"/>
  <c r="N540" i="58"/>
  <c r="R536" i="58"/>
  <c r="N531" i="58"/>
  <c r="P506" i="58"/>
  <c r="N528" i="58"/>
  <c r="W545" i="58"/>
  <c r="W532" i="58"/>
  <c r="P540" i="58"/>
  <c r="Y549" i="58"/>
  <c r="U545" i="58"/>
  <c r="P544" i="58"/>
  <c r="N542" i="58"/>
  <c r="P536" i="58"/>
  <c r="R532" i="58"/>
  <c r="I506" i="58"/>
  <c r="W540" i="58"/>
  <c r="Y536" i="58"/>
  <c r="K528" i="58"/>
  <c r="R531" i="58"/>
  <c r="W549" i="58"/>
  <c r="K540" i="58"/>
  <c r="K531" i="58"/>
  <c r="U549" i="58"/>
  <c r="Y547" i="58"/>
  <c r="U546" i="58"/>
  <c r="R545" i="58"/>
  <c r="N544" i="58"/>
  <c r="K542" i="58"/>
  <c r="Y537" i="58"/>
  <c r="N536" i="58"/>
  <c r="K532" i="58"/>
  <c r="Y505" i="58"/>
  <c r="R549" i="58"/>
  <c r="I542" i="58"/>
  <c r="I540" i="58"/>
  <c r="U537" i="58"/>
  <c r="I531" i="58"/>
  <c r="K544" i="58"/>
  <c r="P541" i="58"/>
  <c r="Y539" i="58"/>
  <c r="K536" i="58"/>
  <c r="N549" i="58"/>
  <c r="R547" i="58"/>
  <c r="N545" i="58"/>
  <c r="I544" i="58"/>
  <c r="N541" i="58"/>
  <c r="U539" i="58"/>
  <c r="U530" i="58"/>
  <c r="Y528" i="58"/>
  <c r="U551" i="58"/>
  <c r="W529" i="58"/>
  <c r="U506" i="58"/>
  <c r="R550" i="58"/>
  <c r="K553" i="58"/>
  <c r="R551" i="58"/>
  <c r="P549" i="58"/>
  <c r="P548" i="58"/>
  <c r="K543" i="58"/>
  <c r="I541" i="58"/>
  <c r="Y538" i="58"/>
  <c r="W537" i="58"/>
  <c r="Y534" i="58"/>
  <c r="W533" i="58"/>
  <c r="U532" i="58"/>
  <c r="W530" i="58"/>
  <c r="U529" i="58"/>
  <c r="R506" i="58"/>
  <c r="R505" i="58"/>
  <c r="I553" i="58"/>
  <c r="P551" i="58"/>
  <c r="I543" i="58"/>
  <c r="W539" i="58"/>
  <c r="U538" i="58"/>
  <c r="W535" i="58"/>
  <c r="U534" i="58"/>
  <c r="R529" i="58"/>
  <c r="N551" i="58"/>
  <c r="R538" i="58"/>
  <c r="R537" i="58"/>
  <c r="R534" i="58"/>
  <c r="P529" i="58"/>
  <c r="N550" i="58"/>
  <c r="Y543" i="58"/>
  <c r="W542" i="58"/>
  <c r="U541" i="58"/>
  <c r="R539" i="58"/>
  <c r="R535" i="58"/>
  <c r="P533" i="58"/>
  <c r="P532" i="58"/>
  <c r="P530" i="58"/>
  <c r="N506" i="58"/>
  <c r="N505" i="58"/>
  <c r="P550" i="58"/>
  <c r="Y542" i="58"/>
  <c r="N552" i="58"/>
  <c r="K548" i="58"/>
  <c r="K550" i="58"/>
  <c r="Y544" i="58"/>
  <c r="W543" i="58"/>
  <c r="U542" i="58"/>
  <c r="R540" i="58"/>
  <c r="P538" i="58"/>
  <c r="P537" i="58"/>
  <c r="P534" i="58"/>
  <c r="N529" i="58"/>
  <c r="Y552" i="58"/>
  <c r="W541" i="58"/>
  <c r="K549" i="58"/>
  <c r="K551" i="58"/>
  <c r="I549" i="58"/>
  <c r="I548" i="58"/>
  <c r="W544" i="58"/>
  <c r="U543" i="58"/>
  <c r="R541" i="58"/>
  <c r="P539" i="58"/>
  <c r="P535" i="58"/>
  <c r="N533" i="58"/>
  <c r="N532" i="58"/>
  <c r="N530" i="58"/>
  <c r="W550" i="58"/>
  <c r="Y541" i="58"/>
  <c r="K552" i="58"/>
  <c r="I550" i="58"/>
  <c r="R542" i="58"/>
  <c r="N538" i="58"/>
  <c r="N537" i="58"/>
  <c r="K506" i="58"/>
  <c r="K505" i="58"/>
  <c r="K529" i="58"/>
  <c r="I505" i="58"/>
  <c r="Y550" i="58"/>
  <c r="I529" i="58"/>
  <c r="W551" i="58"/>
  <c r="N543" i="58"/>
  <c r="Y506" i="58"/>
  <c r="W505" i="58"/>
  <c r="W552" i="58"/>
  <c r="U553" i="58"/>
  <c r="Y553" i="58"/>
  <c r="W553" i="58"/>
  <c r="U552" i="58"/>
  <c r="R553" i="58"/>
  <c r="R552" i="58"/>
  <c r="P553" i="58"/>
  <c r="P552" i="58"/>
  <c r="N553" i="58"/>
  <c r="Y479" i="40"/>
  <c r="U479" i="40"/>
  <c r="R479" i="40"/>
  <c r="Y481" i="40"/>
  <c r="P479" i="40"/>
  <c r="W481" i="40"/>
  <c r="U481" i="40"/>
  <c r="N479" i="40"/>
  <c r="R481" i="40"/>
  <c r="I481" i="40"/>
  <c r="K479" i="40"/>
  <c r="N481" i="40"/>
  <c r="Y480" i="40"/>
  <c r="W480" i="40"/>
  <c r="U480" i="40"/>
  <c r="R480" i="40"/>
  <c r="P481" i="40"/>
  <c r="Y482" i="40"/>
  <c r="P480" i="40"/>
  <c r="U482" i="40"/>
  <c r="R482" i="40"/>
  <c r="N480" i="40"/>
  <c r="P482" i="40"/>
  <c r="K480" i="40"/>
  <c r="Y483" i="40"/>
  <c r="U483" i="40"/>
  <c r="R483" i="40"/>
  <c r="N482" i="40"/>
  <c r="P483" i="40"/>
  <c r="N483" i="40"/>
  <c r="K482" i="40"/>
  <c r="K483" i="40"/>
  <c r="I482" i="40"/>
  <c r="U529" i="40"/>
  <c r="W484" i="40"/>
  <c r="P484" i="40"/>
  <c r="K484" i="40"/>
  <c r="I483" i="40"/>
  <c r="U484" i="40"/>
  <c r="R484" i="40"/>
  <c r="N484" i="40"/>
  <c r="Y484" i="40"/>
  <c r="W529" i="40"/>
  <c r="U530" i="40"/>
  <c r="Y529" i="40"/>
  <c r="R529" i="40"/>
  <c r="N529" i="40"/>
  <c r="W530" i="40"/>
  <c r="K530" i="40"/>
  <c r="I529" i="40"/>
  <c r="W526" i="40"/>
  <c r="U526" i="40"/>
  <c r="P529" i="40"/>
  <c r="N530" i="40"/>
  <c r="R530" i="40"/>
  <c r="P530" i="40"/>
  <c r="Y526" i="40"/>
  <c r="Y530" i="40"/>
  <c r="R526" i="40"/>
  <c r="I521" i="40"/>
  <c r="P526" i="40"/>
  <c r="N526" i="40"/>
  <c r="K526" i="40"/>
  <c r="P521" i="40"/>
  <c r="R521" i="40"/>
  <c r="N521" i="40"/>
  <c r="K521" i="40"/>
  <c r="U489" i="40"/>
  <c r="U514" i="40"/>
  <c r="Y514" i="40"/>
  <c r="W514" i="40"/>
  <c r="K514" i="40"/>
  <c r="R514" i="40"/>
  <c r="P514" i="40"/>
  <c r="N514" i="40"/>
  <c r="W512" i="40"/>
  <c r="W509" i="40"/>
  <c r="U512" i="40"/>
  <c r="N512" i="40"/>
  <c r="K512" i="40"/>
  <c r="U509" i="40"/>
  <c r="R509" i="40"/>
  <c r="P509" i="40"/>
  <c r="R512" i="40"/>
  <c r="N509" i="40"/>
  <c r="P512" i="40"/>
  <c r="K509" i="40"/>
  <c r="Y512" i="40"/>
  <c r="Y509" i="40"/>
  <c r="N489" i="40"/>
  <c r="Y489" i="40"/>
  <c r="W489" i="40"/>
  <c r="R489" i="40"/>
  <c r="P489" i="40"/>
  <c r="K489" i="40"/>
  <c r="Y486" i="40"/>
  <c r="U486" i="40"/>
  <c r="P486" i="40"/>
  <c r="R486" i="40"/>
  <c r="N486" i="40"/>
  <c r="K486" i="40"/>
  <c r="I486" i="40"/>
  <c r="Y464" i="40"/>
  <c r="U464" i="40"/>
  <c r="R464" i="40"/>
  <c r="I466" i="40"/>
  <c r="P465" i="40"/>
  <c r="K465" i="40"/>
  <c r="I465" i="40"/>
  <c r="W466" i="40"/>
  <c r="K466" i="40"/>
  <c r="N464" i="40"/>
  <c r="U465" i="40"/>
  <c r="K464" i="40"/>
  <c r="R465" i="40"/>
  <c r="W465" i="40"/>
  <c r="W464" i="40"/>
  <c r="N465" i="40"/>
  <c r="P464" i="40"/>
  <c r="Y465" i="40"/>
  <c r="U466" i="40"/>
  <c r="R466" i="40"/>
  <c r="Y467" i="40"/>
  <c r="W467" i="40"/>
  <c r="P466" i="40"/>
  <c r="U467" i="40"/>
  <c r="R467" i="40"/>
  <c r="N466" i="40"/>
  <c r="P467" i="40"/>
  <c r="I467" i="40"/>
  <c r="Y466" i="40"/>
  <c r="N467" i="40"/>
  <c r="Y462" i="40"/>
  <c r="W462" i="40"/>
  <c r="U462" i="40"/>
  <c r="R460" i="40"/>
  <c r="W461" i="40"/>
  <c r="I461" i="40"/>
  <c r="Y460" i="40"/>
  <c r="W460" i="40"/>
  <c r="P460" i="40"/>
  <c r="U460" i="40"/>
  <c r="N460" i="40"/>
  <c r="P462" i="40"/>
  <c r="K460" i="40"/>
  <c r="Y461" i="40"/>
  <c r="U461" i="40"/>
  <c r="P461" i="40"/>
  <c r="N463" i="40"/>
  <c r="R462" i="40"/>
  <c r="K463" i="40"/>
  <c r="I463" i="40"/>
  <c r="Y463" i="40"/>
  <c r="R461" i="40"/>
  <c r="R463" i="40"/>
  <c r="N461" i="40"/>
  <c r="N462" i="40"/>
  <c r="W463" i="40"/>
  <c r="U463" i="40"/>
  <c r="P463" i="40"/>
  <c r="K462" i="40"/>
  <c r="W456" i="40"/>
  <c r="Y456" i="40"/>
  <c r="U456" i="40"/>
  <c r="R456" i="40"/>
  <c r="I456" i="40"/>
  <c r="P456" i="40"/>
  <c r="N456" i="40"/>
  <c r="Y451" i="40"/>
  <c r="K451" i="40"/>
  <c r="W452" i="40"/>
  <c r="W451" i="40"/>
  <c r="U452" i="40"/>
  <c r="U451" i="40"/>
  <c r="R452" i="40"/>
  <c r="P452" i="40"/>
  <c r="R451" i="40"/>
  <c r="N452" i="40"/>
  <c r="P451" i="40"/>
  <c r="N451" i="40"/>
  <c r="K452" i="40"/>
  <c r="Y452" i="40"/>
  <c r="N444" i="40"/>
  <c r="Y444" i="40"/>
  <c r="K444" i="40"/>
  <c r="I444" i="40"/>
  <c r="Y445" i="40"/>
  <c r="W444" i="40"/>
  <c r="W445" i="40"/>
  <c r="U445" i="40"/>
  <c r="U444" i="40"/>
  <c r="R444" i="40"/>
  <c r="P445" i="40"/>
  <c r="R445" i="40"/>
  <c r="P444" i="40"/>
  <c r="N445" i="40"/>
  <c r="K445" i="40"/>
  <c r="Y438" i="40"/>
  <c r="W438" i="40"/>
  <c r="P438" i="40"/>
  <c r="U438" i="40"/>
  <c r="R438" i="40"/>
  <c r="K439" i="40"/>
  <c r="Y439" i="40"/>
  <c r="W439" i="40"/>
  <c r="U439" i="40"/>
  <c r="R439" i="40"/>
  <c r="P439" i="40"/>
  <c r="N439" i="40"/>
  <c r="I438" i="40"/>
  <c r="N438" i="40"/>
  <c r="U440" i="40"/>
  <c r="W440" i="40"/>
  <c r="P440" i="40"/>
  <c r="N440" i="40"/>
  <c r="R440" i="40"/>
  <c r="K440" i="40"/>
  <c r="I440" i="40"/>
  <c r="Y440" i="40"/>
  <c r="R441" i="40"/>
  <c r="Y441" i="40"/>
  <c r="W441" i="40"/>
  <c r="U441" i="40"/>
  <c r="P441" i="40"/>
  <c r="N441" i="40"/>
  <c r="K441" i="40"/>
  <c r="W434" i="40"/>
  <c r="I435" i="40"/>
  <c r="Y434" i="40"/>
  <c r="U434" i="40"/>
  <c r="R434" i="40"/>
  <c r="R436" i="40"/>
  <c r="K434" i="40"/>
  <c r="P434" i="40"/>
  <c r="N434" i="40"/>
  <c r="U436" i="40"/>
  <c r="U435" i="40"/>
  <c r="R435" i="40"/>
  <c r="P435" i="40"/>
  <c r="N435" i="40"/>
  <c r="K435" i="40"/>
  <c r="Y435" i="40"/>
  <c r="P436" i="40"/>
  <c r="N436" i="40"/>
  <c r="K436" i="40"/>
  <c r="I436" i="40"/>
  <c r="Y436" i="40"/>
  <c r="Y426" i="40"/>
  <c r="W426" i="40"/>
  <c r="U426" i="40"/>
  <c r="Y429" i="40"/>
  <c r="W429" i="40"/>
  <c r="U429" i="40"/>
  <c r="R429" i="40"/>
  <c r="P429" i="40"/>
  <c r="N429" i="40"/>
  <c r="K429" i="40"/>
  <c r="K426" i="40"/>
  <c r="I426" i="40"/>
  <c r="P426" i="40"/>
  <c r="R426" i="40"/>
  <c r="Y423" i="40"/>
  <c r="N423" i="40"/>
  <c r="W423" i="40"/>
  <c r="U423" i="40"/>
  <c r="R423" i="40"/>
  <c r="P423" i="40"/>
  <c r="K423" i="40"/>
  <c r="Y421" i="40"/>
  <c r="U421" i="40"/>
  <c r="W421" i="40"/>
  <c r="R421" i="40"/>
  <c r="P421" i="40"/>
  <c r="N421" i="40"/>
  <c r="I421" i="40"/>
  <c r="K421" i="40"/>
  <c r="U410" i="40"/>
  <c r="U407" i="40"/>
  <c r="Y412" i="40"/>
  <c r="P412" i="40"/>
  <c r="N412" i="40"/>
  <c r="K412" i="40"/>
  <c r="U412" i="40"/>
  <c r="I407" i="40"/>
  <c r="W412" i="40"/>
  <c r="R412" i="40"/>
  <c r="Y407" i="40"/>
  <c r="W407" i="40"/>
  <c r="K407" i="40"/>
  <c r="W410" i="40"/>
  <c r="R407" i="40"/>
  <c r="W408" i="40"/>
  <c r="P407" i="40"/>
  <c r="U408" i="40"/>
  <c r="Y408" i="40"/>
  <c r="K408" i="40"/>
  <c r="N407" i="40"/>
  <c r="I408" i="40"/>
  <c r="I410" i="40"/>
  <c r="N408" i="40"/>
  <c r="R408" i="40"/>
  <c r="W409" i="40"/>
  <c r="P408" i="40"/>
  <c r="P410" i="40"/>
  <c r="U409" i="40"/>
  <c r="R409" i="40"/>
  <c r="N410" i="40"/>
  <c r="R410" i="40"/>
  <c r="P409" i="40"/>
  <c r="K410" i="40"/>
  <c r="N409" i="40"/>
  <c r="K409" i="40"/>
  <c r="Y409" i="40"/>
  <c r="W393" i="40"/>
  <c r="U393" i="40"/>
  <c r="Y394" i="40"/>
  <c r="U394" i="40"/>
  <c r="R394" i="40"/>
  <c r="N395" i="40"/>
  <c r="K395" i="40"/>
  <c r="K394" i="40"/>
  <c r="N393" i="40"/>
  <c r="I394" i="40"/>
  <c r="P394" i="40"/>
  <c r="R393" i="40"/>
  <c r="N394" i="40"/>
  <c r="U395" i="40"/>
  <c r="P393" i="40"/>
  <c r="K393" i="40"/>
  <c r="I395" i="40"/>
  <c r="Y393" i="40"/>
  <c r="Y395" i="40"/>
  <c r="W395" i="40"/>
  <c r="W394" i="40"/>
  <c r="R395" i="40"/>
  <c r="I398" i="40"/>
  <c r="P396" i="40"/>
  <c r="N396" i="40"/>
  <c r="R396" i="40"/>
  <c r="U396" i="40"/>
  <c r="K396" i="40"/>
  <c r="W396" i="40"/>
  <c r="Y396" i="40"/>
  <c r="U398" i="40"/>
  <c r="R398" i="40"/>
  <c r="N398" i="40"/>
  <c r="P398" i="40"/>
  <c r="K398" i="40"/>
  <c r="Y398" i="40"/>
  <c r="H518" i="6"/>
  <c r="H519" i="6"/>
  <c r="H515" i="6"/>
  <c r="H512" i="6"/>
  <c r="H510" i="6"/>
  <c r="H501" i="6"/>
  <c r="H503" i="6"/>
  <c r="H498" i="6"/>
  <c r="H478" i="6"/>
  <c r="H476" i="6"/>
  <c r="H468" i="6"/>
  <c r="H469" i="6"/>
  <c r="H470" i="6"/>
  <c r="H471" i="6"/>
  <c r="H472" i="6"/>
  <c r="H473" i="6"/>
  <c r="H453" i="6"/>
  <c r="H454" i="6"/>
  <c r="H455" i="6"/>
  <c r="H456" i="6"/>
  <c r="H447" i="6"/>
  <c r="H448" i="6"/>
  <c r="H449" i="6"/>
  <c r="H450" i="6"/>
  <c r="H445" i="6"/>
  <c r="H440" i="6"/>
  <c r="H441" i="6"/>
  <c r="H433" i="6"/>
  <c r="H434" i="6"/>
  <c r="H427" i="6"/>
  <c r="H428" i="6"/>
  <c r="H429" i="6"/>
  <c r="H430" i="6"/>
  <c r="H423" i="6"/>
  <c r="H424" i="6"/>
  <c r="H425" i="6"/>
  <c r="H418" i="6"/>
  <c r="H415" i="6"/>
  <c r="H412" i="6"/>
  <c r="H410" i="6"/>
  <c r="H401" i="6"/>
  <c r="H396" i="6"/>
  <c r="H397" i="6"/>
  <c r="H398" i="6"/>
  <c r="H399" i="6"/>
  <c r="H387" i="6"/>
  <c r="H382" i="6"/>
  <c r="H383" i="6"/>
  <c r="H384" i="6"/>
  <c r="H385" i="6"/>
  <c r="G91" i="51"/>
  <c r="I91" i="51"/>
  <c r="J91" i="51"/>
  <c r="K91" i="51"/>
  <c r="F131" i="47"/>
  <c r="F130" i="47"/>
  <c r="F17" i="47" l="1"/>
  <c r="I92" i="51"/>
  <c r="J92" i="51"/>
  <c r="K92" i="51"/>
  <c r="G124" i="51"/>
  <c r="I124" i="51"/>
  <c r="J124" i="51"/>
  <c r="K124" i="51"/>
  <c r="I9" i="52"/>
  <c r="J9" i="52" s="1"/>
  <c r="K9" i="52"/>
  <c r="L9" i="52"/>
  <c r="M9" i="52" s="1"/>
  <c r="N9" i="52"/>
  <c r="O9" i="52" s="1"/>
  <c r="P9" i="52"/>
  <c r="Q9" i="52" s="1"/>
  <c r="H13" i="46"/>
  <c r="G13" i="46"/>
  <c r="F13" i="46"/>
  <c r="J13" i="46"/>
  <c r="K13" i="46" s="1"/>
  <c r="M13" i="46"/>
  <c r="O13" i="46"/>
  <c r="Q13" i="46"/>
  <c r="I164" i="41"/>
  <c r="J164" i="41" s="1"/>
  <c r="K164" i="41"/>
  <c r="L164" i="41"/>
  <c r="N164" i="41"/>
  <c r="P164" i="41"/>
  <c r="H176" i="58"/>
  <c r="I176" i="58" s="1"/>
  <c r="Q164" i="41" l="1"/>
  <c r="O164" i="41"/>
  <c r="L13" i="46"/>
  <c r="P13" i="46" s="1"/>
  <c r="M164" i="41"/>
  <c r="U176" i="58"/>
  <c r="Y176" i="58"/>
  <c r="W176" i="58"/>
  <c r="R176" i="58"/>
  <c r="N176" i="58"/>
  <c r="K176" i="58"/>
  <c r="H174" i="40"/>
  <c r="N13" i="46" l="1"/>
  <c r="R13" i="46"/>
  <c r="K174" i="40"/>
  <c r="I174" i="40"/>
  <c r="Y174" i="40"/>
  <c r="W174" i="40"/>
  <c r="U174" i="40"/>
  <c r="R174" i="40"/>
  <c r="N174" i="40"/>
  <c r="G23" i="51" l="1"/>
  <c r="I23" i="51"/>
  <c r="J23" i="51"/>
  <c r="K23" i="51"/>
  <c r="AG18" i="59" l="1"/>
  <c r="AF18" i="59"/>
  <c r="AE18" i="59"/>
  <c r="AD18" i="59"/>
  <c r="AC18" i="59"/>
  <c r="AB18" i="59"/>
  <c r="AA18" i="59"/>
  <c r="Z18" i="59"/>
  <c r="Y18" i="59"/>
  <c r="X18" i="59"/>
  <c r="W18" i="59"/>
  <c r="V18" i="59"/>
  <c r="U18" i="59"/>
  <c r="T18" i="59"/>
  <c r="S18" i="59"/>
  <c r="R18" i="59"/>
  <c r="Q18" i="59"/>
  <c r="P18" i="59"/>
  <c r="O18" i="59"/>
  <c r="N18" i="59"/>
  <c r="M18" i="59"/>
  <c r="Q19" i="59"/>
  <c r="L18" i="59"/>
  <c r="K18" i="59"/>
  <c r="J18" i="59"/>
  <c r="I18" i="59"/>
  <c r="H18" i="59"/>
  <c r="G18" i="59"/>
  <c r="F18" i="59"/>
  <c r="E18" i="59"/>
  <c r="D18" i="59"/>
  <c r="H19" i="59"/>
  <c r="G88" i="51"/>
  <c r="I88" i="51"/>
  <c r="J88" i="51"/>
  <c r="K88" i="51"/>
  <c r="G89" i="51"/>
  <c r="I89" i="51"/>
  <c r="J89" i="51"/>
  <c r="K89" i="51"/>
  <c r="G90" i="51"/>
  <c r="G92" i="51" s="1"/>
  <c r="I90" i="51"/>
  <c r="J90" i="51"/>
  <c r="K90" i="51"/>
  <c r="I7" i="41" l="1"/>
  <c r="I8" i="41"/>
  <c r="I9" i="41"/>
  <c r="I10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28" i="41"/>
  <c r="I29" i="41"/>
  <c r="I30" i="41"/>
  <c r="I31" i="41"/>
  <c r="I32" i="41"/>
  <c r="I33" i="41"/>
  <c r="I34" i="41"/>
  <c r="I35" i="41"/>
  <c r="I36" i="41"/>
  <c r="I37" i="41"/>
  <c r="I38" i="41"/>
  <c r="I39" i="41"/>
  <c r="I40" i="41"/>
  <c r="I41" i="41"/>
  <c r="I42" i="41"/>
  <c r="I43" i="41"/>
  <c r="I44" i="41"/>
  <c r="I45" i="41"/>
  <c r="I46" i="41"/>
  <c r="I47" i="41"/>
  <c r="I48" i="41"/>
  <c r="I49" i="41"/>
  <c r="I50" i="41"/>
  <c r="I51" i="41"/>
  <c r="I52" i="41"/>
  <c r="I53" i="41"/>
  <c r="I54" i="41"/>
  <c r="I55" i="41"/>
  <c r="I56" i="41"/>
  <c r="I57" i="41"/>
  <c r="I58" i="41"/>
  <c r="I59" i="41"/>
  <c r="I60" i="41"/>
  <c r="I61" i="41"/>
  <c r="I62" i="41"/>
  <c r="I63" i="41"/>
  <c r="I64" i="41"/>
  <c r="I65" i="41"/>
  <c r="I66" i="41"/>
  <c r="I67" i="41"/>
  <c r="I68" i="41"/>
  <c r="I69" i="41"/>
  <c r="I70" i="41"/>
  <c r="I71" i="41"/>
  <c r="I72" i="41"/>
  <c r="I73" i="41"/>
  <c r="I74" i="41"/>
  <c r="I75" i="41"/>
  <c r="I76" i="41"/>
  <c r="I77" i="41"/>
  <c r="I78" i="41"/>
  <c r="I79" i="41"/>
  <c r="I80" i="41"/>
  <c r="I81" i="41"/>
  <c r="I82" i="41"/>
  <c r="I83" i="41"/>
  <c r="I84" i="41"/>
  <c r="I85" i="41"/>
  <c r="I86" i="41"/>
  <c r="I87" i="41"/>
  <c r="I88" i="41"/>
  <c r="I89" i="41"/>
  <c r="I90" i="41"/>
  <c r="I91" i="41"/>
  <c r="I92" i="41"/>
  <c r="I93" i="41"/>
  <c r="I94" i="41"/>
  <c r="I95" i="41"/>
  <c r="I96" i="41"/>
  <c r="I97" i="41"/>
  <c r="I98" i="41"/>
  <c r="I99" i="41"/>
  <c r="I100" i="41"/>
  <c r="I101" i="41"/>
  <c r="I102" i="41"/>
  <c r="I103" i="41"/>
  <c r="I104" i="41"/>
  <c r="I105" i="41"/>
  <c r="I106" i="41"/>
  <c r="I107" i="41"/>
  <c r="I108" i="41"/>
  <c r="I109" i="41"/>
  <c r="I110" i="41"/>
  <c r="I111" i="41"/>
  <c r="I112" i="41"/>
  <c r="I113" i="41"/>
  <c r="I114" i="41"/>
  <c r="I115" i="41"/>
  <c r="I116" i="41"/>
  <c r="I117" i="41"/>
  <c r="I118" i="41"/>
  <c r="I119" i="41"/>
  <c r="I120" i="41"/>
  <c r="I121" i="41"/>
  <c r="I122" i="41"/>
  <c r="I123" i="41"/>
  <c r="I124" i="41"/>
  <c r="I125" i="41"/>
  <c r="I126" i="41"/>
  <c r="I127" i="41"/>
  <c r="I128" i="41"/>
  <c r="I129" i="41"/>
  <c r="I130" i="41"/>
  <c r="I131" i="41"/>
  <c r="I132" i="41"/>
  <c r="I133" i="41"/>
  <c r="I134" i="41"/>
  <c r="I135" i="41"/>
  <c r="I136" i="41"/>
  <c r="I137" i="41"/>
  <c r="I138" i="41"/>
  <c r="I139" i="41"/>
  <c r="I140" i="41"/>
  <c r="I141" i="41"/>
  <c r="I142" i="41"/>
  <c r="I143" i="41"/>
  <c r="I144" i="41"/>
  <c r="I145" i="41"/>
  <c r="I146" i="41"/>
  <c r="I147" i="41"/>
  <c r="I148" i="41"/>
  <c r="I149" i="41"/>
  <c r="I150" i="41"/>
  <c r="I151" i="41"/>
  <c r="I152" i="41"/>
  <c r="I153" i="41"/>
  <c r="I154" i="41"/>
  <c r="I155" i="41"/>
  <c r="I156" i="41"/>
  <c r="I157" i="41"/>
  <c r="I158" i="41"/>
  <c r="I159" i="41"/>
  <c r="I160" i="41"/>
  <c r="I161" i="41"/>
  <c r="I162" i="41"/>
  <c r="I163" i="41"/>
  <c r="I165" i="41"/>
  <c r="I166" i="41"/>
  <c r="I167" i="41"/>
  <c r="I168" i="41"/>
  <c r="I169" i="41"/>
  <c r="I170" i="41"/>
  <c r="I171" i="41"/>
  <c r="I172" i="41"/>
  <c r="I173" i="41"/>
  <c r="I174" i="41"/>
  <c r="I175" i="41"/>
  <c r="I176" i="41"/>
  <c r="I177" i="41"/>
  <c r="I178" i="41"/>
  <c r="I179" i="41"/>
  <c r="I180" i="41"/>
  <c r="I181" i="41"/>
  <c r="I182" i="41"/>
  <c r="I183" i="41"/>
  <c r="I184" i="41"/>
  <c r="I185" i="41"/>
  <c r="I186" i="41"/>
  <c r="I187" i="41"/>
  <c r="I188" i="41"/>
  <c r="I189" i="41"/>
  <c r="I190" i="41"/>
  <c r="I191" i="41"/>
  <c r="I192" i="41"/>
  <c r="I193" i="41"/>
  <c r="I194" i="41"/>
  <c r="I195" i="41"/>
  <c r="I196" i="41"/>
  <c r="I197" i="41"/>
  <c r="I198" i="41"/>
  <c r="I199" i="41"/>
  <c r="I200" i="41"/>
  <c r="I201" i="41"/>
  <c r="I202" i="41"/>
  <c r="I203" i="41"/>
  <c r="I204" i="41"/>
  <c r="I205" i="41"/>
  <c r="I206" i="41"/>
  <c r="I207" i="41"/>
  <c r="I208" i="41"/>
  <c r="I209" i="41"/>
  <c r="I210" i="41"/>
  <c r="I211" i="41"/>
  <c r="I212" i="41"/>
  <c r="I213" i="41"/>
  <c r="I214" i="41"/>
  <c r="I215" i="41"/>
  <c r="I216" i="41"/>
  <c r="I217" i="41"/>
  <c r="I218" i="41"/>
  <c r="I219" i="41"/>
  <c r="I220" i="41"/>
  <c r="I221" i="41"/>
  <c r="I222" i="41"/>
  <c r="I223" i="41"/>
  <c r="I224" i="41"/>
  <c r="I225" i="41"/>
  <c r="I226" i="41"/>
  <c r="I227" i="41"/>
  <c r="I228" i="41"/>
  <c r="I229" i="41"/>
  <c r="I230" i="41"/>
  <c r="I231" i="41"/>
  <c r="I232" i="41"/>
  <c r="I233" i="41"/>
  <c r="I234" i="41"/>
  <c r="I235" i="41"/>
  <c r="I236" i="41"/>
  <c r="I237" i="41"/>
  <c r="I238" i="41"/>
  <c r="I239" i="41"/>
  <c r="I240" i="41"/>
  <c r="I241" i="41"/>
  <c r="I242" i="41"/>
  <c r="I243" i="41"/>
  <c r="I244" i="41"/>
  <c r="I245" i="41"/>
  <c r="I246" i="41"/>
  <c r="I247" i="41"/>
  <c r="I248" i="41"/>
  <c r="I249" i="41"/>
  <c r="I250" i="41"/>
  <c r="I251" i="41"/>
  <c r="I252" i="41"/>
  <c r="I253" i="41"/>
  <c r="I254" i="41"/>
  <c r="I255" i="41"/>
  <c r="I256" i="41"/>
  <c r="I257" i="41"/>
  <c r="I258" i="41"/>
  <c r="I259" i="41"/>
  <c r="I260" i="41"/>
  <c r="I261" i="41"/>
  <c r="I262" i="41"/>
  <c r="I263" i="41"/>
  <c r="I264" i="41"/>
  <c r="I265" i="41"/>
  <c r="I266" i="41"/>
  <c r="I267" i="41"/>
  <c r="I268" i="41"/>
  <c r="I269" i="41"/>
  <c r="I270" i="41"/>
  <c r="I271" i="41"/>
  <c r="I272" i="41"/>
  <c r="I273" i="41"/>
  <c r="I274" i="41"/>
  <c r="I275" i="41"/>
  <c r="I276" i="41"/>
  <c r="I277" i="41"/>
  <c r="I278" i="41"/>
  <c r="I279" i="41"/>
  <c r="I280" i="41"/>
  <c r="I281" i="41"/>
  <c r="I282" i="41"/>
  <c r="I283" i="41"/>
  <c r="I284" i="41"/>
  <c r="I285" i="41"/>
  <c r="I286" i="41"/>
  <c r="I287" i="41"/>
  <c r="I288" i="41"/>
  <c r="I289" i="41"/>
  <c r="I290" i="41"/>
  <c r="I291" i="41"/>
  <c r="I292" i="41"/>
  <c r="I293" i="41"/>
  <c r="I294" i="41"/>
  <c r="I295" i="41"/>
  <c r="I296" i="41"/>
  <c r="I297" i="41"/>
  <c r="I298" i="41"/>
  <c r="I299" i="41"/>
  <c r="I300" i="41"/>
  <c r="I301" i="41"/>
  <c r="I302" i="41"/>
  <c r="I303" i="41"/>
  <c r="I304" i="41"/>
  <c r="I305" i="41"/>
  <c r="I306" i="41"/>
  <c r="I307" i="41"/>
  <c r="I308" i="41"/>
  <c r="I309" i="41"/>
  <c r="I310" i="41"/>
  <c r="I311" i="41"/>
  <c r="I312" i="41"/>
  <c r="I313" i="41"/>
  <c r="I314" i="41"/>
  <c r="I315" i="41"/>
  <c r="I316" i="41"/>
  <c r="I317" i="41"/>
  <c r="I318" i="41"/>
  <c r="I319" i="41"/>
  <c r="I320" i="41"/>
  <c r="I321" i="41"/>
  <c r="I322" i="41"/>
  <c r="I323" i="41"/>
  <c r="I324" i="41"/>
  <c r="I325" i="41"/>
  <c r="I326" i="41"/>
  <c r="I327" i="41"/>
  <c r="I328" i="41"/>
  <c r="I329" i="41"/>
  <c r="I330" i="41"/>
  <c r="I331" i="41"/>
  <c r="I332" i="41"/>
  <c r="I333" i="41"/>
  <c r="I334" i="41"/>
  <c r="I335" i="41"/>
  <c r="I336" i="41"/>
  <c r="I337" i="41"/>
  <c r="I338" i="41"/>
  <c r="I339" i="41"/>
  <c r="I340" i="41"/>
  <c r="I341" i="41"/>
  <c r="I342" i="41"/>
  <c r="I343" i="41"/>
  <c r="I344" i="41"/>
  <c r="I345" i="41"/>
  <c r="J345" i="41" s="1"/>
  <c r="I346" i="41"/>
  <c r="J346" i="41" s="1"/>
  <c r="I347" i="41"/>
  <c r="J347" i="41" s="1"/>
  <c r="I348" i="41"/>
  <c r="J348" i="41" s="1"/>
  <c r="I349" i="41"/>
  <c r="I350" i="41"/>
  <c r="I351" i="41"/>
  <c r="I352" i="41"/>
  <c r="I353" i="41"/>
  <c r="I354" i="41"/>
  <c r="I355" i="41"/>
  <c r="I356" i="41"/>
  <c r="I357" i="41"/>
  <c r="I358" i="41"/>
  <c r="I359" i="41"/>
  <c r="I360" i="41"/>
  <c r="I361" i="41"/>
  <c r="I362" i="41"/>
  <c r="I363" i="41"/>
  <c r="I364" i="41"/>
  <c r="I365" i="41"/>
  <c r="I366" i="41"/>
  <c r="I367" i="41"/>
  <c r="I368" i="41"/>
  <c r="I369" i="41"/>
  <c r="I370" i="41"/>
  <c r="I371" i="41"/>
  <c r="I372" i="41"/>
  <c r="I373" i="41"/>
  <c r="I374" i="41"/>
  <c r="I375" i="41"/>
  <c r="I376" i="41"/>
  <c r="I377" i="41"/>
  <c r="I378" i="41"/>
  <c r="I379" i="41"/>
  <c r="I380" i="41"/>
  <c r="I381" i="41"/>
  <c r="I382" i="41"/>
  <c r="I383" i="41"/>
  <c r="I384" i="41"/>
  <c r="I385" i="41"/>
  <c r="I386" i="41"/>
  <c r="I387" i="41"/>
  <c r="I388" i="41"/>
  <c r="I389" i="41"/>
  <c r="I390" i="41"/>
  <c r="I391" i="41"/>
  <c r="I392" i="41"/>
  <c r="I393" i="41"/>
  <c r="I394" i="41"/>
  <c r="I395" i="41"/>
  <c r="I396" i="41"/>
  <c r="I397" i="41"/>
  <c r="I398" i="41"/>
  <c r="I399" i="41"/>
  <c r="I400" i="41"/>
  <c r="I401" i="41"/>
  <c r="I402" i="41"/>
  <c r="I403" i="41"/>
  <c r="I404" i="41"/>
  <c r="I405" i="41"/>
  <c r="I406" i="41"/>
  <c r="I407" i="41"/>
  <c r="I408" i="41"/>
  <c r="I409" i="41"/>
  <c r="I410" i="41"/>
  <c r="I411" i="41"/>
  <c r="I412" i="41"/>
  <c r="I413" i="41"/>
  <c r="I414" i="41"/>
  <c r="I415" i="41"/>
  <c r="I416" i="41"/>
  <c r="I417" i="41"/>
  <c r="I418" i="41"/>
  <c r="I419" i="41"/>
  <c r="I420" i="41"/>
  <c r="I421" i="41"/>
  <c r="I422" i="41"/>
  <c r="I423" i="41"/>
  <c r="I424" i="41"/>
  <c r="I425" i="41"/>
  <c r="I426" i="41"/>
  <c r="I427" i="41"/>
  <c r="I428" i="41"/>
  <c r="I429" i="41"/>
  <c r="I430" i="41"/>
  <c r="I431" i="41"/>
  <c r="I432" i="41"/>
  <c r="I433" i="41"/>
  <c r="I434" i="41"/>
  <c r="I435" i="41"/>
  <c r="I436" i="41"/>
  <c r="I437" i="41"/>
  <c r="I438" i="41"/>
  <c r="I439" i="41"/>
  <c r="I440" i="41"/>
  <c r="I441" i="41"/>
  <c r="I442" i="41"/>
  <c r="I443" i="41"/>
  <c r="I444" i="41"/>
  <c r="I445" i="41"/>
  <c r="I446" i="41"/>
  <c r="I447" i="41"/>
  <c r="I448" i="41"/>
  <c r="I449" i="41"/>
  <c r="I450" i="41"/>
  <c r="I451" i="41"/>
  <c r="I452" i="41"/>
  <c r="I453" i="41"/>
  <c r="I454" i="41"/>
  <c r="I455" i="41"/>
  <c r="I456" i="41"/>
  <c r="I457" i="41"/>
  <c r="I458" i="41"/>
  <c r="I459" i="41"/>
  <c r="I460" i="41"/>
  <c r="I461" i="41"/>
  <c r="I462" i="41"/>
  <c r="I463" i="41"/>
  <c r="I464" i="41"/>
  <c r="I465" i="41"/>
  <c r="I466" i="41"/>
  <c r="I467" i="41"/>
  <c r="I468" i="41"/>
  <c r="I469" i="41"/>
  <c r="I470" i="41"/>
  <c r="I471" i="41"/>
  <c r="I472" i="41"/>
  <c r="I473" i="41"/>
  <c r="I474" i="41"/>
  <c r="I475" i="41"/>
  <c r="I476" i="41"/>
  <c r="I477" i="41"/>
  <c r="I478" i="41"/>
  <c r="I479" i="41"/>
  <c r="I480" i="41"/>
  <c r="I481" i="41"/>
  <c r="I482" i="41"/>
  <c r="I483" i="41"/>
  <c r="I484" i="41"/>
  <c r="I485" i="41"/>
  <c r="I486" i="41"/>
  <c r="I487" i="41"/>
  <c r="I488" i="41"/>
  <c r="I489" i="41"/>
  <c r="I490" i="41"/>
  <c r="I491" i="41"/>
  <c r="I492" i="41"/>
  <c r="I493" i="41"/>
  <c r="I494" i="41"/>
  <c r="I495" i="41"/>
  <c r="I496" i="41"/>
  <c r="I497" i="41"/>
  <c r="I547" i="41"/>
  <c r="I548" i="41"/>
  <c r="I549" i="41"/>
  <c r="I550" i="41"/>
  <c r="I551" i="41"/>
  <c r="I552" i="41"/>
  <c r="I6" i="41"/>
  <c r="R22" i="42"/>
  <c r="R23" i="42"/>
  <c r="R24" i="42"/>
  <c r="R25" i="42"/>
  <c r="R26" i="42"/>
  <c r="R27" i="42"/>
  <c r="R28" i="42"/>
  <c r="R29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21" i="42"/>
  <c r="R20" i="66"/>
  <c r="R21" i="66"/>
  <c r="R22" i="66"/>
  <c r="R23" i="66"/>
  <c r="R24" i="66"/>
  <c r="R25" i="66"/>
  <c r="R26" i="66"/>
  <c r="R27" i="66"/>
  <c r="R28" i="66"/>
  <c r="R29" i="66"/>
  <c r="R30" i="66"/>
  <c r="R31" i="66"/>
  <c r="R32" i="66"/>
  <c r="R33" i="66"/>
  <c r="R34" i="66"/>
  <c r="R35" i="66"/>
  <c r="R36" i="66"/>
  <c r="R37" i="66"/>
  <c r="R38" i="66"/>
  <c r="R39" i="66"/>
  <c r="R40" i="66"/>
  <c r="R41" i="66"/>
  <c r="R42" i="66"/>
  <c r="R43" i="66"/>
  <c r="R44" i="66"/>
  <c r="R45" i="66"/>
  <c r="R46" i="66"/>
  <c r="R47" i="66"/>
  <c r="R48" i="66"/>
  <c r="R49" i="66"/>
  <c r="R50" i="66"/>
  <c r="R51" i="66"/>
  <c r="R52" i="66"/>
  <c r="R53" i="66"/>
  <c r="R54" i="66"/>
  <c r="R55" i="66"/>
  <c r="R56" i="66"/>
  <c r="R57" i="66"/>
  <c r="R58" i="66"/>
  <c r="R59" i="66"/>
  <c r="R60" i="66"/>
  <c r="R61" i="66"/>
  <c r="R62" i="66"/>
  <c r="R63" i="66"/>
  <c r="R64" i="66"/>
  <c r="R65" i="66"/>
  <c r="R66" i="66"/>
  <c r="R67" i="66"/>
  <c r="R68" i="66"/>
  <c r="R69" i="66"/>
  <c r="R70" i="66"/>
  <c r="R71" i="66"/>
  <c r="R72" i="66"/>
  <c r="R73" i="66"/>
  <c r="R74" i="66"/>
  <c r="R75" i="66"/>
  <c r="R76" i="66"/>
  <c r="R77" i="66"/>
  <c r="R78" i="66"/>
  <c r="R79" i="66"/>
  <c r="R80" i="66"/>
  <c r="R81" i="66"/>
  <c r="R82" i="66"/>
  <c r="R83" i="66"/>
  <c r="R84" i="66"/>
  <c r="R85" i="66"/>
  <c r="R86" i="66"/>
  <c r="R87" i="66"/>
  <c r="R88" i="66"/>
  <c r="R89" i="66"/>
  <c r="R90" i="66"/>
  <c r="R91" i="66"/>
  <c r="R92" i="66"/>
  <c r="R93" i="66"/>
  <c r="R94" i="66"/>
  <c r="R95" i="66"/>
  <c r="R96" i="66"/>
  <c r="R97" i="66"/>
  <c r="R98" i="66"/>
  <c r="R99" i="66"/>
  <c r="R100" i="66"/>
  <c r="R19" i="66"/>
  <c r="M1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M105" i="51"/>
  <c r="M106" i="51"/>
  <c r="M107" i="51"/>
  <c r="M108" i="51"/>
  <c r="M109" i="51"/>
  <c r="M110" i="51"/>
  <c r="M111" i="51"/>
  <c r="M112" i="51"/>
  <c r="M113" i="51"/>
  <c r="M114" i="51"/>
  <c r="M115" i="51"/>
  <c r="M116" i="51"/>
  <c r="M117" i="51"/>
  <c r="M118" i="51"/>
  <c r="M119" i="51"/>
  <c r="M120" i="51"/>
  <c r="M121" i="51"/>
  <c r="M122" i="51"/>
  <c r="M123" i="51"/>
  <c r="M124" i="51"/>
  <c r="M13" i="51"/>
  <c r="O26" i="43"/>
  <c r="O27" i="43"/>
  <c r="O28" i="43"/>
  <c r="O29" i="43"/>
  <c r="O30" i="43"/>
  <c r="O31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25" i="43"/>
  <c r="J11" i="46"/>
  <c r="J12" i="46"/>
  <c r="J14" i="46"/>
  <c r="J15" i="46"/>
  <c r="J16" i="46"/>
  <c r="J17" i="46"/>
  <c r="J18" i="46"/>
  <c r="J19" i="46"/>
  <c r="J20" i="46"/>
  <c r="J21" i="46"/>
  <c r="J10" i="46"/>
  <c r="I7" i="52"/>
  <c r="I8" i="52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J55" i="52" s="1"/>
  <c r="I56" i="52"/>
  <c r="J56" i="52" s="1"/>
  <c r="I57" i="52"/>
  <c r="J57" i="52" s="1"/>
  <c r="I58" i="52"/>
  <c r="J58" i="52" s="1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11" i="44"/>
  <c r="I12" i="44"/>
  <c r="I13" i="44"/>
  <c r="I14" i="44"/>
  <c r="I15" i="44"/>
  <c r="I16" i="44"/>
  <c r="I17" i="44"/>
  <c r="I18" i="44"/>
  <c r="I19" i="44"/>
  <c r="I10" i="44"/>
  <c r="P20" i="45"/>
  <c r="P21" i="45"/>
  <c r="P22" i="45"/>
  <c r="P23" i="45"/>
  <c r="P24" i="45"/>
  <c r="P25" i="45"/>
  <c r="P26" i="45"/>
  <c r="P27" i="45"/>
  <c r="P28" i="45"/>
  <c r="P29" i="45"/>
  <c r="P30" i="45"/>
  <c r="P31" i="45"/>
  <c r="P32" i="45"/>
  <c r="P33" i="45"/>
  <c r="P34" i="45"/>
  <c r="P35" i="45"/>
  <c r="P36" i="45"/>
  <c r="P37" i="45"/>
  <c r="P38" i="45"/>
  <c r="P39" i="45"/>
  <c r="P40" i="45"/>
  <c r="P41" i="45"/>
  <c r="P42" i="45"/>
  <c r="P43" i="45"/>
  <c r="P44" i="45"/>
  <c r="P45" i="45"/>
  <c r="P46" i="45"/>
  <c r="P47" i="45"/>
  <c r="P48" i="45"/>
  <c r="P49" i="45"/>
  <c r="P50" i="45"/>
  <c r="P51" i="45"/>
  <c r="P52" i="45"/>
  <c r="P53" i="45"/>
  <c r="P54" i="45"/>
  <c r="P55" i="45"/>
  <c r="P56" i="45"/>
  <c r="P57" i="45"/>
  <c r="P58" i="45"/>
  <c r="P59" i="45"/>
  <c r="P60" i="45"/>
  <c r="P61" i="45"/>
  <c r="P62" i="45"/>
  <c r="P63" i="45"/>
  <c r="P64" i="45"/>
  <c r="P65" i="45"/>
  <c r="P66" i="45"/>
  <c r="P67" i="45"/>
  <c r="P68" i="45"/>
  <c r="P69" i="45"/>
  <c r="P70" i="45"/>
  <c r="P71" i="45"/>
  <c r="P72" i="45"/>
  <c r="P73" i="45"/>
  <c r="P74" i="45"/>
  <c r="P75" i="45"/>
  <c r="P76" i="45"/>
  <c r="P77" i="45"/>
  <c r="P78" i="45"/>
  <c r="P79" i="45"/>
  <c r="P80" i="45"/>
  <c r="P81" i="45"/>
  <c r="P82" i="45"/>
  <c r="P83" i="45"/>
  <c r="P84" i="45"/>
  <c r="P85" i="45"/>
  <c r="P86" i="45"/>
  <c r="P87" i="45"/>
  <c r="P88" i="45"/>
  <c r="P89" i="45"/>
  <c r="P90" i="45"/>
  <c r="P91" i="45"/>
  <c r="P92" i="45"/>
  <c r="P93" i="45"/>
  <c r="P94" i="45"/>
  <c r="P95" i="45"/>
  <c r="P96" i="45"/>
  <c r="P97" i="45"/>
  <c r="P98" i="45"/>
  <c r="P99" i="45"/>
  <c r="P100" i="45"/>
  <c r="P101" i="45"/>
  <c r="P102" i="45"/>
  <c r="P103" i="45"/>
  <c r="P104" i="45"/>
  <c r="P105" i="45"/>
  <c r="P106" i="45"/>
  <c r="P107" i="45"/>
  <c r="P108" i="45"/>
  <c r="P109" i="45"/>
  <c r="P110" i="45"/>
  <c r="P111" i="45"/>
  <c r="P112" i="45"/>
  <c r="P113" i="45"/>
  <c r="P114" i="45"/>
  <c r="P115" i="45"/>
  <c r="P116" i="45"/>
  <c r="P117" i="45"/>
  <c r="P118" i="45"/>
  <c r="P119" i="45"/>
  <c r="P120" i="45"/>
  <c r="P121" i="45"/>
  <c r="P122" i="45"/>
  <c r="P123" i="45"/>
  <c r="P124" i="45"/>
  <c r="P125" i="45"/>
  <c r="P126" i="45"/>
  <c r="P127" i="45"/>
  <c r="P128" i="45"/>
  <c r="P129" i="45"/>
  <c r="P130" i="45"/>
  <c r="P131" i="45"/>
  <c r="P132" i="45"/>
  <c r="P133" i="45"/>
  <c r="P134" i="45"/>
  <c r="P135" i="45"/>
  <c r="P136" i="45"/>
  <c r="P137" i="45"/>
  <c r="P138" i="45"/>
  <c r="P139" i="45"/>
  <c r="P140" i="45"/>
  <c r="P141" i="45"/>
  <c r="P142" i="45"/>
  <c r="P143" i="45"/>
  <c r="P144" i="45"/>
  <c r="P145" i="45"/>
  <c r="P146" i="45"/>
  <c r="P147" i="45"/>
  <c r="P148" i="45"/>
  <c r="P149" i="45"/>
  <c r="P150" i="45"/>
  <c r="P151" i="45"/>
  <c r="P152" i="45"/>
  <c r="P153" i="45"/>
  <c r="P19" i="45"/>
  <c r="H21" i="47"/>
  <c r="H26" i="47"/>
  <c r="H28" i="47"/>
  <c r="H29" i="47"/>
  <c r="H30" i="47"/>
  <c r="H31" i="47"/>
  <c r="H32" i="47"/>
  <c r="H33" i="47"/>
  <c r="H34" i="47"/>
  <c r="H35" i="47"/>
  <c r="H41" i="47"/>
  <c r="H42" i="47"/>
  <c r="H43" i="47"/>
  <c r="H44" i="47"/>
  <c r="H45" i="47"/>
  <c r="H46" i="47"/>
  <c r="H47" i="47"/>
  <c r="H48" i="47"/>
  <c r="H49" i="47"/>
  <c r="H51" i="47"/>
  <c r="H53" i="47"/>
  <c r="H54" i="47"/>
  <c r="H56" i="47"/>
  <c r="H58" i="47"/>
  <c r="H59" i="47"/>
  <c r="H60" i="47"/>
  <c r="H61" i="47"/>
  <c r="H62" i="47"/>
  <c r="H66" i="47"/>
  <c r="H71" i="47"/>
  <c r="H72" i="47"/>
  <c r="H75" i="47"/>
  <c r="H76" i="47"/>
  <c r="H77" i="47"/>
  <c r="H78" i="47"/>
  <c r="H79" i="47"/>
  <c r="H82" i="47"/>
  <c r="H83" i="47"/>
  <c r="H84" i="47"/>
  <c r="H86" i="47"/>
  <c r="H91" i="47"/>
  <c r="H92" i="47"/>
  <c r="H97" i="47"/>
  <c r="H98" i="47"/>
  <c r="H99" i="47"/>
  <c r="H100" i="47"/>
  <c r="H101" i="47"/>
  <c r="H102" i="47"/>
  <c r="H103" i="47"/>
  <c r="H104" i="47"/>
  <c r="H105" i="47"/>
  <c r="H106" i="47"/>
  <c r="H107" i="47"/>
  <c r="H114" i="47"/>
  <c r="H115" i="47"/>
  <c r="H117" i="47"/>
  <c r="H119" i="47"/>
  <c r="H120" i="47"/>
  <c r="H121" i="47"/>
  <c r="H122" i="47"/>
  <c r="H123" i="47"/>
  <c r="H124" i="47"/>
  <c r="H125" i="47"/>
  <c r="H126" i="47"/>
  <c r="H127" i="47"/>
  <c r="H128" i="47"/>
  <c r="H129" i="47"/>
  <c r="H130" i="47"/>
  <c r="H131" i="47"/>
  <c r="H132" i="47"/>
  <c r="H133" i="47"/>
  <c r="H134" i="47"/>
  <c r="H135" i="47"/>
  <c r="H136" i="47"/>
  <c r="H137" i="47"/>
  <c r="H139" i="47"/>
  <c r="H140" i="47"/>
  <c r="H142" i="47"/>
  <c r="H144" i="47"/>
  <c r="H145" i="47"/>
  <c r="H146" i="47"/>
  <c r="H147" i="47"/>
  <c r="H148" i="47"/>
  <c r="H149" i="47"/>
  <c r="H155" i="47"/>
  <c r="H151" i="47"/>
  <c r="H153" i="47"/>
  <c r="H154" i="47"/>
  <c r="H156" i="47"/>
  <c r="H157" i="47"/>
  <c r="H160" i="47"/>
  <c r="H161" i="47"/>
  <c r="H162" i="47"/>
  <c r="H163" i="47"/>
  <c r="H164" i="47"/>
  <c r="H165" i="47"/>
  <c r="H166" i="47"/>
  <c r="H167" i="47"/>
  <c r="H168" i="47"/>
  <c r="H169" i="47"/>
  <c r="H170" i="47"/>
  <c r="H171" i="47"/>
  <c r="H172" i="47"/>
  <c r="H173" i="47"/>
  <c r="H174" i="47"/>
  <c r="H175" i="47"/>
  <c r="H176" i="47"/>
  <c r="H177" i="47"/>
  <c r="H178" i="47"/>
  <c r="H179" i="47"/>
  <c r="H180" i="47"/>
  <c r="H181" i="47"/>
  <c r="H182" i="47"/>
  <c r="H183" i="47"/>
  <c r="H184" i="47"/>
  <c r="H185" i="47"/>
  <c r="H186" i="47"/>
  <c r="H18" i="47"/>
  <c r="H19" i="47"/>
  <c r="H20" i="47"/>
  <c r="H17" i="47"/>
  <c r="I6" i="52"/>
  <c r="K55" i="52"/>
  <c r="L55" i="52"/>
  <c r="M55" i="52" s="1"/>
  <c r="N55" i="52"/>
  <c r="O55" i="52" s="1"/>
  <c r="K56" i="52"/>
  <c r="L56" i="52"/>
  <c r="N56" i="52"/>
  <c r="K57" i="52"/>
  <c r="L57" i="52"/>
  <c r="M57" i="52" s="1"/>
  <c r="N57" i="52"/>
  <c r="O57" i="52" s="1"/>
  <c r="K58" i="52"/>
  <c r="L58" i="52"/>
  <c r="M58" i="52" s="1"/>
  <c r="N58" i="52"/>
  <c r="O58" i="52" s="1"/>
  <c r="K345" i="41"/>
  <c r="L345" i="41"/>
  <c r="M345" i="41" s="1"/>
  <c r="N345" i="41"/>
  <c r="K346" i="41"/>
  <c r="L346" i="41"/>
  <c r="N346" i="41"/>
  <c r="K347" i="41"/>
  <c r="L347" i="41"/>
  <c r="M347" i="41" s="1"/>
  <c r="N347" i="41"/>
  <c r="K348" i="41"/>
  <c r="L348" i="41"/>
  <c r="N348" i="41"/>
  <c r="O348" i="41" s="1"/>
  <c r="H357" i="58"/>
  <c r="I357" i="58" s="1"/>
  <c r="H358" i="58"/>
  <c r="H359" i="58"/>
  <c r="I359" i="58" s="1"/>
  <c r="H360" i="58"/>
  <c r="I360" i="58" s="1"/>
  <c r="H355" i="40"/>
  <c r="I355" i="40" s="1"/>
  <c r="H356" i="40"/>
  <c r="H357" i="40"/>
  <c r="H358" i="40"/>
  <c r="U358" i="40" s="1"/>
  <c r="Q512" i="58" l="1"/>
  <c r="Q510" i="58"/>
  <c r="Q551" i="58"/>
  <c r="Q537" i="58"/>
  <c r="Q541" i="58"/>
  <c r="Q529" i="40"/>
  <c r="Q441" i="40"/>
  <c r="Q421" i="40"/>
  <c r="Q423" i="40"/>
  <c r="Q540" i="58"/>
  <c r="Q516" i="58"/>
  <c r="Q518" i="58"/>
  <c r="Q483" i="40"/>
  <c r="Q484" i="40"/>
  <c r="Q412" i="40"/>
  <c r="Q395" i="40"/>
  <c r="Q527" i="58"/>
  <c r="Q526" i="58"/>
  <c r="Q533" i="58"/>
  <c r="Q539" i="58"/>
  <c r="Q532" i="58"/>
  <c r="Q530" i="40"/>
  <c r="Q467" i="40"/>
  <c r="Q456" i="40"/>
  <c r="Q452" i="40"/>
  <c r="Q440" i="40"/>
  <c r="Q531" i="58"/>
  <c r="Q536" i="58"/>
  <c r="Q530" i="58"/>
  <c r="Q465" i="40"/>
  <c r="Q445" i="40"/>
  <c r="Q520" i="58"/>
  <c r="Q525" i="58"/>
  <c r="Q509" i="58"/>
  <c r="Q524" i="58"/>
  <c r="Q513" i="58"/>
  <c r="Q509" i="40"/>
  <c r="Q489" i="40"/>
  <c r="Q429" i="40"/>
  <c r="Q436" i="40"/>
  <c r="Q460" i="40"/>
  <c r="Q511" i="58"/>
  <c r="Q515" i="58"/>
  <c r="Q507" i="58"/>
  <c r="Q544" i="58"/>
  <c r="Q529" i="58"/>
  <c r="Q481" i="40"/>
  <c r="Q463" i="40"/>
  <c r="Q444" i="40"/>
  <c r="Q438" i="40"/>
  <c r="Q514" i="58"/>
  <c r="Q435" i="40"/>
  <c r="Q451" i="40"/>
  <c r="Q393" i="40"/>
  <c r="Q545" i="58"/>
  <c r="Q522" i="58"/>
  <c r="Q523" i="58"/>
  <c r="Q542" i="58"/>
  <c r="Q552" i="58"/>
  <c r="Q464" i="40"/>
  <c r="Q434" i="40"/>
  <c r="Q410" i="40"/>
  <c r="Q521" i="58"/>
  <c r="Q550" i="58"/>
  <c r="Q521" i="40"/>
  <c r="Q480" i="40"/>
  <c r="Q396" i="40"/>
  <c r="Q528" i="58"/>
  <c r="Q543" i="58"/>
  <c r="Q526" i="40"/>
  <c r="Q512" i="40"/>
  <c r="Q548" i="58"/>
  <c r="Q546" i="58"/>
  <c r="Q549" i="58"/>
  <c r="Q506" i="58"/>
  <c r="Q514" i="40"/>
  <c r="Q439" i="40"/>
  <c r="Q398" i="40"/>
  <c r="Q407" i="40"/>
  <c r="Q408" i="40"/>
  <c r="Q508" i="58"/>
  <c r="Q535" i="58"/>
  <c r="Q519" i="58"/>
  <c r="Q517" i="58"/>
  <c r="Q505" i="58"/>
  <c r="Q466" i="40"/>
  <c r="Q461" i="40"/>
  <c r="Q409" i="40"/>
  <c r="Q394" i="40"/>
  <c r="Q462" i="40"/>
  <c r="Q547" i="58"/>
  <c r="Q538" i="58"/>
  <c r="Q479" i="40"/>
  <c r="Q482" i="40"/>
  <c r="Q486" i="40"/>
  <c r="Q426" i="40"/>
  <c r="Q534" i="58"/>
  <c r="Q553" i="58"/>
  <c r="Q176" i="58"/>
  <c r="Q174" i="40"/>
  <c r="O552" i="58"/>
  <c r="O528" i="58"/>
  <c r="O534" i="58"/>
  <c r="O489" i="40"/>
  <c r="O408" i="40"/>
  <c r="O524" i="58"/>
  <c r="O523" i="58"/>
  <c r="O527" i="58"/>
  <c r="O544" i="58"/>
  <c r="O456" i="40"/>
  <c r="O436" i="40"/>
  <c r="O429" i="40"/>
  <c r="O409" i="40"/>
  <c r="O394" i="40"/>
  <c r="O441" i="40"/>
  <c r="O434" i="40"/>
  <c r="O536" i="58"/>
  <c r="O550" i="58"/>
  <c r="O451" i="40"/>
  <c r="O439" i="40"/>
  <c r="O423" i="40"/>
  <c r="O520" i="58"/>
  <c r="O531" i="58"/>
  <c r="O548" i="58"/>
  <c r="O513" i="58"/>
  <c r="O512" i="58"/>
  <c r="O511" i="58"/>
  <c r="O546" i="58"/>
  <c r="O547" i="58"/>
  <c r="O506" i="58"/>
  <c r="O484" i="40"/>
  <c r="O509" i="40"/>
  <c r="O461" i="40"/>
  <c r="O462" i="40"/>
  <c r="O412" i="40"/>
  <c r="O398" i="40"/>
  <c r="O505" i="58"/>
  <c r="O483" i="40"/>
  <c r="O465" i="40"/>
  <c r="O445" i="40"/>
  <c r="O514" i="58"/>
  <c r="O551" i="58"/>
  <c r="O529" i="58"/>
  <c r="O553" i="58"/>
  <c r="O480" i="40"/>
  <c r="O529" i="40"/>
  <c r="O467" i="40"/>
  <c r="O426" i="40"/>
  <c r="O407" i="40"/>
  <c r="O464" i="40"/>
  <c r="O438" i="40"/>
  <c r="O435" i="40"/>
  <c r="O395" i="40"/>
  <c r="O543" i="58"/>
  <c r="O519" i="58"/>
  <c r="O515" i="58"/>
  <c r="O533" i="58"/>
  <c r="O538" i="58"/>
  <c r="O421" i="40"/>
  <c r="O393" i="40"/>
  <c r="O542" i="58"/>
  <c r="O537" i="58"/>
  <c r="O482" i="40"/>
  <c r="O540" i="58"/>
  <c r="O530" i="58"/>
  <c r="O535" i="58"/>
  <c r="O486" i="40"/>
  <c r="O541" i="58"/>
  <c r="O526" i="40"/>
  <c r="O463" i="40"/>
  <c r="O440" i="40"/>
  <c r="O516" i="58"/>
  <c r="O507" i="58"/>
  <c r="O517" i="58"/>
  <c r="O525" i="58"/>
  <c r="O549" i="58"/>
  <c r="O481" i="40"/>
  <c r="O521" i="40"/>
  <c r="O514" i="40"/>
  <c r="O410" i="40"/>
  <c r="O396" i="40"/>
  <c r="O509" i="58"/>
  <c r="O522" i="58"/>
  <c r="O508" i="58"/>
  <c r="O545" i="58"/>
  <c r="O539" i="58"/>
  <c r="O512" i="40"/>
  <c r="O460" i="40"/>
  <c r="O444" i="40"/>
  <c r="O530" i="40"/>
  <c r="O510" i="58"/>
  <c r="O518" i="58"/>
  <c r="O526" i="58"/>
  <c r="O532" i="58"/>
  <c r="O452" i="40"/>
  <c r="O479" i="40"/>
  <c r="O466" i="40"/>
  <c r="O521" i="58"/>
  <c r="L521" i="58"/>
  <c r="L517" i="58"/>
  <c r="L509" i="58"/>
  <c r="L535" i="58"/>
  <c r="L524" i="58"/>
  <c r="L531" i="58"/>
  <c r="L489" i="40"/>
  <c r="L429" i="40"/>
  <c r="L440" i="40"/>
  <c r="L534" i="58"/>
  <c r="L544" i="58"/>
  <c r="L551" i="58"/>
  <c r="L530" i="40"/>
  <c r="L462" i="40"/>
  <c r="L445" i="40"/>
  <c r="L511" i="58"/>
  <c r="L514" i="58"/>
  <c r="L508" i="58"/>
  <c r="L528" i="58"/>
  <c r="L537" i="58"/>
  <c r="L521" i="40"/>
  <c r="L434" i="40"/>
  <c r="L412" i="40"/>
  <c r="L481" i="40"/>
  <c r="L456" i="40"/>
  <c r="L460" i="40"/>
  <c r="L509" i="40"/>
  <c r="L444" i="40"/>
  <c r="L436" i="40"/>
  <c r="L423" i="40"/>
  <c r="L408" i="40"/>
  <c r="L523" i="58"/>
  <c r="L526" i="58"/>
  <c r="L536" i="58"/>
  <c r="L549" i="58"/>
  <c r="L541" i="58"/>
  <c r="L441" i="40"/>
  <c r="L421" i="40"/>
  <c r="L395" i="40"/>
  <c r="L527" i="58"/>
  <c r="L518" i="58"/>
  <c r="L539" i="58"/>
  <c r="L519" i="58"/>
  <c r="L546" i="58"/>
  <c r="L512" i="40"/>
  <c r="L398" i="40"/>
  <c r="L407" i="40"/>
  <c r="L512" i="58"/>
  <c r="L533" i="58"/>
  <c r="L550" i="58"/>
  <c r="L482" i="40"/>
  <c r="L553" i="58"/>
  <c r="L522" i="58"/>
  <c r="L515" i="58"/>
  <c r="L543" i="58"/>
  <c r="L529" i="58"/>
  <c r="L464" i="40"/>
  <c r="L461" i="40"/>
  <c r="L439" i="40"/>
  <c r="L394" i="40"/>
  <c r="L547" i="58"/>
  <c r="L542" i="58"/>
  <c r="L526" i="40"/>
  <c r="L486" i="40"/>
  <c r="L452" i="40"/>
  <c r="L438" i="40"/>
  <c r="L435" i="40"/>
  <c r="L396" i="40"/>
  <c r="L525" i="58"/>
  <c r="L513" i="58"/>
  <c r="L538" i="58"/>
  <c r="L529" i="40"/>
  <c r="L466" i="40"/>
  <c r="L545" i="58"/>
  <c r="L540" i="58"/>
  <c r="L467" i="40"/>
  <c r="L409" i="40"/>
  <c r="L393" i="40"/>
  <c r="L510" i="58"/>
  <c r="L530" i="58"/>
  <c r="L532" i="58"/>
  <c r="L548" i="58"/>
  <c r="L516" i="58"/>
  <c r="L507" i="58"/>
  <c r="L514" i="40"/>
  <c r="L520" i="58"/>
  <c r="L552" i="58"/>
  <c r="L479" i="40"/>
  <c r="L480" i="40"/>
  <c r="L484" i="40"/>
  <c r="L465" i="40"/>
  <c r="L410" i="40"/>
  <c r="L506" i="58"/>
  <c r="L483" i="40"/>
  <c r="L463" i="40"/>
  <c r="L451" i="40"/>
  <c r="L505" i="58"/>
  <c r="L426" i="40"/>
  <c r="L176" i="58"/>
  <c r="L174" i="40"/>
  <c r="M533" i="58"/>
  <c r="M549" i="58"/>
  <c r="M511" i="58"/>
  <c r="M514" i="58"/>
  <c r="M523" i="58"/>
  <c r="M544" i="58"/>
  <c r="M551" i="58"/>
  <c r="M461" i="40"/>
  <c r="M409" i="40"/>
  <c r="M529" i="40"/>
  <c r="M408" i="40"/>
  <c r="M548" i="58"/>
  <c r="M444" i="40"/>
  <c r="M516" i="58"/>
  <c r="M481" i="40"/>
  <c r="M489" i="40"/>
  <c r="M395" i="40"/>
  <c r="M530" i="58"/>
  <c r="M507" i="58"/>
  <c r="M529" i="58"/>
  <c r="M514" i="40"/>
  <c r="M435" i="40"/>
  <c r="M393" i="40"/>
  <c r="M483" i="40"/>
  <c r="M441" i="40"/>
  <c r="M521" i="58"/>
  <c r="M515" i="58"/>
  <c r="M543" i="58"/>
  <c r="M518" i="58"/>
  <c r="M479" i="40"/>
  <c r="M460" i="40"/>
  <c r="M542" i="58"/>
  <c r="M522" i="58"/>
  <c r="M536" i="58"/>
  <c r="M509" i="40"/>
  <c r="M464" i="40"/>
  <c r="M445" i="40"/>
  <c r="M552" i="58"/>
  <c r="M423" i="40"/>
  <c r="M520" i="58"/>
  <c r="M541" i="58"/>
  <c r="M452" i="40"/>
  <c r="M396" i="40"/>
  <c r="M519" i="58"/>
  <c r="M539" i="58"/>
  <c r="M521" i="40"/>
  <c r="M463" i="40"/>
  <c r="M398" i="40"/>
  <c r="M527" i="58"/>
  <c r="M532" i="58"/>
  <c r="M513" i="58"/>
  <c r="M535" i="58"/>
  <c r="M530" i="40"/>
  <c r="M466" i="40"/>
  <c r="M429" i="40"/>
  <c r="M407" i="40"/>
  <c r="M438" i="40"/>
  <c r="M412" i="40"/>
  <c r="M394" i="40"/>
  <c r="M506" i="58"/>
  <c r="M547" i="58"/>
  <c r="M545" i="58"/>
  <c r="M538" i="58"/>
  <c r="M531" i="58"/>
  <c r="M512" i="40"/>
  <c r="M467" i="40"/>
  <c r="M462" i="40"/>
  <c r="M434" i="40"/>
  <c r="M421" i="40"/>
  <c r="M484" i="40"/>
  <c r="M440" i="40"/>
  <c r="M426" i="40"/>
  <c r="M480" i="40"/>
  <c r="M517" i="58"/>
  <c r="M512" i="58"/>
  <c r="M534" i="58"/>
  <c r="M525" i="58"/>
  <c r="M524" i="58"/>
  <c r="M528" i="58"/>
  <c r="M537" i="58"/>
  <c r="M482" i="40"/>
  <c r="M465" i="40"/>
  <c r="M456" i="40"/>
  <c r="M451" i="40"/>
  <c r="M439" i="40"/>
  <c r="M436" i="40"/>
  <c r="M410" i="40"/>
  <c r="M526" i="40"/>
  <c r="M510" i="58"/>
  <c r="M509" i="58"/>
  <c r="M550" i="58"/>
  <c r="M526" i="58"/>
  <c r="M508" i="58"/>
  <c r="M505" i="58"/>
  <c r="M553" i="58"/>
  <c r="M486" i="40"/>
  <c r="M540" i="58"/>
  <c r="M546" i="58"/>
  <c r="O347" i="41"/>
  <c r="O346" i="41"/>
  <c r="M348" i="41"/>
  <c r="O345" i="41"/>
  <c r="S531" i="58"/>
  <c r="S509" i="40"/>
  <c r="S465" i="40"/>
  <c r="S434" i="40"/>
  <c r="S407" i="40"/>
  <c r="S398" i="40"/>
  <c r="S394" i="40"/>
  <c r="S516" i="58"/>
  <c r="S514" i="40"/>
  <c r="S438" i="40"/>
  <c r="S441" i="40"/>
  <c r="S408" i="40"/>
  <c r="S512" i="40"/>
  <c r="S514" i="58"/>
  <c r="S482" i="40"/>
  <c r="S452" i="40"/>
  <c r="S426" i="40"/>
  <c r="S395" i="40"/>
  <c r="S440" i="40"/>
  <c r="S410" i="40"/>
  <c r="S444" i="40"/>
  <c r="S480" i="40"/>
  <c r="S530" i="40"/>
  <c r="S464" i="40"/>
  <c r="S445" i="40"/>
  <c r="S396" i="40"/>
  <c r="S483" i="40"/>
  <c r="S436" i="40"/>
  <c r="S421" i="40"/>
  <c r="S484" i="40"/>
  <c r="S393" i="40"/>
  <c r="S529" i="40"/>
  <c r="S456" i="40"/>
  <c r="S409" i="40"/>
  <c r="S532" i="58"/>
  <c r="S521" i="40"/>
  <c r="S489" i="40"/>
  <c r="S466" i="40"/>
  <c r="S460" i="40"/>
  <c r="S439" i="40"/>
  <c r="S435" i="40"/>
  <c r="S467" i="40"/>
  <c r="S523" i="58"/>
  <c r="S479" i="40"/>
  <c r="S461" i="40"/>
  <c r="S451" i="40"/>
  <c r="S511" i="58"/>
  <c r="S481" i="40"/>
  <c r="S423" i="40"/>
  <c r="J521" i="40"/>
  <c r="J523" i="58"/>
  <c r="J531" i="58"/>
  <c r="J526" i="58"/>
  <c r="J509" i="40"/>
  <c r="J516" i="58"/>
  <c r="J514" i="40"/>
  <c r="J514" i="58"/>
  <c r="J529" i="40"/>
  <c r="J530" i="40"/>
  <c r="J511" i="58"/>
  <c r="J512" i="40"/>
  <c r="J532" i="58"/>
  <c r="J512" i="58"/>
  <c r="M176" i="58"/>
  <c r="M174" i="40"/>
  <c r="S176" i="58"/>
  <c r="S174" i="40"/>
  <c r="P176" i="58"/>
  <c r="P174" i="40"/>
  <c r="O176" i="58"/>
  <c r="O174" i="40"/>
  <c r="J176" i="58"/>
  <c r="J174" i="40"/>
  <c r="O357" i="58"/>
  <c r="S357" i="58"/>
  <c r="J357" i="58"/>
  <c r="N357" i="58"/>
  <c r="K357" i="58"/>
  <c r="W357" i="58"/>
  <c r="U357" i="58"/>
  <c r="Q357" i="58"/>
  <c r="K358" i="40"/>
  <c r="J355" i="40"/>
  <c r="M357" i="58"/>
  <c r="M355" i="40"/>
  <c r="J360" i="58"/>
  <c r="K355" i="40"/>
  <c r="L357" i="58"/>
  <c r="L358" i="40"/>
  <c r="L355" i="40"/>
  <c r="M358" i="40"/>
  <c r="M356" i="40"/>
  <c r="M360" i="58"/>
  <c r="M358" i="58"/>
  <c r="M357" i="40"/>
  <c r="R357" i="58"/>
  <c r="P357" i="58"/>
  <c r="O56" i="52"/>
  <c r="M56" i="52"/>
  <c r="M346" i="41"/>
  <c r="J358" i="40"/>
  <c r="I356" i="40"/>
  <c r="K356" i="40"/>
  <c r="O355" i="40"/>
  <c r="J357" i="40"/>
  <c r="L356" i="40"/>
  <c r="J356" i="40"/>
  <c r="N355" i="40"/>
  <c r="I358" i="58"/>
  <c r="L358" i="58"/>
  <c r="K358" i="58"/>
  <c r="J358" i="58"/>
  <c r="S358" i="58"/>
  <c r="U358" i="58"/>
  <c r="R358" i="58"/>
  <c r="Q358" i="58"/>
  <c r="P358" i="58"/>
  <c r="O358" i="58"/>
  <c r="N358" i="58"/>
  <c r="W358" i="58"/>
  <c r="L360" i="58"/>
  <c r="K360" i="58"/>
  <c r="W359" i="58"/>
  <c r="U359" i="58"/>
  <c r="S359" i="58"/>
  <c r="R359" i="58"/>
  <c r="W360" i="58"/>
  <c r="Q359" i="58"/>
  <c r="U360" i="58"/>
  <c r="P359" i="58"/>
  <c r="O359" i="58"/>
  <c r="S360" i="58"/>
  <c r="N359" i="58"/>
  <c r="R360" i="58"/>
  <c r="M359" i="58"/>
  <c r="Q360" i="58"/>
  <c r="L359" i="58"/>
  <c r="P360" i="58"/>
  <c r="K359" i="58"/>
  <c r="O360" i="58"/>
  <c r="J359" i="58"/>
  <c r="N360" i="58"/>
  <c r="W355" i="40"/>
  <c r="U355" i="40"/>
  <c r="S355" i="40"/>
  <c r="R355" i="40"/>
  <c r="Q355" i="40"/>
  <c r="P355" i="40"/>
  <c r="I357" i="40"/>
  <c r="K357" i="40"/>
  <c r="I358" i="40"/>
  <c r="L357" i="40"/>
  <c r="W356" i="40"/>
  <c r="U356" i="40"/>
  <c r="R356" i="40"/>
  <c r="O356" i="40"/>
  <c r="S356" i="40"/>
  <c r="Q356" i="40"/>
  <c r="P356" i="40"/>
  <c r="N356" i="40"/>
  <c r="S357" i="40"/>
  <c r="Q357" i="40"/>
  <c r="O357" i="40"/>
  <c r="W357" i="40"/>
  <c r="U357" i="40"/>
  <c r="R357" i="40"/>
  <c r="P357" i="40"/>
  <c r="N357" i="40"/>
  <c r="W358" i="40"/>
  <c r="S358" i="40"/>
  <c r="R358" i="40"/>
  <c r="Q358" i="40"/>
  <c r="P358" i="40"/>
  <c r="O358" i="40"/>
  <c r="N358" i="40"/>
  <c r="H344" i="6"/>
  <c r="Y355" i="40" s="1"/>
  <c r="H345" i="6"/>
  <c r="Y358" i="58" s="1"/>
  <c r="H346" i="6"/>
  <c r="Y357" i="40" s="1"/>
  <c r="H347" i="6"/>
  <c r="Y358" i="40" s="1"/>
  <c r="T516" i="58" l="1"/>
  <c r="V516" i="58" s="1"/>
  <c r="T509" i="40"/>
  <c r="Z509" i="40" s="1"/>
  <c r="T514" i="40"/>
  <c r="V514" i="40" s="1"/>
  <c r="T512" i="40"/>
  <c r="X512" i="40" s="1"/>
  <c r="T514" i="58"/>
  <c r="X514" i="58" s="1"/>
  <c r="T531" i="58"/>
  <c r="Z531" i="58" s="1"/>
  <c r="T523" i="58"/>
  <c r="Z523" i="58" s="1"/>
  <c r="T521" i="40"/>
  <c r="T532" i="58"/>
  <c r="V532" i="58" s="1"/>
  <c r="T511" i="58"/>
  <c r="V511" i="58" s="1"/>
  <c r="T529" i="40"/>
  <c r="V529" i="40" s="1"/>
  <c r="T530" i="40"/>
  <c r="V530" i="40" s="1"/>
  <c r="Y360" i="58"/>
  <c r="T176" i="58"/>
  <c r="Z176" i="58" s="1"/>
  <c r="T174" i="40"/>
  <c r="Z174" i="40" s="1"/>
  <c r="Y357" i="58"/>
  <c r="P345" i="41"/>
  <c r="Q345" i="41" s="1"/>
  <c r="P55" i="52"/>
  <c r="Q55" i="52" s="1"/>
  <c r="P348" i="41"/>
  <c r="Q348" i="41" s="1"/>
  <c r="P58" i="52"/>
  <c r="Q58" i="52" s="1"/>
  <c r="P56" i="52"/>
  <c r="Q56" i="52" s="1"/>
  <c r="P346" i="41"/>
  <c r="Q346" i="41" s="1"/>
  <c r="P347" i="41"/>
  <c r="Q347" i="41" s="1"/>
  <c r="P57" i="52"/>
  <c r="Q57" i="52" s="1"/>
  <c r="Y359" i="58"/>
  <c r="Y356" i="40"/>
  <c r="T357" i="58"/>
  <c r="T355" i="40"/>
  <c r="X355" i="40" s="1"/>
  <c r="T358" i="58"/>
  <c r="T360" i="58"/>
  <c r="T359" i="58"/>
  <c r="X359" i="58" s="1"/>
  <c r="T356" i="40"/>
  <c r="T358" i="40"/>
  <c r="Z358" i="40" s="1"/>
  <c r="T357" i="40"/>
  <c r="Z357" i="40" s="1"/>
  <c r="R124" i="51"/>
  <c r="P124" i="51"/>
  <c r="N124" i="51"/>
  <c r="F95" i="66"/>
  <c r="K8" i="57"/>
  <c r="K7" i="57"/>
  <c r="H101" i="42"/>
  <c r="I101" i="42"/>
  <c r="J101" i="42"/>
  <c r="K101" i="42"/>
  <c r="L101" i="42"/>
  <c r="M101" i="42"/>
  <c r="N101" i="42"/>
  <c r="O101" i="42"/>
  <c r="P101" i="42"/>
  <c r="L98" i="66"/>
  <c r="K98" i="66"/>
  <c r="J98" i="66"/>
  <c r="I98" i="66"/>
  <c r="H98" i="66"/>
  <c r="G98" i="66"/>
  <c r="L95" i="66"/>
  <c r="K95" i="66"/>
  <c r="J95" i="66"/>
  <c r="I95" i="66"/>
  <c r="H95" i="66"/>
  <c r="G95" i="66"/>
  <c r="L92" i="66"/>
  <c r="L99" i="66" s="1"/>
  <c r="K92" i="66"/>
  <c r="K99" i="66" s="1"/>
  <c r="J92" i="66"/>
  <c r="J99" i="66" s="1"/>
  <c r="I92" i="66"/>
  <c r="I99" i="66" s="1"/>
  <c r="H92" i="66"/>
  <c r="H99" i="66" s="1"/>
  <c r="G92" i="66"/>
  <c r="G99" i="66" s="1"/>
  <c r="L91" i="66"/>
  <c r="K91" i="66"/>
  <c r="J91" i="66"/>
  <c r="I91" i="66"/>
  <c r="H91" i="66"/>
  <c r="G91" i="66"/>
  <c r="L88" i="66"/>
  <c r="K88" i="66"/>
  <c r="J88" i="66"/>
  <c r="I88" i="66"/>
  <c r="H88" i="66"/>
  <c r="G88" i="66"/>
  <c r="L87" i="66"/>
  <c r="K87" i="66"/>
  <c r="J87" i="66"/>
  <c r="I87" i="66"/>
  <c r="H87" i="66"/>
  <c r="G87" i="66"/>
  <c r="L86" i="66"/>
  <c r="K86" i="66"/>
  <c r="J86" i="66"/>
  <c r="I86" i="66"/>
  <c r="H86" i="66"/>
  <c r="G86" i="66"/>
  <c r="L85" i="66"/>
  <c r="K85" i="66"/>
  <c r="J85" i="66"/>
  <c r="I85" i="66"/>
  <c r="H85" i="66"/>
  <c r="G85" i="66"/>
  <c r="L84" i="66"/>
  <c r="K84" i="66"/>
  <c r="J84" i="66"/>
  <c r="I84" i="66"/>
  <c r="H84" i="66"/>
  <c r="G84" i="66"/>
  <c r="L83" i="66"/>
  <c r="K83" i="66"/>
  <c r="J83" i="66"/>
  <c r="I83" i="66"/>
  <c r="H83" i="66"/>
  <c r="G83" i="66"/>
  <c r="L82" i="66"/>
  <c r="K82" i="66"/>
  <c r="J82" i="66"/>
  <c r="I82" i="66"/>
  <c r="H82" i="66"/>
  <c r="G82" i="66"/>
  <c r="L81" i="66"/>
  <c r="K81" i="66"/>
  <c r="J81" i="66"/>
  <c r="I81" i="66"/>
  <c r="H81" i="66"/>
  <c r="G81" i="66"/>
  <c r="L80" i="66"/>
  <c r="K80" i="66"/>
  <c r="J80" i="66"/>
  <c r="I80" i="66"/>
  <c r="H80" i="66"/>
  <c r="G80" i="66"/>
  <c r="L79" i="66"/>
  <c r="K79" i="66"/>
  <c r="J79" i="66"/>
  <c r="I79" i="66"/>
  <c r="H79" i="66"/>
  <c r="G79" i="66"/>
  <c r="L78" i="66"/>
  <c r="K78" i="66"/>
  <c r="J78" i="66"/>
  <c r="I78" i="66"/>
  <c r="H78" i="66"/>
  <c r="G78" i="66"/>
  <c r="L77" i="66"/>
  <c r="K77" i="66"/>
  <c r="J77" i="66"/>
  <c r="I77" i="66"/>
  <c r="H77" i="66"/>
  <c r="G77" i="66"/>
  <c r="L76" i="66"/>
  <c r="K76" i="66"/>
  <c r="J76" i="66"/>
  <c r="I76" i="66"/>
  <c r="H76" i="66"/>
  <c r="G76" i="66"/>
  <c r="L75" i="66"/>
  <c r="K75" i="66"/>
  <c r="J75" i="66"/>
  <c r="I75" i="66"/>
  <c r="H75" i="66"/>
  <c r="G75" i="66"/>
  <c r="L74" i="66"/>
  <c r="K74" i="66"/>
  <c r="J74" i="66"/>
  <c r="I74" i="66"/>
  <c r="H74" i="66"/>
  <c r="G74" i="66"/>
  <c r="L73" i="66"/>
  <c r="K73" i="66"/>
  <c r="J73" i="66"/>
  <c r="I73" i="66"/>
  <c r="H73" i="66"/>
  <c r="G73" i="66"/>
  <c r="L72" i="66"/>
  <c r="K72" i="66"/>
  <c r="J72" i="66"/>
  <c r="I72" i="66"/>
  <c r="H72" i="66"/>
  <c r="G72" i="66"/>
  <c r="L71" i="66"/>
  <c r="K71" i="66"/>
  <c r="J71" i="66"/>
  <c r="I71" i="66"/>
  <c r="H71" i="66"/>
  <c r="G71" i="66"/>
  <c r="L70" i="66"/>
  <c r="K70" i="66"/>
  <c r="J70" i="66"/>
  <c r="I70" i="66"/>
  <c r="H70" i="66"/>
  <c r="G70" i="66"/>
  <c r="L69" i="66"/>
  <c r="K69" i="66"/>
  <c r="J69" i="66"/>
  <c r="I69" i="66"/>
  <c r="H69" i="66"/>
  <c r="G69" i="66"/>
  <c r="L68" i="66"/>
  <c r="K68" i="66"/>
  <c r="J68" i="66"/>
  <c r="I68" i="66"/>
  <c r="H68" i="66"/>
  <c r="G68" i="66"/>
  <c r="L67" i="66"/>
  <c r="K67" i="66"/>
  <c r="J67" i="66"/>
  <c r="I67" i="66"/>
  <c r="H67" i="66"/>
  <c r="G67" i="66"/>
  <c r="L66" i="66"/>
  <c r="K66" i="66"/>
  <c r="J66" i="66"/>
  <c r="I66" i="66"/>
  <c r="H66" i="66"/>
  <c r="G66" i="66"/>
  <c r="L65" i="66"/>
  <c r="K65" i="66"/>
  <c r="J65" i="66"/>
  <c r="I65" i="66"/>
  <c r="H65" i="66"/>
  <c r="G65" i="66"/>
  <c r="L64" i="66"/>
  <c r="K64" i="66"/>
  <c r="J64" i="66"/>
  <c r="I64" i="66"/>
  <c r="H64" i="66"/>
  <c r="G64" i="66"/>
  <c r="L63" i="66"/>
  <c r="K63" i="66"/>
  <c r="J63" i="66"/>
  <c r="I63" i="66"/>
  <c r="H63" i="66"/>
  <c r="G63" i="66"/>
  <c r="L62" i="66"/>
  <c r="K62" i="66"/>
  <c r="J62" i="66"/>
  <c r="I62" i="66"/>
  <c r="H62" i="66"/>
  <c r="G62" i="66"/>
  <c r="L61" i="66"/>
  <c r="K61" i="66"/>
  <c r="J61" i="66"/>
  <c r="I61" i="66"/>
  <c r="H61" i="66"/>
  <c r="G61" i="66"/>
  <c r="L60" i="66"/>
  <c r="K60" i="66"/>
  <c r="J60" i="66"/>
  <c r="I60" i="66"/>
  <c r="H60" i="66"/>
  <c r="G60" i="66"/>
  <c r="L59" i="66"/>
  <c r="K59" i="66"/>
  <c r="J59" i="66"/>
  <c r="I59" i="66"/>
  <c r="H59" i="66"/>
  <c r="G59" i="66"/>
  <c r="L58" i="66"/>
  <c r="K58" i="66"/>
  <c r="J58" i="66"/>
  <c r="I58" i="66"/>
  <c r="H58" i="66"/>
  <c r="G58" i="66"/>
  <c r="L57" i="66"/>
  <c r="K57" i="66"/>
  <c r="J57" i="66"/>
  <c r="I57" i="66"/>
  <c r="H57" i="66"/>
  <c r="G57" i="66"/>
  <c r="L56" i="66"/>
  <c r="K56" i="66"/>
  <c r="J56" i="66"/>
  <c r="I56" i="66"/>
  <c r="H56" i="66"/>
  <c r="G56" i="66"/>
  <c r="L55" i="66"/>
  <c r="K55" i="66"/>
  <c r="J55" i="66"/>
  <c r="I55" i="66"/>
  <c r="H55" i="66"/>
  <c r="G55" i="66"/>
  <c r="L54" i="66"/>
  <c r="K54" i="66"/>
  <c r="J54" i="66"/>
  <c r="I54" i="66"/>
  <c r="H54" i="66"/>
  <c r="G54" i="66"/>
  <c r="L53" i="66"/>
  <c r="K53" i="66"/>
  <c r="J53" i="66"/>
  <c r="I53" i="66"/>
  <c r="H53" i="66"/>
  <c r="G53" i="66"/>
  <c r="L52" i="66"/>
  <c r="K52" i="66"/>
  <c r="J52" i="66"/>
  <c r="I52" i="66"/>
  <c r="H52" i="66"/>
  <c r="G52" i="66"/>
  <c r="L51" i="66"/>
  <c r="K51" i="66"/>
  <c r="J51" i="66"/>
  <c r="I51" i="66"/>
  <c r="H51" i="66"/>
  <c r="G51" i="66"/>
  <c r="L50" i="66"/>
  <c r="K50" i="66"/>
  <c r="J50" i="66"/>
  <c r="I50" i="66"/>
  <c r="H50" i="66"/>
  <c r="G50" i="66"/>
  <c r="L49" i="66"/>
  <c r="K49" i="66"/>
  <c r="J49" i="66"/>
  <c r="I49" i="66"/>
  <c r="H49" i="66"/>
  <c r="G49" i="66"/>
  <c r="L48" i="66"/>
  <c r="K48" i="66"/>
  <c r="J48" i="66"/>
  <c r="I48" i="66"/>
  <c r="H48" i="66"/>
  <c r="G48" i="66"/>
  <c r="L34" i="66"/>
  <c r="K34" i="66"/>
  <c r="J34" i="66"/>
  <c r="I34" i="66"/>
  <c r="H34" i="66"/>
  <c r="G34" i="66"/>
  <c r="L32" i="66"/>
  <c r="K32" i="66"/>
  <c r="J32" i="66"/>
  <c r="I32" i="66"/>
  <c r="H32" i="66"/>
  <c r="G32" i="66"/>
  <c r="L31" i="66"/>
  <c r="K31" i="66"/>
  <c r="J31" i="66"/>
  <c r="I31" i="66"/>
  <c r="H31" i="66"/>
  <c r="G31" i="66"/>
  <c r="L30" i="66"/>
  <c r="K30" i="66"/>
  <c r="J30" i="66"/>
  <c r="I30" i="66"/>
  <c r="H30" i="66"/>
  <c r="G30" i="66"/>
  <c r="L29" i="66"/>
  <c r="K29" i="66"/>
  <c r="J29" i="66"/>
  <c r="I29" i="66"/>
  <c r="H29" i="66"/>
  <c r="G29" i="66"/>
  <c r="L28" i="66"/>
  <c r="K28" i="66"/>
  <c r="J28" i="66"/>
  <c r="I28" i="66"/>
  <c r="H28" i="66"/>
  <c r="G28" i="66"/>
  <c r="L25" i="66"/>
  <c r="L27" i="66" s="1"/>
  <c r="K25" i="66"/>
  <c r="J25" i="66"/>
  <c r="J27" i="66" s="1"/>
  <c r="I25" i="66"/>
  <c r="H25" i="66"/>
  <c r="G25" i="66"/>
  <c r="L23" i="66"/>
  <c r="K23" i="66"/>
  <c r="J23" i="66"/>
  <c r="I23" i="66"/>
  <c r="H23" i="66"/>
  <c r="G23" i="66"/>
  <c r="L20" i="66"/>
  <c r="K20" i="66"/>
  <c r="J20" i="66"/>
  <c r="I20" i="66"/>
  <c r="H20" i="66"/>
  <c r="G20" i="66"/>
  <c r="L19" i="66"/>
  <c r="K19" i="66"/>
  <c r="J19" i="66"/>
  <c r="I19" i="66"/>
  <c r="H19" i="66"/>
  <c r="G19" i="66"/>
  <c r="F19" i="47"/>
  <c r="F18" i="47"/>
  <c r="I18" i="47"/>
  <c r="K18" i="47"/>
  <c r="M18" i="47"/>
  <c r="F179" i="47"/>
  <c r="F149" i="47"/>
  <c r="C11" i="40"/>
  <c r="J93" i="66" l="1"/>
  <c r="H27" i="66"/>
  <c r="I27" i="66"/>
  <c r="K93" i="66"/>
  <c r="L93" i="66"/>
  <c r="H93" i="66"/>
  <c r="I93" i="66"/>
  <c r="K27" i="66"/>
  <c r="G27" i="66"/>
  <c r="G93" i="66"/>
  <c r="Z516" i="58"/>
  <c r="X516" i="58"/>
  <c r="X509" i="40"/>
  <c r="V509" i="40"/>
  <c r="V512" i="40"/>
  <c r="Z514" i="58"/>
  <c r="Z512" i="40"/>
  <c r="V514" i="58"/>
  <c r="Z514" i="40"/>
  <c r="X514" i="40"/>
  <c r="X531" i="58"/>
  <c r="V531" i="58"/>
  <c r="Z529" i="40"/>
  <c r="X529" i="40"/>
  <c r="X523" i="58"/>
  <c r="X530" i="40"/>
  <c r="V523" i="58"/>
  <c r="Z530" i="40"/>
  <c r="X532" i="58"/>
  <c r="Z532" i="58"/>
  <c r="Z511" i="58"/>
  <c r="X511" i="58"/>
  <c r="Z360" i="58"/>
  <c r="J18" i="47"/>
  <c r="V176" i="58"/>
  <c r="X176" i="58"/>
  <c r="X174" i="40"/>
  <c r="V174" i="40"/>
  <c r="Z357" i="58"/>
  <c r="X357" i="58"/>
  <c r="V357" i="58"/>
  <c r="Z359" i="58"/>
  <c r="V357" i="40"/>
  <c r="V360" i="58"/>
  <c r="X357" i="40"/>
  <c r="V355" i="40"/>
  <c r="Z355" i="40"/>
  <c r="X358" i="40"/>
  <c r="V358" i="40"/>
  <c r="V359" i="58"/>
  <c r="X360" i="58"/>
  <c r="X358" i="58"/>
  <c r="V358" i="58"/>
  <c r="Z358" i="58"/>
  <c r="X356" i="40"/>
  <c r="V356" i="40"/>
  <c r="Z356" i="40"/>
  <c r="I21" i="66"/>
  <c r="K21" i="66"/>
  <c r="G21" i="66"/>
  <c r="H21" i="66"/>
  <c r="J21" i="66"/>
  <c r="L21" i="66"/>
  <c r="N18" i="47"/>
  <c r="L18" i="47"/>
  <c r="F148" i="47"/>
  <c r="J18" i="66" l="1"/>
  <c r="I18" i="66"/>
  <c r="L18" i="66"/>
  <c r="H18" i="66"/>
  <c r="G18" i="66"/>
  <c r="K18" i="66"/>
  <c r="F66" i="47"/>
  <c r="F53" i="47"/>
  <c r="F43" i="47"/>
  <c r="I17" i="47"/>
  <c r="J17" i="47"/>
  <c r="K17" i="47"/>
  <c r="L17" i="47" s="1"/>
  <c r="M17" i="47"/>
  <c r="N17" i="47" s="1"/>
  <c r="F49" i="47"/>
  <c r="F122" i="47" l="1"/>
  <c r="F121" i="47"/>
  <c r="F120" i="47"/>
  <c r="F119" i="47"/>
  <c r="F107" i="47"/>
  <c r="F106" i="47"/>
  <c r="F105" i="47"/>
  <c r="F104" i="47"/>
  <c r="F103" i="47"/>
  <c r="F102" i="47"/>
  <c r="F101" i="47"/>
  <c r="F100" i="47"/>
  <c r="F99" i="47"/>
  <c r="F98" i="47"/>
  <c r="F92" i="47"/>
  <c r="F91" i="47"/>
  <c r="F21" i="47"/>
  <c r="F20" i="47"/>
  <c r="I19" i="47"/>
  <c r="K19" i="47"/>
  <c r="M19" i="47"/>
  <c r="F186" i="47" l="1"/>
  <c r="J19" i="47"/>
  <c r="L19" i="47"/>
  <c r="F133" i="47"/>
  <c r="F136" i="47"/>
  <c r="F183" i="47"/>
  <c r="F132" i="47"/>
  <c r="F135" i="47"/>
  <c r="F165" i="47"/>
  <c r="N19" i="47"/>
  <c r="F11" i="46" l="1"/>
  <c r="F26" i="43"/>
  <c r="P91" i="66"/>
  <c r="O91" i="66"/>
  <c r="N91" i="66"/>
  <c r="M91" i="66"/>
  <c r="P34" i="66"/>
  <c r="O34" i="66"/>
  <c r="N34" i="66"/>
  <c r="M34" i="66"/>
  <c r="P65" i="66"/>
  <c r="O65" i="66"/>
  <c r="N65" i="66"/>
  <c r="M65" i="66"/>
  <c r="P64" i="66"/>
  <c r="O64" i="66"/>
  <c r="N64" i="66"/>
  <c r="M64" i="66"/>
  <c r="P63" i="66"/>
  <c r="O63" i="66"/>
  <c r="N63" i="66"/>
  <c r="M63" i="66"/>
  <c r="P62" i="66"/>
  <c r="O62" i="66"/>
  <c r="N62" i="66"/>
  <c r="M62" i="66"/>
  <c r="P61" i="66"/>
  <c r="O61" i="66"/>
  <c r="N61" i="66"/>
  <c r="M61" i="66"/>
  <c r="P60" i="66"/>
  <c r="O60" i="66"/>
  <c r="N60" i="66"/>
  <c r="M60" i="66"/>
  <c r="P95" i="66"/>
  <c r="O95" i="66"/>
  <c r="N95" i="66"/>
  <c r="M95" i="66"/>
  <c r="M98" i="66" l="1"/>
  <c r="M92" i="66"/>
  <c r="M99" i="66" s="1"/>
  <c r="M88" i="66"/>
  <c r="M87" i="66"/>
  <c r="M86" i="66"/>
  <c r="M85" i="66"/>
  <c r="M84" i="66"/>
  <c r="M83" i="66"/>
  <c r="M82" i="66"/>
  <c r="M81" i="66"/>
  <c r="M80" i="66"/>
  <c r="M79" i="66"/>
  <c r="M78" i="66"/>
  <c r="M77" i="66"/>
  <c r="M76" i="66"/>
  <c r="M75" i="66"/>
  <c r="M74" i="66"/>
  <c r="M73" i="66"/>
  <c r="M72" i="66"/>
  <c r="M71" i="66"/>
  <c r="M70" i="66"/>
  <c r="M69" i="66"/>
  <c r="M68" i="66"/>
  <c r="M67" i="66"/>
  <c r="M66" i="66"/>
  <c r="M59" i="66"/>
  <c r="M58" i="66"/>
  <c r="M57" i="66"/>
  <c r="M56" i="66"/>
  <c r="M55" i="66"/>
  <c r="M54" i="66"/>
  <c r="M53" i="66"/>
  <c r="M52" i="66"/>
  <c r="M51" i="66"/>
  <c r="M50" i="66"/>
  <c r="M49" i="66"/>
  <c r="M48" i="66"/>
  <c r="M32" i="66"/>
  <c r="M31" i="66"/>
  <c r="M30" i="66"/>
  <c r="M29" i="66"/>
  <c r="M28" i="66"/>
  <c r="M25" i="66"/>
  <c r="M23" i="66"/>
  <c r="M20" i="66"/>
  <c r="M19" i="66"/>
  <c r="F34" i="66"/>
  <c r="F32" i="66"/>
  <c r="P32" i="66"/>
  <c r="O32" i="66"/>
  <c r="N32" i="66"/>
  <c r="P31" i="66"/>
  <c r="O31" i="66"/>
  <c r="N31" i="66"/>
  <c r="P30" i="66"/>
  <c r="O30" i="66"/>
  <c r="N30" i="66"/>
  <c r="P29" i="66"/>
  <c r="O29" i="66"/>
  <c r="N29" i="66"/>
  <c r="P28" i="66"/>
  <c r="O28" i="66"/>
  <c r="N28" i="66"/>
  <c r="F31" i="66"/>
  <c r="F30" i="66"/>
  <c r="F29" i="66"/>
  <c r="F28" i="66"/>
  <c r="F98" i="66"/>
  <c r="P25" i="66"/>
  <c r="O25" i="66"/>
  <c r="N25" i="66"/>
  <c r="F25" i="66"/>
  <c r="P98" i="66"/>
  <c r="O98" i="66"/>
  <c r="N98" i="66"/>
  <c r="P71" i="66"/>
  <c r="O71" i="66"/>
  <c r="N71" i="66"/>
  <c r="F71" i="66"/>
  <c r="P70" i="66"/>
  <c r="O70" i="66"/>
  <c r="N70" i="66"/>
  <c r="F70" i="66"/>
  <c r="P69" i="66"/>
  <c r="O69" i="66"/>
  <c r="N69" i="66"/>
  <c r="F69" i="66"/>
  <c r="P68" i="66"/>
  <c r="O68" i="66"/>
  <c r="N68" i="66"/>
  <c r="F68" i="66"/>
  <c r="P67" i="66"/>
  <c r="O67" i="66"/>
  <c r="N67" i="66"/>
  <c r="F67" i="66"/>
  <c r="P66" i="66"/>
  <c r="O66" i="66"/>
  <c r="N66" i="66"/>
  <c r="F66" i="66"/>
  <c r="F72" i="66"/>
  <c r="P77" i="66"/>
  <c r="O77" i="66"/>
  <c r="N77" i="66"/>
  <c r="F77" i="66"/>
  <c r="P76" i="66"/>
  <c r="O76" i="66"/>
  <c r="N76" i="66"/>
  <c r="F76" i="66"/>
  <c r="P75" i="66"/>
  <c r="O75" i="66"/>
  <c r="N75" i="66"/>
  <c r="F75" i="66"/>
  <c r="P74" i="66"/>
  <c r="O74" i="66"/>
  <c r="N74" i="66"/>
  <c r="F74" i="66"/>
  <c r="P73" i="66"/>
  <c r="O73" i="66"/>
  <c r="N73" i="66"/>
  <c r="F73" i="66"/>
  <c r="P72" i="66"/>
  <c r="O72" i="66"/>
  <c r="N72" i="66"/>
  <c r="F91" i="66"/>
  <c r="P92" i="66"/>
  <c r="P99" i="66" s="1"/>
  <c r="O92" i="66"/>
  <c r="N92" i="66"/>
  <c r="N99" i="66" s="1"/>
  <c r="F92" i="66"/>
  <c r="P88" i="66"/>
  <c r="O88" i="66"/>
  <c r="N88" i="66"/>
  <c r="P87" i="66"/>
  <c r="O87" i="66"/>
  <c r="N87" i="66"/>
  <c r="P86" i="66"/>
  <c r="O86" i="66"/>
  <c r="N86" i="66"/>
  <c r="P85" i="66"/>
  <c r="O85" i="66"/>
  <c r="N85" i="66"/>
  <c r="P84" i="66"/>
  <c r="O84" i="66"/>
  <c r="N84" i="66"/>
  <c r="P83" i="66"/>
  <c r="O83" i="66"/>
  <c r="N83" i="66"/>
  <c r="P82" i="66"/>
  <c r="O82" i="66"/>
  <c r="N82" i="66"/>
  <c r="P81" i="66"/>
  <c r="O81" i="66"/>
  <c r="N81" i="66"/>
  <c r="P80" i="66"/>
  <c r="O80" i="66"/>
  <c r="N80" i="66"/>
  <c r="P79" i="66"/>
  <c r="O79" i="66"/>
  <c r="N79" i="66"/>
  <c r="P78" i="66"/>
  <c r="O78" i="66"/>
  <c r="N78" i="66"/>
  <c r="P59" i="66"/>
  <c r="O59" i="66"/>
  <c r="N59" i="66"/>
  <c r="P58" i="66"/>
  <c r="O58" i="66"/>
  <c r="N58" i="66"/>
  <c r="P57" i="66"/>
  <c r="O57" i="66"/>
  <c r="N57" i="66"/>
  <c r="P56" i="66"/>
  <c r="O56" i="66"/>
  <c r="N56" i="66"/>
  <c r="P55" i="66"/>
  <c r="O55" i="66"/>
  <c r="N55" i="66"/>
  <c r="P54" i="66"/>
  <c r="O54" i="66"/>
  <c r="N54" i="66"/>
  <c r="P53" i="66"/>
  <c r="O53" i="66"/>
  <c r="N53" i="66"/>
  <c r="P52" i="66"/>
  <c r="O52" i="66"/>
  <c r="N52" i="66"/>
  <c r="P51" i="66"/>
  <c r="O51" i="66"/>
  <c r="N51" i="66"/>
  <c r="P50" i="66"/>
  <c r="O50" i="66"/>
  <c r="N50" i="66"/>
  <c r="P49" i="66"/>
  <c r="O49" i="66"/>
  <c r="N49" i="66"/>
  <c r="P48" i="66"/>
  <c r="O48" i="66"/>
  <c r="N48" i="66"/>
  <c r="P23" i="66"/>
  <c r="O23" i="66"/>
  <c r="N23" i="66"/>
  <c r="P20" i="66"/>
  <c r="O20" i="66"/>
  <c r="N20" i="66"/>
  <c r="P19" i="66"/>
  <c r="O19" i="66"/>
  <c r="N19" i="66"/>
  <c r="F78" i="66"/>
  <c r="F84" i="66"/>
  <c r="F83" i="66"/>
  <c r="F82" i="66"/>
  <c r="F81" i="66"/>
  <c r="F80" i="66"/>
  <c r="F79" i="66"/>
  <c r="F61" i="66"/>
  <c r="F99" i="66" l="1"/>
  <c r="F93" i="66"/>
  <c r="M27" i="66"/>
  <c r="M93" i="66"/>
  <c r="M21" i="66"/>
  <c r="P27" i="66"/>
  <c r="N21" i="66"/>
  <c r="O27" i="66"/>
  <c r="N27" i="66"/>
  <c r="O93" i="66"/>
  <c r="N93" i="66"/>
  <c r="P93" i="66"/>
  <c r="O99" i="66"/>
  <c r="O21" i="66"/>
  <c r="P21" i="66"/>
  <c r="M18" i="66" l="1"/>
  <c r="P18" i="66"/>
  <c r="O18" i="66"/>
  <c r="N18" i="66"/>
  <c r="F88" i="66" l="1"/>
  <c r="F87" i="66"/>
  <c r="F86" i="66"/>
  <c r="F85" i="66"/>
  <c r="F65" i="66"/>
  <c r="F63" i="66"/>
  <c r="F62" i="66"/>
  <c r="F60" i="66"/>
  <c r="F64" i="66"/>
  <c r="F48" i="66"/>
  <c r="F59" i="66"/>
  <c r="F58" i="66"/>
  <c r="F57" i="66"/>
  <c r="F56" i="66"/>
  <c r="F55" i="66"/>
  <c r="F54" i="66"/>
  <c r="F53" i="66"/>
  <c r="F52" i="66"/>
  <c r="F51" i="66"/>
  <c r="F50" i="66"/>
  <c r="F49" i="66"/>
  <c r="F23" i="66"/>
  <c r="F27" i="66" l="1"/>
  <c r="U99" i="66"/>
  <c r="S99" i="66"/>
  <c r="W22" i="66" l="1"/>
  <c r="U22" i="66"/>
  <c r="S22" i="66"/>
  <c r="T22" i="66"/>
  <c r="F20" i="66"/>
  <c r="F19" i="66"/>
  <c r="W20" i="66"/>
  <c r="U20" i="66"/>
  <c r="S20" i="66"/>
  <c r="W100" i="66"/>
  <c r="U100" i="66"/>
  <c r="S100" i="66"/>
  <c r="W98" i="66"/>
  <c r="U98" i="66"/>
  <c r="T98" i="66"/>
  <c r="S98" i="66"/>
  <c r="W97" i="66"/>
  <c r="U97" i="66"/>
  <c r="T97" i="66"/>
  <c r="S97" i="66"/>
  <c r="W96" i="66"/>
  <c r="U96" i="66"/>
  <c r="T96" i="66"/>
  <c r="S96" i="66"/>
  <c r="W95" i="66"/>
  <c r="U95" i="66"/>
  <c r="T95" i="66"/>
  <c r="S95" i="66"/>
  <c r="W94" i="66"/>
  <c r="U94" i="66"/>
  <c r="T94" i="66"/>
  <c r="S94" i="66"/>
  <c r="W93" i="66"/>
  <c r="U93" i="66"/>
  <c r="S93" i="66"/>
  <c r="W92" i="66"/>
  <c r="U92" i="66"/>
  <c r="S92" i="66"/>
  <c r="W91" i="66"/>
  <c r="U91" i="66"/>
  <c r="S91" i="66"/>
  <c r="W90" i="66"/>
  <c r="U90" i="66"/>
  <c r="T90" i="66"/>
  <c r="S90" i="66"/>
  <c r="W89" i="66"/>
  <c r="U89" i="66"/>
  <c r="T89" i="66"/>
  <c r="S89" i="66"/>
  <c r="W88" i="66"/>
  <c r="U88" i="66"/>
  <c r="S88" i="66"/>
  <c r="W87" i="66"/>
  <c r="U87" i="66"/>
  <c r="S87" i="66"/>
  <c r="W86" i="66"/>
  <c r="U86" i="66"/>
  <c r="S86" i="66"/>
  <c r="W85" i="66"/>
  <c r="U85" i="66"/>
  <c r="S85" i="66"/>
  <c r="W84" i="66"/>
  <c r="U84" i="66"/>
  <c r="S84" i="66"/>
  <c r="W83" i="66"/>
  <c r="U83" i="66"/>
  <c r="S83" i="66"/>
  <c r="W82" i="66"/>
  <c r="U82" i="66"/>
  <c r="S82" i="66"/>
  <c r="W81" i="66"/>
  <c r="U81" i="66"/>
  <c r="S81" i="66"/>
  <c r="W80" i="66"/>
  <c r="U80" i="66"/>
  <c r="S80" i="66"/>
  <c r="W79" i="66"/>
  <c r="U79" i="66"/>
  <c r="S79" i="66"/>
  <c r="W78" i="66"/>
  <c r="U78" i="66"/>
  <c r="S78" i="66"/>
  <c r="W77" i="66"/>
  <c r="U77" i="66"/>
  <c r="S77" i="66"/>
  <c r="W76" i="66"/>
  <c r="U76" i="66"/>
  <c r="S76" i="66"/>
  <c r="W75" i="66"/>
  <c r="U75" i="66"/>
  <c r="S75" i="66"/>
  <c r="W74" i="66"/>
  <c r="U74" i="66"/>
  <c r="S74" i="66"/>
  <c r="W73" i="66"/>
  <c r="U73" i="66"/>
  <c r="S73" i="66"/>
  <c r="W72" i="66"/>
  <c r="U72" i="66"/>
  <c r="S72" i="66"/>
  <c r="W71" i="66"/>
  <c r="U71" i="66"/>
  <c r="S71" i="66"/>
  <c r="W70" i="66"/>
  <c r="U70" i="66"/>
  <c r="S70" i="66"/>
  <c r="W69" i="66"/>
  <c r="U69" i="66"/>
  <c r="S69" i="66"/>
  <c r="W68" i="66"/>
  <c r="U68" i="66"/>
  <c r="S68" i="66"/>
  <c r="W67" i="66"/>
  <c r="U67" i="66"/>
  <c r="S67" i="66"/>
  <c r="W66" i="66"/>
  <c r="U66" i="66"/>
  <c r="S66" i="66"/>
  <c r="W65" i="66"/>
  <c r="U65" i="66"/>
  <c r="S65" i="66"/>
  <c r="W64" i="66"/>
  <c r="U64" i="66"/>
  <c r="S64" i="66"/>
  <c r="W63" i="66"/>
  <c r="U63" i="66"/>
  <c r="S63" i="66"/>
  <c r="W62" i="66"/>
  <c r="U62" i="66"/>
  <c r="S62" i="66"/>
  <c r="W61" i="66"/>
  <c r="U61" i="66"/>
  <c r="S61" i="66"/>
  <c r="W60" i="66"/>
  <c r="U60" i="66"/>
  <c r="S60" i="66"/>
  <c r="W59" i="66"/>
  <c r="U59" i="66"/>
  <c r="S59" i="66"/>
  <c r="W58" i="66"/>
  <c r="U58" i="66"/>
  <c r="S58" i="66"/>
  <c r="W57" i="66"/>
  <c r="U57" i="66"/>
  <c r="S57" i="66"/>
  <c r="W56" i="66"/>
  <c r="U56" i="66"/>
  <c r="S56" i="66"/>
  <c r="W55" i="66"/>
  <c r="U55" i="66"/>
  <c r="S55" i="66"/>
  <c r="W54" i="66"/>
  <c r="U54" i="66"/>
  <c r="S54" i="66"/>
  <c r="W53" i="66"/>
  <c r="U53" i="66"/>
  <c r="S53" i="66"/>
  <c r="W52" i="66"/>
  <c r="U52" i="66"/>
  <c r="S52" i="66"/>
  <c r="W51" i="66"/>
  <c r="U51" i="66"/>
  <c r="S51" i="66"/>
  <c r="W50" i="66"/>
  <c r="U50" i="66"/>
  <c r="S50" i="66"/>
  <c r="W49" i="66"/>
  <c r="U49" i="66"/>
  <c r="S49" i="66"/>
  <c r="W48" i="66"/>
  <c r="U48" i="66"/>
  <c r="S48" i="66"/>
  <c r="W47" i="66"/>
  <c r="U47" i="66"/>
  <c r="S47" i="66"/>
  <c r="W46" i="66"/>
  <c r="U46" i="66"/>
  <c r="S46" i="66"/>
  <c r="W45" i="66"/>
  <c r="U45" i="66"/>
  <c r="S45" i="66"/>
  <c r="W44" i="66"/>
  <c r="U44" i="66"/>
  <c r="S44" i="66"/>
  <c r="W43" i="66"/>
  <c r="U43" i="66"/>
  <c r="S43" i="66"/>
  <c r="W42" i="66"/>
  <c r="U42" i="66"/>
  <c r="T42" i="66"/>
  <c r="S42" i="66"/>
  <c r="W41" i="66"/>
  <c r="U41" i="66"/>
  <c r="T41" i="66"/>
  <c r="S41" i="66"/>
  <c r="W40" i="66"/>
  <c r="U40" i="66"/>
  <c r="T40" i="66"/>
  <c r="S40" i="66"/>
  <c r="W39" i="66"/>
  <c r="U39" i="66"/>
  <c r="S39" i="66"/>
  <c r="W38" i="66"/>
  <c r="U38" i="66"/>
  <c r="S38" i="66"/>
  <c r="W37" i="66"/>
  <c r="U37" i="66"/>
  <c r="S37" i="66"/>
  <c r="W36" i="66"/>
  <c r="U36" i="66"/>
  <c r="T36" i="66"/>
  <c r="S36" i="66"/>
  <c r="W35" i="66"/>
  <c r="U35" i="66"/>
  <c r="T35" i="66"/>
  <c r="S35" i="66"/>
  <c r="W34" i="66"/>
  <c r="U34" i="66"/>
  <c r="S34" i="66"/>
  <c r="W33" i="66"/>
  <c r="U33" i="66"/>
  <c r="S33" i="66"/>
  <c r="W32" i="66"/>
  <c r="U32" i="66"/>
  <c r="S32" i="66"/>
  <c r="W31" i="66"/>
  <c r="U31" i="66"/>
  <c r="S31" i="66"/>
  <c r="W30" i="66"/>
  <c r="U30" i="66"/>
  <c r="S30" i="66"/>
  <c r="W29" i="66"/>
  <c r="U29" i="66"/>
  <c r="S29" i="66"/>
  <c r="W28" i="66"/>
  <c r="U28" i="66"/>
  <c r="S28" i="66"/>
  <c r="W27" i="66"/>
  <c r="U27" i="66"/>
  <c r="S27" i="66"/>
  <c r="W26" i="66"/>
  <c r="U26" i="66"/>
  <c r="T26" i="66"/>
  <c r="S26" i="66"/>
  <c r="W25" i="66"/>
  <c r="U25" i="66"/>
  <c r="S25" i="66"/>
  <c r="W24" i="66"/>
  <c r="U24" i="66"/>
  <c r="T24" i="66"/>
  <c r="S24" i="66"/>
  <c r="W23" i="66"/>
  <c r="U23" i="66"/>
  <c r="S23" i="66"/>
  <c r="W21" i="66"/>
  <c r="U21" i="66"/>
  <c r="S21" i="66"/>
  <c r="W19" i="66"/>
  <c r="U19" i="66"/>
  <c r="S19" i="66"/>
  <c r="I119" i="51"/>
  <c r="I117" i="51"/>
  <c r="I115" i="51"/>
  <c r="I113" i="51"/>
  <c r="I111" i="51"/>
  <c r="I112" i="51" s="1"/>
  <c r="I110" i="51"/>
  <c r="I108" i="51"/>
  <c r="I104" i="51"/>
  <c r="I106" i="51" s="1"/>
  <c r="I103" i="51"/>
  <c r="I105" i="51" s="1"/>
  <c r="I101" i="51"/>
  <c r="I102" i="51" s="1"/>
  <c r="I98" i="51"/>
  <c r="I100" i="51" s="1"/>
  <c r="I96" i="51"/>
  <c r="I95" i="51"/>
  <c r="I93" i="51"/>
  <c r="I123" i="51"/>
  <c r="I80" i="51"/>
  <c r="I78" i="51"/>
  <c r="I77" i="51"/>
  <c r="I74" i="51"/>
  <c r="I73" i="51"/>
  <c r="I72" i="51"/>
  <c r="I71" i="51"/>
  <c r="I62" i="51"/>
  <c r="I61" i="51"/>
  <c r="I60" i="51"/>
  <c r="I59" i="51"/>
  <c r="I32" i="51"/>
  <c r="I28" i="51"/>
  <c r="I26" i="51"/>
  <c r="I25" i="51"/>
  <c r="I24" i="51"/>
  <c r="I22" i="51"/>
  <c r="I19" i="51"/>
  <c r="I17" i="51"/>
  <c r="I13" i="51"/>
  <c r="I14" i="51" s="1"/>
  <c r="K119" i="51"/>
  <c r="J119" i="51"/>
  <c r="K117" i="51"/>
  <c r="J117" i="51"/>
  <c r="K115" i="51"/>
  <c r="J115" i="51"/>
  <c r="K113" i="51"/>
  <c r="J113" i="51"/>
  <c r="K111" i="51"/>
  <c r="K112" i="51" s="1"/>
  <c r="J111" i="51"/>
  <c r="J112" i="51" s="1"/>
  <c r="K110" i="51"/>
  <c r="J110" i="51"/>
  <c r="K108" i="51"/>
  <c r="J108" i="51"/>
  <c r="K104" i="51"/>
  <c r="K106" i="51" s="1"/>
  <c r="J104" i="51"/>
  <c r="J106" i="51" s="1"/>
  <c r="K103" i="51"/>
  <c r="K105" i="51" s="1"/>
  <c r="J103" i="51"/>
  <c r="J105" i="51" s="1"/>
  <c r="K101" i="51"/>
  <c r="K102" i="51" s="1"/>
  <c r="J101" i="51"/>
  <c r="J102" i="51" s="1"/>
  <c r="K98" i="51"/>
  <c r="K99" i="51" s="1"/>
  <c r="J98" i="51"/>
  <c r="J100" i="51" s="1"/>
  <c r="K96" i="51"/>
  <c r="J96" i="51"/>
  <c r="K95" i="51"/>
  <c r="J95" i="51"/>
  <c r="K93" i="51"/>
  <c r="J93" i="51"/>
  <c r="K123" i="51"/>
  <c r="J123" i="51"/>
  <c r="K80" i="51"/>
  <c r="J80" i="51"/>
  <c r="K78" i="51"/>
  <c r="J78" i="51"/>
  <c r="K77" i="51"/>
  <c r="J77" i="51"/>
  <c r="K74" i="51"/>
  <c r="J74" i="51"/>
  <c r="K73" i="51"/>
  <c r="J73" i="51"/>
  <c r="K72" i="51"/>
  <c r="J72" i="51"/>
  <c r="K71" i="51"/>
  <c r="J71" i="51"/>
  <c r="K62" i="51"/>
  <c r="J62" i="51"/>
  <c r="K61" i="51"/>
  <c r="J61" i="51"/>
  <c r="K60" i="51"/>
  <c r="J60" i="51"/>
  <c r="K59" i="51"/>
  <c r="J59" i="51"/>
  <c r="K32" i="51"/>
  <c r="J32" i="51"/>
  <c r="K28" i="51"/>
  <c r="J28" i="51"/>
  <c r="K26" i="51"/>
  <c r="J26" i="51"/>
  <c r="K25" i="51"/>
  <c r="J25" i="51"/>
  <c r="K24" i="51"/>
  <c r="J24" i="51"/>
  <c r="K22" i="51"/>
  <c r="J22" i="51"/>
  <c r="K19" i="51"/>
  <c r="J19" i="51"/>
  <c r="K17" i="51"/>
  <c r="J17" i="51"/>
  <c r="K13" i="51"/>
  <c r="K14" i="51" s="1"/>
  <c r="J13" i="51"/>
  <c r="J14" i="51" s="1"/>
  <c r="H13" i="51"/>
  <c r="H14" i="51" s="1"/>
  <c r="G28" i="51"/>
  <c r="G26" i="51"/>
  <c r="G25" i="51"/>
  <c r="G72" i="51"/>
  <c r="G96" i="51"/>
  <c r="G62" i="51"/>
  <c r="T99" i="66" l="1"/>
  <c r="X99" i="66" s="1"/>
  <c r="T20" i="66"/>
  <c r="F21" i="66"/>
  <c r="X95" i="66"/>
  <c r="X22" i="66"/>
  <c r="V22" i="66"/>
  <c r="V94" i="66"/>
  <c r="X24" i="66"/>
  <c r="V98" i="66"/>
  <c r="T52" i="66"/>
  <c r="T60" i="66"/>
  <c r="T68" i="66"/>
  <c r="T76" i="66"/>
  <c r="X96" i="66"/>
  <c r="X97" i="66"/>
  <c r="X94" i="66"/>
  <c r="T44" i="66"/>
  <c r="X44" i="66" s="1"/>
  <c r="T84" i="66"/>
  <c r="V24" i="66"/>
  <c r="X98" i="66"/>
  <c r="T80" i="66"/>
  <c r="T88" i="66"/>
  <c r="T92" i="66"/>
  <c r="T39" i="66"/>
  <c r="V39" i="66" s="1"/>
  <c r="T70" i="66"/>
  <c r="T71" i="66"/>
  <c r="T72" i="66"/>
  <c r="T74" i="66"/>
  <c r="T78" i="66"/>
  <c r="T79" i="66"/>
  <c r="T82" i="66"/>
  <c r="T87" i="66"/>
  <c r="T29" i="66"/>
  <c r="T37" i="66"/>
  <c r="T46" i="66"/>
  <c r="X46" i="66" s="1"/>
  <c r="T50" i="66"/>
  <c r="T54" i="66"/>
  <c r="T56" i="66"/>
  <c r="T58" i="66"/>
  <c r="T62" i="66"/>
  <c r="T63" i="66"/>
  <c r="T64" i="66"/>
  <c r="T66" i="66"/>
  <c r="T86" i="66"/>
  <c r="T45" i="66"/>
  <c r="T53" i="66"/>
  <c r="T61" i="66"/>
  <c r="T69" i="66"/>
  <c r="T77" i="66"/>
  <c r="T85" i="66"/>
  <c r="V96" i="66"/>
  <c r="T59" i="66"/>
  <c r="T67" i="66"/>
  <c r="T75" i="66"/>
  <c r="T83" i="66"/>
  <c r="V95" i="66"/>
  <c r="T55" i="66"/>
  <c r="T32" i="66"/>
  <c r="T49" i="66"/>
  <c r="T57" i="66"/>
  <c r="T65" i="66"/>
  <c r="T73" i="66"/>
  <c r="T81" i="66"/>
  <c r="T43" i="66"/>
  <c r="V43" i="66" s="1"/>
  <c r="T38" i="66"/>
  <c r="V38" i="66" s="1"/>
  <c r="T33" i="66"/>
  <c r="X33" i="66" s="1"/>
  <c r="T47" i="66"/>
  <c r="V47" i="66" s="1"/>
  <c r="T51" i="66"/>
  <c r="T30" i="66"/>
  <c r="T23" i="66"/>
  <c r="T48" i="66"/>
  <c r="T91" i="66"/>
  <c r="V97" i="66"/>
  <c r="V26" i="66"/>
  <c r="X26" i="66"/>
  <c r="T31" i="66"/>
  <c r="V36" i="66"/>
  <c r="X36" i="66"/>
  <c r="T25" i="66"/>
  <c r="T28" i="66"/>
  <c r="V35" i="66"/>
  <c r="X35" i="66"/>
  <c r="T19" i="66"/>
  <c r="V40" i="66"/>
  <c r="X42" i="66"/>
  <c r="V89" i="66"/>
  <c r="V90" i="66"/>
  <c r="X40" i="66"/>
  <c r="X41" i="66"/>
  <c r="V41" i="66"/>
  <c r="V42" i="66"/>
  <c r="X89" i="66"/>
  <c r="X90" i="66"/>
  <c r="J21" i="51"/>
  <c r="J121" i="51"/>
  <c r="K21" i="51"/>
  <c r="I121" i="51"/>
  <c r="I122" i="51"/>
  <c r="I21" i="51"/>
  <c r="I99" i="51"/>
  <c r="K121" i="51"/>
  <c r="K122" i="51"/>
  <c r="J122" i="51"/>
  <c r="K100" i="51"/>
  <c r="J99" i="51"/>
  <c r="G19" i="51"/>
  <c r="AG19" i="59"/>
  <c r="AF19" i="59"/>
  <c r="AE19" i="59"/>
  <c r="AD19" i="59"/>
  <c r="AC19" i="59"/>
  <c r="AB19" i="59"/>
  <c r="AA19" i="59"/>
  <c r="Z19" i="59"/>
  <c r="Y19" i="59"/>
  <c r="X19" i="59"/>
  <c r="W19" i="59"/>
  <c r="V19" i="59"/>
  <c r="U19" i="59"/>
  <c r="T19" i="59"/>
  <c r="S19" i="59"/>
  <c r="R19" i="59"/>
  <c r="P19" i="59"/>
  <c r="O19" i="59"/>
  <c r="N19" i="59"/>
  <c r="M19" i="59"/>
  <c r="L19" i="59"/>
  <c r="K19" i="59"/>
  <c r="J19" i="59"/>
  <c r="I19" i="59"/>
  <c r="G19" i="59"/>
  <c r="F19" i="59"/>
  <c r="E19" i="59"/>
  <c r="D19" i="59"/>
  <c r="G95" i="51"/>
  <c r="G93" i="51"/>
  <c r="G73" i="51"/>
  <c r="G22" i="51"/>
  <c r="G24" i="51"/>
  <c r="G59" i="51"/>
  <c r="G71" i="51"/>
  <c r="G74" i="51"/>
  <c r="X86" i="66" l="1"/>
  <c r="X66" i="66"/>
  <c r="X65" i="66"/>
  <c r="V81" i="66"/>
  <c r="V56" i="66"/>
  <c r="X57" i="66"/>
  <c r="V55" i="66"/>
  <c r="V87" i="66"/>
  <c r="X52" i="66"/>
  <c r="V71" i="66"/>
  <c r="X51" i="66"/>
  <c r="V76" i="66"/>
  <c r="X74" i="66"/>
  <c r="V63" i="66"/>
  <c r="V58" i="66"/>
  <c r="V85" i="66"/>
  <c r="V77" i="66"/>
  <c r="X70" i="66"/>
  <c r="V91" i="66"/>
  <c r="V69" i="66"/>
  <c r="V50" i="66"/>
  <c r="X75" i="66"/>
  <c r="V79" i="66"/>
  <c r="X78" i="66"/>
  <c r="X88" i="66"/>
  <c r="X64" i="66"/>
  <c r="V84" i="66"/>
  <c r="V68" i="66"/>
  <c r="V29" i="66"/>
  <c r="X23" i="66"/>
  <c r="X30" i="66"/>
  <c r="T21" i="66"/>
  <c r="V99" i="66"/>
  <c r="V92" i="66"/>
  <c r="V48" i="66"/>
  <c r="X56" i="66"/>
  <c r="V20" i="66"/>
  <c r="X20" i="66"/>
  <c r="X76" i="66"/>
  <c r="V49" i="66"/>
  <c r="X38" i="66"/>
  <c r="V80" i="66"/>
  <c r="X67" i="66"/>
  <c r="V74" i="66"/>
  <c r="V44" i="66"/>
  <c r="X43" i="66"/>
  <c r="X50" i="66"/>
  <c r="V52" i="66"/>
  <c r="X80" i="66"/>
  <c r="X45" i="66"/>
  <c r="V46" i="66"/>
  <c r="X49" i="66"/>
  <c r="X63" i="66"/>
  <c r="V60" i="66"/>
  <c r="X77" i="66"/>
  <c r="V51" i="66"/>
  <c r="V72" i="66"/>
  <c r="X72" i="66"/>
  <c r="X39" i="66"/>
  <c r="V86" i="66"/>
  <c r="T93" i="66"/>
  <c r="V66" i="66"/>
  <c r="X59" i="66"/>
  <c r="V62" i="66"/>
  <c r="X84" i="66"/>
  <c r="V70" i="66"/>
  <c r="X60" i="66"/>
  <c r="V75" i="66"/>
  <c r="V82" i="66"/>
  <c r="X29" i="66"/>
  <c r="V45" i="66"/>
  <c r="X91" i="66"/>
  <c r="V88" i="66"/>
  <c r="X85" i="66"/>
  <c r="X68" i="66"/>
  <c r="V53" i="66"/>
  <c r="X71" i="66"/>
  <c r="V57" i="66"/>
  <c r="V30" i="66"/>
  <c r="X79" i="66"/>
  <c r="X48" i="66"/>
  <c r="X37" i="66"/>
  <c r="X92" i="66"/>
  <c r="X69" i="66"/>
  <c r="X62" i="66"/>
  <c r="V65" i="66"/>
  <c r="X58" i="66"/>
  <c r="V83" i="66"/>
  <c r="V33" i="66"/>
  <c r="X83" i="66"/>
  <c r="V61" i="66"/>
  <c r="X61" i="66"/>
  <c r="X87" i="66"/>
  <c r="V73" i="66"/>
  <c r="X47" i="66"/>
  <c r="X73" i="66"/>
  <c r="V23" i="66"/>
  <c r="V37" i="66"/>
  <c r="X53" i="66"/>
  <c r="X82" i="66"/>
  <c r="V64" i="66"/>
  <c r="V67" i="66"/>
  <c r="V32" i="66"/>
  <c r="V59" i="66"/>
  <c r="X32" i="66"/>
  <c r="X54" i="66"/>
  <c r="X81" i="66"/>
  <c r="V54" i="66"/>
  <c r="X55" i="66"/>
  <c r="V78" i="66"/>
  <c r="V25" i="66"/>
  <c r="X25" i="66"/>
  <c r="X19" i="66"/>
  <c r="V19" i="66"/>
  <c r="T27" i="66"/>
  <c r="X28" i="66"/>
  <c r="V28" i="66"/>
  <c r="V31" i="66"/>
  <c r="X31" i="66"/>
  <c r="J12" i="51"/>
  <c r="I12" i="51"/>
  <c r="K12" i="51"/>
  <c r="H12" i="51"/>
  <c r="O73" i="51"/>
  <c r="O71" i="51"/>
  <c r="G77" i="51"/>
  <c r="G111" i="51"/>
  <c r="G108" i="51"/>
  <c r="G104" i="51"/>
  <c r="G103" i="51"/>
  <c r="G98" i="51"/>
  <c r="G100" i="51" s="1"/>
  <c r="O120" i="51"/>
  <c r="O118" i="51"/>
  <c r="O116" i="51"/>
  <c r="O114" i="51"/>
  <c r="O109" i="51"/>
  <c r="O107" i="51"/>
  <c r="O94" i="51"/>
  <c r="O87" i="51"/>
  <c r="O86" i="51"/>
  <c r="O85" i="51"/>
  <c r="O84" i="51"/>
  <c r="O83" i="51"/>
  <c r="O82" i="51"/>
  <c r="O81" i="51"/>
  <c r="O79" i="51"/>
  <c r="O76" i="51"/>
  <c r="O75" i="51"/>
  <c r="O70" i="51"/>
  <c r="O69" i="51"/>
  <c r="O68" i="51"/>
  <c r="O67" i="51"/>
  <c r="O66" i="51"/>
  <c r="O65" i="51"/>
  <c r="O64" i="51"/>
  <c r="O63" i="51"/>
  <c r="O58" i="51"/>
  <c r="O57" i="51"/>
  <c r="O56" i="51"/>
  <c r="O55" i="51"/>
  <c r="O54" i="51"/>
  <c r="O53" i="51"/>
  <c r="O52" i="51"/>
  <c r="O51" i="51"/>
  <c r="O50" i="51"/>
  <c r="O49" i="51"/>
  <c r="O48" i="51"/>
  <c r="O47" i="51"/>
  <c r="O46" i="51"/>
  <c r="O45" i="51"/>
  <c r="O44" i="51"/>
  <c r="O43" i="51"/>
  <c r="O42" i="51"/>
  <c r="O41" i="51"/>
  <c r="O40" i="51"/>
  <c r="O39" i="51"/>
  <c r="O38" i="51"/>
  <c r="O37" i="51"/>
  <c r="O36" i="51"/>
  <c r="O35" i="51"/>
  <c r="O34" i="51"/>
  <c r="O33" i="51"/>
  <c r="O31" i="51"/>
  <c r="O30" i="51"/>
  <c r="O29" i="51"/>
  <c r="O15" i="51"/>
  <c r="G32" i="51"/>
  <c r="K8" i="58"/>
  <c r="K7" i="58"/>
  <c r="T100" i="66" l="1"/>
  <c r="F18" i="66"/>
  <c r="X93" i="66"/>
  <c r="V93" i="66"/>
  <c r="X27" i="66"/>
  <c r="V27" i="66"/>
  <c r="V21" i="66"/>
  <c r="X21" i="66"/>
  <c r="G99" i="51"/>
  <c r="G119" i="51"/>
  <c r="G117" i="51"/>
  <c r="G115" i="51"/>
  <c r="G113" i="51"/>
  <c r="G110" i="51"/>
  <c r="G101" i="51"/>
  <c r="G80" i="51"/>
  <c r="G78" i="51"/>
  <c r="V100" i="66" l="1"/>
  <c r="X100" i="66"/>
  <c r="G122" i="51"/>
  <c r="N65" i="51"/>
  <c r="P65" i="51"/>
  <c r="R65" i="51"/>
  <c r="N66" i="51"/>
  <c r="P66" i="51"/>
  <c r="R66" i="51"/>
  <c r="N67" i="51"/>
  <c r="P67" i="51"/>
  <c r="R67" i="51"/>
  <c r="N68" i="51"/>
  <c r="P68" i="51"/>
  <c r="R68" i="51"/>
  <c r="N69" i="51"/>
  <c r="P69" i="51"/>
  <c r="R69" i="51"/>
  <c r="N70" i="51"/>
  <c r="P70" i="51"/>
  <c r="R70" i="51"/>
  <c r="G61" i="51"/>
  <c r="G60" i="51"/>
  <c r="G17" i="51"/>
  <c r="G21" i="51" s="1"/>
  <c r="G13" i="51"/>
  <c r="G14" i="51" s="1"/>
  <c r="O124" i="51" l="1"/>
  <c r="Q70" i="51"/>
  <c r="Q67" i="51"/>
  <c r="Q69" i="51"/>
  <c r="Q65" i="51"/>
  <c r="S69" i="51"/>
  <c r="Q66" i="51"/>
  <c r="S66" i="51"/>
  <c r="Q68" i="51"/>
  <c r="S68" i="51"/>
  <c r="S70" i="51"/>
  <c r="S65" i="51"/>
  <c r="S67" i="51"/>
  <c r="Q124" i="51" l="1"/>
  <c r="S124" i="51"/>
  <c r="Y102" i="42"/>
  <c r="W22" i="42"/>
  <c r="W23" i="42"/>
  <c r="W24" i="42"/>
  <c r="W25" i="42"/>
  <c r="W26" i="42"/>
  <c r="W27" i="42"/>
  <c r="W28" i="42"/>
  <c r="W29" i="42"/>
  <c r="W30" i="42"/>
  <c r="W31" i="42"/>
  <c r="W32" i="42"/>
  <c r="W33" i="42"/>
  <c r="W34" i="42"/>
  <c r="W35" i="42"/>
  <c r="W36" i="42"/>
  <c r="W37" i="42"/>
  <c r="W38" i="42"/>
  <c r="W39" i="42"/>
  <c r="W40" i="42"/>
  <c r="W41" i="42"/>
  <c r="W42" i="42"/>
  <c r="W43" i="42"/>
  <c r="W44" i="42"/>
  <c r="W45" i="42"/>
  <c r="W46" i="42"/>
  <c r="W47" i="42"/>
  <c r="W48" i="42"/>
  <c r="W49" i="42"/>
  <c r="W50" i="42"/>
  <c r="W51" i="42"/>
  <c r="W52" i="42"/>
  <c r="W53" i="42"/>
  <c r="W54" i="42"/>
  <c r="W55" i="42"/>
  <c r="W56" i="42"/>
  <c r="W57" i="42"/>
  <c r="W58" i="42"/>
  <c r="W59" i="42"/>
  <c r="W60" i="42"/>
  <c r="W61" i="42"/>
  <c r="W62" i="42"/>
  <c r="W63" i="42"/>
  <c r="W64" i="42"/>
  <c r="W65" i="42"/>
  <c r="W66" i="42"/>
  <c r="W67" i="42"/>
  <c r="W68" i="42"/>
  <c r="W69" i="42"/>
  <c r="W70" i="42"/>
  <c r="W71" i="42"/>
  <c r="W72" i="42"/>
  <c r="W73" i="42"/>
  <c r="W74" i="42"/>
  <c r="W75" i="42"/>
  <c r="W76" i="42"/>
  <c r="W77" i="42"/>
  <c r="W78" i="42"/>
  <c r="W79" i="42"/>
  <c r="W80" i="42"/>
  <c r="W81" i="42"/>
  <c r="W82" i="42"/>
  <c r="W83" i="42"/>
  <c r="W84" i="42"/>
  <c r="W85" i="42"/>
  <c r="W86" i="42"/>
  <c r="W87" i="42"/>
  <c r="W88" i="42"/>
  <c r="W89" i="42"/>
  <c r="W90" i="42"/>
  <c r="W91" i="42"/>
  <c r="W92" i="42"/>
  <c r="W93" i="42"/>
  <c r="W94" i="42"/>
  <c r="W95" i="42"/>
  <c r="W96" i="42"/>
  <c r="W97" i="42"/>
  <c r="W98" i="42"/>
  <c r="W99" i="42"/>
  <c r="W100" i="42"/>
  <c r="W101" i="42"/>
  <c r="W102" i="42"/>
  <c r="W103" i="42"/>
  <c r="W104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U98" i="42"/>
  <c r="U99" i="42"/>
  <c r="U100" i="42"/>
  <c r="U101" i="42"/>
  <c r="U102" i="42"/>
  <c r="U103" i="42"/>
  <c r="U104" i="42"/>
  <c r="W21" i="42"/>
  <c r="U21" i="42"/>
  <c r="S91" i="42"/>
  <c r="T91" i="42"/>
  <c r="S92" i="42"/>
  <c r="T92" i="42"/>
  <c r="V91" i="42" l="1"/>
  <c r="V92" i="42"/>
  <c r="X91" i="42"/>
  <c r="X92" i="42"/>
  <c r="R14" i="51" l="1"/>
  <c r="R15" i="51"/>
  <c r="R16" i="51"/>
  <c r="R17" i="51"/>
  <c r="R18" i="51"/>
  <c r="R19" i="51"/>
  <c r="R20" i="51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P14" i="51"/>
  <c r="P15" i="51"/>
  <c r="P16" i="51"/>
  <c r="P17" i="51"/>
  <c r="P18" i="51"/>
  <c r="P19" i="51"/>
  <c r="P20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R13" i="51"/>
  <c r="P13" i="51"/>
  <c r="O16" i="51"/>
  <c r="O18" i="51"/>
  <c r="O20" i="51"/>
  <c r="O72" i="51"/>
  <c r="O74" i="51"/>
  <c r="O78" i="51"/>
  <c r="O80" i="51"/>
  <c r="O88" i="51"/>
  <c r="O92" i="51"/>
  <c r="O96" i="51"/>
  <c r="O97" i="51"/>
  <c r="N13" i="51"/>
  <c r="N1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Q75" i="51" l="1"/>
  <c r="Q87" i="51"/>
  <c r="Q39" i="51"/>
  <c r="Q63" i="51"/>
  <c r="S114" i="51"/>
  <c r="Q16" i="51"/>
  <c r="S80" i="51"/>
  <c r="Q42" i="51"/>
  <c r="Q29" i="51"/>
  <c r="Q18" i="51"/>
  <c r="Q51" i="51"/>
  <c r="Q54" i="51"/>
  <c r="Q20" i="51"/>
  <c r="S116" i="51"/>
  <c r="Q72" i="51"/>
  <c r="Q84" i="51"/>
  <c r="Q53" i="51"/>
  <c r="Q41" i="51"/>
  <c r="Q96" i="51"/>
  <c r="Q92" i="51"/>
  <c r="Q78" i="51"/>
  <c r="Q30" i="51"/>
  <c r="Q85" i="51"/>
  <c r="S64" i="51"/>
  <c r="Q97" i="51"/>
  <c r="S15" i="51"/>
  <c r="Q47" i="51"/>
  <c r="Q35" i="51"/>
  <c r="Q71" i="51"/>
  <c r="Q83" i="51"/>
  <c r="Q73" i="51"/>
  <c r="Q82" i="51"/>
  <c r="S49" i="51"/>
  <c r="S37" i="51"/>
  <c r="Q94" i="51"/>
  <c r="Q58" i="51"/>
  <c r="Q46" i="51"/>
  <c r="Q34" i="51"/>
  <c r="Q57" i="51"/>
  <c r="Q45" i="51"/>
  <c r="Q33" i="51"/>
  <c r="Q120" i="51"/>
  <c r="Q86" i="51"/>
  <c r="Q118" i="51"/>
  <c r="Q52" i="51"/>
  <c r="Q40" i="51"/>
  <c r="Q50" i="51"/>
  <c r="Q38" i="51"/>
  <c r="Q81" i="51"/>
  <c r="S48" i="51"/>
  <c r="S36" i="51"/>
  <c r="Q76" i="51"/>
  <c r="Q88" i="51"/>
  <c r="Q74" i="51"/>
  <c r="Q56" i="51"/>
  <c r="Q44" i="51"/>
  <c r="S79" i="51"/>
  <c r="S76" i="51"/>
  <c r="Q31" i="51"/>
  <c r="Q55" i="51"/>
  <c r="Q43" i="51"/>
  <c r="Q114" i="51"/>
  <c r="S96" i="51"/>
  <c r="Q79" i="51"/>
  <c r="Q64" i="51"/>
  <c r="S58" i="51"/>
  <c r="S46" i="51"/>
  <c r="S34" i="51"/>
  <c r="Q48" i="51"/>
  <c r="Q36" i="51"/>
  <c r="Q116" i="51"/>
  <c r="Q80" i="51"/>
  <c r="Q49" i="51"/>
  <c r="Q37" i="51"/>
  <c r="Q15" i="51"/>
  <c r="S97" i="51"/>
  <c r="S78" i="51"/>
  <c r="S63" i="51"/>
  <c r="S47" i="51"/>
  <c r="S35" i="51"/>
  <c r="S94" i="51"/>
  <c r="S75" i="51"/>
  <c r="S57" i="51"/>
  <c r="S45" i="51"/>
  <c r="S33" i="51"/>
  <c r="S92" i="51"/>
  <c r="S74" i="51"/>
  <c r="S56" i="51"/>
  <c r="S44" i="51"/>
  <c r="S31" i="51"/>
  <c r="S88" i="51"/>
  <c r="S73" i="51"/>
  <c r="S55" i="51"/>
  <c r="S43" i="51"/>
  <c r="S30" i="51"/>
  <c r="S87" i="51"/>
  <c r="S72" i="51"/>
  <c r="S54" i="51"/>
  <c r="S42" i="51"/>
  <c r="S29" i="51"/>
  <c r="S86" i="51"/>
  <c r="S71" i="51"/>
  <c r="S53" i="51"/>
  <c r="S41" i="51"/>
  <c r="S85" i="51"/>
  <c r="S83" i="51"/>
  <c r="S52" i="51"/>
  <c r="S40" i="51"/>
  <c r="S20" i="51"/>
  <c r="S120" i="51"/>
  <c r="S84" i="51"/>
  <c r="S82" i="51"/>
  <c r="S51" i="51"/>
  <c r="S39" i="51"/>
  <c r="S18" i="51"/>
  <c r="S118" i="51"/>
  <c r="S81" i="51"/>
  <c r="S50" i="51"/>
  <c r="S38" i="51"/>
  <c r="S16" i="51"/>
  <c r="G123" i="51"/>
  <c r="O59" i="51" l="1"/>
  <c r="O19" i="51"/>
  <c r="G112" i="51"/>
  <c r="G121" i="51" s="1"/>
  <c r="O13" i="51"/>
  <c r="O62" i="51"/>
  <c r="O122" i="51"/>
  <c r="O95" i="51"/>
  <c r="O93" i="51"/>
  <c r="G102" i="51"/>
  <c r="O22" i="51"/>
  <c r="G105" i="51"/>
  <c r="O24" i="51"/>
  <c r="G106" i="51"/>
  <c r="O28" i="51"/>
  <c r="O102" i="51" l="1"/>
  <c r="O112" i="51"/>
  <c r="O106" i="51"/>
  <c r="O105" i="51"/>
  <c r="O123" i="51"/>
  <c r="O117" i="51"/>
  <c r="Q117" i="51" s="1"/>
  <c r="O113" i="51"/>
  <c r="O110" i="51"/>
  <c r="S110" i="51" s="1"/>
  <c r="O23" i="51"/>
  <c r="Q23" i="51" s="1"/>
  <c r="O98" i="51"/>
  <c r="Q98" i="51" s="1"/>
  <c r="O27" i="51"/>
  <c r="S27" i="51" s="1"/>
  <c r="O61" i="51"/>
  <c r="S61" i="51" s="1"/>
  <c r="S109" i="51"/>
  <c r="O25" i="51"/>
  <c r="S25" i="51" s="1"/>
  <c r="O32" i="51"/>
  <c r="Q32" i="51" s="1"/>
  <c r="O103" i="51"/>
  <c r="S103" i="51" s="1"/>
  <c r="O17" i="51"/>
  <c r="Q17" i="51" s="1"/>
  <c r="O115" i="51"/>
  <c r="O26" i="51"/>
  <c r="S26" i="51" s="1"/>
  <c r="O104" i="51"/>
  <c r="Q104" i="51" s="1"/>
  <c r="O77" i="51"/>
  <c r="S77" i="51" s="1"/>
  <c r="O108" i="51"/>
  <c r="O119" i="51"/>
  <c r="Q119" i="51" s="1"/>
  <c r="Q22" i="51"/>
  <c r="S22" i="51"/>
  <c r="Q13" i="51"/>
  <c r="S13" i="51"/>
  <c r="Q107" i="51"/>
  <c r="S107" i="51"/>
  <c r="Q24" i="51"/>
  <c r="S24" i="51"/>
  <c r="Q93" i="51"/>
  <c r="S93" i="51"/>
  <c r="S28" i="51"/>
  <c r="Q28" i="51"/>
  <c r="O90" i="51"/>
  <c r="Q95" i="51"/>
  <c r="S95" i="51"/>
  <c r="S62" i="51"/>
  <c r="Q62" i="51"/>
  <c r="Q59" i="51"/>
  <c r="S59" i="51"/>
  <c r="O111" i="51"/>
  <c r="Q19" i="51"/>
  <c r="S19" i="51"/>
  <c r="O89" i="51"/>
  <c r="O101" i="51"/>
  <c r="S122" i="51"/>
  <c r="Q122" i="51"/>
  <c r="O91" i="51"/>
  <c r="O60" i="51"/>
  <c r="O14" i="51"/>
  <c r="S123" i="51" l="1"/>
  <c r="Q123" i="51"/>
  <c r="O21" i="51"/>
  <c r="S117" i="51"/>
  <c r="Q109" i="51"/>
  <c r="S104" i="51"/>
  <c r="Q27" i="51"/>
  <c r="Q110" i="51"/>
  <c r="S23" i="51"/>
  <c r="O121" i="51"/>
  <c r="Q121" i="51" s="1"/>
  <c r="S113" i="51"/>
  <c r="Q113" i="51"/>
  <c r="Q61" i="51"/>
  <c r="S115" i="51"/>
  <c r="S98" i="51"/>
  <c r="S17" i="51"/>
  <c r="S32" i="51"/>
  <c r="Q103" i="51"/>
  <c r="G12" i="51"/>
  <c r="Q115" i="51"/>
  <c r="Q25" i="51"/>
  <c r="Q26" i="51"/>
  <c r="S108" i="51"/>
  <c r="Q77" i="51"/>
  <c r="S119" i="51"/>
  <c r="Q108" i="51"/>
  <c r="S101" i="51"/>
  <c r="Q101" i="51"/>
  <c r="S112" i="51"/>
  <c r="Q112" i="51"/>
  <c r="S91" i="51"/>
  <c r="Q91" i="51"/>
  <c r="Q14" i="51"/>
  <c r="S14" i="51"/>
  <c r="Q111" i="51"/>
  <c r="S111" i="51"/>
  <c r="S89" i="51"/>
  <c r="Q89" i="51"/>
  <c r="Q105" i="51"/>
  <c r="S105" i="51"/>
  <c r="Q106" i="51"/>
  <c r="S106" i="51"/>
  <c r="S102" i="51"/>
  <c r="Q102" i="51"/>
  <c r="S60" i="51"/>
  <c r="Q60" i="51"/>
  <c r="S90" i="51"/>
  <c r="Q90" i="51"/>
  <c r="O100" i="51"/>
  <c r="O99" i="51"/>
  <c r="F12" i="51"/>
  <c r="Q21" i="51" l="1"/>
  <c r="S21" i="51"/>
  <c r="O11" i="51"/>
  <c r="S121" i="51"/>
  <c r="Q99" i="51"/>
  <c r="S99" i="51"/>
  <c r="S100" i="51"/>
  <c r="Q100" i="51"/>
  <c r="J6" i="52"/>
  <c r="K6" i="52"/>
  <c r="L6" i="52"/>
  <c r="N6" i="52"/>
  <c r="P6" i="52"/>
  <c r="J7" i="52"/>
  <c r="K7" i="52"/>
  <c r="L7" i="52"/>
  <c r="N7" i="52"/>
  <c r="P7" i="52"/>
  <c r="J8" i="52"/>
  <c r="K8" i="52"/>
  <c r="L8" i="52"/>
  <c r="N8" i="52"/>
  <c r="P8" i="52"/>
  <c r="J10" i="52"/>
  <c r="K10" i="52"/>
  <c r="L10" i="52"/>
  <c r="N10" i="52"/>
  <c r="P10" i="52"/>
  <c r="J11" i="52"/>
  <c r="K11" i="52"/>
  <c r="L11" i="52"/>
  <c r="N11" i="52"/>
  <c r="P11" i="52"/>
  <c r="J12" i="52"/>
  <c r="K12" i="52"/>
  <c r="L12" i="52"/>
  <c r="N12" i="52"/>
  <c r="P12" i="52"/>
  <c r="J13" i="52"/>
  <c r="K13" i="52"/>
  <c r="L13" i="52"/>
  <c r="N13" i="52"/>
  <c r="J14" i="52"/>
  <c r="K14" i="52"/>
  <c r="L14" i="52"/>
  <c r="N14" i="52"/>
  <c r="J15" i="52"/>
  <c r="K15" i="52"/>
  <c r="L15" i="52"/>
  <c r="N15" i="52"/>
  <c r="J16" i="52"/>
  <c r="K16" i="52"/>
  <c r="L16" i="52"/>
  <c r="N16" i="52"/>
  <c r="J17" i="52"/>
  <c r="K17" i="52"/>
  <c r="L17" i="52"/>
  <c r="N17" i="52"/>
  <c r="N74" i="52"/>
  <c r="L74" i="52"/>
  <c r="K74" i="52"/>
  <c r="J74" i="52"/>
  <c r="N73" i="52"/>
  <c r="L73" i="52"/>
  <c r="K73" i="52"/>
  <c r="J73" i="52"/>
  <c r="N72" i="52"/>
  <c r="L72" i="52"/>
  <c r="K72" i="52"/>
  <c r="J72" i="52"/>
  <c r="N71" i="52"/>
  <c r="L71" i="52"/>
  <c r="K71" i="52"/>
  <c r="J71" i="52"/>
  <c r="N70" i="52"/>
  <c r="L70" i="52"/>
  <c r="K70" i="52"/>
  <c r="J70" i="52"/>
  <c r="N69" i="52"/>
  <c r="L69" i="52"/>
  <c r="K69" i="52"/>
  <c r="J69" i="52"/>
  <c r="N68" i="52"/>
  <c r="L68" i="52"/>
  <c r="K68" i="52"/>
  <c r="J68" i="52"/>
  <c r="N67" i="52"/>
  <c r="L67" i="52"/>
  <c r="K67" i="52"/>
  <c r="J67" i="52"/>
  <c r="N66" i="52"/>
  <c r="L66" i="52"/>
  <c r="K66" i="52"/>
  <c r="J66" i="52"/>
  <c r="N65" i="52"/>
  <c r="L65" i="52"/>
  <c r="K65" i="52"/>
  <c r="J65" i="52"/>
  <c r="N64" i="52"/>
  <c r="L64" i="52"/>
  <c r="K64" i="52"/>
  <c r="J64" i="52"/>
  <c r="N63" i="52"/>
  <c r="L63" i="52"/>
  <c r="K63" i="52"/>
  <c r="J63" i="52"/>
  <c r="N62" i="52"/>
  <c r="L62" i="52"/>
  <c r="K62" i="52"/>
  <c r="J62" i="52"/>
  <c r="N61" i="52"/>
  <c r="L61" i="52"/>
  <c r="K61" i="52"/>
  <c r="J61" i="52"/>
  <c r="N60" i="52"/>
  <c r="L60" i="52"/>
  <c r="K60" i="52"/>
  <c r="J60" i="52"/>
  <c r="N59" i="52"/>
  <c r="L59" i="52"/>
  <c r="K59" i="52"/>
  <c r="J59" i="52"/>
  <c r="N54" i="52"/>
  <c r="L54" i="52"/>
  <c r="K54" i="52"/>
  <c r="J54" i="52"/>
  <c r="N53" i="52"/>
  <c r="L53" i="52"/>
  <c r="K53" i="52"/>
  <c r="J53" i="52"/>
  <c r="N52" i="52"/>
  <c r="L52" i="52"/>
  <c r="K52" i="52"/>
  <c r="J52" i="52"/>
  <c r="N51" i="52"/>
  <c r="L51" i="52"/>
  <c r="K51" i="52"/>
  <c r="J51" i="52"/>
  <c r="N50" i="52"/>
  <c r="L50" i="52"/>
  <c r="K50" i="52"/>
  <c r="J50" i="52"/>
  <c r="N49" i="52"/>
  <c r="L49" i="52"/>
  <c r="K49" i="52"/>
  <c r="J49" i="52"/>
  <c r="N48" i="52"/>
  <c r="L48" i="52"/>
  <c r="K48" i="52"/>
  <c r="J48" i="52"/>
  <c r="N47" i="52"/>
  <c r="L47" i="52"/>
  <c r="K47" i="52"/>
  <c r="J47" i="52"/>
  <c r="N46" i="52"/>
  <c r="L46" i="52"/>
  <c r="K46" i="52"/>
  <c r="J46" i="52"/>
  <c r="N45" i="52"/>
  <c r="L45" i="52"/>
  <c r="K45" i="52"/>
  <c r="J45" i="52"/>
  <c r="N44" i="52"/>
  <c r="L44" i="52"/>
  <c r="K44" i="52"/>
  <c r="J44" i="52"/>
  <c r="N43" i="52"/>
  <c r="L43" i="52"/>
  <c r="K43" i="52"/>
  <c r="J43" i="52"/>
  <c r="N42" i="52"/>
  <c r="L42" i="52"/>
  <c r="K42" i="52"/>
  <c r="J42" i="52"/>
  <c r="N41" i="52"/>
  <c r="L41" i="52"/>
  <c r="K41" i="52"/>
  <c r="J41" i="52"/>
  <c r="N40" i="52"/>
  <c r="L40" i="52"/>
  <c r="K40" i="52"/>
  <c r="J40" i="52"/>
  <c r="N39" i="52"/>
  <c r="L39" i="52"/>
  <c r="K39" i="52"/>
  <c r="J39" i="52"/>
  <c r="N38" i="52"/>
  <c r="L38" i="52"/>
  <c r="K38" i="52"/>
  <c r="J38" i="52"/>
  <c r="N37" i="52"/>
  <c r="L37" i="52"/>
  <c r="K37" i="52"/>
  <c r="J37" i="52"/>
  <c r="N36" i="52"/>
  <c r="L36" i="52"/>
  <c r="K36" i="52"/>
  <c r="J36" i="52"/>
  <c r="N35" i="52"/>
  <c r="L35" i="52"/>
  <c r="K35" i="52"/>
  <c r="J35" i="52"/>
  <c r="N34" i="52"/>
  <c r="L34" i="52"/>
  <c r="K34" i="52"/>
  <c r="J34" i="52"/>
  <c r="N33" i="52"/>
  <c r="L33" i="52"/>
  <c r="K33" i="52"/>
  <c r="J33" i="52"/>
  <c r="N32" i="52"/>
  <c r="L32" i="52"/>
  <c r="K32" i="52"/>
  <c r="J32" i="52"/>
  <c r="N31" i="52"/>
  <c r="L31" i="52"/>
  <c r="K31" i="52"/>
  <c r="J31" i="52"/>
  <c r="N30" i="52"/>
  <c r="L30" i="52"/>
  <c r="K30" i="52"/>
  <c r="J30" i="52"/>
  <c r="N29" i="52"/>
  <c r="L29" i="52"/>
  <c r="K29" i="52"/>
  <c r="J29" i="52"/>
  <c r="N28" i="52"/>
  <c r="L28" i="52"/>
  <c r="K28" i="52"/>
  <c r="J28" i="52"/>
  <c r="N27" i="52"/>
  <c r="L27" i="52"/>
  <c r="K27" i="52"/>
  <c r="J27" i="52"/>
  <c r="N26" i="52"/>
  <c r="L26" i="52"/>
  <c r="K26" i="52"/>
  <c r="J26" i="52"/>
  <c r="N25" i="52"/>
  <c r="L25" i="52"/>
  <c r="K25" i="52"/>
  <c r="J25" i="52"/>
  <c r="N24" i="52"/>
  <c r="L24" i="52"/>
  <c r="K24" i="52"/>
  <c r="J24" i="52"/>
  <c r="N23" i="52"/>
  <c r="L23" i="52"/>
  <c r="K23" i="52"/>
  <c r="J23" i="52"/>
  <c r="N22" i="52"/>
  <c r="L22" i="52"/>
  <c r="K22" i="52"/>
  <c r="J22" i="52"/>
  <c r="N21" i="52"/>
  <c r="L21" i="52"/>
  <c r="K21" i="52"/>
  <c r="J21" i="52"/>
  <c r="N20" i="52"/>
  <c r="L20" i="52"/>
  <c r="K20" i="52"/>
  <c r="J20" i="52"/>
  <c r="N19" i="52"/>
  <c r="L19" i="52"/>
  <c r="K19" i="52"/>
  <c r="J19" i="52"/>
  <c r="N18" i="52"/>
  <c r="L18" i="52"/>
  <c r="K18" i="52"/>
  <c r="J18" i="52"/>
  <c r="F5" i="52"/>
  <c r="G5" i="52"/>
  <c r="E5" i="52"/>
  <c r="AN3" i="58"/>
  <c r="AN3" i="57"/>
  <c r="F6" i="57"/>
  <c r="F5" i="57"/>
  <c r="F6" i="58"/>
  <c r="F5" i="58"/>
  <c r="J164" i="6"/>
  <c r="J160" i="6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H280" i="58"/>
  <c r="H281" i="58"/>
  <c r="H282" i="58"/>
  <c r="H283" i="58"/>
  <c r="H284" i="58"/>
  <c r="H285" i="58"/>
  <c r="H286" i="58"/>
  <c r="H287" i="58"/>
  <c r="H288" i="58"/>
  <c r="H289" i="58"/>
  <c r="H290" i="58"/>
  <c r="H291" i="58"/>
  <c r="H292" i="58"/>
  <c r="H293" i="58"/>
  <c r="H294" i="58"/>
  <c r="H295" i="58"/>
  <c r="H296" i="58"/>
  <c r="H297" i="58"/>
  <c r="H298" i="58"/>
  <c r="H299" i="58"/>
  <c r="H300" i="58"/>
  <c r="H301" i="58"/>
  <c r="H302" i="58"/>
  <c r="H303" i="58"/>
  <c r="H304" i="58"/>
  <c r="H305" i="58"/>
  <c r="H306" i="58"/>
  <c r="H307" i="58"/>
  <c r="H308" i="58"/>
  <c r="H309" i="58"/>
  <c r="H310" i="58"/>
  <c r="H311" i="58"/>
  <c r="H312" i="58"/>
  <c r="H313" i="58"/>
  <c r="H314" i="58"/>
  <c r="H315" i="58"/>
  <c r="H316" i="58"/>
  <c r="H317" i="58"/>
  <c r="H318" i="58"/>
  <c r="H319" i="58"/>
  <c r="H320" i="58"/>
  <c r="H321" i="58"/>
  <c r="H322" i="58"/>
  <c r="H323" i="58"/>
  <c r="H324" i="58"/>
  <c r="H325" i="58"/>
  <c r="H326" i="58"/>
  <c r="H327" i="58"/>
  <c r="H328" i="58"/>
  <c r="H329" i="58"/>
  <c r="H330" i="58"/>
  <c r="H331" i="58"/>
  <c r="H332" i="58"/>
  <c r="H333" i="58"/>
  <c r="H334" i="58"/>
  <c r="H335" i="58"/>
  <c r="H336" i="58"/>
  <c r="H337" i="58"/>
  <c r="H338" i="58"/>
  <c r="H339" i="58"/>
  <c r="H340" i="58"/>
  <c r="H341" i="58"/>
  <c r="H342" i="58"/>
  <c r="H343" i="58"/>
  <c r="H344" i="58"/>
  <c r="H345" i="58"/>
  <c r="H346" i="58"/>
  <c r="H347" i="58"/>
  <c r="H348" i="58"/>
  <c r="H349" i="58"/>
  <c r="H350" i="58"/>
  <c r="H351" i="58"/>
  <c r="H352" i="58"/>
  <c r="H353" i="58"/>
  <c r="H354" i="58"/>
  <c r="H355" i="58"/>
  <c r="H356" i="58"/>
  <c r="H361" i="58"/>
  <c r="H362" i="58"/>
  <c r="H363" i="58"/>
  <c r="H364" i="58"/>
  <c r="H365" i="58"/>
  <c r="H366" i="58"/>
  <c r="H367" i="58"/>
  <c r="H368" i="58"/>
  <c r="H369" i="58"/>
  <c r="H370" i="58"/>
  <c r="H371" i="58"/>
  <c r="H372" i="58"/>
  <c r="H373" i="58"/>
  <c r="H374" i="58"/>
  <c r="H375" i="58"/>
  <c r="H376" i="58"/>
  <c r="H377" i="58"/>
  <c r="H378" i="58"/>
  <c r="H379" i="58"/>
  <c r="H380" i="58"/>
  <c r="H381" i="58"/>
  <c r="H382" i="58"/>
  <c r="H383" i="58"/>
  <c r="H384" i="58"/>
  <c r="H385" i="58"/>
  <c r="H386" i="58"/>
  <c r="H387" i="58"/>
  <c r="H388" i="58"/>
  <c r="H389" i="58"/>
  <c r="H390" i="58"/>
  <c r="H391" i="58"/>
  <c r="H392" i="58"/>
  <c r="H393" i="58"/>
  <c r="H394" i="58"/>
  <c r="H395" i="58"/>
  <c r="H396" i="58"/>
  <c r="H397" i="58"/>
  <c r="H398" i="58"/>
  <c r="H399" i="58"/>
  <c r="H400" i="58"/>
  <c r="H401" i="58"/>
  <c r="H402" i="58"/>
  <c r="H403" i="58"/>
  <c r="H404" i="58"/>
  <c r="H405" i="58"/>
  <c r="H406" i="58"/>
  <c r="H407" i="58"/>
  <c r="H408" i="58"/>
  <c r="H409" i="58"/>
  <c r="H410" i="58"/>
  <c r="H411" i="58"/>
  <c r="H412" i="58"/>
  <c r="H413" i="58"/>
  <c r="H414" i="58"/>
  <c r="H415" i="58"/>
  <c r="H416" i="58"/>
  <c r="H417" i="58"/>
  <c r="H418" i="58"/>
  <c r="H419" i="58"/>
  <c r="H420" i="58"/>
  <c r="H421" i="58"/>
  <c r="H422" i="58"/>
  <c r="H423" i="58"/>
  <c r="H424" i="58"/>
  <c r="H425" i="58"/>
  <c r="H426" i="58"/>
  <c r="H427" i="58"/>
  <c r="H428" i="58"/>
  <c r="H429" i="58"/>
  <c r="H430" i="58"/>
  <c r="H431" i="58"/>
  <c r="H432" i="58"/>
  <c r="H433" i="58"/>
  <c r="H434" i="58"/>
  <c r="H435" i="58"/>
  <c r="H436" i="58"/>
  <c r="H437" i="58"/>
  <c r="H438" i="58"/>
  <c r="H439" i="58"/>
  <c r="H440" i="58"/>
  <c r="H441" i="58"/>
  <c r="H442" i="58"/>
  <c r="H443" i="58"/>
  <c r="H444" i="58"/>
  <c r="H445" i="58"/>
  <c r="H446" i="58"/>
  <c r="H447" i="58"/>
  <c r="H448" i="58"/>
  <c r="H449" i="58"/>
  <c r="H450" i="58"/>
  <c r="H451" i="58"/>
  <c r="H452" i="58"/>
  <c r="H453" i="58"/>
  <c r="H454" i="58"/>
  <c r="H455" i="58"/>
  <c r="H456" i="58"/>
  <c r="H457" i="58"/>
  <c r="H458" i="58"/>
  <c r="H459" i="58"/>
  <c r="H460" i="58"/>
  <c r="H461" i="58"/>
  <c r="H462" i="58"/>
  <c r="H463" i="58"/>
  <c r="H464" i="58"/>
  <c r="H465" i="58"/>
  <c r="H466" i="58"/>
  <c r="H467" i="58"/>
  <c r="H468" i="58"/>
  <c r="H469" i="58"/>
  <c r="H470" i="58"/>
  <c r="H471" i="58"/>
  <c r="H472" i="58"/>
  <c r="H473" i="58"/>
  <c r="H474" i="58"/>
  <c r="H475" i="58"/>
  <c r="H476" i="58"/>
  <c r="H477" i="58"/>
  <c r="H478" i="58"/>
  <c r="H479" i="58"/>
  <c r="H480" i="58"/>
  <c r="H481" i="58"/>
  <c r="H482" i="58"/>
  <c r="H483" i="58"/>
  <c r="H484" i="58"/>
  <c r="H485" i="58"/>
  <c r="H486" i="58"/>
  <c r="H487" i="58"/>
  <c r="H488" i="58"/>
  <c r="H489" i="58"/>
  <c r="H490" i="58"/>
  <c r="H491" i="58"/>
  <c r="H492" i="58"/>
  <c r="H493" i="58"/>
  <c r="H494" i="58"/>
  <c r="H495" i="58"/>
  <c r="H496" i="58"/>
  <c r="H497" i="58"/>
  <c r="H498" i="58"/>
  <c r="H499" i="58"/>
  <c r="H500" i="58"/>
  <c r="H501" i="58"/>
  <c r="H502" i="58"/>
  <c r="H503" i="58"/>
  <c r="H504" i="58"/>
  <c r="H554" i="58"/>
  <c r="H555" i="58"/>
  <c r="H556" i="58"/>
  <c r="H557" i="58"/>
  <c r="H558" i="58"/>
  <c r="H559" i="58"/>
  <c r="H560" i="58"/>
  <c r="H561" i="58"/>
  <c r="H562" i="58"/>
  <c r="H563" i="58"/>
  <c r="H564" i="58"/>
  <c r="H18" i="58"/>
  <c r="H20" i="57"/>
  <c r="H21" i="57"/>
  <c r="H22" i="57"/>
  <c r="H23" i="57"/>
  <c r="H24" i="57"/>
  <c r="H19" i="57"/>
  <c r="H18" i="57"/>
  <c r="D7" i="40"/>
  <c r="C11" i="58"/>
  <c r="C11" i="57"/>
  <c r="B3" i="58"/>
  <c r="C3" i="58"/>
  <c r="C8" i="58" s="1"/>
  <c r="D3" i="58"/>
  <c r="D9" i="58" s="1"/>
  <c r="E3" i="58"/>
  <c r="D11" i="58" s="1"/>
  <c r="F3" i="58"/>
  <c r="G3" i="58"/>
  <c r="C13" i="58" s="1"/>
  <c r="H3" i="58"/>
  <c r="I3" i="58"/>
  <c r="J3" i="58"/>
  <c r="K3" i="58"/>
  <c r="L3" i="58"/>
  <c r="M3" i="58"/>
  <c r="N3" i="58"/>
  <c r="O3" i="58"/>
  <c r="P3" i="58"/>
  <c r="Q3" i="58"/>
  <c r="R3" i="58"/>
  <c r="S3" i="58"/>
  <c r="T3" i="58"/>
  <c r="U3" i="58"/>
  <c r="V3" i="58"/>
  <c r="W3" i="58"/>
  <c r="X3" i="58"/>
  <c r="Y3" i="58"/>
  <c r="Z3" i="58"/>
  <c r="AA3" i="58"/>
  <c r="D7" i="58" s="1"/>
  <c r="AB3" i="58"/>
  <c r="F9" i="58" s="1"/>
  <c r="AC3" i="58"/>
  <c r="F11" i="58" s="1"/>
  <c r="AD3" i="58"/>
  <c r="AE3" i="58"/>
  <c r="K9" i="58" s="1"/>
  <c r="AG3" i="58"/>
  <c r="AH3" i="58"/>
  <c r="F8" i="58" s="1"/>
  <c r="AI3" i="58"/>
  <c r="AJ3" i="58"/>
  <c r="F12" i="58" s="1"/>
  <c r="AK3" i="58"/>
  <c r="C14" i="58" s="1"/>
  <c r="AL3" i="58"/>
  <c r="K10" i="58" s="1"/>
  <c r="AM3" i="58"/>
  <c r="K11" i="58" s="1"/>
  <c r="AO3" i="58"/>
  <c r="K13" i="58" s="1"/>
  <c r="AP3" i="58"/>
  <c r="AQ3" i="58"/>
  <c r="AR3" i="58"/>
  <c r="AS3" i="58"/>
  <c r="AT3" i="58"/>
  <c r="AU3" i="58"/>
  <c r="AV3" i="58"/>
  <c r="AW3" i="58"/>
  <c r="AX3" i="58"/>
  <c r="AY3" i="58"/>
  <c r="AZ3" i="58"/>
  <c r="BA3" i="58"/>
  <c r="BB3" i="58"/>
  <c r="BC3" i="58"/>
  <c r="BD3" i="58"/>
  <c r="BE3" i="58"/>
  <c r="BF3" i="58"/>
  <c r="BG3" i="58"/>
  <c r="A3" i="58"/>
  <c r="B3" i="57"/>
  <c r="C3" i="57"/>
  <c r="C8" i="57" s="1"/>
  <c r="D3" i="57"/>
  <c r="D9" i="57" s="1"/>
  <c r="E3" i="57"/>
  <c r="D11" i="57" s="1"/>
  <c r="F3" i="57"/>
  <c r="G3" i="57"/>
  <c r="C13" i="57" s="1"/>
  <c r="H3" i="57"/>
  <c r="I3" i="57"/>
  <c r="J3" i="57"/>
  <c r="K3" i="57"/>
  <c r="L3" i="57"/>
  <c r="M3" i="57"/>
  <c r="N3" i="57"/>
  <c r="O3" i="57"/>
  <c r="P3" i="57"/>
  <c r="Q3" i="57"/>
  <c r="R3" i="57"/>
  <c r="S3" i="57"/>
  <c r="T3" i="57"/>
  <c r="U3" i="57"/>
  <c r="V3" i="57"/>
  <c r="W3" i="57"/>
  <c r="X3" i="57"/>
  <c r="Y3" i="57"/>
  <c r="Z3" i="57"/>
  <c r="AA3" i="57"/>
  <c r="D7" i="57" s="1"/>
  <c r="AB3" i="57"/>
  <c r="F10" i="57" s="1"/>
  <c r="AC3" i="57"/>
  <c r="F11" i="57" s="1"/>
  <c r="AD3" i="57"/>
  <c r="AE3" i="57"/>
  <c r="K9" i="57" s="1"/>
  <c r="AG3" i="57"/>
  <c r="AH3" i="57"/>
  <c r="F8" i="57" s="1"/>
  <c r="AI3" i="57"/>
  <c r="AJ3" i="57"/>
  <c r="F12" i="57" s="1"/>
  <c r="AK3" i="57"/>
  <c r="C14" i="57" s="1"/>
  <c r="AL3" i="57"/>
  <c r="K10" i="57" s="1"/>
  <c r="AM3" i="57"/>
  <c r="K11" i="57" s="1"/>
  <c r="AO3" i="57"/>
  <c r="K13" i="57" s="1"/>
  <c r="AP3" i="57"/>
  <c r="AQ3" i="57"/>
  <c r="AR3" i="57"/>
  <c r="AS3" i="57"/>
  <c r="AT3" i="57"/>
  <c r="AU3" i="57"/>
  <c r="AV3" i="57"/>
  <c r="AW3" i="57"/>
  <c r="AX3" i="57"/>
  <c r="AY3" i="57"/>
  <c r="AZ3" i="57"/>
  <c r="BA3" i="57"/>
  <c r="BB3" i="57"/>
  <c r="BC3" i="57"/>
  <c r="BD3" i="57"/>
  <c r="BE3" i="57"/>
  <c r="BF3" i="57"/>
  <c r="BG3" i="57"/>
  <c r="A3" i="57"/>
  <c r="K13" i="40"/>
  <c r="K12" i="40"/>
  <c r="K11" i="40"/>
  <c r="K10" i="40"/>
  <c r="D11" i="40"/>
  <c r="F8" i="40"/>
  <c r="D13" i="40"/>
  <c r="C14" i="40"/>
  <c r="D5" i="40"/>
  <c r="F176" i="58" l="1"/>
  <c r="F358" i="58"/>
  <c r="F357" i="58"/>
  <c r="F359" i="58"/>
  <c r="F360" i="58"/>
  <c r="M11" i="52"/>
  <c r="P556" i="58"/>
  <c r="M556" i="58"/>
  <c r="L556" i="58"/>
  <c r="P483" i="58"/>
  <c r="M483" i="58"/>
  <c r="L483" i="58"/>
  <c r="P459" i="58"/>
  <c r="M459" i="58"/>
  <c r="L459" i="58"/>
  <c r="P435" i="58"/>
  <c r="M435" i="58"/>
  <c r="L435" i="58"/>
  <c r="P411" i="58"/>
  <c r="M411" i="58"/>
  <c r="L411" i="58"/>
  <c r="P387" i="58"/>
  <c r="M387" i="58"/>
  <c r="L387" i="58"/>
  <c r="P335" i="58"/>
  <c r="M335" i="58"/>
  <c r="L335" i="58"/>
  <c r="P215" i="58"/>
  <c r="M215" i="58"/>
  <c r="L215" i="58"/>
  <c r="P482" i="58"/>
  <c r="M482" i="58"/>
  <c r="L482" i="58"/>
  <c r="P386" i="58"/>
  <c r="M386" i="58"/>
  <c r="L386" i="58"/>
  <c r="P214" i="58"/>
  <c r="M214" i="58"/>
  <c r="L214" i="58"/>
  <c r="M21" i="57"/>
  <c r="L21" i="57"/>
  <c r="P21" i="57"/>
  <c r="P494" i="58"/>
  <c r="M494" i="58"/>
  <c r="L494" i="58"/>
  <c r="P470" i="58"/>
  <c r="M470" i="58"/>
  <c r="L470" i="58"/>
  <c r="P446" i="58"/>
  <c r="M446" i="58"/>
  <c r="L446" i="58"/>
  <c r="P422" i="58"/>
  <c r="M422" i="58"/>
  <c r="L422" i="58"/>
  <c r="P398" i="58"/>
  <c r="M398" i="58"/>
  <c r="L398" i="58"/>
  <c r="P374" i="58"/>
  <c r="M374" i="58"/>
  <c r="L374" i="58"/>
  <c r="P346" i="58"/>
  <c r="M346" i="58"/>
  <c r="L346" i="58"/>
  <c r="P334" i="58"/>
  <c r="M334" i="58"/>
  <c r="L334" i="58"/>
  <c r="P310" i="58"/>
  <c r="M310" i="58"/>
  <c r="L310" i="58"/>
  <c r="P298" i="58"/>
  <c r="M298" i="58"/>
  <c r="L298" i="58"/>
  <c r="P286" i="58"/>
  <c r="M286" i="58"/>
  <c r="L286" i="58"/>
  <c r="P274" i="58"/>
  <c r="M274" i="58"/>
  <c r="L274" i="58"/>
  <c r="P262" i="58"/>
  <c r="M262" i="58"/>
  <c r="L262" i="58"/>
  <c r="P250" i="58"/>
  <c r="M250" i="58"/>
  <c r="L250" i="58"/>
  <c r="P226" i="58"/>
  <c r="M226" i="58"/>
  <c r="L226" i="58"/>
  <c r="P202" i="58"/>
  <c r="M202" i="58"/>
  <c r="L202" i="58"/>
  <c r="P190" i="58"/>
  <c r="M190" i="58"/>
  <c r="L190" i="58"/>
  <c r="P178" i="58"/>
  <c r="M178" i="58"/>
  <c r="L178" i="58"/>
  <c r="P165" i="58"/>
  <c r="M165" i="58"/>
  <c r="L165" i="58"/>
  <c r="P153" i="58"/>
  <c r="M153" i="58"/>
  <c r="L153" i="58"/>
  <c r="P141" i="58"/>
  <c r="M141" i="58"/>
  <c r="L141" i="58"/>
  <c r="P129" i="58"/>
  <c r="M129" i="58"/>
  <c r="L129" i="58"/>
  <c r="P117" i="58"/>
  <c r="M117" i="58"/>
  <c r="L117" i="58"/>
  <c r="P105" i="58"/>
  <c r="M105" i="58"/>
  <c r="L105" i="58"/>
  <c r="P93" i="58"/>
  <c r="M93" i="58"/>
  <c r="L93" i="58"/>
  <c r="P81" i="58"/>
  <c r="M81" i="58"/>
  <c r="L81" i="58"/>
  <c r="P69" i="58"/>
  <c r="M69" i="58"/>
  <c r="L69" i="58"/>
  <c r="P57" i="58"/>
  <c r="M57" i="58"/>
  <c r="L57" i="58"/>
  <c r="P45" i="58"/>
  <c r="M45" i="58"/>
  <c r="L45" i="58"/>
  <c r="P33" i="58"/>
  <c r="M33" i="58"/>
  <c r="L33" i="58"/>
  <c r="P21" i="58"/>
  <c r="M21" i="58"/>
  <c r="L21" i="58"/>
  <c r="M20" i="57"/>
  <c r="P20" i="57"/>
  <c r="L20" i="57"/>
  <c r="P554" i="58"/>
  <c r="M554" i="58"/>
  <c r="L554" i="58"/>
  <c r="P493" i="58"/>
  <c r="M493" i="58"/>
  <c r="L493" i="58"/>
  <c r="P481" i="58"/>
  <c r="M481" i="58"/>
  <c r="L481" i="58"/>
  <c r="P469" i="58"/>
  <c r="M469" i="58"/>
  <c r="L469" i="58"/>
  <c r="P457" i="58"/>
  <c r="M457" i="58"/>
  <c r="L457" i="58"/>
  <c r="P445" i="58"/>
  <c r="M445" i="58"/>
  <c r="L445" i="58"/>
  <c r="P433" i="58"/>
  <c r="M433" i="58"/>
  <c r="L433" i="58"/>
  <c r="P421" i="58"/>
  <c r="M421" i="58"/>
  <c r="L421" i="58"/>
  <c r="P409" i="58"/>
  <c r="M409" i="58"/>
  <c r="L409" i="58"/>
  <c r="P397" i="58"/>
  <c r="M397" i="58"/>
  <c r="L397" i="58"/>
  <c r="P385" i="58"/>
  <c r="M385" i="58"/>
  <c r="L385" i="58"/>
  <c r="P373" i="58"/>
  <c r="M373" i="58"/>
  <c r="L373" i="58"/>
  <c r="P361" i="58"/>
  <c r="M361" i="58"/>
  <c r="L361" i="58"/>
  <c r="P345" i="58"/>
  <c r="M345" i="58"/>
  <c r="L345" i="58"/>
  <c r="P333" i="58"/>
  <c r="M333" i="58"/>
  <c r="L333" i="58"/>
  <c r="P321" i="58"/>
  <c r="M321" i="58"/>
  <c r="L321" i="58"/>
  <c r="P309" i="58"/>
  <c r="M309" i="58"/>
  <c r="L309" i="58"/>
  <c r="P297" i="58"/>
  <c r="M297" i="58"/>
  <c r="L297" i="58"/>
  <c r="P285" i="58"/>
  <c r="M285" i="58"/>
  <c r="L285" i="58"/>
  <c r="P273" i="58"/>
  <c r="M273" i="58"/>
  <c r="L273" i="58"/>
  <c r="P261" i="58"/>
  <c r="M261" i="58"/>
  <c r="L261" i="58"/>
  <c r="P249" i="58"/>
  <c r="M249" i="58"/>
  <c r="L249" i="58"/>
  <c r="P237" i="58"/>
  <c r="M237" i="58"/>
  <c r="L237" i="58"/>
  <c r="P225" i="58"/>
  <c r="M225" i="58"/>
  <c r="L225" i="58"/>
  <c r="P213" i="58"/>
  <c r="M213" i="58"/>
  <c r="L213" i="58"/>
  <c r="P201" i="58"/>
  <c r="M201" i="58"/>
  <c r="L201" i="58"/>
  <c r="P189" i="58"/>
  <c r="M189" i="58"/>
  <c r="L189" i="58"/>
  <c r="P177" i="58"/>
  <c r="M177" i="58"/>
  <c r="L177" i="58"/>
  <c r="P164" i="58"/>
  <c r="M164" i="58"/>
  <c r="L164" i="58"/>
  <c r="P152" i="58"/>
  <c r="M152" i="58"/>
  <c r="L152" i="58"/>
  <c r="P140" i="58"/>
  <c r="M140" i="58"/>
  <c r="L140" i="58"/>
  <c r="P128" i="58"/>
  <c r="M128" i="58"/>
  <c r="L128" i="58"/>
  <c r="P116" i="58"/>
  <c r="M116" i="58"/>
  <c r="L116" i="58"/>
  <c r="P104" i="58"/>
  <c r="M104" i="58"/>
  <c r="L104" i="58"/>
  <c r="P92" i="58"/>
  <c r="M92" i="58"/>
  <c r="L92" i="58"/>
  <c r="P80" i="58"/>
  <c r="M80" i="58"/>
  <c r="L80" i="58"/>
  <c r="P68" i="58"/>
  <c r="M68" i="58"/>
  <c r="L68" i="58"/>
  <c r="P56" i="58"/>
  <c r="M56" i="58"/>
  <c r="L56" i="58"/>
  <c r="P44" i="58"/>
  <c r="M44" i="58"/>
  <c r="L44" i="58"/>
  <c r="P32" i="58"/>
  <c r="M32" i="58"/>
  <c r="L32" i="58"/>
  <c r="P20" i="58"/>
  <c r="M20" i="58"/>
  <c r="L20" i="58"/>
  <c r="P18" i="58"/>
  <c r="M18" i="58"/>
  <c r="L18" i="58"/>
  <c r="P504" i="58"/>
  <c r="M504" i="58"/>
  <c r="L504" i="58"/>
  <c r="P492" i="58"/>
  <c r="M492" i="58"/>
  <c r="L492" i="58"/>
  <c r="P480" i="58"/>
  <c r="M480" i="58"/>
  <c r="L480" i="58"/>
  <c r="P468" i="58"/>
  <c r="M468" i="58"/>
  <c r="L468" i="58"/>
  <c r="P456" i="58"/>
  <c r="M456" i="58"/>
  <c r="L456" i="58"/>
  <c r="P444" i="58"/>
  <c r="M444" i="58"/>
  <c r="L444" i="58"/>
  <c r="P432" i="58"/>
  <c r="M432" i="58"/>
  <c r="L432" i="58"/>
  <c r="P420" i="58"/>
  <c r="M420" i="58"/>
  <c r="L420" i="58"/>
  <c r="P408" i="58"/>
  <c r="M408" i="58"/>
  <c r="L408" i="58"/>
  <c r="P396" i="58"/>
  <c r="M396" i="58"/>
  <c r="L396" i="58"/>
  <c r="P384" i="58"/>
  <c r="M384" i="58"/>
  <c r="L384" i="58"/>
  <c r="P372" i="58"/>
  <c r="M372" i="58"/>
  <c r="L372" i="58"/>
  <c r="P356" i="58"/>
  <c r="M356" i="58"/>
  <c r="L356" i="58"/>
  <c r="P344" i="58"/>
  <c r="M344" i="58"/>
  <c r="L344" i="58"/>
  <c r="P332" i="58"/>
  <c r="M332" i="58"/>
  <c r="L332" i="58"/>
  <c r="P320" i="58"/>
  <c r="M320" i="58"/>
  <c r="L320" i="58"/>
  <c r="P308" i="58"/>
  <c r="M308" i="58"/>
  <c r="L308" i="58"/>
  <c r="P296" i="58"/>
  <c r="M296" i="58"/>
  <c r="L296" i="58"/>
  <c r="P284" i="58"/>
  <c r="M284" i="58"/>
  <c r="L284" i="58"/>
  <c r="P272" i="58"/>
  <c r="M272" i="58"/>
  <c r="L272" i="58"/>
  <c r="P260" i="58"/>
  <c r="M260" i="58"/>
  <c r="L260" i="58"/>
  <c r="P248" i="58"/>
  <c r="M248" i="58"/>
  <c r="L248" i="58"/>
  <c r="P236" i="58"/>
  <c r="M236" i="58"/>
  <c r="L236" i="58"/>
  <c r="P224" i="58"/>
  <c r="M224" i="58"/>
  <c r="L224" i="58"/>
  <c r="P212" i="58"/>
  <c r="M212" i="58"/>
  <c r="L212" i="58"/>
  <c r="P200" i="58"/>
  <c r="M200" i="58"/>
  <c r="L200" i="58"/>
  <c r="P188" i="58"/>
  <c r="M188" i="58"/>
  <c r="L188" i="58"/>
  <c r="P175" i="58"/>
  <c r="M175" i="58"/>
  <c r="L175" i="58"/>
  <c r="P163" i="58"/>
  <c r="M163" i="58"/>
  <c r="L163" i="58"/>
  <c r="P151" i="58"/>
  <c r="M151" i="58"/>
  <c r="L151" i="58"/>
  <c r="P139" i="58"/>
  <c r="M139" i="58"/>
  <c r="L139" i="58"/>
  <c r="P127" i="58"/>
  <c r="M127" i="58"/>
  <c r="L127" i="58"/>
  <c r="P115" i="58"/>
  <c r="M115" i="58"/>
  <c r="L115" i="58"/>
  <c r="P103" i="58"/>
  <c r="M103" i="58"/>
  <c r="L103" i="58"/>
  <c r="P91" i="58"/>
  <c r="M91" i="58"/>
  <c r="L91" i="58"/>
  <c r="P79" i="58"/>
  <c r="M79" i="58"/>
  <c r="L79" i="58"/>
  <c r="P67" i="58"/>
  <c r="M67" i="58"/>
  <c r="L67" i="58"/>
  <c r="P55" i="58"/>
  <c r="M55" i="58"/>
  <c r="L55" i="58"/>
  <c r="P43" i="58"/>
  <c r="M43" i="58"/>
  <c r="L43" i="58"/>
  <c r="P31" i="58"/>
  <c r="M31" i="58"/>
  <c r="L31" i="58"/>
  <c r="P19" i="58"/>
  <c r="M19" i="58"/>
  <c r="L19" i="58"/>
  <c r="P491" i="58"/>
  <c r="M491" i="58"/>
  <c r="L491" i="58"/>
  <c r="P443" i="58"/>
  <c r="M443" i="58"/>
  <c r="L443" i="58"/>
  <c r="P395" i="58"/>
  <c r="M395" i="58"/>
  <c r="L395" i="58"/>
  <c r="P331" i="58"/>
  <c r="M331" i="58"/>
  <c r="L331" i="58"/>
  <c r="P247" i="58"/>
  <c r="M247" i="58"/>
  <c r="L247" i="58"/>
  <c r="P126" i="58"/>
  <c r="M126" i="58"/>
  <c r="L126" i="58"/>
  <c r="P503" i="58"/>
  <c r="M503" i="58"/>
  <c r="L503" i="58"/>
  <c r="P467" i="58"/>
  <c r="M467" i="58"/>
  <c r="L467" i="58"/>
  <c r="P431" i="58"/>
  <c r="M431" i="58"/>
  <c r="L431" i="58"/>
  <c r="P407" i="58"/>
  <c r="M407" i="58"/>
  <c r="L407" i="58"/>
  <c r="P371" i="58"/>
  <c r="M371" i="58"/>
  <c r="L371" i="58"/>
  <c r="P343" i="58"/>
  <c r="M343" i="58"/>
  <c r="L343" i="58"/>
  <c r="P295" i="58"/>
  <c r="M295" i="58"/>
  <c r="L295" i="58"/>
  <c r="P271" i="58"/>
  <c r="M271" i="58"/>
  <c r="L271" i="58"/>
  <c r="P235" i="58"/>
  <c r="M235" i="58"/>
  <c r="L235" i="58"/>
  <c r="P211" i="58"/>
  <c r="M211" i="58"/>
  <c r="L211" i="58"/>
  <c r="P187" i="58"/>
  <c r="M187" i="58"/>
  <c r="L187" i="58"/>
  <c r="P162" i="58"/>
  <c r="M162" i="58"/>
  <c r="L162" i="58"/>
  <c r="P150" i="58"/>
  <c r="M150" i="58"/>
  <c r="L150" i="58"/>
  <c r="P114" i="58"/>
  <c r="M114" i="58"/>
  <c r="L114" i="58"/>
  <c r="P90" i="58"/>
  <c r="M90" i="58"/>
  <c r="L90" i="58"/>
  <c r="P66" i="58"/>
  <c r="M66" i="58"/>
  <c r="L66" i="58"/>
  <c r="P54" i="58"/>
  <c r="M54" i="58"/>
  <c r="L54" i="58"/>
  <c r="P30" i="58"/>
  <c r="M30" i="58"/>
  <c r="L30" i="58"/>
  <c r="M563" i="58"/>
  <c r="L563" i="58"/>
  <c r="P563" i="58"/>
  <c r="M502" i="58"/>
  <c r="L502" i="58"/>
  <c r="P502" i="58"/>
  <c r="M490" i="58"/>
  <c r="L490" i="58"/>
  <c r="P490" i="58"/>
  <c r="M478" i="58"/>
  <c r="L478" i="58"/>
  <c r="P478" i="58"/>
  <c r="M466" i="58"/>
  <c r="P466" i="58"/>
  <c r="L466" i="58"/>
  <c r="M454" i="58"/>
  <c r="L454" i="58"/>
  <c r="P454" i="58"/>
  <c r="M442" i="58"/>
  <c r="L442" i="58"/>
  <c r="P442" i="58"/>
  <c r="M430" i="58"/>
  <c r="L430" i="58"/>
  <c r="P430" i="58"/>
  <c r="M418" i="58"/>
  <c r="L418" i="58"/>
  <c r="P418" i="58"/>
  <c r="M406" i="58"/>
  <c r="L406" i="58"/>
  <c r="P406" i="58"/>
  <c r="M394" i="58"/>
  <c r="P394" i="58"/>
  <c r="L394" i="58"/>
  <c r="M382" i="58"/>
  <c r="L382" i="58"/>
  <c r="P382" i="58"/>
  <c r="M370" i="58"/>
  <c r="L370" i="58"/>
  <c r="P370" i="58"/>
  <c r="M354" i="58"/>
  <c r="L354" i="58"/>
  <c r="P354" i="58"/>
  <c r="M342" i="58"/>
  <c r="L342" i="58"/>
  <c r="P342" i="58"/>
  <c r="M330" i="58"/>
  <c r="L330" i="58"/>
  <c r="P330" i="58"/>
  <c r="M318" i="58"/>
  <c r="P318" i="58"/>
  <c r="L318" i="58"/>
  <c r="M306" i="58"/>
  <c r="L306" i="58"/>
  <c r="P306" i="58"/>
  <c r="M294" i="58"/>
  <c r="L294" i="58"/>
  <c r="P294" i="58"/>
  <c r="M282" i="58"/>
  <c r="L282" i="58"/>
  <c r="P282" i="58"/>
  <c r="M270" i="58"/>
  <c r="L270" i="58"/>
  <c r="P270" i="58"/>
  <c r="M258" i="58"/>
  <c r="L258" i="58"/>
  <c r="P258" i="58"/>
  <c r="M246" i="58"/>
  <c r="P246" i="58"/>
  <c r="L246" i="58"/>
  <c r="M234" i="58"/>
  <c r="L234" i="58"/>
  <c r="P234" i="58"/>
  <c r="M222" i="58"/>
  <c r="L222" i="58"/>
  <c r="P222" i="58"/>
  <c r="M210" i="58"/>
  <c r="L210" i="58"/>
  <c r="P210" i="58"/>
  <c r="M198" i="58"/>
  <c r="L198" i="58"/>
  <c r="P198" i="58"/>
  <c r="M186" i="58"/>
  <c r="L186" i="58"/>
  <c r="P186" i="58"/>
  <c r="M173" i="58"/>
  <c r="P173" i="58"/>
  <c r="L173" i="58"/>
  <c r="M161" i="58"/>
  <c r="L161" i="58"/>
  <c r="P161" i="58"/>
  <c r="M149" i="58"/>
  <c r="L149" i="58"/>
  <c r="P149" i="58"/>
  <c r="M137" i="58"/>
  <c r="L137" i="58"/>
  <c r="P137" i="58"/>
  <c r="M125" i="58"/>
  <c r="L125" i="58"/>
  <c r="P125" i="58"/>
  <c r="M113" i="58"/>
  <c r="L113" i="58"/>
  <c r="P113" i="58"/>
  <c r="M101" i="58"/>
  <c r="P101" i="58"/>
  <c r="L101" i="58"/>
  <c r="M89" i="58"/>
  <c r="L89" i="58"/>
  <c r="P89" i="58"/>
  <c r="M77" i="58"/>
  <c r="L77" i="58"/>
  <c r="P77" i="58"/>
  <c r="M65" i="58"/>
  <c r="L65" i="58"/>
  <c r="P65" i="58"/>
  <c r="M53" i="58"/>
  <c r="L53" i="58"/>
  <c r="P53" i="58"/>
  <c r="M41" i="58"/>
  <c r="L41" i="58"/>
  <c r="P41" i="58"/>
  <c r="M29" i="58"/>
  <c r="L29" i="58"/>
  <c r="P29" i="58"/>
  <c r="P555" i="58"/>
  <c r="M555" i="58"/>
  <c r="L555" i="58"/>
  <c r="P458" i="58"/>
  <c r="M458" i="58"/>
  <c r="L458" i="58"/>
  <c r="P434" i="58"/>
  <c r="M434" i="58"/>
  <c r="L434" i="58"/>
  <c r="P410" i="58"/>
  <c r="M410" i="58"/>
  <c r="L410" i="58"/>
  <c r="P362" i="58"/>
  <c r="M362" i="58"/>
  <c r="L362" i="58"/>
  <c r="P322" i="58"/>
  <c r="M322" i="58"/>
  <c r="L322" i="58"/>
  <c r="P238" i="58"/>
  <c r="M238" i="58"/>
  <c r="L238" i="58"/>
  <c r="L562" i="58"/>
  <c r="M562" i="58"/>
  <c r="P562" i="58"/>
  <c r="M501" i="58"/>
  <c r="L501" i="58"/>
  <c r="P501" i="58"/>
  <c r="L489" i="58"/>
  <c r="P489" i="58"/>
  <c r="M489" i="58"/>
  <c r="L477" i="58"/>
  <c r="P477" i="58"/>
  <c r="M477" i="58"/>
  <c r="P465" i="58"/>
  <c r="L465" i="58"/>
  <c r="M465" i="58"/>
  <c r="M453" i="58"/>
  <c r="L453" i="58"/>
  <c r="P453" i="58"/>
  <c r="L441" i="58"/>
  <c r="M441" i="58"/>
  <c r="P441" i="58"/>
  <c r="L429" i="58"/>
  <c r="P429" i="58"/>
  <c r="M429" i="58"/>
  <c r="L417" i="58"/>
  <c r="M417" i="58"/>
  <c r="P417" i="58"/>
  <c r="M405" i="58"/>
  <c r="L405" i="58"/>
  <c r="P405" i="58"/>
  <c r="P393" i="58"/>
  <c r="L393" i="58"/>
  <c r="M393" i="58"/>
  <c r="L381" i="58"/>
  <c r="M381" i="58"/>
  <c r="P381" i="58"/>
  <c r="L369" i="58"/>
  <c r="M369" i="58"/>
  <c r="P369" i="58"/>
  <c r="M353" i="58"/>
  <c r="L353" i="58"/>
  <c r="P353" i="58"/>
  <c r="L341" i="58"/>
  <c r="P341" i="58"/>
  <c r="M341" i="58"/>
  <c r="L329" i="58"/>
  <c r="P329" i="58"/>
  <c r="M329" i="58"/>
  <c r="P317" i="58"/>
  <c r="L317" i="58"/>
  <c r="M317" i="58"/>
  <c r="M305" i="58"/>
  <c r="L305" i="58"/>
  <c r="P305" i="58"/>
  <c r="L293" i="58"/>
  <c r="M293" i="58"/>
  <c r="P293" i="58"/>
  <c r="L281" i="58"/>
  <c r="P281" i="58"/>
  <c r="M281" i="58"/>
  <c r="L269" i="58"/>
  <c r="M269" i="58"/>
  <c r="P269" i="58"/>
  <c r="M257" i="58"/>
  <c r="L257" i="58"/>
  <c r="P257" i="58"/>
  <c r="P245" i="58"/>
  <c r="L245" i="58"/>
  <c r="M245" i="58"/>
  <c r="L233" i="58"/>
  <c r="M233" i="58"/>
  <c r="P233" i="58"/>
  <c r="L221" i="58"/>
  <c r="M221" i="58"/>
  <c r="P221" i="58"/>
  <c r="M209" i="58"/>
  <c r="L209" i="58"/>
  <c r="P209" i="58"/>
  <c r="L197" i="58"/>
  <c r="P197" i="58"/>
  <c r="M197" i="58"/>
  <c r="L185" i="58"/>
  <c r="P185" i="58"/>
  <c r="M185" i="58"/>
  <c r="P172" i="58"/>
  <c r="L172" i="58"/>
  <c r="M172" i="58"/>
  <c r="M160" i="58"/>
  <c r="L160" i="58"/>
  <c r="P160" i="58"/>
  <c r="L148" i="58"/>
  <c r="M148" i="58"/>
  <c r="P148" i="58"/>
  <c r="L136" i="58"/>
  <c r="P136" i="58"/>
  <c r="M136" i="58"/>
  <c r="L124" i="58"/>
  <c r="M124" i="58"/>
  <c r="P124" i="58"/>
  <c r="M112" i="58"/>
  <c r="L112" i="58"/>
  <c r="P112" i="58"/>
  <c r="P100" i="58"/>
  <c r="L100" i="58"/>
  <c r="M100" i="58"/>
  <c r="L88" i="58"/>
  <c r="M88" i="58"/>
  <c r="P88" i="58"/>
  <c r="L76" i="58"/>
  <c r="M76" i="58"/>
  <c r="P76" i="58"/>
  <c r="L64" i="58"/>
  <c r="M64" i="58"/>
  <c r="P64" i="58"/>
  <c r="L52" i="58"/>
  <c r="M52" i="58"/>
  <c r="P52" i="58"/>
  <c r="L40" i="58"/>
  <c r="M40" i="58"/>
  <c r="P40" i="58"/>
  <c r="L28" i="58"/>
  <c r="P28" i="58"/>
  <c r="M28" i="58"/>
  <c r="P564" i="58"/>
  <c r="M564" i="58"/>
  <c r="L564" i="58"/>
  <c r="P479" i="58"/>
  <c r="M479" i="58"/>
  <c r="L479" i="58"/>
  <c r="P455" i="58"/>
  <c r="M455" i="58"/>
  <c r="L455" i="58"/>
  <c r="P419" i="58"/>
  <c r="M419" i="58"/>
  <c r="L419" i="58"/>
  <c r="P383" i="58"/>
  <c r="M383" i="58"/>
  <c r="L383" i="58"/>
  <c r="P355" i="58"/>
  <c r="M355" i="58"/>
  <c r="L355" i="58"/>
  <c r="P319" i="58"/>
  <c r="M319" i="58"/>
  <c r="L319" i="58"/>
  <c r="P307" i="58"/>
  <c r="M307" i="58"/>
  <c r="L307" i="58"/>
  <c r="P283" i="58"/>
  <c r="M283" i="58"/>
  <c r="L283" i="58"/>
  <c r="P259" i="58"/>
  <c r="M259" i="58"/>
  <c r="L259" i="58"/>
  <c r="P223" i="58"/>
  <c r="M223" i="58"/>
  <c r="L223" i="58"/>
  <c r="P199" i="58"/>
  <c r="M199" i="58"/>
  <c r="L199" i="58"/>
  <c r="P174" i="58"/>
  <c r="M174" i="58"/>
  <c r="L174" i="58"/>
  <c r="P138" i="58"/>
  <c r="M138" i="58"/>
  <c r="L138" i="58"/>
  <c r="P102" i="58"/>
  <c r="M102" i="58"/>
  <c r="L102" i="58"/>
  <c r="P78" i="58"/>
  <c r="M78" i="58"/>
  <c r="L78" i="58"/>
  <c r="P42" i="58"/>
  <c r="M42" i="58"/>
  <c r="L42" i="58"/>
  <c r="P561" i="58"/>
  <c r="L561" i="58"/>
  <c r="M561" i="58"/>
  <c r="P500" i="58"/>
  <c r="L500" i="58"/>
  <c r="M500" i="58"/>
  <c r="P488" i="58"/>
  <c r="L488" i="58"/>
  <c r="M488" i="58"/>
  <c r="P476" i="58"/>
  <c r="L476" i="58"/>
  <c r="M476" i="58"/>
  <c r="P464" i="58"/>
  <c r="L464" i="58"/>
  <c r="M464" i="58"/>
  <c r="P452" i="58"/>
  <c r="L452" i="58"/>
  <c r="M452" i="58"/>
  <c r="P440" i="58"/>
  <c r="L440" i="58"/>
  <c r="M440" i="58"/>
  <c r="P428" i="58"/>
  <c r="L428" i="58"/>
  <c r="M428" i="58"/>
  <c r="P416" i="58"/>
  <c r="L416" i="58"/>
  <c r="M416" i="58"/>
  <c r="P404" i="58"/>
  <c r="L404" i="58"/>
  <c r="M404" i="58"/>
  <c r="P392" i="58"/>
  <c r="L392" i="58"/>
  <c r="M392" i="58"/>
  <c r="P380" i="58"/>
  <c r="L380" i="58"/>
  <c r="M380" i="58"/>
  <c r="P368" i="58"/>
  <c r="L368" i="58"/>
  <c r="M368" i="58"/>
  <c r="P352" i="58"/>
  <c r="L352" i="58"/>
  <c r="M352" i="58"/>
  <c r="P340" i="58"/>
  <c r="L340" i="58"/>
  <c r="M340" i="58"/>
  <c r="P328" i="58"/>
  <c r="L328" i="58"/>
  <c r="M328" i="58"/>
  <c r="P316" i="58"/>
  <c r="L316" i="58"/>
  <c r="M316" i="58"/>
  <c r="P304" i="58"/>
  <c r="L304" i="58"/>
  <c r="M304" i="58"/>
  <c r="P292" i="58"/>
  <c r="L292" i="58"/>
  <c r="M292" i="58"/>
  <c r="P280" i="58"/>
  <c r="L280" i="58"/>
  <c r="M280" i="58"/>
  <c r="P268" i="58"/>
  <c r="L268" i="58"/>
  <c r="M268" i="58"/>
  <c r="P256" i="58"/>
  <c r="L256" i="58"/>
  <c r="M256" i="58"/>
  <c r="P244" i="58"/>
  <c r="L244" i="58"/>
  <c r="M244" i="58"/>
  <c r="P232" i="58"/>
  <c r="L232" i="58"/>
  <c r="M232" i="58"/>
  <c r="P220" i="58"/>
  <c r="L220" i="58"/>
  <c r="M220" i="58"/>
  <c r="P208" i="58"/>
  <c r="L208" i="58"/>
  <c r="M208" i="58"/>
  <c r="P196" i="58"/>
  <c r="L196" i="58"/>
  <c r="M196" i="58"/>
  <c r="P184" i="58"/>
  <c r="L184" i="58"/>
  <c r="M184" i="58"/>
  <c r="P171" i="58"/>
  <c r="L171" i="58"/>
  <c r="M171" i="58"/>
  <c r="P159" i="58"/>
  <c r="L159" i="58"/>
  <c r="M159" i="58"/>
  <c r="P147" i="58"/>
  <c r="L147" i="58"/>
  <c r="M147" i="58"/>
  <c r="P135" i="58"/>
  <c r="L135" i="58"/>
  <c r="M135" i="58"/>
  <c r="P123" i="58"/>
  <c r="L123" i="58"/>
  <c r="M123" i="58"/>
  <c r="P111" i="58"/>
  <c r="M111" i="58"/>
  <c r="L111" i="58"/>
  <c r="P99" i="58"/>
  <c r="L99" i="58"/>
  <c r="M99" i="58"/>
  <c r="P87" i="58"/>
  <c r="L87" i="58"/>
  <c r="M87" i="58"/>
  <c r="P75" i="58"/>
  <c r="L75" i="58"/>
  <c r="M75" i="58"/>
  <c r="P63" i="58"/>
  <c r="L63" i="58"/>
  <c r="M63" i="58"/>
  <c r="P51" i="58"/>
  <c r="L51" i="58"/>
  <c r="M51" i="58"/>
  <c r="P39" i="58"/>
  <c r="M39" i="58"/>
  <c r="L39" i="58"/>
  <c r="P27" i="58"/>
  <c r="L27" i="58"/>
  <c r="M27" i="58"/>
  <c r="I19" i="57"/>
  <c r="M19" i="57"/>
  <c r="P19" i="57"/>
  <c r="L19" i="57"/>
  <c r="P498" i="58"/>
  <c r="M498" i="58"/>
  <c r="L498" i="58"/>
  <c r="P474" i="58"/>
  <c r="M474" i="58"/>
  <c r="L474" i="58"/>
  <c r="P450" i="58"/>
  <c r="M450" i="58"/>
  <c r="L450" i="58"/>
  <c r="P426" i="58"/>
  <c r="M426" i="58"/>
  <c r="L426" i="58"/>
  <c r="P402" i="58"/>
  <c r="M402" i="58"/>
  <c r="L402" i="58"/>
  <c r="P378" i="58"/>
  <c r="M378" i="58"/>
  <c r="L378" i="58"/>
  <c r="P350" i="58"/>
  <c r="M350" i="58"/>
  <c r="L350" i="58"/>
  <c r="P326" i="58"/>
  <c r="M326" i="58"/>
  <c r="L326" i="58"/>
  <c r="P302" i="58"/>
  <c r="M302" i="58"/>
  <c r="L302" i="58"/>
  <c r="P278" i="58"/>
  <c r="M278" i="58"/>
  <c r="L278" i="58"/>
  <c r="P254" i="58"/>
  <c r="M254" i="58"/>
  <c r="L254" i="58"/>
  <c r="P230" i="58"/>
  <c r="M230" i="58"/>
  <c r="L230" i="58"/>
  <c r="P206" i="58"/>
  <c r="M206" i="58"/>
  <c r="L206" i="58"/>
  <c r="P182" i="58"/>
  <c r="M182" i="58"/>
  <c r="L182" i="58"/>
  <c r="P157" i="58"/>
  <c r="M157" i="58"/>
  <c r="L157" i="58"/>
  <c r="P133" i="58"/>
  <c r="M133" i="58"/>
  <c r="L133" i="58"/>
  <c r="P109" i="58"/>
  <c r="M109" i="58"/>
  <c r="L109" i="58"/>
  <c r="P97" i="58"/>
  <c r="M97" i="58"/>
  <c r="L97" i="58"/>
  <c r="P85" i="58"/>
  <c r="M85" i="58"/>
  <c r="L85" i="58"/>
  <c r="P73" i="58"/>
  <c r="M73" i="58"/>
  <c r="L73" i="58"/>
  <c r="P49" i="58"/>
  <c r="M49" i="58"/>
  <c r="L49" i="58"/>
  <c r="P37" i="58"/>
  <c r="M37" i="58"/>
  <c r="P25" i="58"/>
  <c r="M25" i="58"/>
  <c r="L25" i="58"/>
  <c r="P559" i="58"/>
  <c r="M559" i="58"/>
  <c r="L559" i="58"/>
  <c r="P486" i="58"/>
  <c r="M486" i="58"/>
  <c r="L486" i="58"/>
  <c r="P462" i="58"/>
  <c r="M462" i="58"/>
  <c r="L462" i="58"/>
  <c r="P438" i="58"/>
  <c r="M438" i="58"/>
  <c r="L438" i="58"/>
  <c r="P414" i="58"/>
  <c r="M414" i="58"/>
  <c r="L414" i="58"/>
  <c r="P390" i="58"/>
  <c r="M390" i="58"/>
  <c r="L390" i="58"/>
  <c r="P366" i="58"/>
  <c r="M366" i="58"/>
  <c r="L366" i="58"/>
  <c r="P338" i="58"/>
  <c r="M338" i="58"/>
  <c r="L338" i="58"/>
  <c r="P314" i="58"/>
  <c r="M314" i="58"/>
  <c r="L314" i="58"/>
  <c r="P290" i="58"/>
  <c r="M290" i="58"/>
  <c r="L290" i="58"/>
  <c r="P266" i="58"/>
  <c r="M266" i="58"/>
  <c r="L266" i="58"/>
  <c r="P242" i="58"/>
  <c r="M242" i="58"/>
  <c r="L242" i="58"/>
  <c r="P218" i="58"/>
  <c r="M218" i="58"/>
  <c r="L218" i="58"/>
  <c r="P194" i="58"/>
  <c r="M194" i="58"/>
  <c r="L194" i="58"/>
  <c r="P169" i="58"/>
  <c r="M169" i="58"/>
  <c r="L169" i="58"/>
  <c r="P145" i="58"/>
  <c r="M145" i="58"/>
  <c r="L145" i="58"/>
  <c r="P121" i="58"/>
  <c r="M121" i="58"/>
  <c r="L121" i="58"/>
  <c r="P61" i="58"/>
  <c r="M61" i="58"/>
  <c r="L61" i="58"/>
  <c r="L24" i="57"/>
  <c r="M24" i="57"/>
  <c r="P24" i="57"/>
  <c r="P558" i="58"/>
  <c r="M558" i="58"/>
  <c r="L558" i="58"/>
  <c r="P497" i="58"/>
  <c r="M497" i="58"/>
  <c r="L497" i="58"/>
  <c r="P485" i="58"/>
  <c r="M485" i="58"/>
  <c r="L485" i="58"/>
  <c r="P473" i="58"/>
  <c r="M473" i="58"/>
  <c r="L473" i="58"/>
  <c r="P461" i="58"/>
  <c r="M461" i="58"/>
  <c r="L461" i="58"/>
  <c r="P449" i="58"/>
  <c r="M449" i="58"/>
  <c r="L449" i="58"/>
  <c r="P437" i="58"/>
  <c r="M437" i="58"/>
  <c r="L437" i="58"/>
  <c r="P425" i="58"/>
  <c r="M425" i="58"/>
  <c r="L425" i="58"/>
  <c r="P413" i="58"/>
  <c r="M413" i="58"/>
  <c r="L413" i="58"/>
  <c r="P401" i="58"/>
  <c r="M401" i="58"/>
  <c r="L401" i="58"/>
  <c r="P389" i="58"/>
  <c r="M389" i="58"/>
  <c r="L389" i="58"/>
  <c r="P377" i="58"/>
  <c r="M377" i="58"/>
  <c r="L377" i="58"/>
  <c r="P365" i="58"/>
  <c r="M365" i="58"/>
  <c r="L365" i="58"/>
  <c r="P349" i="58"/>
  <c r="M349" i="58"/>
  <c r="L349" i="58"/>
  <c r="P337" i="58"/>
  <c r="M337" i="58"/>
  <c r="L337" i="58"/>
  <c r="P325" i="58"/>
  <c r="M325" i="58"/>
  <c r="L325" i="58"/>
  <c r="P313" i="58"/>
  <c r="M313" i="58"/>
  <c r="L313" i="58"/>
  <c r="P301" i="58"/>
  <c r="M301" i="58"/>
  <c r="L301" i="58"/>
  <c r="P289" i="58"/>
  <c r="M289" i="58"/>
  <c r="L289" i="58"/>
  <c r="P277" i="58"/>
  <c r="M277" i="58"/>
  <c r="L277" i="58"/>
  <c r="P265" i="58"/>
  <c r="M265" i="58"/>
  <c r="L265" i="58"/>
  <c r="P253" i="58"/>
  <c r="M253" i="58"/>
  <c r="L253" i="58"/>
  <c r="P241" i="58"/>
  <c r="M241" i="58"/>
  <c r="L241" i="58"/>
  <c r="P229" i="58"/>
  <c r="M229" i="58"/>
  <c r="L229" i="58"/>
  <c r="P217" i="58"/>
  <c r="M217" i="58"/>
  <c r="L217" i="58"/>
  <c r="P205" i="58"/>
  <c r="M205" i="58"/>
  <c r="L205" i="58"/>
  <c r="P193" i="58"/>
  <c r="M193" i="58"/>
  <c r="L193" i="58"/>
  <c r="P181" i="58"/>
  <c r="M181" i="58"/>
  <c r="L181" i="58"/>
  <c r="P168" i="58"/>
  <c r="M168" i="58"/>
  <c r="L168" i="58"/>
  <c r="P156" i="58"/>
  <c r="M156" i="58"/>
  <c r="L156" i="58"/>
  <c r="P144" i="58"/>
  <c r="M144" i="58"/>
  <c r="L144" i="58"/>
  <c r="P132" i="58"/>
  <c r="M132" i="58"/>
  <c r="L132" i="58"/>
  <c r="P120" i="58"/>
  <c r="M120" i="58"/>
  <c r="L120" i="58"/>
  <c r="P108" i="58"/>
  <c r="M108" i="58"/>
  <c r="L108" i="58"/>
  <c r="P96" i="58"/>
  <c r="M96" i="58"/>
  <c r="L96" i="58"/>
  <c r="P84" i="58"/>
  <c r="M84" i="58"/>
  <c r="L84" i="58"/>
  <c r="P72" i="58"/>
  <c r="M72" i="58"/>
  <c r="L72" i="58"/>
  <c r="P60" i="58"/>
  <c r="M60" i="58"/>
  <c r="L60" i="58"/>
  <c r="P48" i="58"/>
  <c r="M48" i="58"/>
  <c r="L48" i="58"/>
  <c r="P36" i="58"/>
  <c r="M36" i="58"/>
  <c r="L36" i="58"/>
  <c r="P24" i="58"/>
  <c r="M24" i="58"/>
  <c r="L24" i="58"/>
  <c r="M22" i="57"/>
  <c r="P22" i="57"/>
  <c r="L22" i="57"/>
  <c r="P495" i="58"/>
  <c r="L495" i="58"/>
  <c r="M495" i="58"/>
  <c r="P471" i="58"/>
  <c r="M471" i="58"/>
  <c r="L471" i="58"/>
  <c r="P447" i="58"/>
  <c r="L447" i="58"/>
  <c r="M447" i="58"/>
  <c r="P423" i="58"/>
  <c r="M423" i="58"/>
  <c r="L423" i="58"/>
  <c r="P399" i="58"/>
  <c r="L399" i="58"/>
  <c r="M399" i="58"/>
  <c r="P375" i="58"/>
  <c r="M375" i="58"/>
  <c r="L375" i="58"/>
  <c r="P363" i="58"/>
  <c r="M363" i="58"/>
  <c r="L363" i="58"/>
  <c r="P347" i="58"/>
  <c r="L347" i="58"/>
  <c r="M347" i="58"/>
  <c r="P323" i="58"/>
  <c r="M323" i="58"/>
  <c r="L323" i="58"/>
  <c r="P311" i="58"/>
  <c r="M311" i="58"/>
  <c r="L311" i="58"/>
  <c r="P299" i="58"/>
  <c r="L299" i="58"/>
  <c r="M299" i="58"/>
  <c r="P287" i="58"/>
  <c r="M287" i="58"/>
  <c r="L287" i="58"/>
  <c r="P275" i="58"/>
  <c r="M275" i="58"/>
  <c r="L275" i="58"/>
  <c r="P263" i="58"/>
  <c r="M263" i="58"/>
  <c r="L263" i="58"/>
  <c r="P251" i="58"/>
  <c r="L251" i="58"/>
  <c r="M251" i="58"/>
  <c r="P239" i="58"/>
  <c r="M239" i="58"/>
  <c r="L239" i="58"/>
  <c r="P227" i="58"/>
  <c r="M227" i="58"/>
  <c r="L227" i="58"/>
  <c r="P203" i="58"/>
  <c r="L203" i="58"/>
  <c r="M203" i="58"/>
  <c r="P191" i="58"/>
  <c r="M191" i="58"/>
  <c r="L191" i="58"/>
  <c r="P179" i="58"/>
  <c r="M179" i="58"/>
  <c r="L179" i="58"/>
  <c r="I166" i="58"/>
  <c r="P166" i="58"/>
  <c r="M166" i="58"/>
  <c r="L166" i="58"/>
  <c r="P154" i="58"/>
  <c r="L154" i="58"/>
  <c r="M154" i="58"/>
  <c r="P142" i="58"/>
  <c r="M142" i="58"/>
  <c r="L142" i="58"/>
  <c r="P130" i="58"/>
  <c r="M130" i="58"/>
  <c r="L130" i="58"/>
  <c r="P118" i="58"/>
  <c r="M118" i="58"/>
  <c r="L118" i="58"/>
  <c r="P106" i="58"/>
  <c r="M106" i="58"/>
  <c r="L106" i="58"/>
  <c r="P94" i="58"/>
  <c r="M94" i="58"/>
  <c r="L94" i="58"/>
  <c r="P82" i="58"/>
  <c r="M82" i="58"/>
  <c r="L82" i="58"/>
  <c r="P70" i="58"/>
  <c r="M70" i="58"/>
  <c r="L70" i="58"/>
  <c r="P58" i="58"/>
  <c r="M58" i="58"/>
  <c r="L58" i="58"/>
  <c r="P46" i="58"/>
  <c r="M46" i="58"/>
  <c r="L46" i="58"/>
  <c r="P34" i="58"/>
  <c r="M34" i="58"/>
  <c r="L34" i="58"/>
  <c r="P22" i="58"/>
  <c r="M22" i="58"/>
  <c r="L22" i="58"/>
  <c r="I18" i="57"/>
  <c r="M18" i="57"/>
  <c r="P18" i="57"/>
  <c r="L18" i="57"/>
  <c r="P560" i="58"/>
  <c r="M560" i="58"/>
  <c r="L560" i="58"/>
  <c r="P499" i="58"/>
  <c r="M499" i="58"/>
  <c r="L499" i="58"/>
  <c r="P487" i="58"/>
  <c r="M487" i="58"/>
  <c r="L487" i="58"/>
  <c r="P475" i="58"/>
  <c r="M475" i="58"/>
  <c r="L475" i="58"/>
  <c r="P463" i="58"/>
  <c r="M463" i="58"/>
  <c r="L463" i="58"/>
  <c r="P451" i="58"/>
  <c r="M451" i="58"/>
  <c r="L451" i="58"/>
  <c r="P439" i="58"/>
  <c r="M439" i="58"/>
  <c r="L439" i="58"/>
  <c r="P427" i="58"/>
  <c r="M427" i="58"/>
  <c r="L427" i="58"/>
  <c r="P415" i="58"/>
  <c r="M415" i="58"/>
  <c r="L415" i="58"/>
  <c r="P403" i="58"/>
  <c r="M403" i="58"/>
  <c r="L403" i="58"/>
  <c r="P391" i="58"/>
  <c r="M391" i="58"/>
  <c r="L391" i="58"/>
  <c r="P379" i="58"/>
  <c r="M379" i="58"/>
  <c r="L379" i="58"/>
  <c r="P367" i="58"/>
  <c r="M367" i="58"/>
  <c r="L367" i="58"/>
  <c r="P351" i="58"/>
  <c r="M351" i="58"/>
  <c r="L351" i="58"/>
  <c r="P339" i="58"/>
  <c r="M339" i="58"/>
  <c r="L339" i="58"/>
  <c r="P327" i="58"/>
  <c r="M327" i="58"/>
  <c r="L327" i="58"/>
  <c r="P315" i="58"/>
  <c r="M315" i="58"/>
  <c r="L315" i="58"/>
  <c r="P303" i="58"/>
  <c r="M303" i="58"/>
  <c r="L303" i="58"/>
  <c r="P291" i="58"/>
  <c r="M291" i="58"/>
  <c r="L291" i="58"/>
  <c r="P279" i="58"/>
  <c r="M279" i="58"/>
  <c r="L279" i="58"/>
  <c r="P267" i="58"/>
  <c r="M267" i="58"/>
  <c r="L267" i="58"/>
  <c r="P255" i="58"/>
  <c r="M255" i="58"/>
  <c r="L255" i="58"/>
  <c r="P243" i="58"/>
  <c r="M243" i="58"/>
  <c r="L243" i="58"/>
  <c r="P231" i="58"/>
  <c r="M231" i="58"/>
  <c r="L231" i="58"/>
  <c r="P219" i="58"/>
  <c r="M219" i="58"/>
  <c r="L219" i="58"/>
  <c r="P207" i="58"/>
  <c r="M207" i="58"/>
  <c r="L207" i="58"/>
  <c r="P195" i="58"/>
  <c r="M195" i="58"/>
  <c r="L195" i="58"/>
  <c r="P183" i="58"/>
  <c r="M183" i="58"/>
  <c r="L183" i="58"/>
  <c r="P170" i="58"/>
  <c r="M170" i="58"/>
  <c r="L170" i="58"/>
  <c r="P158" i="58"/>
  <c r="M158" i="58"/>
  <c r="L158" i="58"/>
  <c r="P146" i="58"/>
  <c r="M146" i="58"/>
  <c r="L146" i="58"/>
  <c r="P134" i="58"/>
  <c r="M134" i="58"/>
  <c r="L134" i="58"/>
  <c r="P122" i="58"/>
  <c r="M122" i="58"/>
  <c r="L122" i="58"/>
  <c r="P110" i="58"/>
  <c r="M110" i="58"/>
  <c r="L110" i="58"/>
  <c r="P98" i="58"/>
  <c r="M98" i="58"/>
  <c r="L98" i="58"/>
  <c r="P86" i="58"/>
  <c r="M86" i="58"/>
  <c r="L86" i="58"/>
  <c r="P74" i="58"/>
  <c r="M74" i="58"/>
  <c r="L74" i="58"/>
  <c r="P62" i="58"/>
  <c r="M62" i="58"/>
  <c r="L62" i="58"/>
  <c r="P50" i="58"/>
  <c r="M50" i="58"/>
  <c r="L50" i="58"/>
  <c r="P38" i="58"/>
  <c r="M38" i="58"/>
  <c r="L38" i="58"/>
  <c r="P26" i="58"/>
  <c r="M26" i="58"/>
  <c r="L26" i="58"/>
  <c r="L23" i="57"/>
  <c r="M23" i="57"/>
  <c r="P23" i="57"/>
  <c r="P557" i="58"/>
  <c r="M557" i="58"/>
  <c r="L557" i="58"/>
  <c r="P496" i="58"/>
  <c r="M496" i="58"/>
  <c r="L496" i="58"/>
  <c r="P484" i="58"/>
  <c r="M484" i="58"/>
  <c r="L484" i="58"/>
  <c r="P472" i="58"/>
  <c r="M472" i="58"/>
  <c r="L472" i="58"/>
  <c r="P460" i="58"/>
  <c r="M460" i="58"/>
  <c r="L460" i="58"/>
  <c r="P448" i="58"/>
  <c r="M448" i="58"/>
  <c r="L448" i="58"/>
  <c r="P436" i="58"/>
  <c r="M436" i="58"/>
  <c r="L436" i="58"/>
  <c r="P424" i="58"/>
  <c r="M424" i="58"/>
  <c r="L424" i="58"/>
  <c r="P412" i="58"/>
  <c r="M412" i="58"/>
  <c r="L412" i="58"/>
  <c r="P400" i="58"/>
  <c r="M400" i="58"/>
  <c r="L400" i="58"/>
  <c r="P388" i="58"/>
  <c r="M388" i="58"/>
  <c r="L388" i="58"/>
  <c r="P376" i="58"/>
  <c r="M376" i="58"/>
  <c r="L376" i="58"/>
  <c r="P364" i="58"/>
  <c r="M364" i="58"/>
  <c r="L364" i="58"/>
  <c r="P348" i="58"/>
  <c r="M348" i="58"/>
  <c r="L348" i="58"/>
  <c r="P336" i="58"/>
  <c r="M336" i="58"/>
  <c r="L336" i="58"/>
  <c r="P324" i="58"/>
  <c r="M324" i="58"/>
  <c r="L324" i="58"/>
  <c r="P312" i="58"/>
  <c r="M312" i="58"/>
  <c r="L312" i="58"/>
  <c r="P300" i="58"/>
  <c r="M300" i="58"/>
  <c r="L300" i="58"/>
  <c r="P288" i="58"/>
  <c r="M288" i="58"/>
  <c r="L288" i="58"/>
  <c r="P276" i="58"/>
  <c r="M276" i="58"/>
  <c r="L276" i="58"/>
  <c r="P264" i="58"/>
  <c r="M264" i="58"/>
  <c r="L264" i="58"/>
  <c r="P252" i="58"/>
  <c r="M252" i="58"/>
  <c r="L252" i="58"/>
  <c r="P240" i="58"/>
  <c r="M240" i="58"/>
  <c r="L240" i="58"/>
  <c r="P228" i="58"/>
  <c r="M228" i="58"/>
  <c r="L228" i="58"/>
  <c r="P216" i="58"/>
  <c r="M216" i="58"/>
  <c r="L216" i="58"/>
  <c r="P204" i="58"/>
  <c r="M204" i="58"/>
  <c r="L204" i="58"/>
  <c r="P192" i="58"/>
  <c r="M192" i="58"/>
  <c r="L192" i="58"/>
  <c r="P180" i="58"/>
  <c r="M180" i="58"/>
  <c r="L180" i="58"/>
  <c r="R167" i="58"/>
  <c r="P167" i="58"/>
  <c r="M167" i="58"/>
  <c r="L167" i="58"/>
  <c r="P155" i="58"/>
  <c r="M155" i="58"/>
  <c r="L155" i="58"/>
  <c r="P143" i="58"/>
  <c r="M143" i="58"/>
  <c r="L143" i="58"/>
  <c r="P131" i="58"/>
  <c r="M131" i="58"/>
  <c r="L131" i="58"/>
  <c r="P119" i="58"/>
  <c r="M119" i="58"/>
  <c r="L119" i="58"/>
  <c r="P107" i="58"/>
  <c r="M107" i="58"/>
  <c r="L107" i="58"/>
  <c r="P95" i="58"/>
  <c r="M95" i="58"/>
  <c r="L95" i="58"/>
  <c r="P83" i="58"/>
  <c r="M83" i="58"/>
  <c r="L83" i="58"/>
  <c r="P71" i="58"/>
  <c r="M71" i="58"/>
  <c r="L71" i="58"/>
  <c r="P59" i="58"/>
  <c r="M59" i="58"/>
  <c r="L59" i="58"/>
  <c r="P47" i="58"/>
  <c r="M47" i="58"/>
  <c r="L47" i="58"/>
  <c r="P35" i="58"/>
  <c r="M35" i="58"/>
  <c r="L35" i="58"/>
  <c r="P23" i="58"/>
  <c r="M23" i="58"/>
  <c r="L23" i="58"/>
  <c r="U167" i="58"/>
  <c r="Q167" i="58"/>
  <c r="O167" i="58"/>
  <c r="K167" i="58"/>
  <c r="I167" i="58"/>
  <c r="M8" i="52"/>
  <c r="W167" i="58"/>
  <c r="S167" i="58"/>
  <c r="U166" i="58"/>
  <c r="Q126" i="51"/>
  <c r="Q127" i="51" s="1"/>
  <c r="S126" i="51"/>
  <c r="W166" i="58"/>
  <c r="R166" i="58"/>
  <c r="D13" i="57"/>
  <c r="O166" i="58"/>
  <c r="D6" i="58"/>
  <c r="S166" i="58"/>
  <c r="Q166" i="58"/>
  <c r="N166" i="58"/>
  <c r="O14" i="52"/>
  <c r="M13" i="52"/>
  <c r="Q7" i="52"/>
  <c r="M53" i="52"/>
  <c r="Q12" i="52"/>
  <c r="O18" i="52"/>
  <c r="O13" i="52"/>
  <c r="M15" i="52"/>
  <c r="O17" i="52"/>
  <c r="M17" i="52"/>
  <c r="M12" i="52"/>
  <c r="O16" i="52"/>
  <c r="M16" i="52"/>
  <c r="O11" i="52"/>
  <c r="M54" i="52"/>
  <c r="O45" i="52"/>
  <c r="O73" i="52"/>
  <c r="M14" i="52"/>
  <c r="Q6" i="52"/>
  <c r="Q11" i="52"/>
  <c r="M33" i="52"/>
  <c r="M6" i="52"/>
  <c r="O31" i="52"/>
  <c r="O43" i="52"/>
  <c r="M73" i="52"/>
  <c r="M48" i="52"/>
  <c r="O46" i="52"/>
  <c r="M69" i="52"/>
  <c r="O27" i="52"/>
  <c r="O69" i="52"/>
  <c r="O15" i="52"/>
  <c r="Q10" i="52"/>
  <c r="M7" i="52"/>
  <c r="M20" i="52"/>
  <c r="O10" i="52"/>
  <c r="O7" i="52"/>
  <c r="M10" i="52"/>
  <c r="O47" i="52"/>
  <c r="O68" i="52"/>
  <c r="O12" i="52"/>
  <c r="Q8" i="52"/>
  <c r="O6" i="52"/>
  <c r="M27" i="52"/>
  <c r="O25" i="52"/>
  <c r="O48" i="52"/>
  <c r="M51" i="52"/>
  <c r="O60" i="52"/>
  <c r="O35" i="52"/>
  <c r="O38" i="52"/>
  <c r="M47" i="52"/>
  <c r="O63" i="52"/>
  <c r="O65" i="52"/>
  <c r="M70" i="52"/>
  <c r="M24" i="52"/>
  <c r="M36" i="52"/>
  <c r="O19" i="52"/>
  <c r="O29" i="52"/>
  <c r="O8" i="52"/>
  <c r="O67" i="52"/>
  <c r="M30" i="52"/>
  <c r="M38" i="52"/>
  <c r="M18" i="52"/>
  <c r="O28" i="52"/>
  <c r="O30" i="52"/>
  <c r="O36" i="52"/>
  <c r="M45" i="52"/>
  <c r="O51" i="52"/>
  <c r="M74" i="52"/>
  <c r="O41" i="52"/>
  <c r="O70" i="52"/>
  <c r="M29" i="52"/>
  <c r="M35" i="52"/>
  <c r="M52" i="52"/>
  <c r="M60" i="52"/>
  <c r="O20" i="52"/>
  <c r="O23" i="52"/>
  <c r="O33" i="52"/>
  <c r="O54" i="52"/>
  <c r="M67" i="52"/>
  <c r="M37" i="52"/>
  <c r="O37" i="52"/>
  <c r="O39" i="52"/>
  <c r="M39" i="52"/>
  <c r="K4" i="52"/>
  <c r="O64" i="52"/>
  <c r="M64" i="52"/>
  <c r="O72" i="52"/>
  <c r="M72" i="52"/>
  <c r="O24" i="52"/>
  <c r="O42" i="52"/>
  <c r="M42" i="52"/>
  <c r="O50" i="52"/>
  <c r="M50" i="52"/>
  <c r="O32" i="52"/>
  <c r="M32" i="52"/>
  <c r="M34" i="52"/>
  <c r="O34" i="52"/>
  <c r="M19" i="52"/>
  <c r="O53" i="52"/>
  <c r="M59" i="52"/>
  <c r="O59" i="52"/>
  <c r="O21" i="52"/>
  <c r="M21" i="52"/>
  <c r="M22" i="52"/>
  <c r="M40" i="52"/>
  <c r="M62" i="52"/>
  <c r="O22" i="52"/>
  <c r="O40" i="52"/>
  <c r="O62" i="52"/>
  <c r="M31" i="52"/>
  <c r="M49" i="52"/>
  <c r="M61" i="52"/>
  <c r="M71" i="52"/>
  <c r="M26" i="52"/>
  <c r="M44" i="52"/>
  <c r="O52" i="52"/>
  <c r="M66" i="52"/>
  <c r="O74" i="52"/>
  <c r="M28" i="52"/>
  <c r="M46" i="52"/>
  <c r="O61" i="52"/>
  <c r="M68" i="52"/>
  <c r="M23" i="52"/>
  <c r="O26" i="52"/>
  <c r="M41" i="52"/>
  <c r="O44" i="52"/>
  <c r="O49" i="52"/>
  <c r="M63" i="52"/>
  <c r="O66" i="52"/>
  <c r="O71" i="52"/>
  <c r="M25" i="52"/>
  <c r="M43" i="52"/>
  <c r="M65" i="52"/>
  <c r="D5" i="58"/>
  <c r="F10" i="58"/>
  <c r="D13" i="58"/>
  <c r="W19" i="57"/>
  <c r="R19" i="57"/>
  <c r="O19" i="57"/>
  <c r="U19" i="57"/>
  <c r="Q19" i="57"/>
  <c r="K19" i="57"/>
  <c r="S19" i="57"/>
  <c r="O18" i="57"/>
  <c r="W18" i="57"/>
  <c r="U18" i="57"/>
  <c r="S18" i="57"/>
  <c r="R18" i="57"/>
  <c r="Q18" i="57"/>
  <c r="N18" i="57"/>
  <c r="D6" i="57"/>
  <c r="K12" i="58"/>
  <c r="F9" i="57"/>
  <c r="D5" i="57"/>
  <c r="K12" i="57"/>
  <c r="K9" i="40"/>
  <c r="D6" i="40"/>
  <c r="F12" i="40"/>
  <c r="F11" i="40"/>
  <c r="F10" i="40"/>
  <c r="H19" i="40"/>
  <c r="L19" i="40" s="1"/>
  <c r="H20" i="40"/>
  <c r="L20" i="40" s="1"/>
  <c r="H21" i="40"/>
  <c r="L21" i="40" s="1"/>
  <c r="H22" i="40"/>
  <c r="L22" i="40" s="1"/>
  <c r="H23" i="40"/>
  <c r="L23" i="40" s="1"/>
  <c r="H24" i="40"/>
  <c r="L24" i="40" s="1"/>
  <c r="H25" i="40"/>
  <c r="L25" i="40" s="1"/>
  <c r="H26" i="40"/>
  <c r="L26" i="40" s="1"/>
  <c r="H27" i="40"/>
  <c r="L27" i="40" s="1"/>
  <c r="H28" i="40"/>
  <c r="L28" i="40" s="1"/>
  <c r="H29" i="40"/>
  <c r="L29" i="40" s="1"/>
  <c r="H30" i="40"/>
  <c r="L30" i="40" s="1"/>
  <c r="H31" i="40"/>
  <c r="L31" i="40" s="1"/>
  <c r="H32" i="40"/>
  <c r="L32" i="40" s="1"/>
  <c r="H33" i="40"/>
  <c r="L33" i="40" s="1"/>
  <c r="H34" i="40"/>
  <c r="L34" i="40" s="1"/>
  <c r="H35" i="40"/>
  <c r="L35" i="40" s="1"/>
  <c r="H36" i="40"/>
  <c r="L36" i="40" s="1"/>
  <c r="H37" i="40"/>
  <c r="H38" i="40"/>
  <c r="L38" i="40" s="1"/>
  <c r="H39" i="40"/>
  <c r="L39" i="40" s="1"/>
  <c r="H40" i="40"/>
  <c r="L40" i="40" s="1"/>
  <c r="H41" i="40"/>
  <c r="L41" i="40" s="1"/>
  <c r="H42" i="40"/>
  <c r="L42" i="40" s="1"/>
  <c r="H43" i="40"/>
  <c r="L43" i="40" s="1"/>
  <c r="H44" i="40"/>
  <c r="L44" i="40" s="1"/>
  <c r="H45" i="40"/>
  <c r="L45" i="40" s="1"/>
  <c r="H46" i="40"/>
  <c r="L46" i="40" s="1"/>
  <c r="H47" i="40"/>
  <c r="L47" i="40" s="1"/>
  <c r="H48" i="40"/>
  <c r="L48" i="40" s="1"/>
  <c r="H49" i="40"/>
  <c r="L49" i="40" s="1"/>
  <c r="H50" i="40"/>
  <c r="L50" i="40" s="1"/>
  <c r="H51" i="40"/>
  <c r="L51" i="40" s="1"/>
  <c r="H52" i="40"/>
  <c r="L52" i="40" s="1"/>
  <c r="H53" i="40"/>
  <c r="L53" i="40" s="1"/>
  <c r="H54" i="40"/>
  <c r="L54" i="40" s="1"/>
  <c r="H55" i="40"/>
  <c r="L55" i="40" s="1"/>
  <c r="H56" i="40"/>
  <c r="L56" i="40" s="1"/>
  <c r="H57" i="40"/>
  <c r="L57" i="40" s="1"/>
  <c r="H58" i="40"/>
  <c r="L58" i="40" s="1"/>
  <c r="H59" i="40"/>
  <c r="L59" i="40" s="1"/>
  <c r="H60" i="40"/>
  <c r="L60" i="40" s="1"/>
  <c r="H61" i="40"/>
  <c r="L61" i="40" s="1"/>
  <c r="H62" i="40"/>
  <c r="L62" i="40" s="1"/>
  <c r="H63" i="40"/>
  <c r="L63" i="40" s="1"/>
  <c r="H64" i="40"/>
  <c r="L64" i="40" s="1"/>
  <c r="H65" i="40"/>
  <c r="L65" i="40" s="1"/>
  <c r="H66" i="40"/>
  <c r="L66" i="40" s="1"/>
  <c r="H67" i="40"/>
  <c r="L67" i="40" s="1"/>
  <c r="H68" i="40"/>
  <c r="L68" i="40" s="1"/>
  <c r="H69" i="40"/>
  <c r="L69" i="40" s="1"/>
  <c r="H70" i="40"/>
  <c r="L70" i="40" s="1"/>
  <c r="H71" i="40"/>
  <c r="L71" i="40" s="1"/>
  <c r="H72" i="40"/>
  <c r="L72" i="40" s="1"/>
  <c r="H73" i="40"/>
  <c r="L73" i="40" s="1"/>
  <c r="H74" i="40"/>
  <c r="L74" i="40" s="1"/>
  <c r="H75" i="40"/>
  <c r="L75" i="40" s="1"/>
  <c r="H76" i="40"/>
  <c r="L76" i="40" s="1"/>
  <c r="H77" i="40"/>
  <c r="L77" i="40" s="1"/>
  <c r="H78" i="40"/>
  <c r="L78" i="40" s="1"/>
  <c r="H79" i="40"/>
  <c r="L79" i="40" s="1"/>
  <c r="H80" i="40"/>
  <c r="L80" i="40" s="1"/>
  <c r="H81" i="40"/>
  <c r="L81" i="40" s="1"/>
  <c r="H82" i="40"/>
  <c r="L82" i="40" s="1"/>
  <c r="H83" i="40"/>
  <c r="L83" i="40" s="1"/>
  <c r="H84" i="40"/>
  <c r="L84" i="40" s="1"/>
  <c r="H85" i="40"/>
  <c r="L85" i="40" s="1"/>
  <c r="H86" i="40"/>
  <c r="L86" i="40" s="1"/>
  <c r="H87" i="40"/>
  <c r="L87" i="40" s="1"/>
  <c r="H88" i="40"/>
  <c r="L88" i="40" s="1"/>
  <c r="H89" i="40"/>
  <c r="L89" i="40" s="1"/>
  <c r="H90" i="40"/>
  <c r="L90" i="40" s="1"/>
  <c r="H91" i="40"/>
  <c r="L91" i="40" s="1"/>
  <c r="H92" i="40"/>
  <c r="L92" i="40" s="1"/>
  <c r="H93" i="40"/>
  <c r="L93" i="40" s="1"/>
  <c r="H94" i="40"/>
  <c r="L94" i="40" s="1"/>
  <c r="H95" i="40"/>
  <c r="L95" i="40" s="1"/>
  <c r="H96" i="40"/>
  <c r="L96" i="40" s="1"/>
  <c r="H97" i="40"/>
  <c r="L97" i="40" s="1"/>
  <c r="H98" i="40"/>
  <c r="L98" i="40" s="1"/>
  <c r="H99" i="40"/>
  <c r="L99" i="40" s="1"/>
  <c r="H100" i="40"/>
  <c r="L100" i="40" s="1"/>
  <c r="H101" i="40"/>
  <c r="L101" i="40" s="1"/>
  <c r="H102" i="40"/>
  <c r="L102" i="40" s="1"/>
  <c r="H103" i="40"/>
  <c r="L103" i="40" s="1"/>
  <c r="H104" i="40"/>
  <c r="L104" i="40" s="1"/>
  <c r="H105" i="40"/>
  <c r="L105" i="40" s="1"/>
  <c r="H106" i="40"/>
  <c r="L106" i="40" s="1"/>
  <c r="H107" i="40"/>
  <c r="L107" i="40" s="1"/>
  <c r="H108" i="40"/>
  <c r="L108" i="40" s="1"/>
  <c r="H109" i="40"/>
  <c r="L109" i="40" s="1"/>
  <c r="H110" i="40"/>
  <c r="L110" i="40" s="1"/>
  <c r="H111" i="40"/>
  <c r="L111" i="40" s="1"/>
  <c r="H112" i="40"/>
  <c r="L112" i="40" s="1"/>
  <c r="H113" i="40"/>
  <c r="L113" i="40" s="1"/>
  <c r="H114" i="40"/>
  <c r="L114" i="40" s="1"/>
  <c r="H115" i="40"/>
  <c r="L115" i="40" s="1"/>
  <c r="H116" i="40"/>
  <c r="L116" i="40" s="1"/>
  <c r="H117" i="40"/>
  <c r="L117" i="40" s="1"/>
  <c r="H118" i="40"/>
  <c r="L118" i="40" s="1"/>
  <c r="H119" i="40"/>
  <c r="L119" i="40" s="1"/>
  <c r="H120" i="40"/>
  <c r="L120" i="40" s="1"/>
  <c r="H121" i="40"/>
  <c r="L121" i="40" s="1"/>
  <c r="H122" i="40"/>
  <c r="L122" i="40" s="1"/>
  <c r="H123" i="40"/>
  <c r="L123" i="40" s="1"/>
  <c r="H124" i="40"/>
  <c r="L124" i="40" s="1"/>
  <c r="H125" i="40"/>
  <c r="L125" i="40" s="1"/>
  <c r="H126" i="40"/>
  <c r="L126" i="40" s="1"/>
  <c r="H127" i="40"/>
  <c r="L127" i="40" s="1"/>
  <c r="H128" i="40"/>
  <c r="L128" i="40" s="1"/>
  <c r="H129" i="40"/>
  <c r="L129" i="40" s="1"/>
  <c r="H130" i="40"/>
  <c r="L130" i="40" s="1"/>
  <c r="H131" i="40"/>
  <c r="L131" i="40" s="1"/>
  <c r="H132" i="40"/>
  <c r="L132" i="40" s="1"/>
  <c r="H133" i="40"/>
  <c r="L133" i="40" s="1"/>
  <c r="H134" i="40"/>
  <c r="L134" i="40" s="1"/>
  <c r="H135" i="40"/>
  <c r="L135" i="40" s="1"/>
  <c r="H136" i="40"/>
  <c r="L136" i="40" s="1"/>
  <c r="H137" i="40"/>
  <c r="L137" i="40" s="1"/>
  <c r="H138" i="40"/>
  <c r="L138" i="40" s="1"/>
  <c r="H139" i="40"/>
  <c r="L139" i="40" s="1"/>
  <c r="H140" i="40"/>
  <c r="L140" i="40" s="1"/>
  <c r="H141" i="40"/>
  <c r="L141" i="40" s="1"/>
  <c r="H142" i="40"/>
  <c r="L142" i="40" s="1"/>
  <c r="H143" i="40"/>
  <c r="L143" i="40" s="1"/>
  <c r="H144" i="40"/>
  <c r="L144" i="40" s="1"/>
  <c r="H145" i="40"/>
  <c r="L145" i="40" s="1"/>
  <c r="H146" i="40"/>
  <c r="L146" i="40" s="1"/>
  <c r="H147" i="40"/>
  <c r="L147" i="40" s="1"/>
  <c r="H148" i="40"/>
  <c r="L148" i="40" s="1"/>
  <c r="H149" i="40"/>
  <c r="L149" i="40" s="1"/>
  <c r="H150" i="40"/>
  <c r="L150" i="40" s="1"/>
  <c r="H151" i="40"/>
  <c r="L151" i="40" s="1"/>
  <c r="H152" i="40"/>
  <c r="L152" i="40" s="1"/>
  <c r="H153" i="40"/>
  <c r="L153" i="40" s="1"/>
  <c r="H154" i="40"/>
  <c r="L154" i="40" s="1"/>
  <c r="H155" i="40"/>
  <c r="L155" i="40" s="1"/>
  <c r="H156" i="40"/>
  <c r="L156" i="40" s="1"/>
  <c r="H157" i="40"/>
  <c r="L157" i="40" s="1"/>
  <c r="H158" i="40"/>
  <c r="L158" i="40" s="1"/>
  <c r="H159" i="40"/>
  <c r="L159" i="40" s="1"/>
  <c r="H160" i="40"/>
  <c r="L160" i="40" s="1"/>
  <c r="H161" i="40"/>
  <c r="L161" i="40" s="1"/>
  <c r="H162" i="40"/>
  <c r="L162" i="40" s="1"/>
  <c r="H163" i="40"/>
  <c r="L163" i="40" s="1"/>
  <c r="H164" i="40"/>
  <c r="L164" i="40" s="1"/>
  <c r="H165" i="40"/>
  <c r="L165" i="40" s="1"/>
  <c r="H166" i="40"/>
  <c r="L166" i="40" s="1"/>
  <c r="H167" i="40"/>
  <c r="L167" i="40" s="1"/>
  <c r="H168" i="40"/>
  <c r="L168" i="40" s="1"/>
  <c r="H169" i="40"/>
  <c r="L169" i="40" s="1"/>
  <c r="H170" i="40"/>
  <c r="L170" i="40" s="1"/>
  <c r="H171" i="40"/>
  <c r="L171" i="40" s="1"/>
  <c r="H172" i="40"/>
  <c r="L172" i="40" s="1"/>
  <c r="H173" i="40"/>
  <c r="L173" i="40" s="1"/>
  <c r="H175" i="40"/>
  <c r="L175" i="40" s="1"/>
  <c r="H176" i="40"/>
  <c r="L176" i="40" s="1"/>
  <c r="H177" i="40"/>
  <c r="L177" i="40" s="1"/>
  <c r="H178" i="40"/>
  <c r="L178" i="40" s="1"/>
  <c r="H179" i="40"/>
  <c r="L179" i="40" s="1"/>
  <c r="H180" i="40"/>
  <c r="L180" i="40" s="1"/>
  <c r="H181" i="40"/>
  <c r="L181" i="40" s="1"/>
  <c r="H182" i="40"/>
  <c r="L182" i="40" s="1"/>
  <c r="H183" i="40"/>
  <c r="L183" i="40" s="1"/>
  <c r="H184" i="40"/>
  <c r="L184" i="40" s="1"/>
  <c r="H185" i="40"/>
  <c r="L185" i="40" s="1"/>
  <c r="H186" i="40"/>
  <c r="L186" i="40" s="1"/>
  <c r="H187" i="40"/>
  <c r="L187" i="40" s="1"/>
  <c r="H188" i="40"/>
  <c r="L188" i="40" s="1"/>
  <c r="H189" i="40"/>
  <c r="L189" i="40" s="1"/>
  <c r="H190" i="40"/>
  <c r="L190" i="40" s="1"/>
  <c r="H191" i="40"/>
  <c r="L191" i="40" s="1"/>
  <c r="H192" i="40"/>
  <c r="L192" i="40" s="1"/>
  <c r="H193" i="40"/>
  <c r="L193" i="40" s="1"/>
  <c r="H194" i="40"/>
  <c r="L194" i="40" s="1"/>
  <c r="H195" i="40"/>
  <c r="L195" i="40" s="1"/>
  <c r="H196" i="40"/>
  <c r="L196" i="40" s="1"/>
  <c r="H197" i="40"/>
  <c r="L197" i="40" s="1"/>
  <c r="H198" i="40"/>
  <c r="L198" i="40" s="1"/>
  <c r="H199" i="40"/>
  <c r="L199" i="40" s="1"/>
  <c r="H200" i="40"/>
  <c r="L200" i="40" s="1"/>
  <c r="H201" i="40"/>
  <c r="L201" i="40" s="1"/>
  <c r="H202" i="40"/>
  <c r="L202" i="40" s="1"/>
  <c r="H203" i="40"/>
  <c r="L203" i="40" s="1"/>
  <c r="H204" i="40"/>
  <c r="L204" i="40" s="1"/>
  <c r="H205" i="40"/>
  <c r="L205" i="40" s="1"/>
  <c r="H206" i="40"/>
  <c r="L206" i="40" s="1"/>
  <c r="H207" i="40"/>
  <c r="L207" i="40" s="1"/>
  <c r="H208" i="40"/>
  <c r="L208" i="40" s="1"/>
  <c r="H209" i="40"/>
  <c r="L209" i="40" s="1"/>
  <c r="H210" i="40"/>
  <c r="L210" i="40" s="1"/>
  <c r="H211" i="40"/>
  <c r="L211" i="40" s="1"/>
  <c r="H212" i="40"/>
  <c r="L212" i="40" s="1"/>
  <c r="H213" i="40"/>
  <c r="L213" i="40" s="1"/>
  <c r="H214" i="40"/>
  <c r="L214" i="40" s="1"/>
  <c r="H215" i="40"/>
  <c r="L215" i="40" s="1"/>
  <c r="H216" i="40"/>
  <c r="L216" i="40" s="1"/>
  <c r="H217" i="40"/>
  <c r="L217" i="40" s="1"/>
  <c r="H218" i="40"/>
  <c r="L218" i="40" s="1"/>
  <c r="H219" i="40"/>
  <c r="L219" i="40" s="1"/>
  <c r="H220" i="40"/>
  <c r="L220" i="40" s="1"/>
  <c r="H221" i="40"/>
  <c r="L221" i="40" s="1"/>
  <c r="H222" i="40"/>
  <c r="L222" i="40" s="1"/>
  <c r="H223" i="40"/>
  <c r="L223" i="40" s="1"/>
  <c r="H224" i="40"/>
  <c r="L224" i="40" s="1"/>
  <c r="H225" i="40"/>
  <c r="L225" i="40" s="1"/>
  <c r="H226" i="40"/>
  <c r="L226" i="40" s="1"/>
  <c r="H227" i="40"/>
  <c r="L227" i="40" s="1"/>
  <c r="H228" i="40"/>
  <c r="L228" i="40" s="1"/>
  <c r="H229" i="40"/>
  <c r="L229" i="40" s="1"/>
  <c r="H230" i="40"/>
  <c r="L230" i="40" s="1"/>
  <c r="H231" i="40"/>
  <c r="L231" i="40" s="1"/>
  <c r="H232" i="40"/>
  <c r="L232" i="40" s="1"/>
  <c r="H233" i="40"/>
  <c r="L233" i="40" s="1"/>
  <c r="H234" i="40"/>
  <c r="L234" i="40" s="1"/>
  <c r="H235" i="40"/>
  <c r="L235" i="40" s="1"/>
  <c r="H236" i="40"/>
  <c r="L236" i="40" s="1"/>
  <c r="H237" i="40"/>
  <c r="L237" i="40" s="1"/>
  <c r="H238" i="40"/>
  <c r="L238" i="40" s="1"/>
  <c r="H239" i="40"/>
  <c r="L239" i="40" s="1"/>
  <c r="H240" i="40"/>
  <c r="L240" i="40" s="1"/>
  <c r="H241" i="40"/>
  <c r="L241" i="40" s="1"/>
  <c r="H242" i="40"/>
  <c r="L242" i="40" s="1"/>
  <c r="H243" i="40"/>
  <c r="L243" i="40" s="1"/>
  <c r="H244" i="40"/>
  <c r="L244" i="40" s="1"/>
  <c r="H245" i="40"/>
  <c r="L245" i="40" s="1"/>
  <c r="H246" i="40"/>
  <c r="L246" i="40" s="1"/>
  <c r="H247" i="40"/>
  <c r="L247" i="40" s="1"/>
  <c r="H248" i="40"/>
  <c r="L248" i="40" s="1"/>
  <c r="H249" i="40"/>
  <c r="L249" i="40" s="1"/>
  <c r="H250" i="40"/>
  <c r="L250" i="40" s="1"/>
  <c r="H251" i="40"/>
  <c r="L251" i="40" s="1"/>
  <c r="H252" i="40"/>
  <c r="L252" i="40" s="1"/>
  <c r="H253" i="40"/>
  <c r="L253" i="40" s="1"/>
  <c r="H254" i="40"/>
  <c r="L254" i="40" s="1"/>
  <c r="H255" i="40"/>
  <c r="L255" i="40" s="1"/>
  <c r="H256" i="40"/>
  <c r="L256" i="40" s="1"/>
  <c r="H257" i="40"/>
  <c r="L257" i="40" s="1"/>
  <c r="H258" i="40"/>
  <c r="L258" i="40" s="1"/>
  <c r="H259" i="40"/>
  <c r="L259" i="40" s="1"/>
  <c r="H260" i="40"/>
  <c r="L260" i="40" s="1"/>
  <c r="H261" i="40"/>
  <c r="L261" i="40" s="1"/>
  <c r="H262" i="40"/>
  <c r="L262" i="40" s="1"/>
  <c r="H263" i="40"/>
  <c r="L263" i="40" s="1"/>
  <c r="H264" i="40"/>
  <c r="L264" i="40" s="1"/>
  <c r="H265" i="40"/>
  <c r="L265" i="40" s="1"/>
  <c r="H266" i="40"/>
  <c r="L266" i="40" s="1"/>
  <c r="H267" i="40"/>
  <c r="L267" i="40" s="1"/>
  <c r="H268" i="40"/>
  <c r="L268" i="40" s="1"/>
  <c r="H269" i="40"/>
  <c r="L269" i="40" s="1"/>
  <c r="H270" i="40"/>
  <c r="L270" i="40" s="1"/>
  <c r="H271" i="40"/>
  <c r="L271" i="40" s="1"/>
  <c r="H272" i="40"/>
  <c r="L272" i="40" s="1"/>
  <c r="H273" i="40"/>
  <c r="L273" i="40" s="1"/>
  <c r="H274" i="40"/>
  <c r="L274" i="40" s="1"/>
  <c r="H275" i="40"/>
  <c r="L275" i="40" s="1"/>
  <c r="H276" i="40"/>
  <c r="L276" i="40" s="1"/>
  <c r="H277" i="40"/>
  <c r="L277" i="40" s="1"/>
  <c r="H278" i="40"/>
  <c r="L278" i="40" s="1"/>
  <c r="H279" i="40"/>
  <c r="L279" i="40" s="1"/>
  <c r="H280" i="40"/>
  <c r="L280" i="40" s="1"/>
  <c r="H281" i="40"/>
  <c r="L281" i="40" s="1"/>
  <c r="H282" i="40"/>
  <c r="L282" i="40" s="1"/>
  <c r="H283" i="40"/>
  <c r="L283" i="40" s="1"/>
  <c r="H284" i="40"/>
  <c r="L284" i="40" s="1"/>
  <c r="H285" i="40"/>
  <c r="L285" i="40" s="1"/>
  <c r="H286" i="40"/>
  <c r="L286" i="40" s="1"/>
  <c r="H287" i="40"/>
  <c r="L287" i="40" s="1"/>
  <c r="H288" i="40"/>
  <c r="L288" i="40" s="1"/>
  <c r="H289" i="40"/>
  <c r="L289" i="40" s="1"/>
  <c r="H290" i="40"/>
  <c r="L290" i="40" s="1"/>
  <c r="H291" i="40"/>
  <c r="L291" i="40" s="1"/>
  <c r="H292" i="40"/>
  <c r="L292" i="40" s="1"/>
  <c r="H293" i="40"/>
  <c r="L293" i="40" s="1"/>
  <c r="H294" i="40"/>
  <c r="L294" i="40" s="1"/>
  <c r="H295" i="40"/>
  <c r="L295" i="40" s="1"/>
  <c r="H296" i="40"/>
  <c r="L296" i="40" s="1"/>
  <c r="H297" i="40"/>
  <c r="L297" i="40" s="1"/>
  <c r="H298" i="40"/>
  <c r="L298" i="40" s="1"/>
  <c r="H299" i="40"/>
  <c r="L299" i="40" s="1"/>
  <c r="H300" i="40"/>
  <c r="L300" i="40" s="1"/>
  <c r="H301" i="40"/>
  <c r="L301" i="40" s="1"/>
  <c r="H302" i="40"/>
  <c r="L302" i="40" s="1"/>
  <c r="H303" i="40"/>
  <c r="L303" i="40" s="1"/>
  <c r="H304" i="40"/>
  <c r="L304" i="40" s="1"/>
  <c r="H305" i="40"/>
  <c r="L305" i="40" s="1"/>
  <c r="H306" i="40"/>
  <c r="L306" i="40" s="1"/>
  <c r="H307" i="40"/>
  <c r="L307" i="40" s="1"/>
  <c r="H308" i="40"/>
  <c r="L308" i="40" s="1"/>
  <c r="H309" i="40"/>
  <c r="L309" i="40" s="1"/>
  <c r="H310" i="40"/>
  <c r="L310" i="40" s="1"/>
  <c r="H311" i="40"/>
  <c r="L311" i="40" s="1"/>
  <c r="H312" i="40"/>
  <c r="L312" i="40" s="1"/>
  <c r="H313" i="40"/>
  <c r="L313" i="40" s="1"/>
  <c r="H314" i="40"/>
  <c r="L314" i="40" s="1"/>
  <c r="H315" i="40"/>
  <c r="L315" i="40" s="1"/>
  <c r="H316" i="40"/>
  <c r="L316" i="40" s="1"/>
  <c r="H317" i="40"/>
  <c r="L317" i="40" s="1"/>
  <c r="H318" i="40"/>
  <c r="L318" i="40" s="1"/>
  <c r="H319" i="40"/>
  <c r="L319" i="40" s="1"/>
  <c r="H320" i="40"/>
  <c r="L320" i="40" s="1"/>
  <c r="H321" i="40"/>
  <c r="L321" i="40" s="1"/>
  <c r="H322" i="40"/>
  <c r="L322" i="40" s="1"/>
  <c r="H323" i="40"/>
  <c r="L323" i="40" s="1"/>
  <c r="H324" i="40"/>
  <c r="L324" i="40" s="1"/>
  <c r="H325" i="40"/>
  <c r="L325" i="40" s="1"/>
  <c r="H326" i="40"/>
  <c r="L326" i="40" s="1"/>
  <c r="H327" i="40"/>
  <c r="L327" i="40" s="1"/>
  <c r="H328" i="40"/>
  <c r="L328" i="40" s="1"/>
  <c r="H329" i="40"/>
  <c r="L329" i="40" s="1"/>
  <c r="H330" i="40"/>
  <c r="L330" i="40" s="1"/>
  <c r="H331" i="40"/>
  <c r="L331" i="40" s="1"/>
  <c r="H332" i="40"/>
  <c r="L332" i="40" s="1"/>
  <c r="H333" i="40"/>
  <c r="L333" i="40" s="1"/>
  <c r="H334" i="40"/>
  <c r="L334" i="40" s="1"/>
  <c r="H335" i="40"/>
  <c r="L335" i="40" s="1"/>
  <c r="H336" i="40"/>
  <c r="L336" i="40" s="1"/>
  <c r="H337" i="40"/>
  <c r="L337" i="40" s="1"/>
  <c r="H338" i="40"/>
  <c r="L338" i="40" s="1"/>
  <c r="H339" i="40"/>
  <c r="L339" i="40" s="1"/>
  <c r="H340" i="40"/>
  <c r="L340" i="40" s="1"/>
  <c r="H341" i="40"/>
  <c r="L341" i="40" s="1"/>
  <c r="H342" i="40"/>
  <c r="L342" i="40" s="1"/>
  <c r="H343" i="40"/>
  <c r="L343" i="40" s="1"/>
  <c r="H344" i="40"/>
  <c r="L344" i="40" s="1"/>
  <c r="H345" i="40"/>
  <c r="L345" i="40" s="1"/>
  <c r="H346" i="40"/>
  <c r="L346" i="40" s="1"/>
  <c r="H347" i="40"/>
  <c r="L347" i="40" s="1"/>
  <c r="H348" i="40"/>
  <c r="L348" i="40" s="1"/>
  <c r="H349" i="40"/>
  <c r="L349" i="40" s="1"/>
  <c r="H350" i="40"/>
  <c r="L350" i="40" s="1"/>
  <c r="H351" i="40"/>
  <c r="L351" i="40" s="1"/>
  <c r="H352" i="40"/>
  <c r="L352" i="40" s="1"/>
  <c r="H353" i="40"/>
  <c r="L353" i="40" s="1"/>
  <c r="H354" i="40"/>
  <c r="H359" i="40"/>
  <c r="L359" i="40" s="1"/>
  <c r="H360" i="40"/>
  <c r="L360" i="40" s="1"/>
  <c r="H361" i="40"/>
  <c r="L361" i="40" s="1"/>
  <c r="H362" i="40"/>
  <c r="L362" i="40" s="1"/>
  <c r="H363" i="40"/>
  <c r="L363" i="40" s="1"/>
  <c r="H364" i="40"/>
  <c r="L364" i="40" s="1"/>
  <c r="H365" i="40"/>
  <c r="L365" i="40" s="1"/>
  <c r="H366" i="40"/>
  <c r="L366" i="40" s="1"/>
  <c r="H367" i="40"/>
  <c r="L367" i="40" s="1"/>
  <c r="H368" i="40"/>
  <c r="L368" i="40" s="1"/>
  <c r="H369" i="40"/>
  <c r="L369" i="40" s="1"/>
  <c r="H370" i="40"/>
  <c r="L370" i="40" s="1"/>
  <c r="H371" i="40"/>
  <c r="L371" i="40" s="1"/>
  <c r="H372" i="40"/>
  <c r="L372" i="40" s="1"/>
  <c r="H373" i="40"/>
  <c r="L373" i="40" s="1"/>
  <c r="H374" i="40"/>
  <c r="L374" i="40" s="1"/>
  <c r="H375" i="40"/>
  <c r="L375" i="40" s="1"/>
  <c r="H376" i="40"/>
  <c r="L376" i="40" s="1"/>
  <c r="H377" i="40"/>
  <c r="L377" i="40" s="1"/>
  <c r="H378" i="40"/>
  <c r="L378" i="40" s="1"/>
  <c r="H379" i="40"/>
  <c r="L379" i="40" s="1"/>
  <c r="H380" i="40"/>
  <c r="L380" i="40" s="1"/>
  <c r="H381" i="40"/>
  <c r="L381" i="40" s="1"/>
  <c r="H382" i="40"/>
  <c r="L382" i="40" s="1"/>
  <c r="H383" i="40"/>
  <c r="L383" i="40" s="1"/>
  <c r="H384" i="40"/>
  <c r="L384" i="40" s="1"/>
  <c r="H385" i="40"/>
  <c r="L385" i="40" s="1"/>
  <c r="H386" i="40"/>
  <c r="L386" i="40" s="1"/>
  <c r="H387" i="40"/>
  <c r="L387" i="40" s="1"/>
  <c r="H388" i="40"/>
  <c r="L388" i="40" s="1"/>
  <c r="H389" i="40"/>
  <c r="L389" i="40" s="1"/>
  <c r="H390" i="40"/>
  <c r="L390" i="40" s="1"/>
  <c r="H391" i="40"/>
  <c r="L391" i="40" s="1"/>
  <c r="H392" i="40"/>
  <c r="L392" i="40" s="1"/>
  <c r="H397" i="40"/>
  <c r="L397" i="40" s="1"/>
  <c r="H399" i="40"/>
  <c r="L399" i="40" s="1"/>
  <c r="H400" i="40"/>
  <c r="L400" i="40" s="1"/>
  <c r="H401" i="40"/>
  <c r="L401" i="40" s="1"/>
  <c r="H402" i="40"/>
  <c r="L402" i="40" s="1"/>
  <c r="H403" i="40"/>
  <c r="L403" i="40" s="1"/>
  <c r="H404" i="40"/>
  <c r="L404" i="40" s="1"/>
  <c r="H405" i="40"/>
  <c r="L405" i="40" s="1"/>
  <c r="H406" i="40"/>
  <c r="L406" i="40" s="1"/>
  <c r="H411" i="40"/>
  <c r="L411" i="40" s="1"/>
  <c r="H413" i="40"/>
  <c r="L413" i="40" s="1"/>
  <c r="H414" i="40"/>
  <c r="L414" i="40" s="1"/>
  <c r="H415" i="40"/>
  <c r="L415" i="40" s="1"/>
  <c r="H416" i="40"/>
  <c r="L416" i="40" s="1"/>
  <c r="H417" i="40"/>
  <c r="L417" i="40" s="1"/>
  <c r="H418" i="40"/>
  <c r="L418" i="40" s="1"/>
  <c r="H419" i="40"/>
  <c r="L419" i="40" s="1"/>
  <c r="H420" i="40"/>
  <c r="L420" i="40" s="1"/>
  <c r="H422" i="40"/>
  <c r="L422" i="40" s="1"/>
  <c r="H424" i="40"/>
  <c r="L424" i="40" s="1"/>
  <c r="H425" i="40"/>
  <c r="L425" i="40" s="1"/>
  <c r="H427" i="40"/>
  <c r="L427" i="40" s="1"/>
  <c r="H428" i="40"/>
  <c r="L428" i="40" s="1"/>
  <c r="H430" i="40"/>
  <c r="L430" i="40" s="1"/>
  <c r="H431" i="40"/>
  <c r="L431" i="40" s="1"/>
  <c r="H432" i="40"/>
  <c r="L432" i="40" s="1"/>
  <c r="H433" i="40"/>
  <c r="L433" i="40" s="1"/>
  <c r="H437" i="40"/>
  <c r="L437" i="40" s="1"/>
  <c r="H442" i="40"/>
  <c r="L442" i="40" s="1"/>
  <c r="H443" i="40"/>
  <c r="L443" i="40" s="1"/>
  <c r="H446" i="40"/>
  <c r="L446" i="40" s="1"/>
  <c r="H447" i="40"/>
  <c r="L447" i="40" s="1"/>
  <c r="H448" i="40"/>
  <c r="L448" i="40" s="1"/>
  <c r="H449" i="40"/>
  <c r="L449" i="40" s="1"/>
  <c r="H450" i="40"/>
  <c r="L450" i="40" s="1"/>
  <c r="H453" i="40"/>
  <c r="L453" i="40" s="1"/>
  <c r="H454" i="40"/>
  <c r="L454" i="40" s="1"/>
  <c r="H455" i="40"/>
  <c r="L455" i="40" s="1"/>
  <c r="H457" i="40"/>
  <c r="L457" i="40" s="1"/>
  <c r="H458" i="40"/>
  <c r="L458" i="40" s="1"/>
  <c r="H459" i="40"/>
  <c r="L459" i="40" s="1"/>
  <c r="H468" i="40"/>
  <c r="L468" i="40" s="1"/>
  <c r="H469" i="40"/>
  <c r="L469" i="40" s="1"/>
  <c r="H470" i="40"/>
  <c r="L470" i="40" s="1"/>
  <c r="H471" i="40"/>
  <c r="L471" i="40" s="1"/>
  <c r="H472" i="40"/>
  <c r="L472" i="40" s="1"/>
  <c r="H473" i="40"/>
  <c r="L473" i="40" s="1"/>
  <c r="H474" i="40"/>
  <c r="L474" i="40" s="1"/>
  <c r="H475" i="40"/>
  <c r="L475" i="40" s="1"/>
  <c r="H476" i="40"/>
  <c r="L476" i="40" s="1"/>
  <c r="H477" i="40"/>
  <c r="L477" i="40" s="1"/>
  <c r="H478" i="40"/>
  <c r="L478" i="40" s="1"/>
  <c r="H485" i="40"/>
  <c r="L485" i="40" s="1"/>
  <c r="H487" i="40"/>
  <c r="L487" i="40" s="1"/>
  <c r="H488" i="40"/>
  <c r="L488" i="40" s="1"/>
  <c r="H490" i="40"/>
  <c r="L490" i="40" s="1"/>
  <c r="H491" i="40"/>
  <c r="L491" i="40" s="1"/>
  <c r="H492" i="40"/>
  <c r="L492" i="40" s="1"/>
  <c r="H493" i="40"/>
  <c r="L493" i="40" s="1"/>
  <c r="H494" i="40"/>
  <c r="L494" i="40" s="1"/>
  <c r="H495" i="40"/>
  <c r="L495" i="40" s="1"/>
  <c r="H496" i="40"/>
  <c r="L496" i="40" s="1"/>
  <c r="H497" i="40"/>
  <c r="L497" i="40" s="1"/>
  <c r="H498" i="40"/>
  <c r="L498" i="40" s="1"/>
  <c r="H499" i="40"/>
  <c r="L499" i="40" s="1"/>
  <c r="H500" i="40"/>
  <c r="L500" i="40" s="1"/>
  <c r="H501" i="40"/>
  <c r="L501" i="40" s="1"/>
  <c r="H502" i="40"/>
  <c r="L502" i="40" s="1"/>
  <c r="H503" i="40"/>
  <c r="L503" i="40" s="1"/>
  <c r="H504" i="40"/>
  <c r="L504" i="40" s="1"/>
  <c r="H505" i="40"/>
  <c r="L505" i="40" s="1"/>
  <c r="H506" i="40"/>
  <c r="L506" i="40" s="1"/>
  <c r="H507" i="40"/>
  <c r="L507" i="40" s="1"/>
  <c r="H508" i="40"/>
  <c r="L508" i="40" s="1"/>
  <c r="H510" i="40"/>
  <c r="L510" i="40" s="1"/>
  <c r="H511" i="40"/>
  <c r="L511" i="40" s="1"/>
  <c r="H513" i="40"/>
  <c r="L513" i="40" s="1"/>
  <c r="H515" i="40"/>
  <c r="L515" i="40" s="1"/>
  <c r="H516" i="40"/>
  <c r="L516" i="40" s="1"/>
  <c r="H517" i="40"/>
  <c r="L517" i="40" s="1"/>
  <c r="H518" i="40"/>
  <c r="L518" i="40" s="1"/>
  <c r="H519" i="40"/>
  <c r="L519" i="40" s="1"/>
  <c r="H520" i="40"/>
  <c r="L520" i="40" s="1"/>
  <c r="H522" i="40"/>
  <c r="L522" i="40" s="1"/>
  <c r="H523" i="40"/>
  <c r="L523" i="40" s="1"/>
  <c r="H524" i="40"/>
  <c r="L524" i="40" s="1"/>
  <c r="H525" i="40"/>
  <c r="L525" i="40" s="1"/>
  <c r="H527" i="40"/>
  <c r="L527" i="40" s="1"/>
  <c r="H528" i="40"/>
  <c r="L528" i="40" s="1"/>
  <c r="H531" i="40"/>
  <c r="L531" i="40" s="1"/>
  <c r="H532" i="40"/>
  <c r="L532" i="40" s="1"/>
  <c r="H533" i="40"/>
  <c r="L533" i="40" s="1"/>
  <c r="H534" i="40"/>
  <c r="L534" i="40" s="1"/>
  <c r="H535" i="40"/>
  <c r="L535" i="40" s="1"/>
  <c r="H536" i="40"/>
  <c r="L536" i="40" s="1"/>
  <c r="H537" i="40"/>
  <c r="L537" i="40" s="1"/>
  <c r="H538" i="40"/>
  <c r="L538" i="40" s="1"/>
  <c r="H539" i="40"/>
  <c r="L539" i="40" s="1"/>
  <c r="H540" i="40"/>
  <c r="L540" i="40" s="1"/>
  <c r="H541" i="40"/>
  <c r="L541" i="40" s="1"/>
  <c r="H542" i="40"/>
  <c r="L542" i="40" s="1"/>
  <c r="H543" i="40"/>
  <c r="L543" i="40" s="1"/>
  <c r="H544" i="40"/>
  <c r="L544" i="40" s="1"/>
  <c r="H545" i="40"/>
  <c r="L545" i="40" s="1"/>
  <c r="H546" i="40"/>
  <c r="L546" i="40" s="1"/>
  <c r="H547" i="40"/>
  <c r="L547" i="40" s="1"/>
  <c r="H548" i="40"/>
  <c r="L548" i="40" s="1"/>
  <c r="H549" i="40"/>
  <c r="L549" i="40" s="1"/>
  <c r="H550" i="40"/>
  <c r="L550" i="40" s="1"/>
  <c r="H551" i="40"/>
  <c r="L551" i="40" s="1"/>
  <c r="H552" i="40"/>
  <c r="L552" i="40" s="1"/>
  <c r="H553" i="40"/>
  <c r="L553" i="40" s="1"/>
  <c r="H554" i="40"/>
  <c r="L554" i="40" s="1"/>
  <c r="H555" i="40"/>
  <c r="L555" i="40" s="1"/>
  <c r="H556" i="40"/>
  <c r="L556" i="40" s="1"/>
  <c r="H557" i="40"/>
  <c r="L557" i="40" s="1"/>
  <c r="H558" i="40"/>
  <c r="L558" i="40" s="1"/>
  <c r="H559" i="40"/>
  <c r="L559" i="40" s="1"/>
  <c r="H560" i="40"/>
  <c r="L560" i="40" s="1"/>
  <c r="H561" i="40"/>
  <c r="L561" i="40" s="1"/>
  <c r="H562" i="40"/>
  <c r="L562" i="40" s="1"/>
  <c r="H18" i="40"/>
  <c r="L18" i="40" l="1"/>
  <c r="F174" i="40"/>
  <c r="L354" i="40"/>
  <c r="F355" i="40"/>
  <c r="F356" i="40"/>
  <c r="F357" i="40"/>
  <c r="F358" i="40"/>
  <c r="M328" i="40"/>
  <c r="P328" i="40"/>
  <c r="M123" i="40"/>
  <c r="P123" i="40"/>
  <c r="M548" i="40"/>
  <c r="P548" i="40"/>
  <c r="M493" i="40"/>
  <c r="P493" i="40"/>
  <c r="M450" i="40"/>
  <c r="P450" i="40"/>
  <c r="M413" i="40"/>
  <c r="P413" i="40"/>
  <c r="M379" i="40"/>
  <c r="P379" i="40"/>
  <c r="M351" i="40"/>
  <c r="P351" i="40"/>
  <c r="M327" i="40"/>
  <c r="P327" i="40"/>
  <c r="M291" i="40"/>
  <c r="P291" i="40"/>
  <c r="M255" i="40"/>
  <c r="P255" i="40"/>
  <c r="M195" i="40"/>
  <c r="P195" i="40"/>
  <c r="M559" i="40"/>
  <c r="P559" i="40"/>
  <c r="M535" i="40"/>
  <c r="P535" i="40"/>
  <c r="M504" i="40"/>
  <c r="P504" i="40"/>
  <c r="M472" i="40"/>
  <c r="P472" i="40"/>
  <c r="M427" i="40"/>
  <c r="P427" i="40"/>
  <c r="M411" i="40"/>
  <c r="P411" i="40"/>
  <c r="M378" i="40"/>
  <c r="P378" i="40"/>
  <c r="M350" i="40"/>
  <c r="P350" i="40"/>
  <c r="M326" i="40"/>
  <c r="P326" i="40"/>
  <c r="M302" i="40"/>
  <c r="P302" i="40"/>
  <c r="M290" i="40"/>
  <c r="P290" i="40"/>
  <c r="M266" i="40"/>
  <c r="P266" i="40"/>
  <c r="M242" i="40"/>
  <c r="P242" i="40"/>
  <c r="M218" i="40"/>
  <c r="P218" i="40"/>
  <c r="M194" i="40"/>
  <c r="P194" i="40"/>
  <c r="M169" i="40"/>
  <c r="P169" i="40"/>
  <c r="M145" i="40"/>
  <c r="P145" i="40"/>
  <c r="M85" i="40"/>
  <c r="P85" i="40"/>
  <c r="M558" i="40"/>
  <c r="P558" i="40"/>
  <c r="M546" i="40"/>
  <c r="P546" i="40"/>
  <c r="M534" i="40"/>
  <c r="P534" i="40"/>
  <c r="M518" i="40"/>
  <c r="P518" i="40"/>
  <c r="M503" i="40"/>
  <c r="P503" i="40"/>
  <c r="M491" i="40"/>
  <c r="P491" i="40"/>
  <c r="M471" i="40"/>
  <c r="P471" i="40"/>
  <c r="M448" i="40"/>
  <c r="P448" i="40"/>
  <c r="M425" i="40"/>
  <c r="P425" i="40"/>
  <c r="M406" i="40"/>
  <c r="P406" i="40"/>
  <c r="M389" i="40"/>
  <c r="P389" i="40"/>
  <c r="M377" i="40"/>
  <c r="P377" i="40"/>
  <c r="M365" i="40"/>
  <c r="P365" i="40"/>
  <c r="M349" i="40"/>
  <c r="P349" i="40"/>
  <c r="M337" i="40"/>
  <c r="P337" i="40"/>
  <c r="M325" i="40"/>
  <c r="P325" i="40"/>
  <c r="M313" i="40"/>
  <c r="P313" i="40"/>
  <c r="M301" i="40"/>
  <c r="P301" i="40"/>
  <c r="M289" i="40"/>
  <c r="P289" i="40"/>
  <c r="M277" i="40"/>
  <c r="P277" i="40"/>
  <c r="M265" i="40"/>
  <c r="P265" i="40"/>
  <c r="M253" i="40"/>
  <c r="P253" i="40"/>
  <c r="M241" i="40"/>
  <c r="P241" i="40"/>
  <c r="M229" i="40"/>
  <c r="P229" i="40"/>
  <c r="M217" i="40"/>
  <c r="P217" i="40"/>
  <c r="M205" i="40"/>
  <c r="P205" i="40"/>
  <c r="M193" i="40"/>
  <c r="P193" i="40"/>
  <c r="M181" i="40"/>
  <c r="P181" i="40"/>
  <c r="M168" i="40"/>
  <c r="P168" i="40"/>
  <c r="M156" i="40"/>
  <c r="P156" i="40"/>
  <c r="M144" i="40"/>
  <c r="P144" i="40"/>
  <c r="M132" i="40"/>
  <c r="P132" i="40"/>
  <c r="M120" i="40"/>
  <c r="P120" i="40"/>
  <c r="M108" i="40"/>
  <c r="P108" i="40"/>
  <c r="M96" i="40"/>
  <c r="P96" i="40"/>
  <c r="M84" i="40"/>
  <c r="P84" i="40"/>
  <c r="M72" i="40"/>
  <c r="P72" i="40"/>
  <c r="M60" i="40"/>
  <c r="P60" i="40"/>
  <c r="M48" i="40"/>
  <c r="P48" i="40"/>
  <c r="M36" i="40"/>
  <c r="P36" i="40"/>
  <c r="M24" i="40"/>
  <c r="P24" i="40"/>
  <c r="M300" i="40"/>
  <c r="P300" i="40"/>
  <c r="M143" i="40"/>
  <c r="P143" i="40"/>
  <c r="M506" i="40"/>
  <c r="P506" i="40"/>
  <c r="M380" i="40"/>
  <c r="P380" i="40"/>
  <c r="M304" i="40"/>
  <c r="P304" i="40"/>
  <c r="M220" i="40"/>
  <c r="P220" i="40"/>
  <c r="M171" i="40"/>
  <c r="P171" i="40"/>
  <c r="M135" i="40"/>
  <c r="P135" i="40"/>
  <c r="M111" i="40"/>
  <c r="P111" i="40"/>
  <c r="M27" i="40"/>
  <c r="P27" i="40"/>
  <c r="M560" i="40"/>
  <c r="P560" i="40"/>
  <c r="M447" i="40"/>
  <c r="P447" i="40"/>
  <c r="M348" i="40"/>
  <c r="P348" i="40"/>
  <c r="M264" i="40"/>
  <c r="P264" i="40"/>
  <c r="M192" i="40"/>
  <c r="P192" i="40"/>
  <c r="M59" i="40"/>
  <c r="P59" i="40"/>
  <c r="M494" i="40"/>
  <c r="P494" i="40"/>
  <c r="M352" i="40"/>
  <c r="P352" i="40"/>
  <c r="M244" i="40"/>
  <c r="P244" i="40"/>
  <c r="M75" i="40"/>
  <c r="P75" i="40"/>
  <c r="M288" i="40"/>
  <c r="P288" i="40"/>
  <c r="M516" i="40"/>
  <c r="P516" i="40"/>
  <c r="M446" i="40"/>
  <c r="P446" i="40"/>
  <c r="M363" i="40"/>
  <c r="P363" i="40"/>
  <c r="M311" i="40"/>
  <c r="P311" i="40"/>
  <c r="M251" i="40"/>
  <c r="P251" i="40"/>
  <c r="M203" i="40"/>
  <c r="P203" i="40"/>
  <c r="M118" i="40"/>
  <c r="P118" i="40"/>
  <c r="M34" i="40"/>
  <c r="P34" i="40"/>
  <c r="M298" i="40"/>
  <c r="P298" i="40"/>
  <c r="M57" i="40"/>
  <c r="P57" i="40"/>
  <c r="M537" i="40"/>
  <c r="P537" i="40"/>
  <c r="M392" i="40"/>
  <c r="P392" i="40"/>
  <c r="M268" i="40"/>
  <c r="P268" i="40"/>
  <c r="M99" i="40"/>
  <c r="P99" i="40"/>
  <c r="M520" i="40"/>
  <c r="P520" i="40"/>
  <c r="M170" i="40"/>
  <c r="P170" i="40"/>
  <c r="M517" i="40"/>
  <c r="P517" i="40"/>
  <c r="M490" i="40"/>
  <c r="P490" i="40"/>
  <c r="M424" i="40"/>
  <c r="P424" i="40"/>
  <c r="M336" i="40"/>
  <c r="P336" i="40"/>
  <c r="M252" i="40"/>
  <c r="P252" i="40"/>
  <c r="M228" i="40"/>
  <c r="P228" i="40"/>
  <c r="M180" i="40"/>
  <c r="P180" i="40"/>
  <c r="M131" i="40"/>
  <c r="P131" i="40"/>
  <c r="M83" i="40"/>
  <c r="P83" i="40"/>
  <c r="M47" i="40"/>
  <c r="P47" i="40"/>
  <c r="M556" i="40"/>
  <c r="P556" i="40"/>
  <c r="M501" i="40"/>
  <c r="P501" i="40"/>
  <c r="M404" i="40"/>
  <c r="P404" i="40"/>
  <c r="M347" i="40"/>
  <c r="P347" i="40"/>
  <c r="M287" i="40"/>
  <c r="P287" i="40"/>
  <c r="M239" i="40"/>
  <c r="P239" i="40"/>
  <c r="M191" i="40"/>
  <c r="P191" i="40"/>
  <c r="M142" i="40"/>
  <c r="P142" i="40"/>
  <c r="M82" i="40"/>
  <c r="P82" i="40"/>
  <c r="M46" i="40"/>
  <c r="P46" i="40"/>
  <c r="M515" i="40"/>
  <c r="P515" i="40"/>
  <c r="M443" i="40"/>
  <c r="P443" i="40"/>
  <c r="M334" i="40"/>
  <c r="P334" i="40"/>
  <c r="M190" i="40"/>
  <c r="P190" i="40"/>
  <c r="M542" i="40"/>
  <c r="P542" i="40"/>
  <c r="M499" i="40"/>
  <c r="P499" i="40"/>
  <c r="M442" i="40"/>
  <c r="P442" i="40"/>
  <c r="M402" i="40"/>
  <c r="P402" i="40"/>
  <c r="M373" i="40"/>
  <c r="P373" i="40"/>
  <c r="M321" i="40"/>
  <c r="P321" i="40"/>
  <c r="M297" i="40"/>
  <c r="P297" i="40"/>
  <c r="M261" i="40"/>
  <c r="P261" i="40"/>
  <c r="M237" i="40"/>
  <c r="P237" i="40"/>
  <c r="M213" i="40"/>
  <c r="P213" i="40"/>
  <c r="M177" i="40"/>
  <c r="P177" i="40"/>
  <c r="M152" i="40"/>
  <c r="P152" i="40"/>
  <c r="M128" i="40"/>
  <c r="P128" i="40"/>
  <c r="M104" i="40"/>
  <c r="P104" i="40"/>
  <c r="M80" i="40"/>
  <c r="P80" i="40"/>
  <c r="M68" i="40"/>
  <c r="P68" i="40"/>
  <c r="M44" i="40"/>
  <c r="P44" i="40"/>
  <c r="M32" i="40"/>
  <c r="P32" i="40"/>
  <c r="M20" i="40"/>
  <c r="P20" i="40"/>
  <c r="P16" i="57"/>
  <c r="M414" i="40"/>
  <c r="P414" i="40"/>
  <c r="M280" i="40"/>
  <c r="P280" i="40"/>
  <c r="M159" i="40"/>
  <c r="P159" i="40"/>
  <c r="M505" i="40"/>
  <c r="P505" i="40"/>
  <c r="M303" i="40"/>
  <c r="P303" i="40"/>
  <c r="M545" i="40"/>
  <c r="P545" i="40"/>
  <c r="M376" i="40"/>
  <c r="P376" i="40"/>
  <c r="M155" i="40"/>
  <c r="P155" i="40"/>
  <c r="M469" i="40"/>
  <c r="P469" i="40"/>
  <c r="M375" i="40"/>
  <c r="P375" i="40"/>
  <c r="M323" i="40"/>
  <c r="P323" i="40"/>
  <c r="M263" i="40"/>
  <c r="P263" i="40"/>
  <c r="M215" i="40"/>
  <c r="P215" i="40"/>
  <c r="M154" i="40"/>
  <c r="P154" i="40"/>
  <c r="M106" i="40"/>
  <c r="P106" i="40"/>
  <c r="M58" i="40"/>
  <c r="P58" i="40"/>
  <c r="M531" i="40"/>
  <c r="P531" i="40"/>
  <c r="M386" i="40"/>
  <c r="P386" i="40"/>
  <c r="M214" i="40"/>
  <c r="P214" i="40"/>
  <c r="M485" i="40"/>
  <c r="P485" i="40"/>
  <c r="M345" i="40"/>
  <c r="P345" i="40"/>
  <c r="M201" i="40"/>
  <c r="P201" i="40"/>
  <c r="M527" i="40"/>
  <c r="P527" i="40"/>
  <c r="M458" i="40"/>
  <c r="P458" i="40"/>
  <c r="M401" i="40"/>
  <c r="P401" i="40"/>
  <c r="M360" i="40"/>
  <c r="P360" i="40"/>
  <c r="M320" i="40"/>
  <c r="P320" i="40"/>
  <c r="M272" i="40"/>
  <c r="P272" i="40"/>
  <c r="M224" i="40"/>
  <c r="P224" i="40"/>
  <c r="M176" i="40"/>
  <c r="P176" i="40"/>
  <c r="M127" i="40"/>
  <c r="P127" i="40"/>
  <c r="M103" i="40"/>
  <c r="P103" i="40"/>
  <c r="M91" i="40"/>
  <c r="P91" i="40"/>
  <c r="M79" i="40"/>
  <c r="P79" i="40"/>
  <c r="M55" i="40"/>
  <c r="P55" i="40"/>
  <c r="M43" i="40"/>
  <c r="P43" i="40"/>
  <c r="M31" i="40"/>
  <c r="P31" i="40"/>
  <c r="M19" i="40"/>
  <c r="P19" i="40"/>
  <c r="M561" i="40"/>
  <c r="P561" i="40"/>
  <c r="M453" i="40"/>
  <c r="P453" i="40"/>
  <c r="M340" i="40"/>
  <c r="P340" i="40"/>
  <c r="M256" i="40"/>
  <c r="P256" i="40"/>
  <c r="M196" i="40"/>
  <c r="P196" i="40"/>
  <c r="M147" i="40"/>
  <c r="P147" i="40"/>
  <c r="M63" i="40"/>
  <c r="P63" i="40"/>
  <c r="M557" i="40"/>
  <c r="P557" i="40"/>
  <c r="M470" i="40"/>
  <c r="P470" i="40"/>
  <c r="M388" i="40"/>
  <c r="P388" i="40"/>
  <c r="M324" i="40"/>
  <c r="P324" i="40"/>
  <c r="M240" i="40"/>
  <c r="P240" i="40"/>
  <c r="M216" i="40"/>
  <c r="P216" i="40"/>
  <c r="M167" i="40"/>
  <c r="P167" i="40"/>
  <c r="M95" i="40"/>
  <c r="P95" i="40"/>
  <c r="M23" i="40"/>
  <c r="P23" i="40"/>
  <c r="M487" i="40"/>
  <c r="P487" i="40"/>
  <c r="M403" i="40"/>
  <c r="P403" i="40"/>
  <c r="M362" i="40"/>
  <c r="P362" i="40"/>
  <c r="M310" i="40"/>
  <c r="P310" i="40"/>
  <c r="M274" i="40"/>
  <c r="P274" i="40"/>
  <c r="M238" i="40"/>
  <c r="P238" i="40"/>
  <c r="M226" i="40"/>
  <c r="P226" i="40"/>
  <c r="M178" i="40"/>
  <c r="P178" i="40"/>
  <c r="M153" i="40"/>
  <c r="P153" i="40"/>
  <c r="M117" i="40"/>
  <c r="P117" i="40"/>
  <c r="M93" i="40"/>
  <c r="P93" i="40"/>
  <c r="M81" i="40"/>
  <c r="P81" i="40"/>
  <c r="M45" i="40"/>
  <c r="P45" i="40"/>
  <c r="M21" i="40"/>
  <c r="P21" i="40"/>
  <c r="M513" i="40"/>
  <c r="P513" i="40"/>
  <c r="M459" i="40"/>
  <c r="P459" i="40"/>
  <c r="M419" i="40"/>
  <c r="P419" i="40"/>
  <c r="M385" i="40"/>
  <c r="P385" i="40"/>
  <c r="M361" i="40"/>
  <c r="P361" i="40"/>
  <c r="M333" i="40"/>
  <c r="P333" i="40"/>
  <c r="M309" i="40"/>
  <c r="P309" i="40"/>
  <c r="M285" i="40"/>
  <c r="P285" i="40"/>
  <c r="M273" i="40"/>
  <c r="P273" i="40"/>
  <c r="M249" i="40"/>
  <c r="P249" i="40"/>
  <c r="M225" i="40"/>
  <c r="P225" i="40"/>
  <c r="M189" i="40"/>
  <c r="P189" i="40"/>
  <c r="M164" i="40"/>
  <c r="P164" i="40"/>
  <c r="M140" i="40"/>
  <c r="P140" i="40"/>
  <c r="M116" i="40"/>
  <c r="P116" i="40"/>
  <c r="M92" i="40"/>
  <c r="P92" i="40"/>
  <c r="M56" i="40"/>
  <c r="P56" i="40"/>
  <c r="M553" i="40"/>
  <c r="P553" i="40"/>
  <c r="M541" i="40"/>
  <c r="P541" i="40"/>
  <c r="M511" i="40"/>
  <c r="P511" i="40"/>
  <c r="M498" i="40"/>
  <c r="P498" i="40"/>
  <c r="M478" i="40"/>
  <c r="P478" i="40"/>
  <c r="M437" i="40"/>
  <c r="P437" i="40"/>
  <c r="M418" i="40"/>
  <c r="P418" i="40"/>
  <c r="M384" i="40"/>
  <c r="P384" i="40"/>
  <c r="M372" i="40"/>
  <c r="P372" i="40"/>
  <c r="M344" i="40"/>
  <c r="P344" i="40"/>
  <c r="M332" i="40"/>
  <c r="P332" i="40"/>
  <c r="M308" i="40"/>
  <c r="P308" i="40"/>
  <c r="M296" i="40"/>
  <c r="P296" i="40"/>
  <c r="M284" i="40"/>
  <c r="P284" i="40"/>
  <c r="M260" i="40"/>
  <c r="P260" i="40"/>
  <c r="M248" i="40"/>
  <c r="P248" i="40"/>
  <c r="M236" i="40"/>
  <c r="P236" i="40"/>
  <c r="M212" i="40"/>
  <c r="P212" i="40"/>
  <c r="M200" i="40"/>
  <c r="P200" i="40"/>
  <c r="M188" i="40"/>
  <c r="P188" i="40"/>
  <c r="M163" i="40"/>
  <c r="P163" i="40"/>
  <c r="M151" i="40"/>
  <c r="P151" i="40"/>
  <c r="M139" i="40"/>
  <c r="P139" i="40"/>
  <c r="M115" i="40"/>
  <c r="P115" i="40"/>
  <c r="M67" i="40"/>
  <c r="P67" i="40"/>
  <c r="M552" i="40"/>
  <c r="P552" i="40"/>
  <c r="M540" i="40"/>
  <c r="P540" i="40"/>
  <c r="M525" i="40"/>
  <c r="P525" i="40"/>
  <c r="M510" i="40"/>
  <c r="P510" i="40"/>
  <c r="M497" i="40"/>
  <c r="P497" i="40"/>
  <c r="M477" i="40"/>
  <c r="P477" i="40"/>
  <c r="M457" i="40"/>
  <c r="P457" i="40"/>
  <c r="M433" i="40"/>
  <c r="P433" i="40"/>
  <c r="M417" i="40"/>
  <c r="P417" i="40"/>
  <c r="M400" i="40"/>
  <c r="P400" i="40"/>
  <c r="M383" i="40"/>
  <c r="P383" i="40"/>
  <c r="M371" i="40"/>
  <c r="P371" i="40"/>
  <c r="M359" i="40"/>
  <c r="P359" i="40"/>
  <c r="M343" i="40"/>
  <c r="P343" i="40"/>
  <c r="M331" i="40"/>
  <c r="P331" i="40"/>
  <c r="M319" i="40"/>
  <c r="P319" i="40"/>
  <c r="M307" i="40"/>
  <c r="P307" i="40"/>
  <c r="M295" i="40"/>
  <c r="P295" i="40"/>
  <c r="M283" i="40"/>
  <c r="P283" i="40"/>
  <c r="M271" i="40"/>
  <c r="P271" i="40"/>
  <c r="M259" i="40"/>
  <c r="P259" i="40"/>
  <c r="M247" i="40"/>
  <c r="P247" i="40"/>
  <c r="M235" i="40"/>
  <c r="P235" i="40"/>
  <c r="M223" i="40"/>
  <c r="P223" i="40"/>
  <c r="M211" i="40"/>
  <c r="P211" i="40"/>
  <c r="M199" i="40"/>
  <c r="P199" i="40"/>
  <c r="M187" i="40"/>
  <c r="P187" i="40"/>
  <c r="M175" i="40"/>
  <c r="P175" i="40"/>
  <c r="M162" i="40"/>
  <c r="P162" i="40"/>
  <c r="M150" i="40"/>
  <c r="P150" i="40"/>
  <c r="M138" i="40"/>
  <c r="P138" i="40"/>
  <c r="M126" i="40"/>
  <c r="P126" i="40"/>
  <c r="M114" i="40"/>
  <c r="P114" i="40"/>
  <c r="M102" i="40"/>
  <c r="P102" i="40"/>
  <c r="M90" i="40"/>
  <c r="P90" i="40"/>
  <c r="M78" i="40"/>
  <c r="P78" i="40"/>
  <c r="M66" i="40"/>
  <c r="P66" i="40"/>
  <c r="M54" i="40"/>
  <c r="P54" i="40"/>
  <c r="M42" i="40"/>
  <c r="P42" i="40"/>
  <c r="M30" i="40"/>
  <c r="P30" i="40"/>
  <c r="M474" i="40"/>
  <c r="P474" i="40"/>
  <c r="M368" i="40"/>
  <c r="P368" i="40"/>
  <c r="M292" i="40"/>
  <c r="P292" i="40"/>
  <c r="M232" i="40"/>
  <c r="P232" i="40"/>
  <c r="M184" i="40"/>
  <c r="P184" i="40"/>
  <c r="M39" i="40"/>
  <c r="P39" i="40"/>
  <c r="M502" i="40"/>
  <c r="P502" i="40"/>
  <c r="M405" i="40"/>
  <c r="P405" i="40"/>
  <c r="M312" i="40"/>
  <c r="P312" i="40"/>
  <c r="M119" i="40"/>
  <c r="P119" i="40"/>
  <c r="M544" i="40"/>
  <c r="P544" i="40"/>
  <c r="M488" i="40"/>
  <c r="P488" i="40"/>
  <c r="M387" i="40"/>
  <c r="P387" i="40"/>
  <c r="M335" i="40"/>
  <c r="P335" i="40"/>
  <c r="M275" i="40"/>
  <c r="P275" i="40"/>
  <c r="M227" i="40"/>
  <c r="P227" i="40"/>
  <c r="M179" i="40"/>
  <c r="P179" i="40"/>
  <c r="M130" i="40"/>
  <c r="P130" i="40"/>
  <c r="M94" i="40"/>
  <c r="P94" i="40"/>
  <c r="M70" i="40"/>
  <c r="P70" i="40"/>
  <c r="M22" i="40"/>
  <c r="P22" i="40"/>
  <c r="M555" i="40"/>
  <c r="P555" i="40"/>
  <c r="M500" i="40"/>
  <c r="P500" i="40"/>
  <c r="M468" i="40"/>
  <c r="P468" i="40"/>
  <c r="M374" i="40"/>
  <c r="P374" i="40"/>
  <c r="M322" i="40"/>
  <c r="P322" i="40"/>
  <c r="M262" i="40"/>
  <c r="P262" i="40"/>
  <c r="M129" i="40"/>
  <c r="P129" i="40"/>
  <c r="M528" i="40"/>
  <c r="P528" i="40"/>
  <c r="M539" i="40"/>
  <c r="P539" i="40"/>
  <c r="M508" i="40"/>
  <c r="P508" i="40"/>
  <c r="M476" i="40"/>
  <c r="P476" i="40"/>
  <c r="M432" i="40"/>
  <c r="P432" i="40"/>
  <c r="M399" i="40"/>
  <c r="P399" i="40"/>
  <c r="M382" i="40"/>
  <c r="P382" i="40"/>
  <c r="M354" i="40"/>
  <c r="P354" i="40"/>
  <c r="M342" i="40"/>
  <c r="P342" i="40"/>
  <c r="M318" i="40"/>
  <c r="P318" i="40"/>
  <c r="M294" i="40"/>
  <c r="P294" i="40"/>
  <c r="M270" i="40"/>
  <c r="P270" i="40"/>
  <c r="M246" i="40"/>
  <c r="P246" i="40"/>
  <c r="M222" i="40"/>
  <c r="P222" i="40"/>
  <c r="M198" i="40"/>
  <c r="P198" i="40"/>
  <c r="M173" i="40"/>
  <c r="P173" i="40"/>
  <c r="M149" i="40"/>
  <c r="P149" i="40"/>
  <c r="M137" i="40"/>
  <c r="P137" i="40"/>
  <c r="M101" i="40"/>
  <c r="P101" i="40"/>
  <c r="M53" i="40"/>
  <c r="P53" i="40"/>
  <c r="M522" i="40"/>
  <c r="P522" i="40"/>
  <c r="M533" i="40"/>
  <c r="P533" i="40"/>
  <c r="M364" i="40"/>
  <c r="P364" i="40"/>
  <c r="M276" i="40"/>
  <c r="P276" i="40"/>
  <c r="M204" i="40"/>
  <c r="P204" i="40"/>
  <c r="M107" i="40"/>
  <c r="P107" i="40"/>
  <c r="M71" i="40"/>
  <c r="P71" i="40"/>
  <c r="M35" i="40"/>
  <c r="P35" i="40"/>
  <c r="M532" i="40"/>
  <c r="P532" i="40"/>
  <c r="M422" i="40"/>
  <c r="P422" i="40"/>
  <c r="M299" i="40"/>
  <c r="P299" i="40"/>
  <c r="M166" i="40"/>
  <c r="P166" i="40"/>
  <c r="M543" i="40"/>
  <c r="P543" i="40"/>
  <c r="M420" i="40"/>
  <c r="P420" i="40"/>
  <c r="M346" i="40"/>
  <c r="P346" i="40"/>
  <c r="M286" i="40"/>
  <c r="P286" i="40"/>
  <c r="M250" i="40"/>
  <c r="P250" i="40"/>
  <c r="M202" i="40"/>
  <c r="P202" i="40"/>
  <c r="M165" i="40"/>
  <c r="P165" i="40"/>
  <c r="M141" i="40"/>
  <c r="P141" i="40"/>
  <c r="M105" i="40"/>
  <c r="P105" i="40"/>
  <c r="M69" i="40"/>
  <c r="P69" i="40"/>
  <c r="M33" i="40"/>
  <c r="P33" i="40"/>
  <c r="M554" i="40"/>
  <c r="P554" i="40"/>
  <c r="P18" i="40"/>
  <c r="O18" i="40"/>
  <c r="M551" i="40"/>
  <c r="P551" i="40"/>
  <c r="M524" i="40"/>
  <c r="P524" i="40"/>
  <c r="M496" i="40"/>
  <c r="P496" i="40"/>
  <c r="M455" i="40"/>
  <c r="P455" i="40"/>
  <c r="M416" i="40"/>
  <c r="P416" i="40"/>
  <c r="M370" i="40"/>
  <c r="P370" i="40"/>
  <c r="M330" i="40"/>
  <c r="P330" i="40"/>
  <c r="M306" i="40"/>
  <c r="P306" i="40"/>
  <c r="M282" i="40"/>
  <c r="P282" i="40"/>
  <c r="M258" i="40"/>
  <c r="P258" i="40"/>
  <c r="M234" i="40"/>
  <c r="P234" i="40"/>
  <c r="M210" i="40"/>
  <c r="P210" i="40"/>
  <c r="M186" i="40"/>
  <c r="P186" i="40"/>
  <c r="M161" i="40"/>
  <c r="P161" i="40"/>
  <c r="M125" i="40"/>
  <c r="P125" i="40"/>
  <c r="M113" i="40"/>
  <c r="P113" i="40"/>
  <c r="M89" i="40"/>
  <c r="P89" i="40"/>
  <c r="M77" i="40"/>
  <c r="P77" i="40"/>
  <c r="M65" i="40"/>
  <c r="P65" i="40"/>
  <c r="M41" i="40"/>
  <c r="P41" i="40"/>
  <c r="M29" i="40"/>
  <c r="P29" i="40"/>
  <c r="M562" i="40"/>
  <c r="P562" i="40"/>
  <c r="M550" i="40"/>
  <c r="P550" i="40"/>
  <c r="M538" i="40"/>
  <c r="P538" i="40"/>
  <c r="M523" i="40"/>
  <c r="P523" i="40"/>
  <c r="M507" i="40"/>
  <c r="P507" i="40"/>
  <c r="M495" i="40"/>
  <c r="P495" i="40"/>
  <c r="M475" i="40"/>
  <c r="P475" i="40"/>
  <c r="M454" i="40"/>
  <c r="P454" i="40"/>
  <c r="M431" i="40"/>
  <c r="P431" i="40"/>
  <c r="M415" i="40"/>
  <c r="P415" i="40"/>
  <c r="M397" i="40"/>
  <c r="P397" i="40"/>
  <c r="M381" i="40"/>
  <c r="P381" i="40"/>
  <c r="M369" i="40"/>
  <c r="P369" i="40"/>
  <c r="M353" i="40"/>
  <c r="P353" i="40"/>
  <c r="M341" i="40"/>
  <c r="P341" i="40"/>
  <c r="M329" i="40"/>
  <c r="P329" i="40"/>
  <c r="M317" i="40"/>
  <c r="P317" i="40"/>
  <c r="M305" i="40"/>
  <c r="P305" i="40"/>
  <c r="M293" i="40"/>
  <c r="P293" i="40"/>
  <c r="M281" i="40"/>
  <c r="P281" i="40"/>
  <c r="M269" i="40"/>
  <c r="P269" i="40"/>
  <c r="M257" i="40"/>
  <c r="P257" i="40"/>
  <c r="M245" i="40"/>
  <c r="P245" i="40"/>
  <c r="M233" i="40"/>
  <c r="P233" i="40"/>
  <c r="M221" i="40"/>
  <c r="P221" i="40"/>
  <c r="M209" i="40"/>
  <c r="P209" i="40"/>
  <c r="M197" i="40"/>
  <c r="P197" i="40"/>
  <c r="M185" i="40"/>
  <c r="P185" i="40"/>
  <c r="M172" i="40"/>
  <c r="P172" i="40"/>
  <c r="M160" i="40"/>
  <c r="P160" i="40"/>
  <c r="M148" i="40"/>
  <c r="P148" i="40"/>
  <c r="M136" i="40"/>
  <c r="P136" i="40"/>
  <c r="M124" i="40"/>
  <c r="P124" i="40"/>
  <c r="M112" i="40"/>
  <c r="P112" i="40"/>
  <c r="M100" i="40"/>
  <c r="P100" i="40"/>
  <c r="M88" i="40"/>
  <c r="P88" i="40"/>
  <c r="M76" i="40"/>
  <c r="P76" i="40"/>
  <c r="M64" i="40"/>
  <c r="P64" i="40"/>
  <c r="M52" i="40"/>
  <c r="P52" i="40"/>
  <c r="M40" i="40"/>
  <c r="P40" i="40"/>
  <c r="M28" i="40"/>
  <c r="P28" i="40"/>
  <c r="P16" i="58"/>
  <c r="M549" i="40"/>
  <c r="P549" i="40"/>
  <c r="M430" i="40"/>
  <c r="P430" i="40"/>
  <c r="M316" i="40"/>
  <c r="P316" i="40"/>
  <c r="M208" i="40"/>
  <c r="P208" i="40"/>
  <c r="M87" i="40"/>
  <c r="P87" i="40"/>
  <c r="M38" i="40"/>
  <c r="P38" i="40"/>
  <c r="M51" i="40"/>
  <c r="P51" i="40"/>
  <c r="M536" i="40"/>
  <c r="P536" i="40"/>
  <c r="M473" i="40"/>
  <c r="P473" i="40"/>
  <c r="M428" i="40"/>
  <c r="P428" i="40"/>
  <c r="M391" i="40"/>
  <c r="P391" i="40"/>
  <c r="M367" i="40"/>
  <c r="P367" i="40"/>
  <c r="M339" i="40"/>
  <c r="P339" i="40"/>
  <c r="M315" i="40"/>
  <c r="P315" i="40"/>
  <c r="M279" i="40"/>
  <c r="P279" i="40"/>
  <c r="M267" i="40"/>
  <c r="P267" i="40"/>
  <c r="M243" i="40"/>
  <c r="P243" i="40"/>
  <c r="M231" i="40"/>
  <c r="P231" i="40"/>
  <c r="M219" i="40"/>
  <c r="P219" i="40"/>
  <c r="M207" i="40"/>
  <c r="P207" i="40"/>
  <c r="M183" i="40"/>
  <c r="P183" i="40"/>
  <c r="M158" i="40"/>
  <c r="P158" i="40"/>
  <c r="M146" i="40"/>
  <c r="P146" i="40"/>
  <c r="M134" i="40"/>
  <c r="P134" i="40"/>
  <c r="M122" i="40"/>
  <c r="P122" i="40"/>
  <c r="M110" i="40"/>
  <c r="P110" i="40"/>
  <c r="M98" i="40"/>
  <c r="P98" i="40"/>
  <c r="M86" i="40"/>
  <c r="P86" i="40"/>
  <c r="M74" i="40"/>
  <c r="P74" i="40"/>
  <c r="M62" i="40"/>
  <c r="P62" i="40"/>
  <c r="M50" i="40"/>
  <c r="P50" i="40"/>
  <c r="M26" i="40"/>
  <c r="P26" i="40"/>
  <c r="M547" i="40"/>
  <c r="P547" i="40"/>
  <c r="M519" i="40"/>
  <c r="P519" i="40"/>
  <c r="M492" i="40"/>
  <c r="P492" i="40"/>
  <c r="M449" i="40"/>
  <c r="P449" i="40"/>
  <c r="M390" i="40"/>
  <c r="P390" i="40"/>
  <c r="M366" i="40"/>
  <c r="P366" i="40"/>
  <c r="M338" i="40"/>
  <c r="P338" i="40"/>
  <c r="M314" i="40"/>
  <c r="P314" i="40"/>
  <c r="M278" i="40"/>
  <c r="P278" i="40"/>
  <c r="M254" i="40"/>
  <c r="P254" i="40"/>
  <c r="M230" i="40"/>
  <c r="P230" i="40"/>
  <c r="M206" i="40"/>
  <c r="P206" i="40"/>
  <c r="M182" i="40"/>
  <c r="P182" i="40"/>
  <c r="M157" i="40"/>
  <c r="P157" i="40"/>
  <c r="M133" i="40"/>
  <c r="P133" i="40"/>
  <c r="M121" i="40"/>
  <c r="P121" i="40"/>
  <c r="M109" i="40"/>
  <c r="P109" i="40"/>
  <c r="M97" i="40"/>
  <c r="P97" i="40"/>
  <c r="M73" i="40"/>
  <c r="P73" i="40"/>
  <c r="M61" i="40"/>
  <c r="P61" i="40"/>
  <c r="M49" i="40"/>
  <c r="P49" i="40"/>
  <c r="M37" i="40"/>
  <c r="P37" i="40"/>
  <c r="M25" i="40"/>
  <c r="P25" i="40"/>
  <c r="M18" i="40"/>
  <c r="N18" i="40"/>
  <c r="S127" i="51"/>
  <c r="S130" i="51" s="1"/>
  <c r="S131" i="51" s="1"/>
  <c r="S133" i="51" s="1"/>
  <c r="O76" i="52"/>
  <c r="O77" i="52" s="1"/>
  <c r="M76" i="52"/>
  <c r="M77" i="52" s="1"/>
  <c r="P16" i="40" l="1"/>
  <c r="O80" i="52"/>
  <c r="O81" i="52" l="1"/>
  <c r="O83" i="52" s="1"/>
  <c r="W564" i="58" l="1"/>
  <c r="U564" i="58"/>
  <c r="S564" i="58"/>
  <c r="R564" i="58"/>
  <c r="Q564" i="58"/>
  <c r="O564" i="58"/>
  <c r="N564" i="58"/>
  <c r="K564" i="58"/>
  <c r="I564" i="58"/>
  <c r="W563" i="58"/>
  <c r="U563" i="58"/>
  <c r="S563" i="58"/>
  <c r="R563" i="58"/>
  <c r="Q563" i="58"/>
  <c r="O563" i="58"/>
  <c r="N563" i="58"/>
  <c r="K563" i="58"/>
  <c r="I563" i="58"/>
  <c r="W562" i="58"/>
  <c r="U562" i="58"/>
  <c r="S562" i="58"/>
  <c r="R562" i="58"/>
  <c r="Q562" i="58"/>
  <c r="O562" i="58"/>
  <c r="N562" i="58"/>
  <c r="K562" i="58"/>
  <c r="I562" i="58"/>
  <c r="W561" i="58"/>
  <c r="U561" i="58"/>
  <c r="S561" i="58"/>
  <c r="R561" i="58"/>
  <c r="Q561" i="58"/>
  <c r="O561" i="58"/>
  <c r="N561" i="58"/>
  <c r="K561" i="58"/>
  <c r="I561" i="58"/>
  <c r="W560" i="58"/>
  <c r="U560" i="58"/>
  <c r="S560" i="58"/>
  <c r="R560" i="58"/>
  <c r="Q560" i="58"/>
  <c r="O560" i="58"/>
  <c r="N560" i="58"/>
  <c r="K560" i="58"/>
  <c r="I560" i="58"/>
  <c r="W559" i="58"/>
  <c r="U559" i="58"/>
  <c r="R559" i="58"/>
  <c r="Q559" i="58"/>
  <c r="O559" i="58"/>
  <c r="N559" i="58"/>
  <c r="K559" i="58"/>
  <c r="I559" i="58"/>
  <c r="W558" i="58"/>
  <c r="U558" i="58"/>
  <c r="R558" i="58"/>
  <c r="Q558" i="58"/>
  <c r="O558" i="58"/>
  <c r="N558" i="58"/>
  <c r="K558" i="58"/>
  <c r="I558" i="58"/>
  <c r="W557" i="58"/>
  <c r="U557" i="58"/>
  <c r="R557" i="58"/>
  <c r="Q557" i="58"/>
  <c r="O557" i="58"/>
  <c r="N557" i="58"/>
  <c r="K557" i="58"/>
  <c r="I557" i="58"/>
  <c r="W556" i="58"/>
  <c r="U556" i="58"/>
  <c r="R556" i="58"/>
  <c r="Q556" i="58"/>
  <c r="O556" i="58"/>
  <c r="N556" i="58"/>
  <c r="K556" i="58"/>
  <c r="I556" i="58"/>
  <c r="W555" i="58"/>
  <c r="U555" i="58"/>
  <c r="R555" i="58"/>
  <c r="Q555" i="58"/>
  <c r="O555" i="58"/>
  <c r="N555" i="58"/>
  <c r="K555" i="58"/>
  <c r="I555" i="58"/>
  <c r="W554" i="58"/>
  <c r="U554" i="58"/>
  <c r="R554" i="58"/>
  <c r="Q554" i="58"/>
  <c r="O554" i="58"/>
  <c r="N554" i="58"/>
  <c r="K554" i="58"/>
  <c r="I554" i="58"/>
  <c r="W504" i="58"/>
  <c r="U504" i="58"/>
  <c r="R504" i="58"/>
  <c r="Q504" i="58"/>
  <c r="O504" i="58"/>
  <c r="N504" i="58"/>
  <c r="K504" i="58"/>
  <c r="I504" i="58"/>
  <c r="W503" i="58"/>
  <c r="U503" i="58"/>
  <c r="R503" i="58"/>
  <c r="Q503" i="58"/>
  <c r="O503" i="58"/>
  <c r="N503" i="58"/>
  <c r="K503" i="58"/>
  <c r="I503" i="58"/>
  <c r="W502" i="58"/>
  <c r="U502" i="58"/>
  <c r="R502" i="58"/>
  <c r="Q502" i="58"/>
  <c r="O502" i="58"/>
  <c r="N502" i="58"/>
  <c r="K502" i="58"/>
  <c r="I502" i="58"/>
  <c r="W501" i="58"/>
  <c r="U501" i="58"/>
  <c r="R501" i="58"/>
  <c r="Q501" i="58"/>
  <c r="O501" i="58"/>
  <c r="N501" i="58"/>
  <c r="K501" i="58"/>
  <c r="I501" i="58"/>
  <c r="W500" i="58"/>
  <c r="U500" i="58"/>
  <c r="R500" i="58"/>
  <c r="Q500" i="58"/>
  <c r="O500" i="58"/>
  <c r="N500" i="58"/>
  <c r="K500" i="58"/>
  <c r="I500" i="58"/>
  <c r="W499" i="58"/>
  <c r="U499" i="58"/>
  <c r="R499" i="58"/>
  <c r="Q499" i="58"/>
  <c r="O499" i="58"/>
  <c r="N499" i="58"/>
  <c r="K499" i="58"/>
  <c r="I499" i="58"/>
  <c r="W498" i="58"/>
  <c r="U498" i="58"/>
  <c r="R498" i="58"/>
  <c r="Q498" i="58"/>
  <c r="O498" i="58"/>
  <c r="N498" i="58"/>
  <c r="K498" i="58"/>
  <c r="I498" i="58"/>
  <c r="W497" i="58"/>
  <c r="U497" i="58"/>
  <c r="R497" i="58"/>
  <c r="Q497" i="58"/>
  <c r="O497" i="58"/>
  <c r="N497" i="58"/>
  <c r="K497" i="58"/>
  <c r="I497" i="58"/>
  <c r="W496" i="58"/>
  <c r="U496" i="58"/>
  <c r="R496" i="58"/>
  <c r="Q496" i="58"/>
  <c r="O496" i="58"/>
  <c r="N496" i="58"/>
  <c r="K496" i="58"/>
  <c r="I496" i="58"/>
  <c r="W495" i="58"/>
  <c r="U495" i="58"/>
  <c r="R495" i="58"/>
  <c r="Q495" i="58"/>
  <c r="O495" i="58"/>
  <c r="N495" i="58"/>
  <c r="K495" i="58"/>
  <c r="I495" i="58"/>
  <c r="W494" i="58"/>
  <c r="U494" i="58"/>
  <c r="R494" i="58"/>
  <c r="Q494" i="58"/>
  <c r="O494" i="58"/>
  <c r="N494" i="58"/>
  <c r="K494" i="58"/>
  <c r="I494" i="58"/>
  <c r="W493" i="58"/>
  <c r="U493" i="58"/>
  <c r="R493" i="58"/>
  <c r="Q493" i="58"/>
  <c r="O493" i="58"/>
  <c r="N493" i="58"/>
  <c r="K493" i="58"/>
  <c r="I493" i="58"/>
  <c r="W492" i="58"/>
  <c r="U492" i="58"/>
  <c r="R492" i="58"/>
  <c r="Q492" i="58"/>
  <c r="O492" i="58"/>
  <c r="N492" i="58"/>
  <c r="K492" i="58"/>
  <c r="I492" i="58"/>
  <c r="W491" i="58"/>
  <c r="U491" i="58"/>
  <c r="R491" i="58"/>
  <c r="Q491" i="58"/>
  <c r="O491" i="58"/>
  <c r="N491" i="58"/>
  <c r="K491" i="58"/>
  <c r="I491" i="58"/>
  <c r="W490" i="58"/>
  <c r="U490" i="58"/>
  <c r="R490" i="58"/>
  <c r="Q490" i="58"/>
  <c r="O490" i="58"/>
  <c r="N490" i="58"/>
  <c r="K490" i="58"/>
  <c r="I490" i="58"/>
  <c r="W489" i="58"/>
  <c r="U489" i="58"/>
  <c r="R489" i="58"/>
  <c r="Q489" i="58"/>
  <c r="O489" i="58"/>
  <c r="N489" i="58"/>
  <c r="K489" i="58"/>
  <c r="I489" i="58"/>
  <c r="W488" i="58"/>
  <c r="U488" i="58"/>
  <c r="R488" i="58"/>
  <c r="Q488" i="58"/>
  <c r="O488" i="58"/>
  <c r="N488" i="58"/>
  <c r="K488" i="58"/>
  <c r="I488" i="58"/>
  <c r="W487" i="58"/>
  <c r="U487" i="58"/>
  <c r="R487" i="58"/>
  <c r="Q487" i="58"/>
  <c r="O487" i="58"/>
  <c r="N487" i="58"/>
  <c r="K487" i="58"/>
  <c r="I487" i="58"/>
  <c r="W486" i="58"/>
  <c r="U486" i="58"/>
  <c r="R486" i="58"/>
  <c r="Q486" i="58"/>
  <c r="O486" i="58"/>
  <c r="N486" i="58"/>
  <c r="K486" i="58"/>
  <c r="I486" i="58"/>
  <c r="W485" i="58"/>
  <c r="U485" i="58"/>
  <c r="R485" i="58"/>
  <c r="Q485" i="58"/>
  <c r="O485" i="58"/>
  <c r="N485" i="58"/>
  <c r="K485" i="58"/>
  <c r="I485" i="58"/>
  <c r="W484" i="58"/>
  <c r="U484" i="58"/>
  <c r="R484" i="58"/>
  <c r="Q484" i="58"/>
  <c r="O484" i="58"/>
  <c r="N484" i="58"/>
  <c r="K484" i="58"/>
  <c r="I484" i="58"/>
  <c r="W483" i="58"/>
  <c r="U483" i="58"/>
  <c r="R483" i="58"/>
  <c r="Q483" i="58"/>
  <c r="O483" i="58"/>
  <c r="N483" i="58"/>
  <c r="K483" i="58"/>
  <c r="I483" i="58"/>
  <c r="W482" i="58"/>
  <c r="U482" i="58"/>
  <c r="R482" i="58"/>
  <c r="Q482" i="58"/>
  <c r="O482" i="58"/>
  <c r="N482" i="58"/>
  <c r="K482" i="58"/>
  <c r="I482" i="58"/>
  <c r="W481" i="58"/>
  <c r="U481" i="58"/>
  <c r="R481" i="58"/>
  <c r="Q481" i="58"/>
  <c r="O481" i="58"/>
  <c r="N481" i="58"/>
  <c r="K481" i="58"/>
  <c r="I481" i="58"/>
  <c r="W480" i="58"/>
  <c r="U480" i="58"/>
  <c r="R480" i="58"/>
  <c r="Q480" i="58"/>
  <c r="O480" i="58"/>
  <c r="N480" i="58"/>
  <c r="K480" i="58"/>
  <c r="I480" i="58"/>
  <c r="W479" i="58"/>
  <c r="U479" i="58"/>
  <c r="R479" i="58"/>
  <c r="Q479" i="58"/>
  <c r="O479" i="58"/>
  <c r="N479" i="58"/>
  <c r="K479" i="58"/>
  <c r="I479" i="58"/>
  <c r="W478" i="58"/>
  <c r="U478" i="58"/>
  <c r="R478" i="58"/>
  <c r="Q478" i="58"/>
  <c r="O478" i="58"/>
  <c r="N478" i="58"/>
  <c r="K478" i="58"/>
  <c r="I478" i="58"/>
  <c r="W477" i="58"/>
  <c r="U477" i="58"/>
  <c r="R477" i="58"/>
  <c r="Q477" i="58"/>
  <c r="O477" i="58"/>
  <c r="N477" i="58"/>
  <c r="K477" i="58"/>
  <c r="I477" i="58"/>
  <c r="W476" i="58"/>
  <c r="U476" i="58"/>
  <c r="R476" i="58"/>
  <c r="Q476" i="58"/>
  <c r="O476" i="58"/>
  <c r="N476" i="58"/>
  <c r="K476" i="58"/>
  <c r="I476" i="58"/>
  <c r="W475" i="58"/>
  <c r="U475" i="58"/>
  <c r="R475" i="58"/>
  <c r="Q475" i="58"/>
  <c r="O475" i="58"/>
  <c r="N475" i="58"/>
  <c r="K475" i="58"/>
  <c r="I475" i="58"/>
  <c r="W474" i="58"/>
  <c r="U474" i="58"/>
  <c r="R474" i="58"/>
  <c r="Q474" i="58"/>
  <c r="O474" i="58"/>
  <c r="N474" i="58"/>
  <c r="K474" i="58"/>
  <c r="I474" i="58"/>
  <c r="W473" i="58"/>
  <c r="U473" i="58"/>
  <c r="R473" i="58"/>
  <c r="Q473" i="58"/>
  <c r="O473" i="58"/>
  <c r="N473" i="58"/>
  <c r="K473" i="58"/>
  <c r="I473" i="58"/>
  <c r="W472" i="58"/>
  <c r="U472" i="58"/>
  <c r="R472" i="58"/>
  <c r="Q472" i="58"/>
  <c r="O472" i="58"/>
  <c r="N472" i="58"/>
  <c r="K472" i="58"/>
  <c r="I472" i="58"/>
  <c r="W471" i="58"/>
  <c r="U471" i="58"/>
  <c r="R471" i="58"/>
  <c r="Q471" i="58"/>
  <c r="O471" i="58"/>
  <c r="N471" i="58"/>
  <c r="K471" i="58"/>
  <c r="I471" i="58"/>
  <c r="W470" i="58"/>
  <c r="U470" i="58"/>
  <c r="R470" i="58"/>
  <c r="Q470" i="58"/>
  <c r="O470" i="58"/>
  <c r="N470" i="58"/>
  <c r="K470" i="58"/>
  <c r="I470" i="58"/>
  <c r="W469" i="58"/>
  <c r="U469" i="58"/>
  <c r="R469" i="58"/>
  <c r="Q469" i="58"/>
  <c r="O469" i="58"/>
  <c r="N469" i="58"/>
  <c r="K469" i="58"/>
  <c r="I469" i="58"/>
  <c r="W468" i="58"/>
  <c r="U468" i="58"/>
  <c r="R468" i="58"/>
  <c r="Q468" i="58"/>
  <c r="O468" i="58"/>
  <c r="N468" i="58"/>
  <c r="K468" i="58"/>
  <c r="I468" i="58"/>
  <c r="W467" i="58"/>
  <c r="U467" i="58"/>
  <c r="R467" i="58"/>
  <c r="Q467" i="58"/>
  <c r="O467" i="58"/>
  <c r="N467" i="58"/>
  <c r="K467" i="58"/>
  <c r="I467" i="58"/>
  <c r="W466" i="58"/>
  <c r="U466" i="58"/>
  <c r="R466" i="58"/>
  <c r="Q466" i="58"/>
  <c r="O466" i="58"/>
  <c r="N466" i="58"/>
  <c r="K466" i="58"/>
  <c r="I466" i="58"/>
  <c r="W465" i="58"/>
  <c r="U465" i="58"/>
  <c r="R465" i="58"/>
  <c r="Q465" i="58"/>
  <c r="O465" i="58"/>
  <c r="N465" i="58"/>
  <c r="K465" i="58"/>
  <c r="I465" i="58"/>
  <c r="W464" i="58"/>
  <c r="U464" i="58"/>
  <c r="R464" i="58"/>
  <c r="Q464" i="58"/>
  <c r="O464" i="58"/>
  <c r="N464" i="58"/>
  <c r="K464" i="58"/>
  <c r="I464" i="58"/>
  <c r="W463" i="58"/>
  <c r="U463" i="58"/>
  <c r="R463" i="58"/>
  <c r="Q463" i="58"/>
  <c r="O463" i="58"/>
  <c r="N463" i="58"/>
  <c r="K463" i="58"/>
  <c r="I463" i="58"/>
  <c r="W462" i="58"/>
  <c r="U462" i="58"/>
  <c r="R462" i="58"/>
  <c r="Q462" i="58"/>
  <c r="O462" i="58"/>
  <c r="N462" i="58"/>
  <c r="K462" i="58"/>
  <c r="I462" i="58"/>
  <c r="W461" i="58"/>
  <c r="U461" i="58"/>
  <c r="R461" i="58"/>
  <c r="Q461" i="58"/>
  <c r="O461" i="58"/>
  <c r="N461" i="58"/>
  <c r="K461" i="58"/>
  <c r="I461" i="58"/>
  <c r="W460" i="58"/>
  <c r="U460" i="58"/>
  <c r="R460" i="58"/>
  <c r="Q460" i="58"/>
  <c r="O460" i="58"/>
  <c r="N460" i="58"/>
  <c r="K460" i="58"/>
  <c r="I460" i="58"/>
  <c r="W459" i="58"/>
  <c r="U459" i="58"/>
  <c r="R459" i="58"/>
  <c r="Q459" i="58"/>
  <c r="O459" i="58"/>
  <c r="N459" i="58"/>
  <c r="K459" i="58"/>
  <c r="I459" i="58"/>
  <c r="W458" i="58"/>
  <c r="U458" i="58"/>
  <c r="R458" i="58"/>
  <c r="Q458" i="58"/>
  <c r="O458" i="58"/>
  <c r="N458" i="58"/>
  <c r="K458" i="58"/>
  <c r="I458" i="58"/>
  <c r="W457" i="58"/>
  <c r="U457" i="58"/>
  <c r="R457" i="58"/>
  <c r="Q457" i="58"/>
  <c r="O457" i="58"/>
  <c r="N457" i="58"/>
  <c r="K457" i="58"/>
  <c r="I457" i="58"/>
  <c r="W456" i="58"/>
  <c r="U456" i="58"/>
  <c r="R456" i="58"/>
  <c r="Q456" i="58"/>
  <c r="O456" i="58"/>
  <c r="N456" i="58"/>
  <c r="K456" i="58"/>
  <c r="I456" i="58"/>
  <c r="W455" i="58"/>
  <c r="U455" i="58"/>
  <c r="R455" i="58"/>
  <c r="Q455" i="58"/>
  <c r="O455" i="58"/>
  <c r="N455" i="58"/>
  <c r="K455" i="58"/>
  <c r="I455" i="58"/>
  <c r="W454" i="58"/>
  <c r="U454" i="58"/>
  <c r="R454" i="58"/>
  <c r="Q454" i="58"/>
  <c r="O454" i="58"/>
  <c r="N454" i="58"/>
  <c r="K454" i="58"/>
  <c r="I454" i="58"/>
  <c r="W453" i="58"/>
  <c r="U453" i="58"/>
  <c r="R453" i="58"/>
  <c r="Q453" i="58"/>
  <c r="O453" i="58"/>
  <c r="N453" i="58"/>
  <c r="K453" i="58"/>
  <c r="I453" i="58"/>
  <c r="W452" i="58"/>
  <c r="U452" i="58"/>
  <c r="R452" i="58"/>
  <c r="Q452" i="58"/>
  <c r="O452" i="58"/>
  <c r="N452" i="58"/>
  <c r="K452" i="58"/>
  <c r="I452" i="58"/>
  <c r="W451" i="58"/>
  <c r="U451" i="58"/>
  <c r="R451" i="58"/>
  <c r="Q451" i="58"/>
  <c r="O451" i="58"/>
  <c r="N451" i="58"/>
  <c r="K451" i="58"/>
  <c r="I451" i="58"/>
  <c r="W450" i="58"/>
  <c r="U450" i="58"/>
  <c r="R450" i="58"/>
  <c r="Q450" i="58"/>
  <c r="O450" i="58"/>
  <c r="N450" i="58"/>
  <c r="K450" i="58"/>
  <c r="I450" i="58"/>
  <c r="W449" i="58"/>
  <c r="U449" i="58"/>
  <c r="R449" i="58"/>
  <c r="Q449" i="58"/>
  <c r="O449" i="58"/>
  <c r="N449" i="58"/>
  <c r="K449" i="58"/>
  <c r="I449" i="58"/>
  <c r="W448" i="58"/>
  <c r="U448" i="58"/>
  <c r="R448" i="58"/>
  <c r="Q448" i="58"/>
  <c r="O448" i="58"/>
  <c r="N448" i="58"/>
  <c r="K448" i="58"/>
  <c r="I448" i="58"/>
  <c r="W447" i="58"/>
  <c r="U447" i="58"/>
  <c r="R447" i="58"/>
  <c r="Q447" i="58"/>
  <c r="O447" i="58"/>
  <c r="N447" i="58"/>
  <c r="K447" i="58"/>
  <c r="I447" i="58"/>
  <c r="W446" i="58"/>
  <c r="U446" i="58"/>
  <c r="R446" i="58"/>
  <c r="Q446" i="58"/>
  <c r="O446" i="58"/>
  <c r="N446" i="58"/>
  <c r="K446" i="58"/>
  <c r="I446" i="58"/>
  <c r="W445" i="58"/>
  <c r="U445" i="58"/>
  <c r="R445" i="58"/>
  <c r="Q445" i="58"/>
  <c r="O445" i="58"/>
  <c r="N445" i="58"/>
  <c r="K445" i="58"/>
  <c r="I445" i="58"/>
  <c r="W444" i="58"/>
  <c r="U444" i="58"/>
  <c r="R444" i="58"/>
  <c r="Q444" i="58"/>
  <c r="O444" i="58"/>
  <c r="N444" i="58"/>
  <c r="K444" i="58"/>
  <c r="I444" i="58"/>
  <c r="W443" i="58"/>
  <c r="U443" i="58"/>
  <c r="R443" i="58"/>
  <c r="Q443" i="58"/>
  <c r="O443" i="58"/>
  <c r="N443" i="58"/>
  <c r="K443" i="58"/>
  <c r="I443" i="58"/>
  <c r="W442" i="58"/>
  <c r="U442" i="58"/>
  <c r="R442" i="58"/>
  <c r="Q442" i="58"/>
  <c r="O442" i="58"/>
  <c r="N442" i="58"/>
  <c r="K442" i="58"/>
  <c r="I442" i="58"/>
  <c r="W441" i="58"/>
  <c r="U441" i="58"/>
  <c r="R441" i="58"/>
  <c r="Q441" i="58"/>
  <c r="O441" i="58"/>
  <c r="N441" i="58"/>
  <c r="K441" i="58"/>
  <c r="I441" i="58"/>
  <c r="W440" i="58"/>
  <c r="U440" i="58"/>
  <c r="R440" i="58"/>
  <c r="Q440" i="58"/>
  <c r="O440" i="58"/>
  <c r="N440" i="58"/>
  <c r="K440" i="58"/>
  <c r="I440" i="58"/>
  <c r="W439" i="58"/>
  <c r="U439" i="58"/>
  <c r="R439" i="58"/>
  <c r="Q439" i="58"/>
  <c r="O439" i="58"/>
  <c r="N439" i="58"/>
  <c r="K439" i="58"/>
  <c r="I439" i="58"/>
  <c r="W438" i="58"/>
  <c r="U438" i="58"/>
  <c r="R438" i="58"/>
  <c r="Q438" i="58"/>
  <c r="O438" i="58"/>
  <c r="N438" i="58"/>
  <c r="K438" i="58"/>
  <c r="I438" i="58"/>
  <c r="W437" i="58"/>
  <c r="U437" i="58"/>
  <c r="R437" i="58"/>
  <c r="Q437" i="58"/>
  <c r="O437" i="58"/>
  <c r="N437" i="58"/>
  <c r="K437" i="58"/>
  <c r="I437" i="58"/>
  <c r="W436" i="58"/>
  <c r="U436" i="58"/>
  <c r="R436" i="58"/>
  <c r="Q436" i="58"/>
  <c r="O436" i="58"/>
  <c r="N436" i="58"/>
  <c r="K436" i="58"/>
  <c r="I436" i="58"/>
  <c r="W435" i="58"/>
  <c r="U435" i="58"/>
  <c r="R435" i="58"/>
  <c r="Q435" i="58"/>
  <c r="O435" i="58"/>
  <c r="N435" i="58"/>
  <c r="K435" i="58"/>
  <c r="I435" i="58"/>
  <c r="W434" i="58"/>
  <c r="U434" i="58"/>
  <c r="R434" i="58"/>
  <c r="Q434" i="58"/>
  <c r="O434" i="58"/>
  <c r="N434" i="58"/>
  <c r="K434" i="58"/>
  <c r="I434" i="58"/>
  <c r="W433" i="58"/>
  <c r="U433" i="58"/>
  <c r="R433" i="58"/>
  <c r="Q433" i="58"/>
  <c r="O433" i="58"/>
  <c r="N433" i="58"/>
  <c r="K433" i="58"/>
  <c r="I433" i="58"/>
  <c r="W432" i="58"/>
  <c r="U432" i="58"/>
  <c r="R432" i="58"/>
  <c r="Q432" i="58"/>
  <c r="O432" i="58"/>
  <c r="N432" i="58"/>
  <c r="K432" i="58"/>
  <c r="I432" i="58"/>
  <c r="W431" i="58"/>
  <c r="U431" i="58"/>
  <c r="R431" i="58"/>
  <c r="Q431" i="58"/>
  <c r="O431" i="58"/>
  <c r="N431" i="58"/>
  <c r="K431" i="58"/>
  <c r="I431" i="58"/>
  <c r="W430" i="58"/>
  <c r="U430" i="58"/>
  <c r="R430" i="58"/>
  <c r="Q430" i="58"/>
  <c r="O430" i="58"/>
  <c r="N430" i="58"/>
  <c r="K430" i="58"/>
  <c r="I430" i="58"/>
  <c r="W429" i="58"/>
  <c r="U429" i="58"/>
  <c r="R429" i="58"/>
  <c r="Q429" i="58"/>
  <c r="O429" i="58"/>
  <c r="N429" i="58"/>
  <c r="K429" i="58"/>
  <c r="I429" i="58"/>
  <c r="W428" i="58"/>
  <c r="U428" i="58"/>
  <c r="R428" i="58"/>
  <c r="Q428" i="58"/>
  <c r="O428" i="58"/>
  <c r="N428" i="58"/>
  <c r="K428" i="58"/>
  <c r="I428" i="58"/>
  <c r="W427" i="58"/>
  <c r="U427" i="58"/>
  <c r="R427" i="58"/>
  <c r="Q427" i="58"/>
  <c r="O427" i="58"/>
  <c r="N427" i="58"/>
  <c r="K427" i="58"/>
  <c r="I427" i="58"/>
  <c r="W426" i="58"/>
  <c r="U426" i="58"/>
  <c r="R426" i="58"/>
  <c r="Q426" i="58"/>
  <c r="O426" i="58"/>
  <c r="N426" i="58"/>
  <c r="K426" i="58"/>
  <c r="I426" i="58"/>
  <c r="W425" i="58"/>
  <c r="U425" i="58"/>
  <c r="R425" i="58"/>
  <c r="Q425" i="58"/>
  <c r="O425" i="58"/>
  <c r="N425" i="58"/>
  <c r="K425" i="58"/>
  <c r="I425" i="58"/>
  <c r="W424" i="58"/>
  <c r="U424" i="58"/>
  <c r="R424" i="58"/>
  <c r="Q424" i="58"/>
  <c r="O424" i="58"/>
  <c r="N424" i="58"/>
  <c r="K424" i="58"/>
  <c r="I424" i="58"/>
  <c r="W423" i="58"/>
  <c r="U423" i="58"/>
  <c r="R423" i="58"/>
  <c r="Q423" i="58"/>
  <c r="O423" i="58"/>
  <c r="N423" i="58"/>
  <c r="K423" i="58"/>
  <c r="I423" i="58"/>
  <c r="W422" i="58"/>
  <c r="U422" i="58"/>
  <c r="R422" i="58"/>
  <c r="Q422" i="58"/>
  <c r="O422" i="58"/>
  <c r="N422" i="58"/>
  <c r="K422" i="58"/>
  <c r="I422" i="58"/>
  <c r="W421" i="58"/>
  <c r="U421" i="58"/>
  <c r="R421" i="58"/>
  <c r="Q421" i="58"/>
  <c r="O421" i="58"/>
  <c r="N421" i="58"/>
  <c r="K421" i="58"/>
  <c r="I421" i="58"/>
  <c r="W420" i="58"/>
  <c r="U420" i="58"/>
  <c r="R420" i="58"/>
  <c r="Q420" i="58"/>
  <c r="O420" i="58"/>
  <c r="N420" i="58"/>
  <c r="K420" i="58"/>
  <c r="I420" i="58"/>
  <c r="W419" i="58"/>
  <c r="U419" i="58"/>
  <c r="R419" i="58"/>
  <c r="Q419" i="58"/>
  <c r="O419" i="58"/>
  <c r="N419" i="58"/>
  <c r="K419" i="58"/>
  <c r="I419" i="58"/>
  <c r="W418" i="58"/>
  <c r="U418" i="58"/>
  <c r="R418" i="58"/>
  <c r="Q418" i="58"/>
  <c r="O418" i="58"/>
  <c r="N418" i="58"/>
  <c r="K418" i="58"/>
  <c r="I418" i="58"/>
  <c r="W417" i="58"/>
  <c r="U417" i="58"/>
  <c r="R417" i="58"/>
  <c r="Q417" i="58"/>
  <c r="O417" i="58"/>
  <c r="N417" i="58"/>
  <c r="K417" i="58"/>
  <c r="I417" i="58"/>
  <c r="W416" i="58"/>
  <c r="U416" i="58"/>
  <c r="R416" i="58"/>
  <c r="Q416" i="58"/>
  <c r="O416" i="58"/>
  <c r="N416" i="58"/>
  <c r="K416" i="58"/>
  <c r="I416" i="58"/>
  <c r="W415" i="58"/>
  <c r="U415" i="58"/>
  <c r="R415" i="58"/>
  <c r="Q415" i="58"/>
  <c r="O415" i="58"/>
  <c r="N415" i="58"/>
  <c r="K415" i="58"/>
  <c r="I415" i="58"/>
  <c r="W414" i="58"/>
  <c r="U414" i="58"/>
  <c r="R414" i="58"/>
  <c r="Q414" i="58"/>
  <c r="O414" i="58"/>
  <c r="N414" i="58"/>
  <c r="K414" i="58"/>
  <c r="I414" i="58"/>
  <c r="W413" i="58"/>
  <c r="U413" i="58"/>
  <c r="R413" i="58"/>
  <c r="Q413" i="58"/>
  <c r="O413" i="58"/>
  <c r="N413" i="58"/>
  <c r="K413" i="58"/>
  <c r="I413" i="58"/>
  <c r="W412" i="58"/>
  <c r="U412" i="58"/>
  <c r="R412" i="58"/>
  <c r="Q412" i="58"/>
  <c r="O412" i="58"/>
  <c r="N412" i="58"/>
  <c r="K412" i="58"/>
  <c r="I412" i="58"/>
  <c r="W411" i="58"/>
  <c r="U411" i="58"/>
  <c r="R411" i="58"/>
  <c r="Q411" i="58"/>
  <c r="O411" i="58"/>
  <c r="N411" i="58"/>
  <c r="K411" i="58"/>
  <c r="I411" i="58"/>
  <c r="W410" i="58"/>
  <c r="U410" i="58"/>
  <c r="R410" i="58"/>
  <c r="Q410" i="58"/>
  <c r="O410" i="58"/>
  <c r="N410" i="58"/>
  <c r="K410" i="58"/>
  <c r="I410" i="58"/>
  <c r="W409" i="58"/>
  <c r="U409" i="58"/>
  <c r="R409" i="58"/>
  <c r="Q409" i="58"/>
  <c r="O409" i="58"/>
  <c r="N409" i="58"/>
  <c r="K409" i="58"/>
  <c r="I409" i="58"/>
  <c r="W408" i="58"/>
  <c r="U408" i="58"/>
  <c r="R408" i="58"/>
  <c r="Q408" i="58"/>
  <c r="O408" i="58"/>
  <c r="N408" i="58"/>
  <c r="K408" i="58"/>
  <c r="I408" i="58"/>
  <c r="W407" i="58"/>
  <c r="U407" i="58"/>
  <c r="R407" i="58"/>
  <c r="Q407" i="58"/>
  <c r="O407" i="58"/>
  <c r="N407" i="58"/>
  <c r="K407" i="58"/>
  <c r="I407" i="58"/>
  <c r="W406" i="58"/>
  <c r="U406" i="58"/>
  <c r="R406" i="58"/>
  <c r="Q406" i="58"/>
  <c r="O406" i="58"/>
  <c r="N406" i="58"/>
  <c r="K406" i="58"/>
  <c r="I406" i="58"/>
  <c r="W405" i="58"/>
  <c r="U405" i="58"/>
  <c r="R405" i="58"/>
  <c r="Q405" i="58"/>
  <c r="O405" i="58"/>
  <c r="N405" i="58"/>
  <c r="K405" i="58"/>
  <c r="I405" i="58"/>
  <c r="W404" i="58"/>
  <c r="U404" i="58"/>
  <c r="R404" i="58"/>
  <c r="Q404" i="58"/>
  <c r="O404" i="58"/>
  <c r="N404" i="58"/>
  <c r="K404" i="58"/>
  <c r="I404" i="58"/>
  <c r="W403" i="58"/>
  <c r="U403" i="58"/>
  <c r="R403" i="58"/>
  <c r="Q403" i="58"/>
  <c r="O403" i="58"/>
  <c r="N403" i="58"/>
  <c r="K403" i="58"/>
  <c r="I403" i="58"/>
  <c r="W402" i="58"/>
  <c r="U402" i="58"/>
  <c r="R402" i="58"/>
  <c r="Q402" i="58"/>
  <c r="O402" i="58"/>
  <c r="N402" i="58"/>
  <c r="K402" i="58"/>
  <c r="I402" i="58"/>
  <c r="W401" i="58"/>
  <c r="U401" i="58"/>
  <c r="R401" i="58"/>
  <c r="Q401" i="58"/>
  <c r="O401" i="58"/>
  <c r="N401" i="58"/>
  <c r="K401" i="58"/>
  <c r="I401" i="58"/>
  <c r="W400" i="58"/>
  <c r="U400" i="58"/>
  <c r="R400" i="58"/>
  <c r="Q400" i="58"/>
  <c r="O400" i="58"/>
  <c r="N400" i="58"/>
  <c r="K400" i="58"/>
  <c r="I400" i="58"/>
  <c r="W399" i="58"/>
  <c r="U399" i="58"/>
  <c r="R399" i="58"/>
  <c r="Q399" i="58"/>
  <c r="O399" i="58"/>
  <c r="N399" i="58"/>
  <c r="K399" i="58"/>
  <c r="I399" i="58"/>
  <c r="W398" i="58"/>
  <c r="U398" i="58"/>
  <c r="R398" i="58"/>
  <c r="Q398" i="58"/>
  <c r="O398" i="58"/>
  <c r="N398" i="58"/>
  <c r="K398" i="58"/>
  <c r="I398" i="58"/>
  <c r="W397" i="58"/>
  <c r="U397" i="58"/>
  <c r="R397" i="58"/>
  <c r="Q397" i="58"/>
  <c r="O397" i="58"/>
  <c r="N397" i="58"/>
  <c r="K397" i="58"/>
  <c r="I397" i="58"/>
  <c r="W396" i="58"/>
  <c r="U396" i="58"/>
  <c r="R396" i="58"/>
  <c r="Q396" i="58"/>
  <c r="O396" i="58"/>
  <c r="N396" i="58"/>
  <c r="K396" i="58"/>
  <c r="I396" i="58"/>
  <c r="W395" i="58"/>
  <c r="U395" i="58"/>
  <c r="R395" i="58"/>
  <c r="Q395" i="58"/>
  <c r="O395" i="58"/>
  <c r="N395" i="58"/>
  <c r="K395" i="58"/>
  <c r="I395" i="58"/>
  <c r="W394" i="58"/>
  <c r="U394" i="58"/>
  <c r="R394" i="58"/>
  <c r="Q394" i="58"/>
  <c r="O394" i="58"/>
  <c r="N394" i="58"/>
  <c r="K394" i="58"/>
  <c r="I394" i="58"/>
  <c r="W393" i="58"/>
  <c r="U393" i="58"/>
  <c r="R393" i="58"/>
  <c r="Q393" i="58"/>
  <c r="O393" i="58"/>
  <c r="N393" i="58"/>
  <c r="K393" i="58"/>
  <c r="I393" i="58"/>
  <c r="W392" i="58"/>
  <c r="U392" i="58"/>
  <c r="S392" i="58"/>
  <c r="R392" i="58"/>
  <c r="Q392" i="58"/>
  <c r="O392" i="58"/>
  <c r="N392" i="58"/>
  <c r="K392" i="58"/>
  <c r="I392" i="58"/>
  <c r="W391" i="58"/>
  <c r="U391" i="58"/>
  <c r="S391" i="58"/>
  <c r="R391" i="58"/>
  <c r="Q391" i="58"/>
  <c r="O391" i="58"/>
  <c r="N391" i="58"/>
  <c r="K391" i="58"/>
  <c r="I391" i="58"/>
  <c r="W390" i="58"/>
  <c r="U390" i="58"/>
  <c r="S390" i="58"/>
  <c r="R390" i="58"/>
  <c r="Q390" i="58"/>
  <c r="O390" i="58"/>
  <c r="N390" i="58"/>
  <c r="K390" i="58"/>
  <c r="I390" i="58"/>
  <c r="W389" i="58"/>
  <c r="U389" i="58"/>
  <c r="S389" i="58"/>
  <c r="R389" i="58"/>
  <c r="Q389" i="58"/>
  <c r="O389" i="58"/>
  <c r="N389" i="58"/>
  <c r="K389" i="58"/>
  <c r="I389" i="58"/>
  <c r="W388" i="58"/>
  <c r="U388" i="58"/>
  <c r="S388" i="58"/>
  <c r="R388" i="58"/>
  <c r="Q388" i="58"/>
  <c r="O388" i="58"/>
  <c r="N388" i="58"/>
  <c r="K388" i="58"/>
  <c r="I388" i="58"/>
  <c r="W387" i="58"/>
  <c r="U387" i="58"/>
  <c r="S387" i="58"/>
  <c r="R387" i="58"/>
  <c r="Q387" i="58"/>
  <c r="O387" i="58"/>
  <c r="N387" i="58"/>
  <c r="K387" i="58"/>
  <c r="I387" i="58"/>
  <c r="W386" i="58"/>
  <c r="U386" i="58"/>
  <c r="S386" i="58"/>
  <c r="R386" i="58"/>
  <c r="Q386" i="58"/>
  <c r="O386" i="58"/>
  <c r="N386" i="58"/>
  <c r="K386" i="58"/>
  <c r="I386" i="58"/>
  <c r="W385" i="58"/>
  <c r="U385" i="58"/>
  <c r="S385" i="58"/>
  <c r="R385" i="58"/>
  <c r="Q385" i="58"/>
  <c r="O385" i="58"/>
  <c r="N385" i="58"/>
  <c r="K385" i="58"/>
  <c r="I385" i="58"/>
  <c r="W384" i="58"/>
  <c r="U384" i="58"/>
  <c r="S384" i="58"/>
  <c r="R384" i="58"/>
  <c r="Q384" i="58"/>
  <c r="O384" i="58"/>
  <c r="N384" i="58"/>
  <c r="K384" i="58"/>
  <c r="I384" i="58"/>
  <c r="W383" i="58"/>
  <c r="U383" i="58"/>
  <c r="S383" i="58"/>
  <c r="R383" i="58"/>
  <c r="Q383" i="58"/>
  <c r="O383" i="58"/>
  <c r="N383" i="58"/>
  <c r="K383" i="58"/>
  <c r="I383" i="58"/>
  <c r="W382" i="58"/>
  <c r="U382" i="58"/>
  <c r="S382" i="58"/>
  <c r="R382" i="58"/>
  <c r="Q382" i="58"/>
  <c r="O382" i="58"/>
  <c r="N382" i="58"/>
  <c r="K382" i="58"/>
  <c r="I382" i="58"/>
  <c r="W381" i="58"/>
  <c r="U381" i="58"/>
  <c r="S381" i="58"/>
  <c r="R381" i="58"/>
  <c r="Q381" i="58"/>
  <c r="O381" i="58"/>
  <c r="N381" i="58"/>
  <c r="K381" i="58"/>
  <c r="I381" i="58"/>
  <c r="W380" i="58"/>
  <c r="U380" i="58"/>
  <c r="S380" i="58"/>
  <c r="R380" i="58"/>
  <c r="Q380" i="58"/>
  <c r="O380" i="58"/>
  <c r="N380" i="58"/>
  <c r="K380" i="58"/>
  <c r="I380" i="58"/>
  <c r="W379" i="58"/>
  <c r="U379" i="58"/>
  <c r="S379" i="58"/>
  <c r="R379" i="58"/>
  <c r="Q379" i="58"/>
  <c r="O379" i="58"/>
  <c r="N379" i="58"/>
  <c r="K379" i="58"/>
  <c r="I379" i="58"/>
  <c r="W378" i="58"/>
  <c r="U378" i="58"/>
  <c r="S378" i="58"/>
  <c r="R378" i="58"/>
  <c r="Q378" i="58"/>
  <c r="O378" i="58"/>
  <c r="N378" i="58"/>
  <c r="K378" i="58"/>
  <c r="I378" i="58"/>
  <c r="W377" i="58"/>
  <c r="U377" i="58"/>
  <c r="S377" i="58"/>
  <c r="R377" i="58"/>
  <c r="Q377" i="58"/>
  <c r="O377" i="58"/>
  <c r="N377" i="58"/>
  <c r="K377" i="58"/>
  <c r="I377" i="58"/>
  <c r="W376" i="58"/>
  <c r="U376" i="58"/>
  <c r="S376" i="58"/>
  <c r="R376" i="58"/>
  <c r="Q376" i="58"/>
  <c r="O376" i="58"/>
  <c r="N376" i="58"/>
  <c r="K376" i="58"/>
  <c r="I376" i="58"/>
  <c r="W375" i="58"/>
  <c r="U375" i="58"/>
  <c r="S375" i="58"/>
  <c r="R375" i="58"/>
  <c r="Q375" i="58"/>
  <c r="O375" i="58"/>
  <c r="N375" i="58"/>
  <c r="K375" i="58"/>
  <c r="I375" i="58"/>
  <c r="W374" i="58"/>
  <c r="U374" i="58"/>
  <c r="S374" i="58"/>
  <c r="R374" i="58"/>
  <c r="Q374" i="58"/>
  <c r="O374" i="58"/>
  <c r="N374" i="58"/>
  <c r="K374" i="58"/>
  <c r="I374" i="58"/>
  <c r="W373" i="58"/>
  <c r="U373" i="58"/>
  <c r="S373" i="58"/>
  <c r="R373" i="58"/>
  <c r="Q373" i="58"/>
  <c r="O373" i="58"/>
  <c r="N373" i="58"/>
  <c r="K373" i="58"/>
  <c r="I373" i="58"/>
  <c r="W372" i="58"/>
  <c r="U372" i="58"/>
  <c r="S372" i="58"/>
  <c r="R372" i="58"/>
  <c r="Q372" i="58"/>
  <c r="O372" i="58"/>
  <c r="N372" i="58"/>
  <c r="K372" i="58"/>
  <c r="I372" i="58"/>
  <c r="W371" i="58"/>
  <c r="U371" i="58"/>
  <c r="S371" i="58"/>
  <c r="R371" i="58"/>
  <c r="Q371" i="58"/>
  <c r="O371" i="58"/>
  <c r="N371" i="58"/>
  <c r="K371" i="58"/>
  <c r="I371" i="58"/>
  <c r="W370" i="58"/>
  <c r="U370" i="58"/>
  <c r="S370" i="58"/>
  <c r="R370" i="58"/>
  <c r="Q370" i="58"/>
  <c r="O370" i="58"/>
  <c r="N370" i="58"/>
  <c r="K370" i="58"/>
  <c r="I370" i="58"/>
  <c r="W369" i="58"/>
  <c r="U369" i="58"/>
  <c r="S369" i="58"/>
  <c r="R369" i="58"/>
  <c r="Q369" i="58"/>
  <c r="O369" i="58"/>
  <c r="N369" i="58"/>
  <c r="K369" i="58"/>
  <c r="I369" i="58"/>
  <c r="W368" i="58"/>
  <c r="U368" i="58"/>
  <c r="S368" i="58"/>
  <c r="R368" i="58"/>
  <c r="Q368" i="58"/>
  <c r="O368" i="58"/>
  <c r="N368" i="58"/>
  <c r="K368" i="58"/>
  <c r="I368" i="58"/>
  <c r="W367" i="58"/>
  <c r="U367" i="58"/>
  <c r="S367" i="58"/>
  <c r="R367" i="58"/>
  <c r="Q367" i="58"/>
  <c r="O367" i="58"/>
  <c r="N367" i="58"/>
  <c r="K367" i="58"/>
  <c r="I367" i="58"/>
  <c r="W366" i="58"/>
  <c r="U366" i="58"/>
  <c r="S366" i="58"/>
  <c r="R366" i="58"/>
  <c r="Q366" i="58"/>
  <c r="O366" i="58"/>
  <c r="N366" i="58"/>
  <c r="K366" i="58"/>
  <c r="I366" i="58"/>
  <c r="W365" i="58"/>
  <c r="U365" i="58"/>
  <c r="S365" i="58"/>
  <c r="R365" i="58"/>
  <c r="Q365" i="58"/>
  <c r="O365" i="58"/>
  <c r="N365" i="58"/>
  <c r="K365" i="58"/>
  <c r="I365" i="58"/>
  <c r="W364" i="58"/>
  <c r="U364" i="58"/>
  <c r="S364" i="58"/>
  <c r="R364" i="58"/>
  <c r="Q364" i="58"/>
  <c r="O364" i="58"/>
  <c r="N364" i="58"/>
  <c r="K364" i="58"/>
  <c r="I364" i="58"/>
  <c r="W363" i="58"/>
  <c r="U363" i="58"/>
  <c r="S363" i="58"/>
  <c r="R363" i="58"/>
  <c r="Q363" i="58"/>
  <c r="O363" i="58"/>
  <c r="N363" i="58"/>
  <c r="K363" i="58"/>
  <c r="I363" i="58"/>
  <c r="W362" i="58"/>
  <c r="U362" i="58"/>
  <c r="S362" i="58"/>
  <c r="R362" i="58"/>
  <c r="Q362" i="58"/>
  <c r="O362" i="58"/>
  <c r="N362" i="58"/>
  <c r="K362" i="58"/>
  <c r="I362" i="58"/>
  <c r="W361" i="58"/>
  <c r="U361" i="58"/>
  <c r="S361" i="58"/>
  <c r="R361" i="58"/>
  <c r="Q361" i="58"/>
  <c r="O361" i="58"/>
  <c r="N361" i="58"/>
  <c r="K361" i="58"/>
  <c r="I361" i="58"/>
  <c r="W356" i="58"/>
  <c r="U356" i="58"/>
  <c r="S356" i="58"/>
  <c r="R356" i="58"/>
  <c r="Q356" i="58"/>
  <c r="O356" i="58"/>
  <c r="N356" i="58"/>
  <c r="K356" i="58"/>
  <c r="I356" i="58"/>
  <c r="W355" i="58"/>
  <c r="U355" i="58"/>
  <c r="S355" i="58"/>
  <c r="R355" i="58"/>
  <c r="Q355" i="58"/>
  <c r="O355" i="58"/>
  <c r="N355" i="58"/>
  <c r="K355" i="58"/>
  <c r="I355" i="58"/>
  <c r="W354" i="58"/>
  <c r="U354" i="58"/>
  <c r="S354" i="58"/>
  <c r="R354" i="58"/>
  <c r="Q354" i="58"/>
  <c r="O354" i="58"/>
  <c r="N354" i="58"/>
  <c r="K354" i="58"/>
  <c r="I354" i="58"/>
  <c r="W353" i="58"/>
  <c r="U353" i="58"/>
  <c r="S353" i="58"/>
  <c r="R353" i="58"/>
  <c r="Q353" i="58"/>
  <c r="O353" i="58"/>
  <c r="N353" i="58"/>
  <c r="K353" i="58"/>
  <c r="I353" i="58"/>
  <c r="W352" i="58"/>
  <c r="U352" i="58"/>
  <c r="S352" i="58"/>
  <c r="R352" i="58"/>
  <c r="Q352" i="58"/>
  <c r="O352" i="58"/>
  <c r="N352" i="58"/>
  <c r="K352" i="58"/>
  <c r="I352" i="58"/>
  <c r="W351" i="58"/>
  <c r="U351" i="58"/>
  <c r="S351" i="58"/>
  <c r="R351" i="58"/>
  <c r="Q351" i="58"/>
  <c r="O351" i="58"/>
  <c r="N351" i="58"/>
  <c r="K351" i="58"/>
  <c r="I351" i="58"/>
  <c r="W350" i="58"/>
  <c r="U350" i="58"/>
  <c r="S350" i="58"/>
  <c r="R350" i="58"/>
  <c r="Q350" i="58"/>
  <c r="O350" i="58"/>
  <c r="N350" i="58"/>
  <c r="K350" i="58"/>
  <c r="I350" i="58"/>
  <c r="W349" i="58"/>
  <c r="U349" i="58"/>
  <c r="S349" i="58"/>
  <c r="R349" i="58"/>
  <c r="Q349" i="58"/>
  <c r="O349" i="58"/>
  <c r="N349" i="58"/>
  <c r="K349" i="58"/>
  <c r="I349" i="58"/>
  <c r="W348" i="58"/>
  <c r="U348" i="58"/>
  <c r="S348" i="58"/>
  <c r="R348" i="58"/>
  <c r="Q348" i="58"/>
  <c r="O348" i="58"/>
  <c r="N348" i="58"/>
  <c r="K348" i="58"/>
  <c r="I348" i="58"/>
  <c r="W347" i="58"/>
  <c r="U347" i="58"/>
  <c r="S347" i="58"/>
  <c r="R347" i="58"/>
  <c r="Q347" i="58"/>
  <c r="O347" i="58"/>
  <c r="N347" i="58"/>
  <c r="K347" i="58"/>
  <c r="I347" i="58"/>
  <c r="W346" i="58"/>
  <c r="U346" i="58"/>
  <c r="S346" i="58"/>
  <c r="R346" i="58"/>
  <c r="Q346" i="58"/>
  <c r="O346" i="58"/>
  <c r="N346" i="58"/>
  <c r="K346" i="58"/>
  <c r="I346" i="58"/>
  <c r="W345" i="58"/>
  <c r="U345" i="58"/>
  <c r="S345" i="58"/>
  <c r="R345" i="58"/>
  <c r="Q345" i="58"/>
  <c r="O345" i="58"/>
  <c r="N345" i="58"/>
  <c r="K345" i="58"/>
  <c r="I345" i="58"/>
  <c r="W344" i="58"/>
  <c r="U344" i="58"/>
  <c r="S344" i="58"/>
  <c r="R344" i="58"/>
  <c r="Q344" i="58"/>
  <c r="O344" i="58"/>
  <c r="N344" i="58"/>
  <c r="K344" i="58"/>
  <c r="I344" i="58"/>
  <c r="W343" i="58"/>
  <c r="U343" i="58"/>
  <c r="S343" i="58"/>
  <c r="R343" i="58"/>
  <c r="Q343" i="58"/>
  <c r="O343" i="58"/>
  <c r="N343" i="58"/>
  <c r="K343" i="58"/>
  <c r="I343" i="58"/>
  <c r="W342" i="58"/>
  <c r="U342" i="58"/>
  <c r="S342" i="58"/>
  <c r="R342" i="58"/>
  <c r="Q342" i="58"/>
  <c r="O342" i="58"/>
  <c r="N342" i="58"/>
  <c r="K342" i="58"/>
  <c r="I342" i="58"/>
  <c r="W341" i="58"/>
  <c r="U341" i="58"/>
  <c r="S341" i="58"/>
  <c r="R341" i="58"/>
  <c r="Q341" i="58"/>
  <c r="O341" i="58"/>
  <c r="N341" i="58"/>
  <c r="K341" i="58"/>
  <c r="I341" i="58"/>
  <c r="W340" i="58"/>
  <c r="U340" i="58"/>
  <c r="S340" i="58"/>
  <c r="R340" i="58"/>
  <c r="Q340" i="58"/>
  <c r="O340" i="58"/>
  <c r="N340" i="58"/>
  <c r="K340" i="58"/>
  <c r="I340" i="58"/>
  <c r="W339" i="58"/>
  <c r="U339" i="58"/>
  <c r="S339" i="58"/>
  <c r="R339" i="58"/>
  <c r="Q339" i="58"/>
  <c r="O339" i="58"/>
  <c r="N339" i="58"/>
  <c r="K339" i="58"/>
  <c r="I339" i="58"/>
  <c r="W338" i="58"/>
  <c r="U338" i="58"/>
  <c r="S338" i="58"/>
  <c r="R338" i="58"/>
  <c r="Q338" i="58"/>
  <c r="O338" i="58"/>
  <c r="N338" i="58"/>
  <c r="K338" i="58"/>
  <c r="I338" i="58"/>
  <c r="W337" i="58"/>
  <c r="U337" i="58"/>
  <c r="S337" i="58"/>
  <c r="R337" i="58"/>
  <c r="Q337" i="58"/>
  <c r="O337" i="58"/>
  <c r="N337" i="58"/>
  <c r="K337" i="58"/>
  <c r="I337" i="58"/>
  <c r="W336" i="58"/>
  <c r="U336" i="58"/>
  <c r="S336" i="58"/>
  <c r="R336" i="58"/>
  <c r="Q336" i="58"/>
  <c r="O336" i="58"/>
  <c r="N336" i="58"/>
  <c r="K336" i="58"/>
  <c r="I336" i="58"/>
  <c r="W335" i="58"/>
  <c r="U335" i="58"/>
  <c r="S335" i="58"/>
  <c r="R335" i="58"/>
  <c r="Q335" i="58"/>
  <c r="O335" i="58"/>
  <c r="N335" i="58"/>
  <c r="K335" i="58"/>
  <c r="I335" i="58"/>
  <c r="W334" i="58"/>
  <c r="U334" i="58"/>
  <c r="S334" i="58"/>
  <c r="R334" i="58"/>
  <c r="Q334" i="58"/>
  <c r="O334" i="58"/>
  <c r="N334" i="58"/>
  <c r="K334" i="58"/>
  <c r="I334" i="58"/>
  <c r="W333" i="58"/>
  <c r="U333" i="58"/>
  <c r="S333" i="58"/>
  <c r="R333" i="58"/>
  <c r="Q333" i="58"/>
  <c r="O333" i="58"/>
  <c r="N333" i="58"/>
  <c r="K333" i="58"/>
  <c r="I333" i="58"/>
  <c r="W332" i="58"/>
  <c r="U332" i="58"/>
  <c r="S332" i="58"/>
  <c r="R332" i="58"/>
  <c r="Q332" i="58"/>
  <c r="O332" i="58"/>
  <c r="N332" i="58"/>
  <c r="K332" i="58"/>
  <c r="I332" i="58"/>
  <c r="W331" i="58"/>
  <c r="U331" i="58"/>
  <c r="S331" i="58"/>
  <c r="R331" i="58"/>
  <c r="Q331" i="58"/>
  <c r="O331" i="58"/>
  <c r="N331" i="58"/>
  <c r="K331" i="58"/>
  <c r="I331" i="58"/>
  <c r="W330" i="58"/>
  <c r="U330" i="58"/>
  <c r="S330" i="58"/>
  <c r="R330" i="58"/>
  <c r="Q330" i="58"/>
  <c r="O330" i="58"/>
  <c r="N330" i="58"/>
  <c r="K330" i="58"/>
  <c r="I330" i="58"/>
  <c r="W329" i="58"/>
  <c r="U329" i="58"/>
  <c r="S329" i="58"/>
  <c r="R329" i="58"/>
  <c r="Q329" i="58"/>
  <c r="O329" i="58"/>
  <c r="N329" i="58"/>
  <c r="K329" i="58"/>
  <c r="I329" i="58"/>
  <c r="W328" i="58"/>
  <c r="U328" i="58"/>
  <c r="S328" i="58"/>
  <c r="R328" i="58"/>
  <c r="Q328" i="58"/>
  <c r="O328" i="58"/>
  <c r="K328" i="58"/>
  <c r="I328" i="58"/>
  <c r="W327" i="58"/>
  <c r="U327" i="58"/>
  <c r="S327" i="58"/>
  <c r="R327" i="58"/>
  <c r="Q327" i="58"/>
  <c r="O327" i="58"/>
  <c r="N327" i="58"/>
  <c r="K327" i="58"/>
  <c r="I327" i="58"/>
  <c r="W326" i="58"/>
  <c r="U326" i="58"/>
  <c r="S326" i="58"/>
  <c r="R326" i="58"/>
  <c r="Q326" i="58"/>
  <c r="O326" i="58"/>
  <c r="N326" i="58"/>
  <c r="K326" i="58"/>
  <c r="I326" i="58"/>
  <c r="W325" i="58"/>
  <c r="U325" i="58"/>
  <c r="S325" i="58"/>
  <c r="R325" i="58"/>
  <c r="Q325" i="58"/>
  <c r="O325" i="58"/>
  <c r="N325" i="58"/>
  <c r="K325" i="58"/>
  <c r="I325" i="58"/>
  <c r="W324" i="58"/>
  <c r="U324" i="58"/>
  <c r="S324" i="58"/>
  <c r="R324" i="58"/>
  <c r="Q324" i="58"/>
  <c r="O324" i="58"/>
  <c r="N324" i="58"/>
  <c r="K324" i="58"/>
  <c r="I324" i="58"/>
  <c r="W323" i="58"/>
  <c r="U323" i="58"/>
  <c r="S323" i="58"/>
  <c r="R323" i="58"/>
  <c r="Q323" i="58"/>
  <c r="O323" i="58"/>
  <c r="K323" i="58"/>
  <c r="I323" i="58"/>
  <c r="W322" i="58"/>
  <c r="U322" i="58"/>
  <c r="S322" i="58"/>
  <c r="R322" i="58"/>
  <c r="Q322" i="58"/>
  <c r="O322" i="58"/>
  <c r="N322" i="58"/>
  <c r="K322" i="58"/>
  <c r="I322" i="58"/>
  <c r="W321" i="58"/>
  <c r="U321" i="58"/>
  <c r="S321" i="58"/>
  <c r="R321" i="58"/>
  <c r="Q321" i="58"/>
  <c r="O321" i="58"/>
  <c r="N321" i="58"/>
  <c r="K321" i="58"/>
  <c r="I321" i="58"/>
  <c r="W320" i="58"/>
  <c r="U320" i="58"/>
  <c r="S320" i="58"/>
  <c r="R320" i="58"/>
  <c r="Q320" i="58"/>
  <c r="O320" i="58"/>
  <c r="N320" i="58"/>
  <c r="K320" i="58"/>
  <c r="I320" i="58"/>
  <c r="W319" i="58"/>
  <c r="U319" i="58"/>
  <c r="S319" i="58"/>
  <c r="Q319" i="58"/>
  <c r="O319" i="58"/>
  <c r="N319" i="58"/>
  <c r="K319" i="58"/>
  <c r="I319" i="58"/>
  <c r="W318" i="58"/>
  <c r="U318" i="58"/>
  <c r="S318" i="58"/>
  <c r="Q318" i="58"/>
  <c r="O318" i="58"/>
  <c r="N318" i="58"/>
  <c r="K318" i="58"/>
  <c r="I318" i="58"/>
  <c r="W317" i="58"/>
  <c r="U317" i="58"/>
  <c r="S317" i="58"/>
  <c r="Q317" i="58"/>
  <c r="O317" i="58"/>
  <c r="N317" i="58"/>
  <c r="K317" i="58"/>
  <c r="I317" i="58"/>
  <c r="W316" i="58"/>
  <c r="U316" i="58"/>
  <c r="S316" i="58"/>
  <c r="Q316" i="58"/>
  <c r="O316" i="58"/>
  <c r="N316" i="58"/>
  <c r="K316" i="58"/>
  <c r="I316" i="58"/>
  <c r="W315" i="58"/>
  <c r="U315" i="58"/>
  <c r="S315" i="58"/>
  <c r="Q315" i="58"/>
  <c r="O315" i="58"/>
  <c r="N315" i="58"/>
  <c r="K315" i="58"/>
  <c r="I315" i="58"/>
  <c r="W314" i="58"/>
  <c r="U314" i="58"/>
  <c r="S314" i="58"/>
  <c r="Q314" i="58"/>
  <c r="O314" i="58"/>
  <c r="N314" i="58"/>
  <c r="K314" i="58"/>
  <c r="I314" i="58"/>
  <c r="W313" i="58"/>
  <c r="U313" i="58"/>
  <c r="S313" i="58"/>
  <c r="Q313" i="58"/>
  <c r="O313" i="58"/>
  <c r="N313" i="58"/>
  <c r="K313" i="58"/>
  <c r="I313" i="58"/>
  <c r="W312" i="58"/>
  <c r="U312" i="58"/>
  <c r="S312" i="58"/>
  <c r="Q312" i="58"/>
  <c r="O312" i="58"/>
  <c r="N312" i="58"/>
  <c r="K312" i="58"/>
  <c r="I312" i="58"/>
  <c r="W311" i="58"/>
  <c r="U311" i="58"/>
  <c r="S311" i="58"/>
  <c r="Q311" i="58"/>
  <c r="O311" i="58"/>
  <c r="N311" i="58"/>
  <c r="K311" i="58"/>
  <c r="I311" i="58"/>
  <c r="W310" i="58"/>
  <c r="U310" i="58"/>
  <c r="S310" i="58"/>
  <c r="Q310" i="58"/>
  <c r="O310" i="58"/>
  <c r="N310" i="58"/>
  <c r="K310" i="58"/>
  <c r="I310" i="58"/>
  <c r="W309" i="58"/>
  <c r="U309" i="58"/>
  <c r="S309" i="58"/>
  <c r="Q309" i="58"/>
  <c r="O309" i="58"/>
  <c r="N309" i="58"/>
  <c r="K309" i="58"/>
  <c r="I309" i="58"/>
  <c r="W308" i="58"/>
  <c r="U308" i="58"/>
  <c r="S308" i="58"/>
  <c r="Q308" i="58"/>
  <c r="O308" i="58"/>
  <c r="N308" i="58"/>
  <c r="K308" i="58"/>
  <c r="I308" i="58"/>
  <c r="W307" i="58"/>
  <c r="U307" i="58"/>
  <c r="S307" i="58"/>
  <c r="Q307" i="58"/>
  <c r="O307" i="58"/>
  <c r="N307" i="58"/>
  <c r="K307" i="58"/>
  <c r="I307" i="58"/>
  <c r="W306" i="58"/>
  <c r="U306" i="58"/>
  <c r="S306" i="58"/>
  <c r="Q306" i="58"/>
  <c r="O306" i="58"/>
  <c r="N306" i="58"/>
  <c r="K306" i="58"/>
  <c r="I306" i="58"/>
  <c r="W305" i="58"/>
  <c r="U305" i="58"/>
  <c r="S305" i="58"/>
  <c r="Q305" i="58"/>
  <c r="O305" i="58"/>
  <c r="N305" i="58"/>
  <c r="K305" i="58"/>
  <c r="I305" i="58"/>
  <c r="W304" i="58"/>
  <c r="U304" i="58"/>
  <c r="S304" i="58"/>
  <c r="Q304" i="58"/>
  <c r="O304" i="58"/>
  <c r="N304" i="58"/>
  <c r="K304" i="58"/>
  <c r="I304" i="58"/>
  <c r="W303" i="58"/>
  <c r="U303" i="58"/>
  <c r="S303" i="58"/>
  <c r="Q303" i="58"/>
  <c r="O303" i="58"/>
  <c r="N303" i="58"/>
  <c r="K303" i="58"/>
  <c r="I303" i="58"/>
  <c r="W302" i="58"/>
  <c r="U302" i="58"/>
  <c r="S302" i="58"/>
  <c r="Q302" i="58"/>
  <c r="O302" i="58"/>
  <c r="N302" i="58"/>
  <c r="K302" i="58"/>
  <c r="I302" i="58"/>
  <c r="W301" i="58"/>
  <c r="U301" i="58"/>
  <c r="S301" i="58"/>
  <c r="Q301" i="58"/>
  <c r="O301" i="58"/>
  <c r="N301" i="58"/>
  <c r="K301" i="58"/>
  <c r="I301" i="58"/>
  <c r="W300" i="58"/>
  <c r="U300" i="58"/>
  <c r="S300" i="58"/>
  <c r="Q300" i="58"/>
  <c r="O300" i="58"/>
  <c r="N300" i="58"/>
  <c r="K300" i="58"/>
  <c r="I300" i="58"/>
  <c r="W299" i="58"/>
  <c r="U299" i="58"/>
  <c r="S299" i="58"/>
  <c r="Q299" i="58"/>
  <c r="O299" i="58"/>
  <c r="N299" i="58"/>
  <c r="K299" i="58"/>
  <c r="I299" i="58"/>
  <c r="W298" i="58"/>
  <c r="U298" i="58"/>
  <c r="S298" i="58"/>
  <c r="Q298" i="58"/>
  <c r="O298" i="58"/>
  <c r="N298" i="58"/>
  <c r="K298" i="58"/>
  <c r="I298" i="58"/>
  <c r="W297" i="58"/>
  <c r="U297" i="58"/>
  <c r="S297" i="58"/>
  <c r="Q297" i="58"/>
  <c r="O297" i="58"/>
  <c r="N297" i="58"/>
  <c r="K297" i="58"/>
  <c r="I297" i="58"/>
  <c r="W296" i="58"/>
  <c r="U296" i="58"/>
  <c r="S296" i="58"/>
  <c r="Q296" i="58"/>
  <c r="O296" i="58"/>
  <c r="N296" i="58"/>
  <c r="K296" i="58"/>
  <c r="I296" i="58"/>
  <c r="W295" i="58"/>
  <c r="U295" i="58"/>
  <c r="S295" i="58"/>
  <c r="Q295" i="58"/>
  <c r="O295" i="58"/>
  <c r="N295" i="58"/>
  <c r="K295" i="58"/>
  <c r="I295" i="58"/>
  <c r="W294" i="58"/>
  <c r="U294" i="58"/>
  <c r="S294" i="58"/>
  <c r="Q294" i="58"/>
  <c r="O294" i="58"/>
  <c r="N294" i="58"/>
  <c r="K294" i="58"/>
  <c r="I294" i="58"/>
  <c r="W293" i="58"/>
  <c r="U293" i="58"/>
  <c r="S293" i="58"/>
  <c r="Q293" i="58"/>
  <c r="O293" i="58"/>
  <c r="N293" i="58"/>
  <c r="K293" i="58"/>
  <c r="I293" i="58"/>
  <c r="W292" i="58"/>
  <c r="U292" i="58"/>
  <c r="S292" i="58"/>
  <c r="Q292" i="58"/>
  <c r="O292" i="58"/>
  <c r="N292" i="58"/>
  <c r="K292" i="58"/>
  <c r="I292" i="58"/>
  <c r="W291" i="58"/>
  <c r="U291" i="58"/>
  <c r="S291" i="58"/>
  <c r="Q291" i="58"/>
  <c r="O291" i="58"/>
  <c r="N291" i="58"/>
  <c r="K291" i="58"/>
  <c r="I291" i="58"/>
  <c r="W290" i="58"/>
  <c r="U290" i="58"/>
  <c r="S290" i="58"/>
  <c r="Q290" i="58"/>
  <c r="O290" i="58"/>
  <c r="N290" i="58"/>
  <c r="K290" i="58"/>
  <c r="I290" i="58"/>
  <c r="W289" i="58"/>
  <c r="U289" i="58"/>
  <c r="S289" i="58"/>
  <c r="Q289" i="58"/>
  <c r="O289" i="58"/>
  <c r="N289" i="58"/>
  <c r="K289" i="58"/>
  <c r="I289" i="58"/>
  <c r="W288" i="58"/>
  <c r="U288" i="58"/>
  <c r="S288" i="58"/>
  <c r="Q288" i="58"/>
  <c r="O288" i="58"/>
  <c r="N288" i="58"/>
  <c r="K288" i="58"/>
  <c r="I288" i="58"/>
  <c r="W287" i="58"/>
  <c r="U287" i="58"/>
  <c r="S287" i="58"/>
  <c r="Q287" i="58"/>
  <c r="O287" i="58"/>
  <c r="N287" i="58"/>
  <c r="K287" i="58"/>
  <c r="I287" i="58"/>
  <c r="W286" i="58"/>
  <c r="U286" i="58"/>
  <c r="S286" i="58"/>
  <c r="Q286" i="58"/>
  <c r="O286" i="58"/>
  <c r="N286" i="58"/>
  <c r="K286" i="58"/>
  <c r="I286" i="58"/>
  <c r="W285" i="58"/>
  <c r="U285" i="58"/>
  <c r="S285" i="58"/>
  <c r="Q285" i="58"/>
  <c r="O285" i="58"/>
  <c r="N285" i="58"/>
  <c r="K285" i="58"/>
  <c r="I285" i="58"/>
  <c r="W284" i="58"/>
  <c r="U284" i="58"/>
  <c r="S284" i="58"/>
  <c r="Q284" i="58"/>
  <c r="O284" i="58"/>
  <c r="N284" i="58"/>
  <c r="K284" i="58"/>
  <c r="I284" i="58"/>
  <c r="W283" i="58"/>
  <c r="U283" i="58"/>
  <c r="S283" i="58"/>
  <c r="Q283" i="58"/>
  <c r="O283" i="58"/>
  <c r="N283" i="58"/>
  <c r="K283" i="58"/>
  <c r="I283" i="58"/>
  <c r="W282" i="58"/>
  <c r="U282" i="58"/>
  <c r="S282" i="58"/>
  <c r="Q282" i="58"/>
  <c r="O282" i="58"/>
  <c r="N282" i="58"/>
  <c r="K282" i="58"/>
  <c r="I282" i="58"/>
  <c r="W281" i="58"/>
  <c r="U281" i="58"/>
  <c r="S281" i="58"/>
  <c r="Q281" i="58"/>
  <c r="O281" i="58"/>
  <c r="N281" i="58"/>
  <c r="K281" i="58"/>
  <c r="I281" i="58"/>
  <c r="W280" i="58"/>
  <c r="U280" i="58"/>
  <c r="S280" i="58"/>
  <c r="Q280" i="58"/>
  <c r="O280" i="58"/>
  <c r="N280" i="58"/>
  <c r="K280" i="58"/>
  <c r="I280" i="58"/>
  <c r="W279" i="58"/>
  <c r="U279" i="58"/>
  <c r="S279" i="58"/>
  <c r="Q279" i="58"/>
  <c r="O279" i="58"/>
  <c r="N279" i="58"/>
  <c r="K279" i="58"/>
  <c r="I279" i="58"/>
  <c r="W278" i="58"/>
  <c r="U278" i="58"/>
  <c r="S278" i="58"/>
  <c r="Q278" i="58"/>
  <c r="O278" i="58"/>
  <c r="N278" i="58"/>
  <c r="K278" i="58"/>
  <c r="I278" i="58"/>
  <c r="W277" i="58"/>
  <c r="U277" i="58"/>
  <c r="S277" i="58"/>
  <c r="Q277" i="58"/>
  <c r="O277" i="58"/>
  <c r="N277" i="58"/>
  <c r="K277" i="58"/>
  <c r="I277" i="58"/>
  <c r="W276" i="58"/>
  <c r="U276" i="58"/>
  <c r="S276" i="58"/>
  <c r="Q276" i="58"/>
  <c r="O276" i="58"/>
  <c r="N276" i="58"/>
  <c r="K276" i="58"/>
  <c r="I276" i="58"/>
  <c r="W275" i="58"/>
  <c r="U275" i="58"/>
  <c r="S275" i="58"/>
  <c r="Q275" i="58"/>
  <c r="O275" i="58"/>
  <c r="N275" i="58"/>
  <c r="K275" i="58"/>
  <c r="I275" i="58"/>
  <c r="W274" i="58"/>
  <c r="U274" i="58"/>
  <c r="S274" i="58"/>
  <c r="Q274" i="58"/>
  <c r="O274" i="58"/>
  <c r="N274" i="58"/>
  <c r="K274" i="58"/>
  <c r="I274" i="58"/>
  <c r="W273" i="58"/>
  <c r="U273" i="58"/>
  <c r="S273" i="58"/>
  <c r="Q273" i="58"/>
  <c r="O273" i="58"/>
  <c r="N273" i="58"/>
  <c r="K273" i="58"/>
  <c r="I273" i="58"/>
  <c r="W272" i="58"/>
  <c r="U272" i="58"/>
  <c r="S272" i="58"/>
  <c r="Q272" i="58"/>
  <c r="O272" i="58"/>
  <c r="N272" i="58"/>
  <c r="K272" i="58"/>
  <c r="I272" i="58"/>
  <c r="W271" i="58"/>
  <c r="U271" i="58"/>
  <c r="S271" i="58"/>
  <c r="Q271" i="58"/>
  <c r="O271" i="58"/>
  <c r="N271" i="58"/>
  <c r="K271" i="58"/>
  <c r="I271" i="58"/>
  <c r="W270" i="58"/>
  <c r="U270" i="58"/>
  <c r="S270" i="58"/>
  <c r="Q270" i="58"/>
  <c r="O270" i="58"/>
  <c r="N270" i="58"/>
  <c r="K270" i="58"/>
  <c r="I270" i="58"/>
  <c r="W269" i="58"/>
  <c r="U269" i="58"/>
  <c r="S269" i="58"/>
  <c r="Q269" i="58"/>
  <c r="O269" i="58"/>
  <c r="N269" i="58"/>
  <c r="K269" i="58"/>
  <c r="I269" i="58"/>
  <c r="W268" i="58"/>
  <c r="U268" i="58"/>
  <c r="S268" i="58"/>
  <c r="Q268" i="58"/>
  <c r="O268" i="58"/>
  <c r="N268" i="58"/>
  <c r="K268" i="58"/>
  <c r="I268" i="58"/>
  <c r="W267" i="58"/>
  <c r="U267" i="58"/>
  <c r="S267" i="58"/>
  <c r="Q267" i="58"/>
  <c r="O267" i="58"/>
  <c r="N267" i="58"/>
  <c r="K267" i="58"/>
  <c r="I267" i="58"/>
  <c r="W266" i="58"/>
  <c r="U266" i="58"/>
  <c r="S266" i="58"/>
  <c r="Q266" i="58"/>
  <c r="O266" i="58"/>
  <c r="N266" i="58"/>
  <c r="K266" i="58"/>
  <c r="I266" i="58"/>
  <c r="W265" i="58"/>
  <c r="U265" i="58"/>
  <c r="S265" i="58"/>
  <c r="Q265" i="58"/>
  <c r="O265" i="58"/>
  <c r="N265" i="58"/>
  <c r="K265" i="58"/>
  <c r="I265" i="58"/>
  <c r="W264" i="58"/>
  <c r="U264" i="58"/>
  <c r="S264" i="58"/>
  <c r="Q264" i="58"/>
  <c r="O264" i="58"/>
  <c r="N264" i="58"/>
  <c r="K264" i="58"/>
  <c r="I264" i="58"/>
  <c r="W263" i="58"/>
  <c r="U263" i="58"/>
  <c r="S263" i="58"/>
  <c r="Q263" i="58"/>
  <c r="O263" i="58"/>
  <c r="N263" i="58"/>
  <c r="K263" i="58"/>
  <c r="I263" i="58"/>
  <c r="W262" i="58"/>
  <c r="U262" i="58"/>
  <c r="S262" i="58"/>
  <c r="Q262" i="58"/>
  <c r="O262" i="58"/>
  <c r="N262" i="58"/>
  <c r="K262" i="58"/>
  <c r="I262" i="58"/>
  <c r="W261" i="58"/>
  <c r="U261" i="58"/>
  <c r="S261" i="58"/>
  <c r="Q261" i="58"/>
  <c r="O261" i="58"/>
  <c r="N261" i="58"/>
  <c r="K261" i="58"/>
  <c r="I261" i="58"/>
  <c r="W260" i="58"/>
  <c r="U260" i="58"/>
  <c r="S260" i="58"/>
  <c r="Q260" i="58"/>
  <c r="O260" i="58"/>
  <c r="N260" i="58"/>
  <c r="K260" i="58"/>
  <c r="I260" i="58"/>
  <c r="W259" i="58"/>
  <c r="U259" i="58"/>
  <c r="S259" i="58"/>
  <c r="Q259" i="58"/>
  <c r="O259" i="58"/>
  <c r="N259" i="58"/>
  <c r="K259" i="58"/>
  <c r="I259" i="58"/>
  <c r="W258" i="58"/>
  <c r="U258" i="58"/>
  <c r="S258" i="58"/>
  <c r="Q258" i="58"/>
  <c r="O258" i="58"/>
  <c r="N258" i="58"/>
  <c r="K258" i="58"/>
  <c r="I258" i="58"/>
  <c r="W257" i="58"/>
  <c r="U257" i="58"/>
  <c r="S257" i="58"/>
  <c r="Q257" i="58"/>
  <c r="O257" i="58"/>
  <c r="N257" i="58"/>
  <c r="K257" i="58"/>
  <c r="I257" i="58"/>
  <c r="W256" i="58"/>
  <c r="U256" i="58"/>
  <c r="S256" i="58"/>
  <c r="Q256" i="58"/>
  <c r="O256" i="58"/>
  <c r="N256" i="58"/>
  <c r="K256" i="58"/>
  <c r="I256" i="58"/>
  <c r="W255" i="58"/>
  <c r="U255" i="58"/>
  <c r="S255" i="58"/>
  <c r="Q255" i="58"/>
  <c r="O255" i="58"/>
  <c r="N255" i="58"/>
  <c r="K255" i="58"/>
  <c r="I255" i="58"/>
  <c r="W254" i="58"/>
  <c r="U254" i="58"/>
  <c r="S254" i="58"/>
  <c r="Q254" i="58"/>
  <c r="O254" i="58"/>
  <c r="N254" i="58"/>
  <c r="K254" i="58"/>
  <c r="I254" i="58"/>
  <c r="W253" i="58"/>
  <c r="U253" i="58"/>
  <c r="S253" i="58"/>
  <c r="Q253" i="58"/>
  <c r="O253" i="58"/>
  <c r="N253" i="58"/>
  <c r="K253" i="58"/>
  <c r="I253" i="58"/>
  <c r="W252" i="58"/>
  <c r="U252" i="58"/>
  <c r="S252" i="58"/>
  <c r="Q252" i="58"/>
  <c r="O252" i="58"/>
  <c r="N252" i="58"/>
  <c r="K252" i="58"/>
  <c r="I252" i="58"/>
  <c r="W251" i="58"/>
  <c r="U251" i="58"/>
  <c r="S251" i="58"/>
  <c r="Q251" i="58"/>
  <c r="O251" i="58"/>
  <c r="N251" i="58"/>
  <c r="K251" i="58"/>
  <c r="I251" i="58"/>
  <c r="W250" i="58"/>
  <c r="U250" i="58"/>
  <c r="S250" i="58"/>
  <c r="Q250" i="58"/>
  <c r="O250" i="58"/>
  <c r="N250" i="58"/>
  <c r="K250" i="58"/>
  <c r="I250" i="58"/>
  <c r="W249" i="58"/>
  <c r="U249" i="58"/>
  <c r="S249" i="58"/>
  <c r="Q249" i="58"/>
  <c r="O249" i="58"/>
  <c r="N249" i="58"/>
  <c r="K249" i="58"/>
  <c r="I249" i="58"/>
  <c r="W248" i="58"/>
  <c r="U248" i="58"/>
  <c r="S248" i="58"/>
  <c r="Q248" i="58"/>
  <c r="O248" i="58"/>
  <c r="N248" i="58"/>
  <c r="K248" i="58"/>
  <c r="I248" i="58"/>
  <c r="W247" i="58"/>
  <c r="U247" i="58"/>
  <c r="S247" i="58"/>
  <c r="Q247" i="58"/>
  <c r="O247" i="58"/>
  <c r="N247" i="58"/>
  <c r="K247" i="58"/>
  <c r="I247" i="58"/>
  <c r="W246" i="58"/>
  <c r="U246" i="58"/>
  <c r="S246" i="58"/>
  <c r="Q246" i="58"/>
  <c r="O246" i="58"/>
  <c r="N246" i="58"/>
  <c r="K246" i="58"/>
  <c r="I246" i="58"/>
  <c r="W245" i="58"/>
  <c r="U245" i="58"/>
  <c r="S245" i="58"/>
  <c r="Q245" i="58"/>
  <c r="O245" i="58"/>
  <c r="N245" i="58"/>
  <c r="K245" i="58"/>
  <c r="I245" i="58"/>
  <c r="W244" i="58"/>
  <c r="U244" i="58"/>
  <c r="S244" i="58"/>
  <c r="Q244" i="58"/>
  <c r="O244" i="58"/>
  <c r="N244" i="58"/>
  <c r="K244" i="58"/>
  <c r="I244" i="58"/>
  <c r="W243" i="58"/>
  <c r="U243" i="58"/>
  <c r="S243" i="58"/>
  <c r="Q243" i="58"/>
  <c r="O243" i="58"/>
  <c r="N243" i="58"/>
  <c r="K243" i="58"/>
  <c r="I243" i="58"/>
  <c r="W242" i="58"/>
  <c r="U242" i="58"/>
  <c r="S242" i="58"/>
  <c r="Q242" i="58"/>
  <c r="O242" i="58"/>
  <c r="N242" i="58"/>
  <c r="K242" i="58"/>
  <c r="I242" i="58"/>
  <c r="W241" i="58"/>
  <c r="U241" i="58"/>
  <c r="S241" i="58"/>
  <c r="Q241" i="58"/>
  <c r="O241" i="58"/>
  <c r="N241" i="58"/>
  <c r="K241" i="58"/>
  <c r="I241" i="58"/>
  <c r="W240" i="58"/>
  <c r="U240" i="58"/>
  <c r="S240" i="58"/>
  <c r="Q240" i="58"/>
  <c r="O240" i="58"/>
  <c r="N240" i="58"/>
  <c r="K240" i="58"/>
  <c r="I240" i="58"/>
  <c r="W239" i="58"/>
  <c r="U239" i="58"/>
  <c r="S239" i="58"/>
  <c r="Q239" i="58"/>
  <c r="O239" i="58"/>
  <c r="N239" i="58"/>
  <c r="K239" i="58"/>
  <c r="I239" i="58"/>
  <c r="W238" i="58"/>
  <c r="U238" i="58"/>
  <c r="S238" i="58"/>
  <c r="Q238" i="58"/>
  <c r="O238" i="58"/>
  <c r="N238" i="58"/>
  <c r="K238" i="58"/>
  <c r="I238" i="58"/>
  <c r="W237" i="58"/>
  <c r="U237" i="58"/>
  <c r="S237" i="58"/>
  <c r="Q237" i="58"/>
  <c r="O237" i="58"/>
  <c r="N237" i="58"/>
  <c r="K237" i="58"/>
  <c r="I237" i="58"/>
  <c r="W236" i="58"/>
  <c r="U236" i="58"/>
  <c r="S236" i="58"/>
  <c r="Q236" i="58"/>
  <c r="O236" i="58"/>
  <c r="N236" i="58"/>
  <c r="K236" i="58"/>
  <c r="I236" i="58"/>
  <c r="W235" i="58"/>
  <c r="U235" i="58"/>
  <c r="S235" i="58"/>
  <c r="Q235" i="58"/>
  <c r="O235" i="58"/>
  <c r="N235" i="58"/>
  <c r="K235" i="58"/>
  <c r="I235" i="58"/>
  <c r="W234" i="58"/>
  <c r="U234" i="58"/>
  <c r="S234" i="58"/>
  <c r="Q234" i="58"/>
  <c r="O234" i="58"/>
  <c r="N234" i="58"/>
  <c r="K234" i="58"/>
  <c r="I234" i="58"/>
  <c r="W233" i="58"/>
  <c r="U233" i="58"/>
  <c r="S233" i="58"/>
  <c r="Q233" i="58"/>
  <c r="O233" i="58"/>
  <c r="N233" i="58"/>
  <c r="K233" i="58"/>
  <c r="I233" i="58"/>
  <c r="W232" i="58"/>
  <c r="U232" i="58"/>
  <c r="S232" i="58"/>
  <c r="Q232" i="58"/>
  <c r="O232" i="58"/>
  <c r="N232" i="58"/>
  <c r="K232" i="58"/>
  <c r="I232" i="58"/>
  <c r="W231" i="58"/>
  <c r="U231" i="58"/>
  <c r="S231" i="58"/>
  <c r="Q231" i="58"/>
  <c r="O231" i="58"/>
  <c r="N231" i="58"/>
  <c r="K231" i="58"/>
  <c r="I231" i="58"/>
  <c r="W230" i="58"/>
  <c r="U230" i="58"/>
  <c r="S230" i="58"/>
  <c r="Q230" i="58"/>
  <c r="O230" i="58"/>
  <c r="N230" i="58"/>
  <c r="K230" i="58"/>
  <c r="I230" i="58"/>
  <c r="W229" i="58"/>
  <c r="U229" i="58"/>
  <c r="S229" i="58"/>
  <c r="Q229" i="58"/>
  <c r="O229" i="58"/>
  <c r="N229" i="58"/>
  <c r="K229" i="58"/>
  <c r="I229" i="58"/>
  <c r="W228" i="58"/>
  <c r="U228" i="58"/>
  <c r="S228" i="58"/>
  <c r="Q228" i="58"/>
  <c r="O228" i="58"/>
  <c r="N228" i="58"/>
  <c r="K228" i="58"/>
  <c r="I228" i="58"/>
  <c r="W227" i="58"/>
  <c r="U227" i="58"/>
  <c r="S227" i="58"/>
  <c r="Q227" i="58"/>
  <c r="O227" i="58"/>
  <c r="N227" i="58"/>
  <c r="K227" i="58"/>
  <c r="I227" i="58"/>
  <c r="W226" i="58"/>
  <c r="U226" i="58"/>
  <c r="S226" i="58"/>
  <c r="Q226" i="58"/>
  <c r="O226" i="58"/>
  <c r="N226" i="58"/>
  <c r="K226" i="58"/>
  <c r="I226" i="58"/>
  <c r="W225" i="58"/>
  <c r="U225" i="58"/>
  <c r="S225" i="58"/>
  <c r="Q225" i="58"/>
  <c r="O225" i="58"/>
  <c r="N225" i="58"/>
  <c r="K225" i="58"/>
  <c r="I225" i="58"/>
  <c r="W224" i="58"/>
  <c r="U224" i="58"/>
  <c r="S224" i="58"/>
  <c r="Q224" i="58"/>
  <c r="O224" i="58"/>
  <c r="N224" i="58"/>
  <c r="K224" i="58"/>
  <c r="I224" i="58"/>
  <c r="W223" i="58"/>
  <c r="U223" i="58"/>
  <c r="S223" i="58"/>
  <c r="Q223" i="58"/>
  <c r="O223" i="58"/>
  <c r="N223" i="58"/>
  <c r="K223" i="58"/>
  <c r="I223" i="58"/>
  <c r="W222" i="58"/>
  <c r="U222" i="58"/>
  <c r="S222" i="58"/>
  <c r="Q222" i="58"/>
  <c r="O222" i="58"/>
  <c r="N222" i="58"/>
  <c r="K222" i="58"/>
  <c r="I222" i="58"/>
  <c r="W221" i="58"/>
  <c r="U221" i="58"/>
  <c r="S221" i="58"/>
  <c r="Q221" i="58"/>
  <c r="O221" i="58"/>
  <c r="N221" i="58"/>
  <c r="K221" i="58"/>
  <c r="I221" i="58"/>
  <c r="W220" i="58"/>
  <c r="U220" i="58"/>
  <c r="S220" i="58"/>
  <c r="Q220" i="58"/>
  <c r="O220" i="58"/>
  <c r="N220" i="58"/>
  <c r="K220" i="58"/>
  <c r="I220" i="58"/>
  <c r="W219" i="58"/>
  <c r="U219" i="58"/>
  <c r="S219" i="58"/>
  <c r="Q219" i="58"/>
  <c r="O219" i="58"/>
  <c r="N219" i="58"/>
  <c r="K219" i="58"/>
  <c r="I219" i="58"/>
  <c r="W218" i="58"/>
  <c r="U218" i="58"/>
  <c r="S218" i="58"/>
  <c r="Q218" i="58"/>
  <c r="O218" i="58"/>
  <c r="N218" i="58"/>
  <c r="K218" i="58"/>
  <c r="I218" i="58"/>
  <c r="W217" i="58"/>
  <c r="U217" i="58"/>
  <c r="S217" i="58"/>
  <c r="Q217" i="58"/>
  <c r="O217" i="58"/>
  <c r="N217" i="58"/>
  <c r="K217" i="58"/>
  <c r="I217" i="58"/>
  <c r="W216" i="58"/>
  <c r="U216" i="58"/>
  <c r="S216" i="58"/>
  <c r="Q216" i="58"/>
  <c r="O216" i="58"/>
  <c r="N216" i="58"/>
  <c r="K216" i="58"/>
  <c r="I216" i="58"/>
  <c r="W215" i="58"/>
  <c r="U215" i="58"/>
  <c r="S215" i="58"/>
  <c r="Q215" i="58"/>
  <c r="O215" i="58"/>
  <c r="N215" i="58"/>
  <c r="K215" i="58"/>
  <c r="I215" i="58"/>
  <c r="W214" i="58"/>
  <c r="U214" i="58"/>
  <c r="S214" i="58"/>
  <c r="Q214" i="58"/>
  <c r="O214" i="58"/>
  <c r="N214" i="58"/>
  <c r="K214" i="58"/>
  <c r="I214" i="58"/>
  <c r="W213" i="58"/>
  <c r="U213" i="58"/>
  <c r="S213" i="58"/>
  <c r="Q213" i="58"/>
  <c r="O213" i="58"/>
  <c r="N213" i="58"/>
  <c r="K213" i="58"/>
  <c r="I213" i="58"/>
  <c r="W212" i="58"/>
  <c r="U212" i="58"/>
  <c r="S212" i="58"/>
  <c r="Q212" i="58"/>
  <c r="O212" i="58"/>
  <c r="N212" i="58"/>
  <c r="K212" i="58"/>
  <c r="I212" i="58"/>
  <c r="W211" i="58"/>
  <c r="U211" i="58"/>
  <c r="S211" i="58"/>
  <c r="Q211" i="58"/>
  <c r="O211" i="58"/>
  <c r="N211" i="58"/>
  <c r="K211" i="58"/>
  <c r="I211" i="58"/>
  <c r="W210" i="58"/>
  <c r="U210" i="58"/>
  <c r="S210" i="58"/>
  <c r="Q210" i="58"/>
  <c r="O210" i="58"/>
  <c r="N210" i="58"/>
  <c r="K210" i="58"/>
  <c r="I210" i="58"/>
  <c r="W209" i="58"/>
  <c r="U209" i="58"/>
  <c r="S209" i="58"/>
  <c r="Q209" i="58"/>
  <c r="O209" i="58"/>
  <c r="N209" i="58"/>
  <c r="K209" i="58"/>
  <c r="I209" i="58"/>
  <c r="W208" i="58"/>
  <c r="U208" i="58"/>
  <c r="S208" i="58"/>
  <c r="Q208" i="58"/>
  <c r="O208" i="58"/>
  <c r="N208" i="58"/>
  <c r="K208" i="58"/>
  <c r="I208" i="58"/>
  <c r="W207" i="58"/>
  <c r="U207" i="58"/>
  <c r="S207" i="58"/>
  <c r="Q207" i="58"/>
  <c r="O207" i="58"/>
  <c r="N207" i="58"/>
  <c r="K207" i="58"/>
  <c r="I207" i="58"/>
  <c r="W206" i="58"/>
  <c r="U206" i="58"/>
  <c r="S206" i="58"/>
  <c r="Q206" i="58"/>
  <c r="O206" i="58"/>
  <c r="N206" i="58"/>
  <c r="K206" i="58"/>
  <c r="I206" i="58"/>
  <c r="W205" i="58"/>
  <c r="U205" i="58"/>
  <c r="S205" i="58"/>
  <c r="Q205" i="58"/>
  <c r="O205" i="58"/>
  <c r="N205" i="58"/>
  <c r="K205" i="58"/>
  <c r="I205" i="58"/>
  <c r="W204" i="58"/>
  <c r="U204" i="58"/>
  <c r="S204" i="58"/>
  <c r="Q204" i="58"/>
  <c r="O204" i="58"/>
  <c r="N204" i="58"/>
  <c r="K204" i="58"/>
  <c r="I204" i="58"/>
  <c r="W203" i="58"/>
  <c r="U203" i="58"/>
  <c r="S203" i="58"/>
  <c r="Q203" i="58"/>
  <c r="O203" i="58"/>
  <c r="N203" i="58"/>
  <c r="K203" i="58"/>
  <c r="I203" i="58"/>
  <c r="W202" i="58"/>
  <c r="U202" i="58"/>
  <c r="S202" i="58"/>
  <c r="Q202" i="58"/>
  <c r="O202" i="58"/>
  <c r="N202" i="58"/>
  <c r="K202" i="58"/>
  <c r="I202" i="58"/>
  <c r="W201" i="58"/>
  <c r="U201" i="58"/>
  <c r="S201" i="58"/>
  <c r="Q201" i="58"/>
  <c r="O201" i="58"/>
  <c r="N201" i="58"/>
  <c r="K201" i="58"/>
  <c r="I201" i="58"/>
  <c r="W200" i="58"/>
  <c r="U200" i="58"/>
  <c r="S200" i="58"/>
  <c r="Q200" i="58"/>
  <c r="O200" i="58"/>
  <c r="N200" i="58"/>
  <c r="K200" i="58"/>
  <c r="I200" i="58"/>
  <c r="W199" i="58"/>
  <c r="U199" i="58"/>
  <c r="S199" i="58"/>
  <c r="Q199" i="58"/>
  <c r="O199" i="58"/>
  <c r="N199" i="58"/>
  <c r="K199" i="58"/>
  <c r="I199" i="58"/>
  <c r="W198" i="58"/>
  <c r="U198" i="58"/>
  <c r="S198" i="58"/>
  <c r="Q198" i="58"/>
  <c r="O198" i="58"/>
  <c r="N198" i="58"/>
  <c r="K198" i="58"/>
  <c r="I198" i="58"/>
  <c r="W197" i="58"/>
  <c r="U197" i="58"/>
  <c r="S197" i="58"/>
  <c r="Q197" i="58"/>
  <c r="O197" i="58"/>
  <c r="N197" i="58"/>
  <c r="K197" i="58"/>
  <c r="I197" i="58"/>
  <c r="W196" i="58"/>
  <c r="U196" i="58"/>
  <c r="S196" i="58"/>
  <c r="Q196" i="58"/>
  <c r="O196" i="58"/>
  <c r="N196" i="58"/>
  <c r="K196" i="58"/>
  <c r="I196" i="58"/>
  <c r="W195" i="58"/>
  <c r="U195" i="58"/>
  <c r="S195" i="58"/>
  <c r="Q195" i="58"/>
  <c r="O195" i="58"/>
  <c r="N195" i="58"/>
  <c r="K195" i="58"/>
  <c r="I195" i="58"/>
  <c r="W194" i="58"/>
  <c r="U194" i="58"/>
  <c r="S194" i="58"/>
  <c r="Q194" i="58"/>
  <c r="O194" i="58"/>
  <c r="N194" i="58"/>
  <c r="K194" i="58"/>
  <c r="I194" i="58"/>
  <c r="W193" i="58"/>
  <c r="U193" i="58"/>
  <c r="S193" i="58"/>
  <c r="Q193" i="58"/>
  <c r="O193" i="58"/>
  <c r="N193" i="58"/>
  <c r="K193" i="58"/>
  <c r="I193" i="58"/>
  <c r="W192" i="58"/>
  <c r="U192" i="58"/>
  <c r="S192" i="58"/>
  <c r="Q192" i="58"/>
  <c r="O192" i="58"/>
  <c r="N192" i="58"/>
  <c r="K192" i="58"/>
  <c r="I192" i="58"/>
  <c r="W191" i="58"/>
  <c r="U191" i="58"/>
  <c r="S191" i="58"/>
  <c r="Q191" i="58"/>
  <c r="O191" i="58"/>
  <c r="N191" i="58"/>
  <c r="K191" i="58"/>
  <c r="I191" i="58"/>
  <c r="W190" i="58"/>
  <c r="U190" i="58"/>
  <c r="S190" i="58"/>
  <c r="Q190" i="58"/>
  <c r="O190" i="58"/>
  <c r="N190" i="58"/>
  <c r="K190" i="58"/>
  <c r="I190" i="58"/>
  <c r="W189" i="58"/>
  <c r="U189" i="58"/>
  <c r="S189" i="58"/>
  <c r="Q189" i="58"/>
  <c r="O189" i="58"/>
  <c r="N189" i="58"/>
  <c r="K189" i="58"/>
  <c r="I189" i="58"/>
  <c r="W188" i="58"/>
  <c r="U188" i="58"/>
  <c r="S188" i="58"/>
  <c r="Q188" i="58"/>
  <c r="O188" i="58"/>
  <c r="N188" i="58"/>
  <c r="K188" i="58"/>
  <c r="I188" i="58"/>
  <c r="W187" i="58"/>
  <c r="U187" i="58"/>
  <c r="S187" i="58"/>
  <c r="Q187" i="58"/>
  <c r="O187" i="58"/>
  <c r="N187" i="58"/>
  <c r="K187" i="58"/>
  <c r="I187" i="58"/>
  <c r="W186" i="58"/>
  <c r="U186" i="58"/>
  <c r="S186" i="58"/>
  <c r="Q186" i="58"/>
  <c r="O186" i="58"/>
  <c r="N186" i="58"/>
  <c r="K186" i="58"/>
  <c r="I186" i="58"/>
  <c r="W185" i="58"/>
  <c r="U185" i="58"/>
  <c r="S185" i="58"/>
  <c r="Q185" i="58"/>
  <c r="O185" i="58"/>
  <c r="N185" i="58"/>
  <c r="K185" i="58"/>
  <c r="I185" i="58"/>
  <c r="W184" i="58"/>
  <c r="U184" i="58"/>
  <c r="S184" i="58"/>
  <c r="R184" i="58"/>
  <c r="Q184" i="58"/>
  <c r="N184" i="58"/>
  <c r="K184" i="58"/>
  <c r="I184" i="58"/>
  <c r="W183" i="58"/>
  <c r="U183" i="58"/>
  <c r="S183" i="58"/>
  <c r="R183" i="58"/>
  <c r="Q183" i="58"/>
  <c r="N183" i="58"/>
  <c r="K183" i="58"/>
  <c r="I183" i="58"/>
  <c r="W182" i="58"/>
  <c r="U182" i="58"/>
  <c r="S182" i="58"/>
  <c r="R182" i="58"/>
  <c r="Q182" i="58"/>
  <c r="N182" i="58"/>
  <c r="I182" i="58"/>
  <c r="W181" i="58"/>
  <c r="U181" i="58"/>
  <c r="S181" i="58"/>
  <c r="R181" i="58"/>
  <c r="Q181" i="58"/>
  <c r="N181" i="58"/>
  <c r="K181" i="58"/>
  <c r="I181" i="58"/>
  <c r="W180" i="58"/>
  <c r="U180" i="58"/>
  <c r="S180" i="58"/>
  <c r="R180" i="58"/>
  <c r="Q180" i="58"/>
  <c r="N180" i="58"/>
  <c r="I180" i="58"/>
  <c r="Y179" i="58"/>
  <c r="W179" i="58"/>
  <c r="U179" i="58"/>
  <c r="S179" i="58"/>
  <c r="R179" i="58"/>
  <c r="Q179" i="58"/>
  <c r="N179" i="58"/>
  <c r="K179" i="58"/>
  <c r="I179" i="58"/>
  <c r="Y178" i="58"/>
  <c r="W178" i="58"/>
  <c r="U178" i="58"/>
  <c r="S178" i="58"/>
  <c r="R178" i="58"/>
  <c r="Q178" i="58"/>
  <c r="N178" i="58"/>
  <c r="K178" i="58"/>
  <c r="I178" i="58"/>
  <c r="Y177" i="58"/>
  <c r="W177" i="58"/>
  <c r="U177" i="58"/>
  <c r="S177" i="58"/>
  <c r="R177" i="58"/>
  <c r="Q177" i="58"/>
  <c r="N177" i="58"/>
  <c r="K177" i="58"/>
  <c r="I177" i="58"/>
  <c r="Y175" i="58"/>
  <c r="W175" i="58"/>
  <c r="U175" i="58"/>
  <c r="S175" i="58"/>
  <c r="R175" i="58"/>
  <c r="Q175" i="58"/>
  <c r="N175" i="58"/>
  <c r="I175" i="58"/>
  <c r="Y174" i="58"/>
  <c r="W174" i="58"/>
  <c r="U174" i="58"/>
  <c r="S174" i="58"/>
  <c r="R174" i="58"/>
  <c r="Q174" i="58"/>
  <c r="N174" i="58"/>
  <c r="K174" i="58"/>
  <c r="I174" i="58"/>
  <c r="Y173" i="58"/>
  <c r="W173" i="58"/>
  <c r="U173" i="58"/>
  <c r="S173" i="58"/>
  <c r="R173" i="58"/>
  <c r="Q173" i="58"/>
  <c r="N173" i="58"/>
  <c r="K173" i="58"/>
  <c r="I173" i="58"/>
  <c r="W172" i="58"/>
  <c r="U172" i="58"/>
  <c r="S172" i="58"/>
  <c r="R172" i="58"/>
  <c r="Q172" i="58"/>
  <c r="O172" i="58"/>
  <c r="N172" i="58"/>
  <c r="K172" i="58"/>
  <c r="I172" i="58"/>
  <c r="W171" i="58"/>
  <c r="U171" i="58"/>
  <c r="S171" i="58"/>
  <c r="R171" i="58"/>
  <c r="Q171" i="58"/>
  <c r="O171" i="58"/>
  <c r="N171" i="58"/>
  <c r="K171" i="58"/>
  <c r="I171" i="58"/>
  <c r="W170" i="58"/>
  <c r="U170" i="58"/>
  <c r="S170" i="58"/>
  <c r="R170" i="58"/>
  <c r="Q170" i="58"/>
  <c r="O170" i="58"/>
  <c r="N170" i="58"/>
  <c r="K170" i="58"/>
  <c r="I170" i="58"/>
  <c r="W169" i="58"/>
  <c r="U169" i="58"/>
  <c r="S169" i="58"/>
  <c r="R169" i="58"/>
  <c r="Q169" i="58"/>
  <c r="O169" i="58"/>
  <c r="N169" i="58"/>
  <c r="K169" i="58"/>
  <c r="I169" i="58"/>
  <c r="W168" i="58"/>
  <c r="U168" i="58"/>
  <c r="S168" i="58"/>
  <c r="R168" i="58"/>
  <c r="Q168" i="58"/>
  <c r="O168" i="58"/>
  <c r="K168" i="58"/>
  <c r="I168" i="58"/>
  <c r="W165" i="58"/>
  <c r="U165" i="58"/>
  <c r="S165" i="58"/>
  <c r="R165" i="58"/>
  <c r="Q165" i="58"/>
  <c r="O165" i="58"/>
  <c r="N165" i="58"/>
  <c r="K165" i="58"/>
  <c r="I165" i="58"/>
  <c r="W164" i="58"/>
  <c r="U164" i="58"/>
  <c r="S164" i="58"/>
  <c r="R164" i="58"/>
  <c r="Q164" i="58"/>
  <c r="O164" i="58"/>
  <c r="N164" i="58"/>
  <c r="K164" i="58"/>
  <c r="I164" i="58"/>
  <c r="W163" i="58"/>
  <c r="U163" i="58"/>
  <c r="S163" i="58"/>
  <c r="R163" i="58"/>
  <c r="O163" i="58"/>
  <c r="N163" i="58"/>
  <c r="K163" i="58"/>
  <c r="I163" i="58"/>
  <c r="W162" i="58"/>
  <c r="U162" i="58"/>
  <c r="S162" i="58"/>
  <c r="R162" i="58"/>
  <c r="Q162" i="58"/>
  <c r="O162" i="58"/>
  <c r="K162" i="58"/>
  <c r="I162" i="58"/>
  <c r="W161" i="58"/>
  <c r="U161" i="58"/>
  <c r="S161" i="58"/>
  <c r="R161" i="58"/>
  <c r="O161" i="58"/>
  <c r="N161" i="58"/>
  <c r="K161" i="58"/>
  <c r="I161" i="58"/>
  <c r="W160" i="58"/>
  <c r="U160" i="58"/>
  <c r="S160" i="58"/>
  <c r="R160" i="58"/>
  <c r="O160" i="58"/>
  <c r="N160" i="58"/>
  <c r="K160" i="58"/>
  <c r="I160" i="58"/>
  <c r="W159" i="58"/>
  <c r="U159" i="58"/>
  <c r="S159" i="58"/>
  <c r="R159" i="58"/>
  <c r="O159" i="58"/>
  <c r="N159" i="58"/>
  <c r="K159" i="58"/>
  <c r="I159" i="58"/>
  <c r="W158" i="58"/>
  <c r="U158" i="58"/>
  <c r="S158" i="58"/>
  <c r="R158" i="58"/>
  <c r="O158" i="58"/>
  <c r="N158" i="58"/>
  <c r="K158" i="58"/>
  <c r="I158" i="58"/>
  <c r="W157" i="58"/>
  <c r="U157" i="58"/>
  <c r="S157" i="58"/>
  <c r="R157" i="58"/>
  <c r="O157" i="58"/>
  <c r="N157" i="58"/>
  <c r="K157" i="58"/>
  <c r="I157" i="58"/>
  <c r="W156" i="58"/>
  <c r="U156" i="58"/>
  <c r="S156" i="58"/>
  <c r="R156" i="58"/>
  <c r="O156" i="58"/>
  <c r="N156" i="58"/>
  <c r="K156" i="58"/>
  <c r="I156" i="58"/>
  <c r="W155" i="58"/>
  <c r="U155" i="58"/>
  <c r="S155" i="58"/>
  <c r="R155" i="58"/>
  <c r="O155" i="58"/>
  <c r="N155" i="58"/>
  <c r="K155" i="58"/>
  <c r="I155" i="58"/>
  <c r="W154" i="58"/>
  <c r="U154" i="58"/>
  <c r="S154" i="58"/>
  <c r="R154" i="58"/>
  <c r="O154" i="58"/>
  <c r="N154" i="58"/>
  <c r="K154" i="58"/>
  <c r="I154" i="58"/>
  <c r="W153" i="58"/>
  <c r="U153" i="58"/>
  <c r="S153" i="58"/>
  <c r="R153" i="58"/>
  <c r="O153" i="58"/>
  <c r="N153" i="58"/>
  <c r="K153" i="58"/>
  <c r="I153" i="58"/>
  <c r="Y152" i="58"/>
  <c r="W152" i="58"/>
  <c r="U152" i="58"/>
  <c r="S152" i="58"/>
  <c r="R152" i="58"/>
  <c r="Q152" i="58"/>
  <c r="O152" i="58"/>
  <c r="N152" i="58"/>
  <c r="K152" i="58"/>
  <c r="I152" i="58"/>
  <c r="Y151" i="58"/>
  <c r="W151" i="58"/>
  <c r="U151" i="58"/>
  <c r="S151" i="58"/>
  <c r="R151" i="58"/>
  <c r="Q151" i="58"/>
  <c r="O151" i="58"/>
  <c r="N151" i="58"/>
  <c r="K151" i="58"/>
  <c r="I151" i="58"/>
  <c r="Y150" i="58"/>
  <c r="W150" i="58"/>
  <c r="U150" i="58"/>
  <c r="S150" i="58"/>
  <c r="R150" i="58"/>
  <c r="Q150" i="58"/>
  <c r="O150" i="58"/>
  <c r="K150" i="58"/>
  <c r="I150" i="58"/>
  <c r="Y149" i="58"/>
  <c r="W149" i="58"/>
  <c r="U149" i="58"/>
  <c r="S149" i="58"/>
  <c r="R149" i="58"/>
  <c r="Q149" i="58"/>
  <c r="O149" i="58"/>
  <c r="N149" i="58"/>
  <c r="K149" i="58"/>
  <c r="I149" i="58"/>
  <c r="Y148" i="58"/>
  <c r="W148" i="58"/>
  <c r="U148" i="58"/>
  <c r="S148" i="58"/>
  <c r="R148" i="58"/>
  <c r="Q148" i="58"/>
  <c r="O148" i="58"/>
  <c r="K148" i="58"/>
  <c r="I148" i="58"/>
  <c r="W147" i="58"/>
  <c r="U147" i="58"/>
  <c r="S147" i="58"/>
  <c r="R147" i="58"/>
  <c r="Q147" i="58"/>
  <c r="O147" i="58"/>
  <c r="N147" i="58"/>
  <c r="K147" i="58"/>
  <c r="I147" i="58"/>
  <c r="W146" i="58"/>
  <c r="U146" i="58"/>
  <c r="S146" i="58"/>
  <c r="R146" i="58"/>
  <c r="Q146" i="58"/>
  <c r="O146" i="58"/>
  <c r="N146" i="58"/>
  <c r="K146" i="58"/>
  <c r="I146" i="58"/>
  <c r="W145" i="58"/>
  <c r="U145" i="58"/>
  <c r="S145" i="58"/>
  <c r="R145" i="58"/>
  <c r="Q145" i="58"/>
  <c r="O145" i="58"/>
  <c r="N145" i="58"/>
  <c r="K145" i="58"/>
  <c r="I145" i="58"/>
  <c r="W144" i="58"/>
  <c r="U144" i="58"/>
  <c r="S144" i="58"/>
  <c r="R144" i="58"/>
  <c r="Q144" i="58"/>
  <c r="O144" i="58"/>
  <c r="N144" i="58"/>
  <c r="K144" i="58"/>
  <c r="I144" i="58"/>
  <c r="W143" i="58"/>
  <c r="U143" i="58"/>
  <c r="S143" i="58"/>
  <c r="R143" i="58"/>
  <c r="Q143" i="58"/>
  <c r="O143" i="58"/>
  <c r="N143" i="58"/>
  <c r="K143" i="58"/>
  <c r="I143" i="58"/>
  <c r="W142" i="58"/>
  <c r="U142" i="58"/>
  <c r="S142" i="58"/>
  <c r="R142" i="58"/>
  <c r="Q142" i="58"/>
  <c r="O142" i="58"/>
  <c r="N142" i="58"/>
  <c r="K142" i="58"/>
  <c r="I142" i="58"/>
  <c r="W141" i="58"/>
  <c r="U141" i="58"/>
  <c r="S141" i="58"/>
  <c r="R141" i="58"/>
  <c r="Q141" i="58"/>
  <c r="O141" i="58"/>
  <c r="N141" i="58"/>
  <c r="K141" i="58"/>
  <c r="I141" i="58"/>
  <c r="W140" i="58"/>
  <c r="U140" i="58"/>
  <c r="S140" i="58"/>
  <c r="R140" i="58"/>
  <c r="Q140" i="58"/>
  <c r="O140" i="58"/>
  <c r="N140" i="58"/>
  <c r="K140" i="58"/>
  <c r="I140" i="58"/>
  <c r="W139" i="58"/>
  <c r="U139" i="58"/>
  <c r="S139" i="58"/>
  <c r="R139" i="58"/>
  <c r="Q139" i="58"/>
  <c r="O139" i="58"/>
  <c r="N139" i="58"/>
  <c r="K139" i="58"/>
  <c r="I139" i="58"/>
  <c r="W138" i="58"/>
  <c r="U138" i="58"/>
  <c r="S138" i="58"/>
  <c r="R138" i="58"/>
  <c r="Q138" i="58"/>
  <c r="O138" i="58"/>
  <c r="N138" i="58"/>
  <c r="K138" i="58"/>
  <c r="I138" i="58"/>
  <c r="W137" i="58"/>
  <c r="U137" i="58"/>
  <c r="S137" i="58"/>
  <c r="R137" i="58"/>
  <c r="Q137" i="58"/>
  <c r="O137" i="58"/>
  <c r="N137" i="58"/>
  <c r="K137" i="58"/>
  <c r="I137" i="58"/>
  <c r="W136" i="58"/>
  <c r="U136" i="58"/>
  <c r="S136" i="58"/>
  <c r="R136" i="58"/>
  <c r="Q136" i="58"/>
  <c r="O136" i="58"/>
  <c r="N136" i="58"/>
  <c r="K136" i="58"/>
  <c r="I136" i="58"/>
  <c r="W135" i="58"/>
  <c r="U135" i="58"/>
  <c r="S135" i="58"/>
  <c r="R135" i="58"/>
  <c r="Q135" i="58"/>
  <c r="O135" i="58"/>
  <c r="N135" i="58"/>
  <c r="K135" i="58"/>
  <c r="I135" i="58"/>
  <c r="W134" i="58"/>
  <c r="U134" i="58"/>
  <c r="S134" i="58"/>
  <c r="R134" i="58"/>
  <c r="Q134" i="58"/>
  <c r="O134" i="58"/>
  <c r="N134" i="58"/>
  <c r="K134" i="58"/>
  <c r="I134" i="58"/>
  <c r="W133" i="58"/>
  <c r="U133" i="58"/>
  <c r="S133" i="58"/>
  <c r="R133" i="58"/>
  <c r="Q133" i="58"/>
  <c r="O133" i="58"/>
  <c r="N133" i="58"/>
  <c r="K133" i="58"/>
  <c r="I133" i="58"/>
  <c r="W132" i="58"/>
  <c r="U132" i="58"/>
  <c r="S132" i="58"/>
  <c r="R132" i="58"/>
  <c r="Q132" i="58"/>
  <c r="O132" i="58"/>
  <c r="N132" i="58"/>
  <c r="K132" i="58"/>
  <c r="I132" i="58"/>
  <c r="W131" i="58"/>
  <c r="U131" i="58"/>
  <c r="S131" i="58"/>
  <c r="R131" i="58"/>
  <c r="Q131" i="58"/>
  <c r="O131" i="58"/>
  <c r="N131" i="58"/>
  <c r="K131" i="58"/>
  <c r="I131" i="58"/>
  <c r="W130" i="58"/>
  <c r="U130" i="58"/>
  <c r="S130" i="58"/>
  <c r="R130" i="58"/>
  <c r="Q130" i="58"/>
  <c r="O130" i="58"/>
  <c r="N130" i="58"/>
  <c r="K130" i="58"/>
  <c r="I130" i="58"/>
  <c r="W129" i="58"/>
  <c r="U129" i="58"/>
  <c r="S129" i="58"/>
  <c r="R129" i="58"/>
  <c r="Q129" i="58"/>
  <c r="O129" i="58"/>
  <c r="N129" i="58"/>
  <c r="K129" i="58"/>
  <c r="I129" i="58"/>
  <c r="W128" i="58"/>
  <c r="U128" i="58"/>
  <c r="S128" i="58"/>
  <c r="R128" i="58"/>
  <c r="Q128" i="58"/>
  <c r="O128" i="58"/>
  <c r="N128" i="58"/>
  <c r="K128" i="58"/>
  <c r="I128" i="58"/>
  <c r="W127" i="58"/>
  <c r="U127" i="58"/>
  <c r="S127" i="58"/>
  <c r="R127" i="58"/>
  <c r="Q127" i="58"/>
  <c r="O127" i="58"/>
  <c r="N127" i="58"/>
  <c r="K127" i="58"/>
  <c r="I127" i="58"/>
  <c r="W126" i="58"/>
  <c r="U126" i="58"/>
  <c r="S126" i="58"/>
  <c r="R126" i="58"/>
  <c r="Q126" i="58"/>
  <c r="O126" i="58"/>
  <c r="N126" i="58"/>
  <c r="K126" i="58"/>
  <c r="I126" i="58"/>
  <c r="W125" i="58"/>
  <c r="U125" i="58"/>
  <c r="S125" i="58"/>
  <c r="R125" i="58"/>
  <c r="Q125" i="58"/>
  <c r="O125" i="58"/>
  <c r="N125" i="58"/>
  <c r="K125" i="58"/>
  <c r="I125" i="58"/>
  <c r="W124" i="58"/>
  <c r="U124" i="58"/>
  <c r="S124" i="58"/>
  <c r="R124" i="58"/>
  <c r="Q124" i="58"/>
  <c r="O124" i="58"/>
  <c r="N124" i="58"/>
  <c r="K124" i="58"/>
  <c r="I124" i="58"/>
  <c r="W123" i="58"/>
  <c r="U123" i="58"/>
  <c r="S123" i="58"/>
  <c r="R123" i="58"/>
  <c r="Q123" i="58"/>
  <c r="O123" i="58"/>
  <c r="N123" i="58"/>
  <c r="I123" i="58"/>
  <c r="W122" i="58"/>
  <c r="U122" i="58"/>
  <c r="S122" i="58"/>
  <c r="R122" i="58"/>
  <c r="Q122" i="58"/>
  <c r="O122" i="58"/>
  <c r="N122" i="58"/>
  <c r="K122" i="58"/>
  <c r="I122" i="58"/>
  <c r="W121" i="58"/>
  <c r="U121" i="58"/>
  <c r="S121" i="58"/>
  <c r="R121" i="58"/>
  <c r="Q121" i="58"/>
  <c r="O121" i="58"/>
  <c r="N121" i="58"/>
  <c r="I121" i="58"/>
  <c r="W120" i="58"/>
  <c r="U120" i="58"/>
  <c r="S120" i="58"/>
  <c r="R120" i="58"/>
  <c r="Q120" i="58"/>
  <c r="O120" i="58"/>
  <c r="N120" i="58"/>
  <c r="I120" i="58"/>
  <c r="W119" i="58"/>
  <c r="U119" i="58"/>
  <c r="S119" i="58"/>
  <c r="R119" i="58"/>
  <c r="Q119" i="58"/>
  <c r="O119" i="58"/>
  <c r="N119" i="58"/>
  <c r="I119" i="58"/>
  <c r="W118" i="58"/>
  <c r="U118" i="58"/>
  <c r="S118" i="58"/>
  <c r="R118" i="58"/>
  <c r="Q118" i="58"/>
  <c r="O118" i="58"/>
  <c r="N118" i="58"/>
  <c r="I118" i="58"/>
  <c r="W117" i="58"/>
  <c r="U117" i="58"/>
  <c r="S117" i="58"/>
  <c r="R117" i="58"/>
  <c r="Q117" i="58"/>
  <c r="O117" i="58"/>
  <c r="N117" i="58"/>
  <c r="I117" i="58"/>
  <c r="W116" i="58"/>
  <c r="U116" i="58"/>
  <c r="S116" i="58"/>
  <c r="R116" i="58"/>
  <c r="Q116" i="58"/>
  <c r="O116" i="58"/>
  <c r="N116" i="58"/>
  <c r="K116" i="58"/>
  <c r="I116" i="58"/>
  <c r="W115" i="58"/>
  <c r="U115" i="58"/>
  <c r="S115" i="58"/>
  <c r="R115" i="58"/>
  <c r="Q115" i="58"/>
  <c r="O115" i="58"/>
  <c r="N115" i="58"/>
  <c r="I115" i="58"/>
  <c r="W114" i="58"/>
  <c r="U114" i="58"/>
  <c r="S114" i="58"/>
  <c r="R114" i="58"/>
  <c r="Q114" i="58"/>
  <c r="O114" i="58"/>
  <c r="N114" i="58"/>
  <c r="I114" i="58"/>
  <c r="W113" i="58"/>
  <c r="U113" i="58"/>
  <c r="S113" i="58"/>
  <c r="R113" i="58"/>
  <c r="Q113" i="58"/>
  <c r="O113" i="58"/>
  <c r="N113" i="58"/>
  <c r="K113" i="58"/>
  <c r="I113" i="58"/>
  <c r="W112" i="58"/>
  <c r="U112" i="58"/>
  <c r="S112" i="58"/>
  <c r="R112" i="58"/>
  <c r="Q112" i="58"/>
  <c r="O112" i="58"/>
  <c r="N112" i="58"/>
  <c r="K112" i="58"/>
  <c r="I112" i="58"/>
  <c r="W111" i="58"/>
  <c r="U111" i="58"/>
  <c r="S111" i="58"/>
  <c r="R111" i="58"/>
  <c r="Q111" i="58"/>
  <c r="O111" i="58"/>
  <c r="N111" i="58"/>
  <c r="K111" i="58"/>
  <c r="I111" i="58"/>
  <c r="W110" i="58"/>
  <c r="U110" i="58"/>
  <c r="S110" i="58"/>
  <c r="R110" i="58"/>
  <c r="Q110" i="58"/>
  <c r="O110" i="58"/>
  <c r="N110" i="58"/>
  <c r="K110" i="58"/>
  <c r="I110" i="58"/>
  <c r="W109" i="58"/>
  <c r="U109" i="58"/>
  <c r="S109" i="58"/>
  <c r="R109" i="58"/>
  <c r="Q109" i="58"/>
  <c r="O109" i="58"/>
  <c r="N109" i="58"/>
  <c r="K109" i="58"/>
  <c r="I109" i="58"/>
  <c r="W108" i="58"/>
  <c r="U108" i="58"/>
  <c r="S108" i="58"/>
  <c r="R108" i="58"/>
  <c r="Q108" i="58"/>
  <c r="O108" i="58"/>
  <c r="N108" i="58"/>
  <c r="K108" i="58"/>
  <c r="I108" i="58"/>
  <c r="W107" i="58"/>
  <c r="U107" i="58"/>
  <c r="S107" i="58"/>
  <c r="R107" i="58"/>
  <c r="Q107" i="58"/>
  <c r="O107" i="58"/>
  <c r="N107" i="58"/>
  <c r="K107" i="58"/>
  <c r="I107" i="58"/>
  <c r="W106" i="58"/>
  <c r="U106" i="58"/>
  <c r="S106" i="58"/>
  <c r="R106" i="58"/>
  <c r="Q106" i="58"/>
  <c r="O106" i="58"/>
  <c r="N106" i="58"/>
  <c r="K106" i="58"/>
  <c r="I106" i="58"/>
  <c r="W105" i="58"/>
  <c r="U105" i="58"/>
  <c r="S105" i="58"/>
  <c r="R105" i="58"/>
  <c r="Q105" i="58"/>
  <c r="O105" i="58"/>
  <c r="N105" i="58"/>
  <c r="K105" i="58"/>
  <c r="I105" i="58"/>
  <c r="W104" i="58"/>
  <c r="U104" i="58"/>
  <c r="S104" i="58"/>
  <c r="R104" i="58"/>
  <c r="Q104" i="58"/>
  <c r="O104" i="58"/>
  <c r="N104" i="58"/>
  <c r="K104" i="58"/>
  <c r="I104" i="58"/>
  <c r="W103" i="58"/>
  <c r="U103" i="58"/>
  <c r="S103" i="58"/>
  <c r="R103" i="58"/>
  <c r="Q103" i="58"/>
  <c r="O103" i="58"/>
  <c r="N103" i="58"/>
  <c r="I103" i="58"/>
  <c r="W102" i="58"/>
  <c r="U102" i="58"/>
  <c r="S102" i="58"/>
  <c r="R102" i="58"/>
  <c r="Q102" i="58"/>
  <c r="O102" i="58"/>
  <c r="N102" i="58"/>
  <c r="I102" i="58"/>
  <c r="W101" i="58"/>
  <c r="U101" i="58"/>
  <c r="S101" i="58"/>
  <c r="R101" i="58"/>
  <c r="Q101" i="58"/>
  <c r="O101" i="58"/>
  <c r="N101" i="58"/>
  <c r="I101" i="58"/>
  <c r="W100" i="58"/>
  <c r="U100" i="58"/>
  <c r="S100" i="58"/>
  <c r="R100" i="58"/>
  <c r="Q100" i="58"/>
  <c r="O100" i="58"/>
  <c r="N100" i="58"/>
  <c r="I100" i="58"/>
  <c r="W99" i="58"/>
  <c r="U99" i="58"/>
  <c r="S99" i="58"/>
  <c r="R99" i="58"/>
  <c r="Q99" i="58"/>
  <c r="O99" i="58"/>
  <c r="I99" i="58"/>
  <c r="W98" i="58"/>
  <c r="U98" i="58"/>
  <c r="S98" i="58"/>
  <c r="R98" i="58"/>
  <c r="Q98" i="58"/>
  <c r="O98" i="58"/>
  <c r="I98" i="58"/>
  <c r="W97" i="58"/>
  <c r="U97" i="58"/>
  <c r="S97" i="58"/>
  <c r="R97" i="58"/>
  <c r="Q97" i="58"/>
  <c r="O97" i="58"/>
  <c r="I97" i="58"/>
  <c r="W96" i="58"/>
  <c r="U96" i="58"/>
  <c r="S96" i="58"/>
  <c r="R96" i="58"/>
  <c r="Q96" i="58"/>
  <c r="O96" i="58"/>
  <c r="I96" i="58"/>
  <c r="W95" i="58"/>
  <c r="U95" i="58"/>
  <c r="S95" i="58"/>
  <c r="R95" i="58"/>
  <c r="Q95" i="58"/>
  <c r="O95" i="58"/>
  <c r="I95" i="58"/>
  <c r="W94" i="58"/>
  <c r="U94" i="58"/>
  <c r="S94" i="58"/>
  <c r="R94" i="58"/>
  <c r="Q94" i="58"/>
  <c r="O94" i="58"/>
  <c r="I94" i="58"/>
  <c r="W93" i="58"/>
  <c r="U93" i="58"/>
  <c r="S93" i="58"/>
  <c r="R93" i="58"/>
  <c r="Q93" i="58"/>
  <c r="O93" i="58"/>
  <c r="I93" i="58"/>
  <c r="W92" i="58"/>
  <c r="U92" i="58"/>
  <c r="S92" i="58"/>
  <c r="R92" i="58"/>
  <c r="Q92" i="58"/>
  <c r="O92" i="58"/>
  <c r="I92" i="58"/>
  <c r="W91" i="58"/>
  <c r="U91" i="58"/>
  <c r="S91" i="58"/>
  <c r="R91" i="58"/>
  <c r="Q91" i="58"/>
  <c r="O91" i="58"/>
  <c r="I91" i="58"/>
  <c r="W90" i="58"/>
  <c r="U90" i="58"/>
  <c r="S90" i="58"/>
  <c r="R90" i="58"/>
  <c r="Q90" i="58"/>
  <c r="O90" i="58"/>
  <c r="I90" i="58"/>
  <c r="W89" i="58"/>
  <c r="U89" i="58"/>
  <c r="S89" i="58"/>
  <c r="R89" i="58"/>
  <c r="Q89" i="58"/>
  <c r="O89" i="58"/>
  <c r="I89" i="58"/>
  <c r="W88" i="58"/>
  <c r="U88" i="58"/>
  <c r="S88" i="58"/>
  <c r="R88" i="58"/>
  <c r="Q88" i="58"/>
  <c r="O88" i="58"/>
  <c r="I88" i="58"/>
  <c r="W87" i="58"/>
  <c r="U87" i="58"/>
  <c r="S87" i="58"/>
  <c r="R87" i="58"/>
  <c r="Q87" i="58"/>
  <c r="O87" i="58"/>
  <c r="I87" i="58"/>
  <c r="W86" i="58"/>
  <c r="U86" i="58"/>
  <c r="S86" i="58"/>
  <c r="R86" i="58"/>
  <c r="Q86" i="58"/>
  <c r="O86" i="58"/>
  <c r="I86" i="58"/>
  <c r="W85" i="58"/>
  <c r="U85" i="58"/>
  <c r="S85" i="58"/>
  <c r="R85" i="58"/>
  <c r="Q85" i="58"/>
  <c r="O85" i="58"/>
  <c r="I85" i="58"/>
  <c r="W84" i="58"/>
  <c r="U84" i="58"/>
  <c r="S84" i="58"/>
  <c r="R84" i="58"/>
  <c r="Q84" i="58"/>
  <c r="O84" i="58"/>
  <c r="I84" i="58"/>
  <c r="W83" i="58"/>
  <c r="U83" i="58"/>
  <c r="S83" i="58"/>
  <c r="R83" i="58"/>
  <c r="Q83" i="58"/>
  <c r="O83" i="58"/>
  <c r="I83" i="58"/>
  <c r="W82" i="58"/>
  <c r="U82" i="58"/>
  <c r="S82" i="58"/>
  <c r="R82" i="58"/>
  <c r="Q82" i="58"/>
  <c r="O82" i="58"/>
  <c r="I82" i="58"/>
  <c r="W81" i="58"/>
  <c r="U81" i="58"/>
  <c r="S81" i="58"/>
  <c r="R81" i="58"/>
  <c r="Q81" i="58"/>
  <c r="O81" i="58"/>
  <c r="I81" i="58"/>
  <c r="W80" i="58"/>
  <c r="U80" i="58"/>
  <c r="S80" i="58"/>
  <c r="R80" i="58"/>
  <c r="Q80" i="58"/>
  <c r="O80" i="58"/>
  <c r="N80" i="58"/>
  <c r="K80" i="58"/>
  <c r="I80" i="58"/>
  <c r="W79" i="58"/>
  <c r="U79" i="58"/>
  <c r="S79" i="58"/>
  <c r="R79" i="58"/>
  <c r="Q79" i="58"/>
  <c r="O79" i="58"/>
  <c r="N79" i="58"/>
  <c r="K79" i="58"/>
  <c r="I79" i="58"/>
  <c r="W78" i="58"/>
  <c r="U78" i="58"/>
  <c r="S78" i="58"/>
  <c r="R78" i="58"/>
  <c r="Q78" i="58"/>
  <c r="O78" i="58"/>
  <c r="N78" i="58"/>
  <c r="K78" i="58"/>
  <c r="I78" i="58"/>
  <c r="W77" i="58"/>
  <c r="U77" i="58"/>
  <c r="S77" i="58"/>
  <c r="R77" i="58"/>
  <c r="Q77" i="58"/>
  <c r="O77" i="58"/>
  <c r="N77" i="58"/>
  <c r="K77" i="58"/>
  <c r="I77" i="58"/>
  <c r="W76" i="58"/>
  <c r="U76" i="58"/>
  <c r="S76" i="58"/>
  <c r="R76" i="58"/>
  <c r="Q76" i="58"/>
  <c r="O76" i="58"/>
  <c r="N76" i="58"/>
  <c r="I76" i="58"/>
  <c r="W75" i="58"/>
  <c r="U75" i="58"/>
  <c r="S75" i="58"/>
  <c r="R75" i="58"/>
  <c r="Q75" i="58"/>
  <c r="O75" i="58"/>
  <c r="N75" i="58"/>
  <c r="I75" i="58"/>
  <c r="W74" i="58"/>
  <c r="U74" i="58"/>
  <c r="S74" i="58"/>
  <c r="R74" i="58"/>
  <c r="Q74" i="58"/>
  <c r="O74" i="58"/>
  <c r="N74" i="58"/>
  <c r="I74" i="58"/>
  <c r="W73" i="58"/>
  <c r="U73" i="58"/>
  <c r="S73" i="58"/>
  <c r="R73" i="58"/>
  <c r="Q73" i="58"/>
  <c r="O73" i="58"/>
  <c r="N73" i="58"/>
  <c r="I73" i="58"/>
  <c r="W72" i="58"/>
  <c r="U72" i="58"/>
  <c r="S72" i="58"/>
  <c r="R72" i="58"/>
  <c r="Q72" i="58"/>
  <c r="O72" i="58"/>
  <c r="N72" i="58"/>
  <c r="I72" i="58"/>
  <c r="W71" i="58"/>
  <c r="U71" i="58"/>
  <c r="S71" i="58"/>
  <c r="R71" i="58"/>
  <c r="Q71" i="58"/>
  <c r="O71" i="58"/>
  <c r="N71" i="58"/>
  <c r="I71" i="58"/>
  <c r="W70" i="58"/>
  <c r="U70" i="58"/>
  <c r="S70" i="58"/>
  <c r="R70" i="58"/>
  <c r="Q70" i="58"/>
  <c r="O70" i="58"/>
  <c r="N70" i="58"/>
  <c r="I70" i="58"/>
  <c r="W69" i="58"/>
  <c r="U69" i="58"/>
  <c r="S69" i="58"/>
  <c r="R69" i="58"/>
  <c r="Q69" i="58"/>
  <c r="O69" i="58"/>
  <c r="N69" i="58"/>
  <c r="I69" i="58"/>
  <c r="W68" i="58"/>
  <c r="U68" i="58"/>
  <c r="S68" i="58"/>
  <c r="R68" i="58"/>
  <c r="Q68" i="58"/>
  <c r="O68" i="58"/>
  <c r="N68" i="58"/>
  <c r="I68" i="58"/>
  <c r="W67" i="58"/>
  <c r="U67" i="58"/>
  <c r="S67" i="58"/>
  <c r="R67" i="58"/>
  <c r="Q67" i="58"/>
  <c r="O67" i="58"/>
  <c r="N67" i="58"/>
  <c r="I67" i="58"/>
  <c r="W66" i="58"/>
  <c r="U66" i="58"/>
  <c r="S66" i="58"/>
  <c r="R66" i="58"/>
  <c r="Q66" i="58"/>
  <c r="O66" i="58"/>
  <c r="N66" i="58"/>
  <c r="I66" i="58"/>
  <c r="W65" i="58"/>
  <c r="U65" i="58"/>
  <c r="S65" i="58"/>
  <c r="R65" i="58"/>
  <c r="Q65" i="58"/>
  <c r="O65" i="58"/>
  <c r="N65" i="58"/>
  <c r="I65" i="58"/>
  <c r="W64" i="58"/>
  <c r="U64" i="58"/>
  <c r="S64" i="58"/>
  <c r="R64" i="58"/>
  <c r="Q64" i="58"/>
  <c r="O64" i="58"/>
  <c r="N64" i="58"/>
  <c r="I64" i="58"/>
  <c r="W63" i="58"/>
  <c r="U63" i="58"/>
  <c r="S63" i="58"/>
  <c r="R63" i="58"/>
  <c r="Q63" i="58"/>
  <c r="O63" i="58"/>
  <c r="N63" i="58"/>
  <c r="I63" i="58"/>
  <c r="W62" i="58"/>
  <c r="U62" i="58"/>
  <c r="S62" i="58"/>
  <c r="R62" i="58"/>
  <c r="Q62" i="58"/>
  <c r="O62" i="58"/>
  <c r="N62" i="58"/>
  <c r="I62" i="58"/>
  <c r="W61" i="58"/>
  <c r="U61" i="58"/>
  <c r="S61" i="58"/>
  <c r="R61" i="58"/>
  <c r="Q61" i="58"/>
  <c r="O61" i="58"/>
  <c r="N61" i="58"/>
  <c r="I61" i="58"/>
  <c r="W60" i="58"/>
  <c r="U60" i="58"/>
  <c r="S60" i="58"/>
  <c r="R60" i="58"/>
  <c r="Q60" i="58"/>
  <c r="O60" i="58"/>
  <c r="N60" i="58"/>
  <c r="I60" i="58"/>
  <c r="W59" i="58"/>
  <c r="U59" i="58"/>
  <c r="S59" i="58"/>
  <c r="R59" i="58"/>
  <c r="Q59" i="58"/>
  <c r="O59" i="58"/>
  <c r="N59" i="58"/>
  <c r="I59" i="58"/>
  <c r="W58" i="58"/>
  <c r="U58" i="58"/>
  <c r="S58" i="58"/>
  <c r="R58" i="58"/>
  <c r="Q58" i="58"/>
  <c r="O58" i="58"/>
  <c r="N58" i="58"/>
  <c r="I58" i="58"/>
  <c r="W57" i="58"/>
  <c r="U57" i="58"/>
  <c r="S57" i="58"/>
  <c r="R57" i="58"/>
  <c r="Q57" i="58"/>
  <c r="O57" i="58"/>
  <c r="N57" i="58"/>
  <c r="I57" i="58"/>
  <c r="W56" i="58"/>
  <c r="U56" i="58"/>
  <c r="S56" i="58"/>
  <c r="R56" i="58"/>
  <c r="Q56" i="58"/>
  <c r="O56" i="58"/>
  <c r="N56" i="58"/>
  <c r="I56" i="58"/>
  <c r="W55" i="58"/>
  <c r="U55" i="58"/>
  <c r="S55" i="58"/>
  <c r="R55" i="58"/>
  <c r="Q55" i="58"/>
  <c r="O55" i="58"/>
  <c r="N55" i="58"/>
  <c r="I55" i="58"/>
  <c r="W54" i="58"/>
  <c r="U54" i="58"/>
  <c r="S54" i="58"/>
  <c r="R54" i="58"/>
  <c r="Q54" i="58"/>
  <c r="O54" i="58"/>
  <c r="N54" i="58"/>
  <c r="I54" i="58"/>
  <c r="W53" i="58"/>
  <c r="U53" i="58"/>
  <c r="S53" i="58"/>
  <c r="R53" i="58"/>
  <c r="Q53" i="58"/>
  <c r="O53" i="58"/>
  <c r="N53" i="58"/>
  <c r="I53" i="58"/>
  <c r="W52" i="58"/>
  <c r="U52" i="58"/>
  <c r="S52" i="58"/>
  <c r="R52" i="58"/>
  <c r="Q52" i="58"/>
  <c r="O52" i="58"/>
  <c r="N52" i="58"/>
  <c r="I52" i="58"/>
  <c r="W51" i="58"/>
  <c r="U51" i="58"/>
  <c r="S51" i="58"/>
  <c r="R51" i="58"/>
  <c r="Q51" i="58"/>
  <c r="O51" i="58"/>
  <c r="N51" i="58"/>
  <c r="I51" i="58"/>
  <c r="W50" i="58"/>
  <c r="U50" i="58"/>
  <c r="S50" i="58"/>
  <c r="R50" i="58"/>
  <c r="Q50" i="58"/>
  <c r="O50" i="58"/>
  <c r="N50" i="58"/>
  <c r="I50" i="58"/>
  <c r="W49" i="58"/>
  <c r="U49" i="58"/>
  <c r="S49" i="58"/>
  <c r="R49" i="58"/>
  <c r="Q49" i="58"/>
  <c r="O49" i="58"/>
  <c r="N49" i="58"/>
  <c r="I49" i="58"/>
  <c r="W48" i="58"/>
  <c r="U48" i="58"/>
  <c r="S48" i="58"/>
  <c r="R48" i="58"/>
  <c r="Q48" i="58"/>
  <c r="O48" i="58"/>
  <c r="N48" i="58"/>
  <c r="I48" i="58"/>
  <c r="W47" i="58"/>
  <c r="U47" i="58"/>
  <c r="S47" i="58"/>
  <c r="R47" i="58"/>
  <c r="Q47" i="58"/>
  <c r="O47" i="58"/>
  <c r="N47" i="58"/>
  <c r="K47" i="58"/>
  <c r="I47" i="58"/>
  <c r="W46" i="58"/>
  <c r="U46" i="58"/>
  <c r="S46" i="58"/>
  <c r="R46" i="58"/>
  <c r="Q46" i="58"/>
  <c r="O46" i="58"/>
  <c r="N46" i="58"/>
  <c r="K46" i="58"/>
  <c r="I46" i="58"/>
  <c r="W45" i="58"/>
  <c r="U45" i="58"/>
  <c r="S45" i="58"/>
  <c r="R45" i="58"/>
  <c r="Q45" i="58"/>
  <c r="O45" i="58"/>
  <c r="N45" i="58"/>
  <c r="K45" i="58"/>
  <c r="I45" i="58"/>
  <c r="W44" i="58"/>
  <c r="U44" i="58"/>
  <c r="S44" i="58"/>
  <c r="R44" i="58"/>
  <c r="Q44" i="58"/>
  <c r="O44" i="58"/>
  <c r="N44" i="58"/>
  <c r="K44" i="58"/>
  <c r="I44" i="58"/>
  <c r="W43" i="58"/>
  <c r="U43" i="58"/>
  <c r="S43" i="58"/>
  <c r="R43" i="58"/>
  <c r="Q43" i="58"/>
  <c r="O43" i="58"/>
  <c r="N43" i="58"/>
  <c r="K43" i="58"/>
  <c r="I43" i="58"/>
  <c r="W42" i="58"/>
  <c r="U42" i="58"/>
  <c r="S42" i="58"/>
  <c r="R42" i="58"/>
  <c r="Q42" i="58"/>
  <c r="O42" i="58"/>
  <c r="N42" i="58"/>
  <c r="K42" i="58"/>
  <c r="I42" i="58"/>
  <c r="W41" i="58"/>
  <c r="U41" i="58"/>
  <c r="S41" i="58"/>
  <c r="R41" i="58"/>
  <c r="Q41" i="58"/>
  <c r="O41" i="58"/>
  <c r="N41" i="58"/>
  <c r="K41" i="58"/>
  <c r="I41" i="58"/>
  <c r="W40" i="58"/>
  <c r="U40" i="58"/>
  <c r="S40" i="58"/>
  <c r="R40" i="58"/>
  <c r="Q40" i="58"/>
  <c r="O40" i="58"/>
  <c r="N40" i="58"/>
  <c r="K40" i="58"/>
  <c r="I40" i="58"/>
  <c r="W39" i="58"/>
  <c r="U39" i="58"/>
  <c r="S39" i="58"/>
  <c r="R39" i="58"/>
  <c r="Q39" i="58"/>
  <c r="O39" i="58"/>
  <c r="N39" i="58"/>
  <c r="I39" i="58"/>
  <c r="W38" i="58"/>
  <c r="U38" i="58"/>
  <c r="S38" i="58"/>
  <c r="R38" i="58"/>
  <c r="Q38" i="58"/>
  <c r="O38" i="58"/>
  <c r="N38" i="58"/>
  <c r="I38" i="58"/>
  <c r="W37" i="58"/>
  <c r="U37" i="58"/>
  <c r="S37" i="58"/>
  <c r="R37" i="58"/>
  <c r="Q37" i="58"/>
  <c r="O37" i="58"/>
  <c r="N37" i="58"/>
  <c r="I37" i="58"/>
  <c r="W36" i="58"/>
  <c r="U36" i="58"/>
  <c r="S36" i="58"/>
  <c r="R36" i="58"/>
  <c r="Q36" i="58"/>
  <c r="O36" i="58"/>
  <c r="N36" i="58"/>
  <c r="I36" i="58"/>
  <c r="W35" i="58"/>
  <c r="U35" i="58"/>
  <c r="S35" i="58"/>
  <c r="R35" i="58"/>
  <c r="Q35" i="58"/>
  <c r="O35" i="58"/>
  <c r="N35" i="58"/>
  <c r="I35" i="58"/>
  <c r="W34" i="58"/>
  <c r="U34" i="58"/>
  <c r="S34" i="58"/>
  <c r="R34" i="58"/>
  <c r="Q34" i="58"/>
  <c r="O34" i="58"/>
  <c r="N34" i="58"/>
  <c r="K34" i="58"/>
  <c r="I34" i="58"/>
  <c r="W33" i="58"/>
  <c r="U33" i="58"/>
  <c r="S33" i="58"/>
  <c r="R33" i="58"/>
  <c r="Q33" i="58"/>
  <c r="O33" i="58"/>
  <c r="N33" i="58"/>
  <c r="I33" i="58"/>
  <c r="W32" i="58"/>
  <c r="U32" i="58"/>
  <c r="S32" i="58"/>
  <c r="R32" i="58"/>
  <c r="Q32" i="58"/>
  <c r="O32" i="58"/>
  <c r="N32" i="58"/>
  <c r="I32" i="58"/>
  <c r="W31" i="58"/>
  <c r="U31" i="58"/>
  <c r="S31" i="58"/>
  <c r="R31" i="58"/>
  <c r="Q31" i="58"/>
  <c r="O31" i="58"/>
  <c r="N31" i="58"/>
  <c r="I31" i="58"/>
  <c r="W30" i="58"/>
  <c r="U30" i="58"/>
  <c r="S30" i="58"/>
  <c r="R30" i="58"/>
  <c r="Q30" i="58"/>
  <c r="O30" i="58"/>
  <c r="N30" i="58"/>
  <c r="I30" i="58"/>
  <c r="W29" i="58"/>
  <c r="U29" i="58"/>
  <c r="S29" i="58"/>
  <c r="R29" i="58"/>
  <c r="Q29" i="58"/>
  <c r="O29" i="58"/>
  <c r="N29" i="58"/>
  <c r="I29" i="58"/>
  <c r="W28" i="58"/>
  <c r="U28" i="58"/>
  <c r="S28" i="58"/>
  <c r="R28" i="58"/>
  <c r="Q28" i="58"/>
  <c r="O28" i="58"/>
  <c r="N28" i="58"/>
  <c r="I28" i="58"/>
  <c r="W27" i="58"/>
  <c r="U27" i="58"/>
  <c r="S27" i="58"/>
  <c r="R27" i="58"/>
  <c r="Q27" i="58"/>
  <c r="O27" i="58"/>
  <c r="N27" i="58"/>
  <c r="I27" i="58"/>
  <c r="W26" i="58"/>
  <c r="U26" i="58"/>
  <c r="S26" i="58"/>
  <c r="R26" i="58"/>
  <c r="Q26" i="58"/>
  <c r="O26" i="58"/>
  <c r="N26" i="58"/>
  <c r="I26" i="58"/>
  <c r="W25" i="58"/>
  <c r="U25" i="58"/>
  <c r="S25" i="58"/>
  <c r="R25" i="58"/>
  <c r="Q25" i="58"/>
  <c r="O25" i="58"/>
  <c r="N25" i="58"/>
  <c r="I25" i="58"/>
  <c r="W24" i="58"/>
  <c r="U24" i="58"/>
  <c r="S24" i="58"/>
  <c r="R24" i="58"/>
  <c r="Q24" i="58"/>
  <c r="O24" i="58"/>
  <c r="N24" i="58"/>
  <c r="I24" i="58"/>
  <c r="W23" i="58"/>
  <c r="U23" i="58"/>
  <c r="S23" i="58"/>
  <c r="R23" i="58"/>
  <c r="Q23" i="58"/>
  <c r="O23" i="58"/>
  <c r="N23" i="58"/>
  <c r="K23" i="58"/>
  <c r="I23" i="58"/>
  <c r="W22" i="58"/>
  <c r="U22" i="58"/>
  <c r="S22" i="58"/>
  <c r="R22" i="58"/>
  <c r="Q22" i="58"/>
  <c r="O22" i="58"/>
  <c r="N22" i="58"/>
  <c r="I22" i="58"/>
  <c r="W21" i="58"/>
  <c r="U21" i="58"/>
  <c r="S21" i="58"/>
  <c r="R21" i="58"/>
  <c r="Q21" i="58"/>
  <c r="O21" i="58"/>
  <c r="N21" i="58"/>
  <c r="I21" i="58"/>
  <c r="W20" i="58"/>
  <c r="U20" i="58"/>
  <c r="S20" i="58"/>
  <c r="R20" i="58"/>
  <c r="Q20" i="58"/>
  <c r="O20" i="58"/>
  <c r="N20" i="58"/>
  <c r="I20" i="58"/>
  <c r="W19" i="58"/>
  <c r="U19" i="58"/>
  <c r="S19" i="58"/>
  <c r="R19" i="58"/>
  <c r="Q19" i="58"/>
  <c r="O19" i="58"/>
  <c r="N19" i="58"/>
  <c r="K19" i="58"/>
  <c r="I19" i="58"/>
  <c r="W18" i="58"/>
  <c r="U18" i="58"/>
  <c r="S18" i="58"/>
  <c r="R18" i="58"/>
  <c r="Q18" i="58"/>
  <c r="O18" i="58"/>
  <c r="N18" i="58"/>
  <c r="I18" i="58"/>
  <c r="M16" i="58"/>
  <c r="W24" i="57"/>
  <c r="U24" i="57"/>
  <c r="S24" i="57"/>
  <c r="R24" i="57"/>
  <c r="Q24" i="57"/>
  <c r="O24" i="57"/>
  <c r="N24" i="57"/>
  <c r="K24" i="57"/>
  <c r="I24" i="57"/>
  <c r="W23" i="57"/>
  <c r="U23" i="57"/>
  <c r="S23" i="57"/>
  <c r="R23" i="57"/>
  <c r="Q23" i="57"/>
  <c r="O23" i="57"/>
  <c r="N23" i="57"/>
  <c r="K23" i="57"/>
  <c r="I23" i="57"/>
  <c r="W22" i="57"/>
  <c r="U22" i="57"/>
  <c r="S22" i="57"/>
  <c r="R22" i="57"/>
  <c r="Q22" i="57"/>
  <c r="O22" i="57"/>
  <c r="N22" i="57"/>
  <c r="K22" i="57"/>
  <c r="I22" i="57"/>
  <c r="W21" i="57"/>
  <c r="U21" i="57"/>
  <c r="S21" i="57"/>
  <c r="R21" i="57"/>
  <c r="Q21" i="57"/>
  <c r="O21" i="57"/>
  <c r="N21" i="57"/>
  <c r="K21" i="57"/>
  <c r="I21" i="57"/>
  <c r="W20" i="57"/>
  <c r="U20" i="57"/>
  <c r="S20" i="57"/>
  <c r="R20" i="57"/>
  <c r="Q20" i="57"/>
  <c r="O20" i="57"/>
  <c r="K20" i="57"/>
  <c r="I20" i="57"/>
  <c r="M16" i="57"/>
  <c r="L16" i="57"/>
  <c r="O16" i="57" l="1"/>
  <c r="L41" i="42"/>
  <c r="L36" i="42" s="1"/>
  <c r="F40" i="42"/>
  <c r="F41" i="42"/>
  <c r="F36" i="42" s="1"/>
  <c r="P27" i="42"/>
  <c r="O27" i="42"/>
  <c r="N27" i="42"/>
  <c r="M27" i="42"/>
  <c r="L27" i="42"/>
  <c r="K27" i="42"/>
  <c r="J27" i="42"/>
  <c r="I27" i="42"/>
  <c r="H27" i="42"/>
  <c r="G27" i="42"/>
  <c r="P25" i="42"/>
  <c r="O25" i="42"/>
  <c r="N25" i="42"/>
  <c r="M25" i="42"/>
  <c r="L25" i="42"/>
  <c r="K25" i="42"/>
  <c r="J25" i="42"/>
  <c r="I25" i="42"/>
  <c r="H25" i="42"/>
  <c r="G25" i="42"/>
  <c r="P35" i="42"/>
  <c r="O35" i="42"/>
  <c r="N35" i="42"/>
  <c r="M35" i="42"/>
  <c r="L35" i="42"/>
  <c r="K35" i="42"/>
  <c r="J35" i="42"/>
  <c r="I35" i="42"/>
  <c r="H35" i="42"/>
  <c r="G35" i="42"/>
  <c r="F35" i="42"/>
  <c r="P34" i="42"/>
  <c r="O34" i="42"/>
  <c r="N34" i="42"/>
  <c r="M34" i="42"/>
  <c r="L34" i="42"/>
  <c r="K34" i="42"/>
  <c r="J34" i="42"/>
  <c r="I34" i="42"/>
  <c r="H34" i="42"/>
  <c r="G34" i="42"/>
  <c r="F34" i="42"/>
  <c r="F27" i="42"/>
  <c r="P24" i="42"/>
  <c r="O24" i="42"/>
  <c r="N24" i="42"/>
  <c r="M24" i="42"/>
  <c r="L24" i="42"/>
  <c r="K24" i="42"/>
  <c r="J24" i="42"/>
  <c r="I24" i="42"/>
  <c r="H24" i="42"/>
  <c r="G24" i="42"/>
  <c r="F24" i="42"/>
  <c r="P77" i="42"/>
  <c r="O77" i="42"/>
  <c r="M77" i="42"/>
  <c r="L77" i="42"/>
  <c r="K77" i="42"/>
  <c r="J77" i="42"/>
  <c r="H77" i="42"/>
  <c r="G77" i="42"/>
  <c r="F77" i="42"/>
  <c r="P76" i="42"/>
  <c r="O76" i="42"/>
  <c r="N76" i="42"/>
  <c r="L76" i="42"/>
  <c r="K76" i="42"/>
  <c r="J76" i="42"/>
  <c r="I76" i="42"/>
  <c r="P75" i="42"/>
  <c r="O75" i="42"/>
  <c r="N75" i="42"/>
  <c r="M75" i="42"/>
  <c r="L75" i="42"/>
  <c r="K75" i="42"/>
  <c r="J75" i="42"/>
  <c r="I75" i="42"/>
  <c r="H75" i="42"/>
  <c r="F75" i="42"/>
  <c r="P74" i="42"/>
  <c r="O74" i="42"/>
  <c r="N74" i="42"/>
  <c r="M74" i="42"/>
  <c r="L74" i="42"/>
  <c r="G74" i="42"/>
  <c r="P71" i="42"/>
  <c r="O71" i="42"/>
  <c r="N71" i="42"/>
  <c r="M71" i="42"/>
  <c r="L71" i="42"/>
  <c r="K71" i="42"/>
  <c r="J71" i="42"/>
  <c r="I71" i="42"/>
  <c r="H71" i="42"/>
  <c r="G71" i="42"/>
  <c r="F71" i="42"/>
  <c r="P70" i="42"/>
  <c r="O70" i="42"/>
  <c r="N70" i="42"/>
  <c r="M70" i="42"/>
  <c r="L70" i="42"/>
  <c r="K70" i="42"/>
  <c r="J70" i="42"/>
  <c r="I70" i="42"/>
  <c r="H70" i="42"/>
  <c r="G70" i="42"/>
  <c r="F70" i="42"/>
  <c r="P69" i="42"/>
  <c r="O69" i="42"/>
  <c r="N69" i="42"/>
  <c r="M69" i="42"/>
  <c r="L69" i="42"/>
  <c r="K69" i="42"/>
  <c r="J69" i="42"/>
  <c r="I69" i="42"/>
  <c r="H69" i="42"/>
  <c r="G69" i="42"/>
  <c r="F69" i="42"/>
  <c r="P68" i="42"/>
  <c r="O68" i="42"/>
  <c r="N68" i="42"/>
  <c r="M68" i="42"/>
  <c r="L68" i="42"/>
  <c r="K68" i="42"/>
  <c r="J68" i="42"/>
  <c r="I68" i="42"/>
  <c r="H68" i="42"/>
  <c r="G68" i="42"/>
  <c r="F68" i="42"/>
  <c r="P23" i="42"/>
  <c r="O23" i="42"/>
  <c r="N23" i="42"/>
  <c r="M23" i="42"/>
  <c r="L23" i="42"/>
  <c r="K23" i="42"/>
  <c r="J23" i="42"/>
  <c r="I23" i="42"/>
  <c r="H23" i="42"/>
  <c r="G23" i="42"/>
  <c r="F23" i="42"/>
  <c r="F102" i="42" s="1"/>
  <c r="P21" i="42"/>
  <c r="O21" i="42"/>
  <c r="N21" i="42"/>
  <c r="M21" i="42"/>
  <c r="L21" i="42"/>
  <c r="K21" i="42"/>
  <c r="J21" i="42"/>
  <c r="I21" i="42"/>
  <c r="H21" i="42"/>
  <c r="G21" i="42"/>
  <c r="F21" i="42"/>
  <c r="P86" i="42"/>
  <c r="O86" i="42"/>
  <c r="N86" i="42"/>
  <c r="M86" i="42"/>
  <c r="L86" i="42"/>
  <c r="K86" i="42"/>
  <c r="J86" i="42"/>
  <c r="I86" i="42"/>
  <c r="H86" i="42"/>
  <c r="G86" i="42"/>
  <c r="P85" i="42"/>
  <c r="O85" i="42"/>
  <c r="N85" i="42"/>
  <c r="M85" i="42"/>
  <c r="L85" i="42"/>
  <c r="K85" i="42"/>
  <c r="J85" i="42"/>
  <c r="I85" i="42"/>
  <c r="H85" i="42"/>
  <c r="G85" i="42"/>
  <c r="P84" i="42"/>
  <c r="O84" i="42"/>
  <c r="N84" i="42"/>
  <c r="M84" i="42"/>
  <c r="L84" i="42"/>
  <c r="K84" i="42"/>
  <c r="J84" i="42"/>
  <c r="I84" i="42"/>
  <c r="H84" i="42"/>
  <c r="G84" i="42"/>
  <c r="P83" i="42"/>
  <c r="O83" i="42"/>
  <c r="N83" i="42"/>
  <c r="M83" i="42"/>
  <c r="L83" i="42"/>
  <c r="K83" i="42"/>
  <c r="J83" i="42"/>
  <c r="I83" i="42"/>
  <c r="H83" i="42"/>
  <c r="G83" i="42"/>
  <c r="P82" i="42"/>
  <c r="O82" i="42"/>
  <c r="N82" i="42"/>
  <c r="M82" i="42"/>
  <c r="L82" i="42"/>
  <c r="K82" i="42"/>
  <c r="J82" i="42"/>
  <c r="I82" i="42"/>
  <c r="H82" i="42"/>
  <c r="G82" i="42"/>
  <c r="P81" i="42"/>
  <c r="O81" i="42"/>
  <c r="N81" i="42"/>
  <c r="M81" i="42"/>
  <c r="L81" i="42"/>
  <c r="K81" i="42"/>
  <c r="J81" i="42"/>
  <c r="I81" i="42"/>
  <c r="H81" i="42"/>
  <c r="G81" i="42"/>
  <c r="P80" i="42"/>
  <c r="O80" i="42"/>
  <c r="N80" i="42"/>
  <c r="M80" i="42"/>
  <c r="L80" i="42"/>
  <c r="K80" i="42"/>
  <c r="J80" i="42"/>
  <c r="I80" i="42"/>
  <c r="H80" i="42"/>
  <c r="G80" i="42"/>
  <c r="P79" i="42"/>
  <c r="O79" i="42"/>
  <c r="N79" i="42"/>
  <c r="M79" i="42"/>
  <c r="L79" i="42"/>
  <c r="K79" i="42"/>
  <c r="J79" i="42"/>
  <c r="I79" i="42"/>
  <c r="H79" i="42"/>
  <c r="G79" i="42"/>
  <c r="P78" i="42"/>
  <c r="O78" i="42"/>
  <c r="N78" i="42"/>
  <c r="M78" i="42"/>
  <c r="L78" i="42"/>
  <c r="K78" i="42"/>
  <c r="J78" i="42"/>
  <c r="I78" i="42"/>
  <c r="H78" i="42"/>
  <c r="G78" i="42"/>
  <c r="P73" i="42"/>
  <c r="O73" i="42"/>
  <c r="N73" i="42"/>
  <c r="M73" i="42"/>
  <c r="L73" i="42"/>
  <c r="K73" i="42"/>
  <c r="J73" i="42"/>
  <c r="I73" i="42"/>
  <c r="H73" i="42"/>
  <c r="G73" i="42"/>
  <c r="P72" i="42"/>
  <c r="O72" i="42"/>
  <c r="N72" i="42"/>
  <c r="M72" i="42"/>
  <c r="L72" i="42"/>
  <c r="K72" i="42"/>
  <c r="J72" i="42"/>
  <c r="I72" i="42"/>
  <c r="H72" i="42"/>
  <c r="G72" i="42"/>
  <c r="P67" i="42"/>
  <c r="O67" i="42"/>
  <c r="N67" i="42"/>
  <c r="M67" i="42"/>
  <c r="L67" i="42"/>
  <c r="K67" i="42"/>
  <c r="J67" i="42"/>
  <c r="I67" i="42"/>
  <c r="H67" i="42"/>
  <c r="G67" i="42"/>
  <c r="P66" i="42"/>
  <c r="O66" i="42"/>
  <c r="N66" i="42"/>
  <c r="M66" i="42"/>
  <c r="L66" i="42"/>
  <c r="K66" i="42"/>
  <c r="J66" i="42"/>
  <c r="I66" i="42"/>
  <c r="H66" i="42"/>
  <c r="G66" i="42"/>
  <c r="P65" i="42"/>
  <c r="O65" i="42"/>
  <c r="N65" i="42"/>
  <c r="M65" i="42"/>
  <c r="L65" i="42"/>
  <c r="K65" i="42"/>
  <c r="J65" i="42"/>
  <c r="I65" i="42"/>
  <c r="H65" i="42"/>
  <c r="G65" i="42"/>
  <c r="P64" i="42"/>
  <c r="O64" i="42"/>
  <c r="N64" i="42"/>
  <c r="M64" i="42"/>
  <c r="L64" i="42"/>
  <c r="K64" i="42"/>
  <c r="J64" i="42"/>
  <c r="I64" i="42"/>
  <c r="H64" i="42"/>
  <c r="G64" i="42"/>
  <c r="P63" i="42"/>
  <c r="O63" i="42"/>
  <c r="N63" i="42"/>
  <c r="M63" i="42"/>
  <c r="L63" i="42"/>
  <c r="K63" i="42"/>
  <c r="J63" i="42"/>
  <c r="I63" i="42"/>
  <c r="H63" i="42"/>
  <c r="G63" i="42"/>
  <c r="P62" i="42"/>
  <c r="O62" i="42"/>
  <c r="N62" i="42"/>
  <c r="M62" i="42"/>
  <c r="L62" i="42"/>
  <c r="K62" i="42"/>
  <c r="J62" i="42"/>
  <c r="I62" i="42"/>
  <c r="H62" i="42"/>
  <c r="G62" i="42"/>
  <c r="P61" i="42"/>
  <c r="O61" i="42"/>
  <c r="N61" i="42"/>
  <c r="M61" i="42"/>
  <c r="L61" i="42"/>
  <c r="K61" i="42"/>
  <c r="J61" i="42"/>
  <c r="I61" i="42"/>
  <c r="H61" i="42"/>
  <c r="G61" i="42"/>
  <c r="P60" i="42"/>
  <c r="O60" i="42"/>
  <c r="N60" i="42"/>
  <c r="M60" i="42"/>
  <c r="L60" i="42"/>
  <c r="K60" i="42"/>
  <c r="J60" i="42"/>
  <c r="I60" i="42"/>
  <c r="H60" i="42"/>
  <c r="G60" i="42"/>
  <c r="P59" i="42"/>
  <c r="O59" i="42"/>
  <c r="N59" i="42"/>
  <c r="M59" i="42"/>
  <c r="L59" i="42"/>
  <c r="K59" i="42"/>
  <c r="J59" i="42"/>
  <c r="I59" i="42"/>
  <c r="H59" i="42"/>
  <c r="G59" i="42"/>
  <c r="P58" i="42"/>
  <c r="O58" i="42"/>
  <c r="N58" i="42"/>
  <c r="M58" i="42"/>
  <c r="L58" i="42"/>
  <c r="K58" i="42"/>
  <c r="J58" i="42"/>
  <c r="I58" i="42"/>
  <c r="H58" i="42"/>
  <c r="G58" i="42"/>
  <c r="P57" i="42"/>
  <c r="O57" i="42"/>
  <c r="N57" i="42"/>
  <c r="M57" i="42"/>
  <c r="L57" i="42"/>
  <c r="K57" i="42"/>
  <c r="J57" i="42"/>
  <c r="I57" i="42"/>
  <c r="H57" i="42"/>
  <c r="G57" i="42"/>
  <c r="P56" i="42"/>
  <c r="O56" i="42"/>
  <c r="N56" i="42"/>
  <c r="M56" i="42"/>
  <c r="L56" i="42"/>
  <c r="K56" i="42"/>
  <c r="J56" i="42"/>
  <c r="I56" i="42"/>
  <c r="H56" i="42"/>
  <c r="G56" i="42"/>
  <c r="P55" i="42"/>
  <c r="O55" i="42"/>
  <c r="N55" i="42"/>
  <c r="M55" i="42"/>
  <c r="L55" i="42"/>
  <c r="K55" i="42"/>
  <c r="J55" i="42"/>
  <c r="I55" i="42"/>
  <c r="H55" i="42"/>
  <c r="G55" i="42"/>
  <c r="P54" i="42"/>
  <c r="O54" i="42"/>
  <c r="N54" i="42"/>
  <c r="M54" i="42"/>
  <c r="L54" i="42"/>
  <c r="K54" i="42"/>
  <c r="J54" i="42"/>
  <c r="I54" i="42"/>
  <c r="H54" i="42"/>
  <c r="G54" i="42"/>
  <c r="P53" i="42"/>
  <c r="O53" i="42"/>
  <c r="N53" i="42"/>
  <c r="M53" i="42"/>
  <c r="L53" i="42"/>
  <c r="K53" i="42"/>
  <c r="J53" i="42"/>
  <c r="I53" i="42"/>
  <c r="H53" i="42"/>
  <c r="G53" i="42"/>
  <c r="P52" i="42"/>
  <c r="O52" i="42"/>
  <c r="N52" i="42"/>
  <c r="M52" i="42"/>
  <c r="L52" i="42"/>
  <c r="K52" i="42"/>
  <c r="J52" i="42"/>
  <c r="I52" i="42"/>
  <c r="H52" i="42"/>
  <c r="G52" i="42"/>
  <c r="P51" i="42"/>
  <c r="O51" i="42"/>
  <c r="N51" i="42"/>
  <c r="M51" i="42"/>
  <c r="L51" i="42"/>
  <c r="K51" i="42"/>
  <c r="J51" i="42"/>
  <c r="I51" i="42"/>
  <c r="H51" i="42"/>
  <c r="G51" i="42"/>
  <c r="P50" i="42"/>
  <c r="O50" i="42"/>
  <c r="N50" i="42"/>
  <c r="M50" i="42"/>
  <c r="L50" i="42"/>
  <c r="K50" i="42"/>
  <c r="J50" i="42"/>
  <c r="I50" i="42"/>
  <c r="H50" i="42"/>
  <c r="G50" i="42"/>
  <c r="P49" i="42"/>
  <c r="O49" i="42"/>
  <c r="N49" i="42"/>
  <c r="M49" i="42"/>
  <c r="L49" i="42"/>
  <c r="K49" i="42"/>
  <c r="J49" i="42"/>
  <c r="I49" i="42"/>
  <c r="H49" i="42"/>
  <c r="G49" i="42"/>
  <c r="P48" i="42"/>
  <c r="O48" i="42"/>
  <c r="N48" i="42"/>
  <c r="M48" i="42"/>
  <c r="L48" i="42"/>
  <c r="K48" i="42"/>
  <c r="J48" i="42"/>
  <c r="I48" i="42"/>
  <c r="H48" i="42"/>
  <c r="G48" i="42"/>
  <c r="P47" i="42"/>
  <c r="O47" i="42"/>
  <c r="N47" i="42"/>
  <c r="M47" i="42"/>
  <c r="L47" i="42"/>
  <c r="K47" i="42"/>
  <c r="J47" i="42"/>
  <c r="I47" i="42"/>
  <c r="H47" i="42"/>
  <c r="G47" i="42"/>
  <c r="P46" i="42"/>
  <c r="O46" i="42"/>
  <c r="N46" i="42"/>
  <c r="M46" i="42"/>
  <c r="L46" i="42"/>
  <c r="K46" i="42"/>
  <c r="J46" i="42"/>
  <c r="I46" i="42"/>
  <c r="H46" i="42"/>
  <c r="G46" i="42"/>
  <c r="P45" i="42"/>
  <c r="O45" i="42"/>
  <c r="N45" i="42"/>
  <c r="M45" i="42"/>
  <c r="L45" i="42"/>
  <c r="K45" i="42"/>
  <c r="J45" i="42"/>
  <c r="I45" i="42"/>
  <c r="H45" i="42"/>
  <c r="G45" i="42"/>
  <c r="P41" i="42"/>
  <c r="P36" i="42" s="1"/>
  <c r="O41" i="42"/>
  <c r="O36" i="42" s="1"/>
  <c r="N41" i="42"/>
  <c r="N36" i="42" s="1"/>
  <c r="M41" i="42"/>
  <c r="M36" i="42" s="1"/>
  <c r="K41" i="42"/>
  <c r="K36" i="42" s="1"/>
  <c r="J41" i="42"/>
  <c r="J36" i="42" s="1"/>
  <c r="I41" i="42"/>
  <c r="I36" i="42" s="1"/>
  <c r="H41" i="42"/>
  <c r="H36" i="42" s="1"/>
  <c r="G41" i="42"/>
  <c r="G36" i="42" s="1"/>
  <c r="P40" i="42"/>
  <c r="O40" i="42"/>
  <c r="N40" i="42"/>
  <c r="M40" i="42"/>
  <c r="L40" i="42"/>
  <c r="K40" i="42"/>
  <c r="J40" i="42"/>
  <c r="I40" i="42"/>
  <c r="H40" i="42"/>
  <c r="G40" i="42"/>
  <c r="P39" i="42"/>
  <c r="O39" i="42"/>
  <c r="N39" i="42"/>
  <c r="M39" i="42"/>
  <c r="L39" i="42"/>
  <c r="K39" i="42"/>
  <c r="J39" i="42"/>
  <c r="I39" i="42"/>
  <c r="H39" i="42"/>
  <c r="G39" i="42"/>
  <c r="P33" i="42"/>
  <c r="O33" i="42"/>
  <c r="N33" i="42"/>
  <c r="M33" i="42"/>
  <c r="L33" i="42"/>
  <c r="K33" i="42"/>
  <c r="J33" i="42"/>
  <c r="I33" i="42"/>
  <c r="H33" i="42"/>
  <c r="G33" i="42"/>
  <c r="P32" i="42"/>
  <c r="O32" i="42"/>
  <c r="N32" i="42"/>
  <c r="M32" i="42"/>
  <c r="L32" i="42"/>
  <c r="K32" i="42"/>
  <c r="J32" i="42"/>
  <c r="I32" i="42"/>
  <c r="H32" i="42"/>
  <c r="G32" i="42"/>
  <c r="P31" i="42"/>
  <c r="O31" i="42"/>
  <c r="N31" i="42"/>
  <c r="M31" i="42"/>
  <c r="L31" i="42"/>
  <c r="K31" i="42"/>
  <c r="J31" i="42"/>
  <c r="I31" i="42"/>
  <c r="H31" i="42"/>
  <c r="G31" i="42"/>
  <c r="P30" i="42"/>
  <c r="O30" i="42"/>
  <c r="N30" i="42"/>
  <c r="M30" i="42"/>
  <c r="L30" i="42"/>
  <c r="K30" i="42"/>
  <c r="J30" i="42"/>
  <c r="I30" i="42"/>
  <c r="H30" i="42"/>
  <c r="G30" i="42"/>
  <c r="F86" i="42"/>
  <c r="F85" i="42"/>
  <c r="F84" i="42"/>
  <c r="F83" i="42"/>
  <c r="F82" i="42"/>
  <c r="F81" i="42"/>
  <c r="F80" i="42"/>
  <c r="F79" i="42"/>
  <c r="F78" i="42"/>
  <c r="F73" i="42"/>
  <c r="F72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39" i="42"/>
  <c r="F33" i="42"/>
  <c r="F32" i="42"/>
  <c r="F31" i="42"/>
  <c r="F30" i="42"/>
  <c r="F25" i="42"/>
  <c r="P102" i="42"/>
  <c r="P104" i="42" s="1"/>
  <c r="O102" i="42"/>
  <c r="O104" i="42" s="1"/>
  <c r="N102" i="42"/>
  <c r="N104" i="42" s="1"/>
  <c r="M102" i="42"/>
  <c r="M103" i="42" s="1"/>
  <c r="L102" i="42"/>
  <c r="L103" i="42" s="1"/>
  <c r="K102" i="42"/>
  <c r="K103" i="42" s="1"/>
  <c r="J102" i="42"/>
  <c r="J103" i="42" s="1"/>
  <c r="I102" i="42"/>
  <c r="I103" i="42" s="1"/>
  <c r="H102" i="42"/>
  <c r="H104" i="42" s="1"/>
  <c r="P94" i="42"/>
  <c r="O94" i="42"/>
  <c r="N94" i="42"/>
  <c r="M94" i="42"/>
  <c r="L94" i="42"/>
  <c r="K94" i="42"/>
  <c r="J94" i="42"/>
  <c r="I94" i="42"/>
  <c r="H94" i="42"/>
  <c r="P93" i="42"/>
  <c r="O93" i="42"/>
  <c r="N93" i="42"/>
  <c r="M93" i="42"/>
  <c r="L93" i="42"/>
  <c r="K93" i="42"/>
  <c r="J93" i="42"/>
  <c r="I93" i="42"/>
  <c r="H93" i="42"/>
  <c r="P90" i="42"/>
  <c r="O90" i="42"/>
  <c r="N90" i="42"/>
  <c r="N77" i="42" s="1"/>
  <c r="M90" i="42"/>
  <c r="L90" i="42"/>
  <c r="K90" i="42"/>
  <c r="J90" i="42"/>
  <c r="I90" i="42"/>
  <c r="I77" i="42" s="1"/>
  <c r="H90" i="42"/>
  <c r="P89" i="42"/>
  <c r="O89" i="42"/>
  <c r="N89" i="42"/>
  <c r="M89" i="42"/>
  <c r="M76" i="42" s="1"/>
  <c r="L89" i="42"/>
  <c r="K89" i="42"/>
  <c r="J89" i="42"/>
  <c r="I89" i="42"/>
  <c r="H89" i="42"/>
  <c r="H76" i="42" s="1"/>
  <c r="P88" i="42"/>
  <c r="O88" i="42"/>
  <c r="N88" i="42"/>
  <c r="M88" i="42"/>
  <c r="L88" i="42"/>
  <c r="K88" i="42"/>
  <c r="J88" i="42"/>
  <c r="I88" i="42"/>
  <c r="H88" i="42"/>
  <c r="P87" i="42"/>
  <c r="O87" i="42"/>
  <c r="N87" i="42"/>
  <c r="M87" i="42"/>
  <c r="L87" i="42"/>
  <c r="K87" i="42"/>
  <c r="K74" i="42" s="1"/>
  <c r="J87" i="42"/>
  <c r="J74" i="42" s="1"/>
  <c r="I87" i="42"/>
  <c r="I74" i="42" s="1"/>
  <c r="H87" i="42"/>
  <c r="H74" i="42" s="1"/>
  <c r="G102" i="42"/>
  <c r="G104" i="42" s="1"/>
  <c r="G94" i="42"/>
  <c r="G93" i="42"/>
  <c r="G90" i="42"/>
  <c r="G89" i="42"/>
  <c r="G76" i="42" s="1"/>
  <c r="G88" i="42"/>
  <c r="G75" i="42" s="1"/>
  <c r="G87" i="42"/>
  <c r="G101" i="42" l="1"/>
  <c r="P22" i="42"/>
  <c r="N22" i="42"/>
  <c r="O22" i="42"/>
  <c r="O103" i="42"/>
  <c r="N29" i="42"/>
  <c r="O95" i="42"/>
  <c r="P95" i="42"/>
  <c r="N95" i="42"/>
  <c r="J22" i="42"/>
  <c r="K22" i="42"/>
  <c r="L22" i="42"/>
  <c r="M95" i="42"/>
  <c r="M22" i="42"/>
  <c r="M29" i="42"/>
  <c r="L29" i="42"/>
  <c r="K95" i="42"/>
  <c r="K29" i="42"/>
  <c r="I22" i="42"/>
  <c r="J95" i="42"/>
  <c r="L95" i="42"/>
  <c r="G95" i="42"/>
  <c r="H95" i="42"/>
  <c r="O29" i="42"/>
  <c r="G29" i="42"/>
  <c r="P29" i="42"/>
  <c r="J29" i="42"/>
  <c r="I29" i="42"/>
  <c r="I95" i="42"/>
  <c r="H103" i="42"/>
  <c r="H29" i="42"/>
  <c r="P103" i="42"/>
  <c r="K104" i="42"/>
  <c r="N103" i="42"/>
  <c r="H22" i="42"/>
  <c r="I104" i="42"/>
  <c r="J104" i="42"/>
  <c r="G22" i="42"/>
  <c r="L104" i="42"/>
  <c r="M104" i="42"/>
  <c r="G103" i="42"/>
  <c r="N20" i="42" l="1"/>
  <c r="O20" i="42"/>
  <c r="P20" i="42"/>
  <c r="M20" i="42"/>
  <c r="K20" i="42"/>
  <c r="L20" i="42"/>
  <c r="I20" i="42"/>
  <c r="J20" i="42"/>
  <c r="H20" i="42"/>
  <c r="G20" i="42"/>
  <c r="S21" i="42" l="1"/>
  <c r="S22" i="42"/>
  <c r="S23" i="42"/>
  <c r="S24" i="42"/>
  <c r="S25" i="42"/>
  <c r="S26" i="42"/>
  <c r="S27" i="42"/>
  <c r="S28" i="42"/>
  <c r="S29" i="42"/>
  <c r="S30" i="42"/>
  <c r="S31" i="42"/>
  <c r="S32" i="42"/>
  <c r="S33" i="42"/>
  <c r="S34" i="42"/>
  <c r="S35" i="42"/>
  <c r="S36" i="42"/>
  <c r="S37" i="42"/>
  <c r="S38" i="42"/>
  <c r="S39" i="42"/>
  <c r="S40" i="42"/>
  <c r="S41" i="42"/>
  <c r="S42" i="42"/>
  <c r="S43" i="42"/>
  <c r="S44" i="42"/>
  <c r="S45" i="42"/>
  <c r="S46" i="42"/>
  <c r="S47" i="42"/>
  <c r="S48" i="42"/>
  <c r="S49" i="42"/>
  <c r="S50" i="42"/>
  <c r="S51" i="42"/>
  <c r="S52" i="42"/>
  <c r="S53" i="42"/>
  <c r="S54" i="42"/>
  <c r="S55" i="42"/>
  <c r="S56" i="42"/>
  <c r="S57" i="42"/>
  <c r="S58" i="42"/>
  <c r="S59" i="42"/>
  <c r="S60" i="42"/>
  <c r="S61" i="42"/>
  <c r="S62" i="42"/>
  <c r="S63" i="42"/>
  <c r="S64" i="42"/>
  <c r="S65" i="42"/>
  <c r="S66" i="42"/>
  <c r="S67" i="42"/>
  <c r="S68" i="42"/>
  <c r="S69" i="42"/>
  <c r="S70" i="42"/>
  <c r="S71" i="42"/>
  <c r="S72" i="42"/>
  <c r="S73" i="42"/>
  <c r="S74" i="42"/>
  <c r="S75" i="42"/>
  <c r="S76" i="42"/>
  <c r="S77" i="42"/>
  <c r="S78" i="42"/>
  <c r="S79" i="42"/>
  <c r="S80" i="42"/>
  <c r="S81" i="42"/>
  <c r="S82" i="42"/>
  <c r="S83" i="42"/>
  <c r="S84" i="42"/>
  <c r="S85" i="42"/>
  <c r="S86" i="42"/>
  <c r="S87" i="42"/>
  <c r="S88" i="42"/>
  <c r="S89" i="42"/>
  <c r="S90" i="42"/>
  <c r="S93" i="42"/>
  <c r="S94" i="42"/>
  <c r="S95" i="42"/>
  <c r="S96" i="42"/>
  <c r="S97" i="42"/>
  <c r="S98" i="42"/>
  <c r="S99" i="42"/>
  <c r="S100" i="42"/>
  <c r="S101" i="42"/>
  <c r="S102" i="42"/>
  <c r="S103" i="42"/>
  <c r="S104" i="42"/>
  <c r="Y148" i="40" l="1"/>
  <c r="Y149" i="40"/>
  <c r="Y150" i="40"/>
  <c r="Y151" i="40"/>
  <c r="Y152" i="40"/>
  <c r="Y171" i="40"/>
  <c r="Y172" i="40"/>
  <c r="Y173" i="40"/>
  <c r="Y175" i="40"/>
  <c r="Y176" i="40"/>
  <c r="Y177" i="40"/>
  <c r="W18" i="40"/>
  <c r="W19" i="40"/>
  <c r="W20" i="40"/>
  <c r="W21" i="40"/>
  <c r="W22" i="40"/>
  <c r="W23" i="40"/>
  <c r="W24" i="40"/>
  <c r="W25" i="40"/>
  <c r="W26" i="40"/>
  <c r="W27" i="40"/>
  <c r="W28" i="40"/>
  <c r="W29" i="40"/>
  <c r="W30" i="40"/>
  <c r="W31" i="40"/>
  <c r="W32" i="40"/>
  <c r="W33" i="40"/>
  <c r="W34" i="40"/>
  <c r="W35" i="40"/>
  <c r="W36" i="40"/>
  <c r="W37" i="40"/>
  <c r="W38" i="40"/>
  <c r="W39" i="40"/>
  <c r="W40" i="40"/>
  <c r="W41" i="40"/>
  <c r="W42" i="40"/>
  <c r="W43" i="40"/>
  <c r="W44" i="40"/>
  <c r="W45" i="40"/>
  <c r="W46" i="40"/>
  <c r="W47" i="40"/>
  <c r="W48" i="40"/>
  <c r="W49" i="40"/>
  <c r="W50" i="40"/>
  <c r="W51" i="40"/>
  <c r="W52" i="40"/>
  <c r="W53" i="40"/>
  <c r="W54" i="40"/>
  <c r="W55" i="40"/>
  <c r="W56" i="40"/>
  <c r="W57" i="40"/>
  <c r="W58" i="40"/>
  <c r="W59" i="40"/>
  <c r="W60" i="40"/>
  <c r="W61" i="40"/>
  <c r="W62" i="40"/>
  <c r="W63" i="40"/>
  <c r="W64" i="40"/>
  <c r="W65" i="40"/>
  <c r="W66" i="40"/>
  <c r="W67" i="40"/>
  <c r="W68" i="40"/>
  <c r="W69" i="40"/>
  <c r="W70" i="40"/>
  <c r="W71" i="40"/>
  <c r="W72" i="40"/>
  <c r="W73" i="40"/>
  <c r="W74" i="40"/>
  <c r="W75" i="40"/>
  <c r="W76" i="40"/>
  <c r="W77" i="40"/>
  <c r="W78" i="40"/>
  <c r="W79" i="40"/>
  <c r="W80" i="40"/>
  <c r="W81" i="40"/>
  <c r="W82" i="40"/>
  <c r="W83" i="40"/>
  <c r="W84" i="40"/>
  <c r="W85" i="40"/>
  <c r="W86" i="40"/>
  <c r="W87" i="40"/>
  <c r="W88" i="40"/>
  <c r="W89" i="40"/>
  <c r="W90" i="40"/>
  <c r="W91" i="40"/>
  <c r="W92" i="40"/>
  <c r="W93" i="40"/>
  <c r="W94" i="40"/>
  <c r="W95" i="40"/>
  <c r="W96" i="40"/>
  <c r="W97" i="40"/>
  <c r="W98" i="40"/>
  <c r="W99" i="40"/>
  <c r="W100" i="40"/>
  <c r="W101" i="40"/>
  <c r="W102" i="40"/>
  <c r="W103" i="40"/>
  <c r="W104" i="40"/>
  <c r="W105" i="40"/>
  <c r="W106" i="40"/>
  <c r="W107" i="40"/>
  <c r="W108" i="40"/>
  <c r="W109" i="40"/>
  <c r="W110" i="40"/>
  <c r="W111" i="40"/>
  <c r="W112" i="40"/>
  <c r="W113" i="40"/>
  <c r="W114" i="40"/>
  <c r="W115" i="40"/>
  <c r="W116" i="40"/>
  <c r="W117" i="40"/>
  <c r="W118" i="40"/>
  <c r="W119" i="40"/>
  <c r="W120" i="40"/>
  <c r="W121" i="40"/>
  <c r="W122" i="40"/>
  <c r="W123" i="40"/>
  <c r="W124" i="40"/>
  <c r="W125" i="40"/>
  <c r="W126" i="40"/>
  <c r="W127" i="40"/>
  <c r="W128" i="40"/>
  <c r="W129" i="40"/>
  <c r="W130" i="40"/>
  <c r="W131" i="40"/>
  <c r="W132" i="40"/>
  <c r="W133" i="40"/>
  <c r="W134" i="40"/>
  <c r="W135" i="40"/>
  <c r="W136" i="40"/>
  <c r="W137" i="40"/>
  <c r="W138" i="40"/>
  <c r="W139" i="40"/>
  <c r="W140" i="40"/>
  <c r="W141" i="40"/>
  <c r="W142" i="40"/>
  <c r="W143" i="40"/>
  <c r="W144" i="40"/>
  <c r="W145" i="40"/>
  <c r="W146" i="40"/>
  <c r="W147" i="40"/>
  <c r="W148" i="40"/>
  <c r="W149" i="40"/>
  <c r="W150" i="40"/>
  <c r="W151" i="40"/>
  <c r="W152" i="40"/>
  <c r="W153" i="40"/>
  <c r="W154" i="40"/>
  <c r="W155" i="40"/>
  <c r="W156" i="40"/>
  <c r="W157" i="40"/>
  <c r="W158" i="40"/>
  <c r="W159" i="40"/>
  <c r="W160" i="40"/>
  <c r="W161" i="40"/>
  <c r="W162" i="40"/>
  <c r="W163" i="40"/>
  <c r="W164" i="40"/>
  <c r="W165" i="40"/>
  <c r="W166" i="40"/>
  <c r="W167" i="40"/>
  <c r="W168" i="40"/>
  <c r="W169" i="40"/>
  <c r="W170" i="40"/>
  <c r="W171" i="40"/>
  <c r="W172" i="40"/>
  <c r="W173" i="40"/>
  <c r="W175" i="40"/>
  <c r="W176" i="40"/>
  <c r="W177" i="40"/>
  <c r="W178" i="40"/>
  <c r="W179" i="40"/>
  <c r="W180" i="40"/>
  <c r="W181" i="40"/>
  <c r="W182" i="40"/>
  <c r="W183" i="40"/>
  <c r="W184" i="40"/>
  <c r="W185" i="40"/>
  <c r="W186" i="40"/>
  <c r="W187" i="40"/>
  <c r="W188" i="40"/>
  <c r="W189" i="40"/>
  <c r="W190" i="40"/>
  <c r="W191" i="40"/>
  <c r="W192" i="40"/>
  <c r="W193" i="40"/>
  <c r="W194" i="40"/>
  <c r="W195" i="40"/>
  <c r="W196" i="40"/>
  <c r="W197" i="40"/>
  <c r="W198" i="40"/>
  <c r="W199" i="40"/>
  <c r="W200" i="40"/>
  <c r="W201" i="40"/>
  <c r="W202" i="40"/>
  <c r="W203" i="40"/>
  <c r="W204" i="40"/>
  <c r="W205" i="40"/>
  <c r="W206" i="40"/>
  <c r="W207" i="40"/>
  <c r="W208" i="40"/>
  <c r="W209" i="40"/>
  <c r="W210" i="40"/>
  <c r="W211" i="40"/>
  <c r="W212" i="40"/>
  <c r="W213" i="40"/>
  <c r="W214" i="40"/>
  <c r="W215" i="40"/>
  <c r="W216" i="40"/>
  <c r="W217" i="40"/>
  <c r="W218" i="40"/>
  <c r="W219" i="40"/>
  <c r="W220" i="40"/>
  <c r="W221" i="40"/>
  <c r="W222" i="40"/>
  <c r="W223" i="40"/>
  <c r="W224" i="40"/>
  <c r="W225" i="40"/>
  <c r="W226" i="40"/>
  <c r="W227" i="40"/>
  <c r="W228" i="40"/>
  <c r="W229" i="40"/>
  <c r="W230" i="40"/>
  <c r="W231" i="40"/>
  <c r="W232" i="40"/>
  <c r="W233" i="40"/>
  <c r="W234" i="40"/>
  <c r="W235" i="40"/>
  <c r="W236" i="40"/>
  <c r="W237" i="40"/>
  <c r="W238" i="40"/>
  <c r="W239" i="40"/>
  <c r="W240" i="40"/>
  <c r="W241" i="40"/>
  <c r="W242" i="40"/>
  <c r="W243" i="40"/>
  <c r="W244" i="40"/>
  <c r="W245" i="40"/>
  <c r="W246" i="40"/>
  <c r="W247" i="40"/>
  <c r="W248" i="40"/>
  <c r="W249" i="40"/>
  <c r="W250" i="40"/>
  <c r="W251" i="40"/>
  <c r="W252" i="40"/>
  <c r="W253" i="40"/>
  <c r="W254" i="40"/>
  <c r="W255" i="40"/>
  <c r="W256" i="40"/>
  <c r="W257" i="40"/>
  <c r="W258" i="40"/>
  <c r="W259" i="40"/>
  <c r="W260" i="40"/>
  <c r="W261" i="40"/>
  <c r="W262" i="40"/>
  <c r="W263" i="40"/>
  <c r="W264" i="40"/>
  <c r="W265" i="40"/>
  <c r="W266" i="40"/>
  <c r="W267" i="40"/>
  <c r="W268" i="40"/>
  <c r="W269" i="40"/>
  <c r="W270" i="40"/>
  <c r="W271" i="40"/>
  <c r="W272" i="40"/>
  <c r="W273" i="40"/>
  <c r="W274" i="40"/>
  <c r="W275" i="40"/>
  <c r="W276" i="40"/>
  <c r="W277" i="40"/>
  <c r="W278" i="40"/>
  <c r="W279" i="40"/>
  <c r="W280" i="40"/>
  <c r="W281" i="40"/>
  <c r="W282" i="40"/>
  <c r="W283" i="40"/>
  <c r="W284" i="40"/>
  <c r="W285" i="40"/>
  <c r="W286" i="40"/>
  <c r="W287" i="40"/>
  <c r="W288" i="40"/>
  <c r="W289" i="40"/>
  <c r="W290" i="40"/>
  <c r="W291" i="40"/>
  <c r="W292" i="40"/>
  <c r="W293" i="40"/>
  <c r="W294" i="40"/>
  <c r="W295" i="40"/>
  <c r="W296" i="40"/>
  <c r="W297" i="40"/>
  <c r="W298" i="40"/>
  <c r="W299" i="40"/>
  <c r="W300" i="40"/>
  <c r="W301" i="40"/>
  <c r="W302" i="40"/>
  <c r="W303" i="40"/>
  <c r="W304" i="40"/>
  <c r="W305" i="40"/>
  <c r="W306" i="40"/>
  <c r="W307" i="40"/>
  <c r="W308" i="40"/>
  <c r="W309" i="40"/>
  <c r="W310" i="40"/>
  <c r="W311" i="40"/>
  <c r="W312" i="40"/>
  <c r="W313" i="40"/>
  <c r="W314" i="40"/>
  <c r="W315" i="40"/>
  <c r="W316" i="40"/>
  <c r="W317" i="40"/>
  <c r="W318" i="40"/>
  <c r="W319" i="40"/>
  <c r="W320" i="40"/>
  <c r="W321" i="40"/>
  <c r="W322" i="40"/>
  <c r="W323" i="40"/>
  <c r="W324" i="40"/>
  <c r="W325" i="40"/>
  <c r="W326" i="40"/>
  <c r="W327" i="40"/>
  <c r="W328" i="40"/>
  <c r="W329" i="40"/>
  <c r="W330" i="40"/>
  <c r="W331" i="40"/>
  <c r="W332" i="40"/>
  <c r="W333" i="40"/>
  <c r="W334" i="40"/>
  <c r="W335" i="40"/>
  <c r="W336" i="40"/>
  <c r="W337" i="40"/>
  <c r="W338" i="40"/>
  <c r="W339" i="40"/>
  <c r="W340" i="40"/>
  <c r="W341" i="40"/>
  <c r="W342" i="40"/>
  <c r="W343" i="40"/>
  <c r="W344" i="40"/>
  <c r="W345" i="40"/>
  <c r="W346" i="40"/>
  <c r="W347" i="40"/>
  <c r="W348" i="40"/>
  <c r="W349" i="40"/>
  <c r="W350" i="40"/>
  <c r="W351" i="40"/>
  <c r="W352" i="40"/>
  <c r="W353" i="40"/>
  <c r="W354" i="40"/>
  <c r="W359" i="40"/>
  <c r="W360" i="40"/>
  <c r="W361" i="40"/>
  <c r="W362" i="40"/>
  <c r="W363" i="40"/>
  <c r="W364" i="40"/>
  <c r="W365" i="40"/>
  <c r="W366" i="40"/>
  <c r="W367" i="40"/>
  <c r="W368" i="40"/>
  <c r="W369" i="40"/>
  <c r="W370" i="40"/>
  <c r="W371" i="40"/>
  <c r="W372" i="40"/>
  <c r="W373" i="40"/>
  <c r="W374" i="40"/>
  <c r="W375" i="40"/>
  <c r="W376" i="40"/>
  <c r="W377" i="40"/>
  <c r="W378" i="40"/>
  <c r="W379" i="40"/>
  <c r="W380" i="40"/>
  <c r="W381" i="40"/>
  <c r="W382" i="40"/>
  <c r="W383" i="40"/>
  <c r="W384" i="40"/>
  <c r="W385" i="40"/>
  <c r="W386" i="40"/>
  <c r="W387" i="40"/>
  <c r="W388" i="40"/>
  <c r="W389" i="40"/>
  <c r="W390" i="40"/>
  <c r="W391" i="40"/>
  <c r="W392" i="40"/>
  <c r="W397" i="40"/>
  <c r="W399" i="40"/>
  <c r="W400" i="40"/>
  <c r="W401" i="40"/>
  <c r="W402" i="40"/>
  <c r="W403" i="40"/>
  <c r="W404" i="40"/>
  <c r="W405" i="40"/>
  <c r="W406" i="40"/>
  <c r="W411" i="40"/>
  <c r="W413" i="40"/>
  <c r="W414" i="40"/>
  <c r="W415" i="40"/>
  <c r="W416" i="40"/>
  <c r="W417" i="40"/>
  <c r="W418" i="40"/>
  <c r="W419" i="40"/>
  <c r="W420" i="40"/>
  <c r="W422" i="40"/>
  <c r="W424" i="40"/>
  <c r="W425" i="40"/>
  <c r="W427" i="40"/>
  <c r="W428" i="40"/>
  <c r="W430" i="40"/>
  <c r="W431" i="40"/>
  <c r="W432" i="40"/>
  <c r="W433" i="40"/>
  <c r="W437" i="40"/>
  <c r="W442" i="40"/>
  <c r="W443" i="40"/>
  <c r="W446" i="40"/>
  <c r="W447" i="40"/>
  <c r="W448" i="40"/>
  <c r="W449" i="40"/>
  <c r="W450" i="40"/>
  <c r="W453" i="40"/>
  <c r="W454" i="40"/>
  <c r="W455" i="40"/>
  <c r="W457" i="40"/>
  <c r="W458" i="40"/>
  <c r="W459" i="40"/>
  <c r="W468" i="40"/>
  <c r="W469" i="40"/>
  <c r="W470" i="40"/>
  <c r="W471" i="40"/>
  <c r="W472" i="40"/>
  <c r="W473" i="40"/>
  <c r="W474" i="40"/>
  <c r="W475" i="40"/>
  <c r="W476" i="40"/>
  <c r="W477" i="40"/>
  <c r="W478" i="40"/>
  <c r="W485" i="40"/>
  <c r="W487" i="40"/>
  <c r="W488" i="40"/>
  <c r="W490" i="40"/>
  <c r="W491" i="40"/>
  <c r="W492" i="40"/>
  <c r="W493" i="40"/>
  <c r="W494" i="40"/>
  <c r="W495" i="40"/>
  <c r="W496" i="40"/>
  <c r="W497" i="40"/>
  <c r="W498" i="40"/>
  <c r="W499" i="40"/>
  <c r="W500" i="40"/>
  <c r="W501" i="40"/>
  <c r="W502" i="40"/>
  <c r="W503" i="40"/>
  <c r="W504" i="40"/>
  <c r="W505" i="40"/>
  <c r="W506" i="40"/>
  <c r="W507" i="40"/>
  <c r="W508" i="40"/>
  <c r="W510" i="40"/>
  <c r="W511" i="40"/>
  <c r="W513" i="40"/>
  <c r="W515" i="40"/>
  <c r="W516" i="40"/>
  <c r="W517" i="40"/>
  <c r="W518" i="40"/>
  <c r="W519" i="40"/>
  <c r="W520" i="40"/>
  <c r="W522" i="40"/>
  <c r="W523" i="40"/>
  <c r="W524" i="40"/>
  <c r="W525" i="40"/>
  <c r="W527" i="40"/>
  <c r="W528" i="40"/>
  <c r="W531" i="40"/>
  <c r="W532" i="40"/>
  <c r="W533" i="40"/>
  <c r="W534" i="40"/>
  <c r="W535" i="40"/>
  <c r="W536" i="40"/>
  <c r="W537" i="40"/>
  <c r="W538" i="40"/>
  <c r="W539" i="40"/>
  <c r="W540" i="40"/>
  <c r="W541" i="40"/>
  <c r="W542" i="40"/>
  <c r="W543" i="40"/>
  <c r="W544" i="40"/>
  <c r="W545" i="40"/>
  <c r="W546" i="40"/>
  <c r="W547" i="40"/>
  <c r="W548" i="40"/>
  <c r="W549" i="40"/>
  <c r="W550" i="40"/>
  <c r="W551" i="40"/>
  <c r="W552" i="40"/>
  <c r="W553" i="40"/>
  <c r="W554" i="40"/>
  <c r="W555" i="40"/>
  <c r="W556" i="40"/>
  <c r="W557" i="40"/>
  <c r="W558" i="40"/>
  <c r="W559" i="40"/>
  <c r="W560" i="40"/>
  <c r="W561" i="40"/>
  <c r="W562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36" i="40"/>
  <c r="U37" i="40"/>
  <c r="U38" i="40"/>
  <c r="U39" i="40"/>
  <c r="U40" i="40"/>
  <c r="U41" i="40"/>
  <c r="U42" i="40"/>
  <c r="U43" i="40"/>
  <c r="U44" i="40"/>
  <c r="U45" i="40"/>
  <c r="U46" i="40"/>
  <c r="U47" i="40"/>
  <c r="U48" i="40"/>
  <c r="U49" i="40"/>
  <c r="U50" i="40"/>
  <c r="U51" i="40"/>
  <c r="U52" i="40"/>
  <c r="U53" i="40"/>
  <c r="U54" i="40"/>
  <c r="U55" i="40"/>
  <c r="U56" i="40"/>
  <c r="U57" i="40"/>
  <c r="U58" i="40"/>
  <c r="U59" i="40"/>
  <c r="U60" i="40"/>
  <c r="U61" i="40"/>
  <c r="U62" i="40"/>
  <c r="U63" i="40"/>
  <c r="U64" i="40"/>
  <c r="U65" i="40"/>
  <c r="U66" i="40"/>
  <c r="U67" i="40"/>
  <c r="U68" i="40"/>
  <c r="U69" i="40"/>
  <c r="U70" i="40"/>
  <c r="U71" i="40"/>
  <c r="U72" i="40"/>
  <c r="U73" i="40"/>
  <c r="U74" i="40"/>
  <c r="U75" i="40"/>
  <c r="U76" i="40"/>
  <c r="U77" i="40"/>
  <c r="U78" i="40"/>
  <c r="U79" i="40"/>
  <c r="U80" i="40"/>
  <c r="U81" i="40"/>
  <c r="U82" i="40"/>
  <c r="U83" i="40"/>
  <c r="U84" i="40"/>
  <c r="U85" i="40"/>
  <c r="U86" i="40"/>
  <c r="U87" i="40"/>
  <c r="U88" i="40"/>
  <c r="U89" i="40"/>
  <c r="U90" i="40"/>
  <c r="U91" i="40"/>
  <c r="U92" i="40"/>
  <c r="U93" i="40"/>
  <c r="U94" i="40"/>
  <c r="U95" i="40"/>
  <c r="U96" i="40"/>
  <c r="U97" i="40"/>
  <c r="U98" i="40"/>
  <c r="U99" i="40"/>
  <c r="U100" i="40"/>
  <c r="U101" i="40"/>
  <c r="U102" i="40"/>
  <c r="U103" i="40"/>
  <c r="U104" i="40"/>
  <c r="U105" i="40"/>
  <c r="U106" i="40"/>
  <c r="U107" i="40"/>
  <c r="U108" i="40"/>
  <c r="U109" i="40"/>
  <c r="U110" i="40"/>
  <c r="U111" i="40"/>
  <c r="U112" i="40"/>
  <c r="U113" i="40"/>
  <c r="U114" i="40"/>
  <c r="U115" i="40"/>
  <c r="U116" i="40"/>
  <c r="U117" i="40"/>
  <c r="U118" i="40"/>
  <c r="U119" i="40"/>
  <c r="U120" i="40"/>
  <c r="U121" i="40"/>
  <c r="U122" i="40"/>
  <c r="U123" i="40"/>
  <c r="U124" i="40"/>
  <c r="U125" i="40"/>
  <c r="U126" i="40"/>
  <c r="U127" i="40"/>
  <c r="U128" i="40"/>
  <c r="U129" i="40"/>
  <c r="U130" i="40"/>
  <c r="U131" i="40"/>
  <c r="U132" i="40"/>
  <c r="U133" i="40"/>
  <c r="U134" i="40"/>
  <c r="U135" i="40"/>
  <c r="U136" i="40"/>
  <c r="U137" i="40"/>
  <c r="U138" i="40"/>
  <c r="U139" i="40"/>
  <c r="U140" i="40"/>
  <c r="U141" i="40"/>
  <c r="U142" i="40"/>
  <c r="U143" i="40"/>
  <c r="U144" i="40"/>
  <c r="U145" i="40"/>
  <c r="U146" i="40"/>
  <c r="U147" i="40"/>
  <c r="U148" i="40"/>
  <c r="U149" i="40"/>
  <c r="U150" i="40"/>
  <c r="U151" i="40"/>
  <c r="U152" i="40"/>
  <c r="U153" i="40"/>
  <c r="U154" i="40"/>
  <c r="U155" i="40"/>
  <c r="U156" i="40"/>
  <c r="U157" i="40"/>
  <c r="U158" i="40"/>
  <c r="U159" i="40"/>
  <c r="U160" i="40"/>
  <c r="U161" i="40"/>
  <c r="U162" i="40"/>
  <c r="U163" i="40"/>
  <c r="U164" i="40"/>
  <c r="U165" i="40"/>
  <c r="U166" i="40"/>
  <c r="U167" i="40"/>
  <c r="U168" i="40"/>
  <c r="U169" i="40"/>
  <c r="U170" i="40"/>
  <c r="U171" i="40"/>
  <c r="U172" i="40"/>
  <c r="U173" i="40"/>
  <c r="U175" i="40"/>
  <c r="U176" i="40"/>
  <c r="U177" i="40"/>
  <c r="U178" i="40"/>
  <c r="U179" i="40"/>
  <c r="U180" i="40"/>
  <c r="U181" i="40"/>
  <c r="U182" i="40"/>
  <c r="U183" i="40"/>
  <c r="U184" i="40"/>
  <c r="U185" i="40"/>
  <c r="U186" i="40"/>
  <c r="U187" i="40"/>
  <c r="U188" i="40"/>
  <c r="U189" i="40"/>
  <c r="U190" i="40"/>
  <c r="U191" i="40"/>
  <c r="U192" i="40"/>
  <c r="U193" i="40"/>
  <c r="U194" i="40"/>
  <c r="U195" i="40"/>
  <c r="U196" i="40"/>
  <c r="U197" i="40"/>
  <c r="U198" i="40"/>
  <c r="U199" i="40"/>
  <c r="U200" i="40"/>
  <c r="U201" i="40"/>
  <c r="U202" i="40"/>
  <c r="U203" i="40"/>
  <c r="U204" i="40"/>
  <c r="U205" i="40"/>
  <c r="U206" i="40"/>
  <c r="U207" i="40"/>
  <c r="U208" i="40"/>
  <c r="U209" i="40"/>
  <c r="U210" i="40"/>
  <c r="U211" i="40"/>
  <c r="U212" i="40"/>
  <c r="U213" i="40"/>
  <c r="U214" i="40"/>
  <c r="U215" i="40"/>
  <c r="U216" i="40"/>
  <c r="U217" i="40"/>
  <c r="U218" i="40"/>
  <c r="U219" i="40"/>
  <c r="U220" i="40"/>
  <c r="U221" i="40"/>
  <c r="U222" i="40"/>
  <c r="U223" i="40"/>
  <c r="U224" i="40"/>
  <c r="U225" i="40"/>
  <c r="U226" i="40"/>
  <c r="U227" i="40"/>
  <c r="U228" i="40"/>
  <c r="U229" i="40"/>
  <c r="U230" i="40"/>
  <c r="U231" i="40"/>
  <c r="U232" i="40"/>
  <c r="U233" i="40"/>
  <c r="U234" i="40"/>
  <c r="U235" i="40"/>
  <c r="U236" i="40"/>
  <c r="U237" i="40"/>
  <c r="U238" i="40"/>
  <c r="U239" i="40"/>
  <c r="U240" i="40"/>
  <c r="U241" i="40"/>
  <c r="U242" i="40"/>
  <c r="U243" i="40"/>
  <c r="U244" i="40"/>
  <c r="U245" i="40"/>
  <c r="U246" i="40"/>
  <c r="U247" i="40"/>
  <c r="U248" i="40"/>
  <c r="U249" i="40"/>
  <c r="U250" i="40"/>
  <c r="U251" i="40"/>
  <c r="U252" i="40"/>
  <c r="U253" i="40"/>
  <c r="U254" i="40"/>
  <c r="U255" i="40"/>
  <c r="U256" i="40"/>
  <c r="U257" i="40"/>
  <c r="U258" i="40"/>
  <c r="U259" i="40"/>
  <c r="U260" i="40"/>
  <c r="U261" i="40"/>
  <c r="U262" i="40"/>
  <c r="U263" i="40"/>
  <c r="U264" i="40"/>
  <c r="U265" i="40"/>
  <c r="U266" i="40"/>
  <c r="U267" i="40"/>
  <c r="U268" i="40"/>
  <c r="U269" i="40"/>
  <c r="U270" i="40"/>
  <c r="U271" i="40"/>
  <c r="U272" i="40"/>
  <c r="U273" i="40"/>
  <c r="U274" i="40"/>
  <c r="U275" i="40"/>
  <c r="U276" i="40"/>
  <c r="U277" i="40"/>
  <c r="U278" i="40"/>
  <c r="U279" i="40"/>
  <c r="U280" i="40"/>
  <c r="U281" i="40"/>
  <c r="U282" i="40"/>
  <c r="U283" i="40"/>
  <c r="U284" i="40"/>
  <c r="U285" i="40"/>
  <c r="U286" i="40"/>
  <c r="U287" i="40"/>
  <c r="U288" i="40"/>
  <c r="U289" i="40"/>
  <c r="U290" i="40"/>
  <c r="U291" i="40"/>
  <c r="U292" i="40"/>
  <c r="U293" i="40"/>
  <c r="U294" i="40"/>
  <c r="U295" i="40"/>
  <c r="U296" i="40"/>
  <c r="U297" i="40"/>
  <c r="U298" i="40"/>
  <c r="U299" i="40"/>
  <c r="U300" i="40"/>
  <c r="U301" i="40"/>
  <c r="U302" i="40"/>
  <c r="U303" i="40"/>
  <c r="U304" i="40"/>
  <c r="U305" i="40"/>
  <c r="U306" i="40"/>
  <c r="U307" i="40"/>
  <c r="U308" i="40"/>
  <c r="U309" i="40"/>
  <c r="U310" i="40"/>
  <c r="U311" i="40"/>
  <c r="U312" i="40"/>
  <c r="U313" i="40"/>
  <c r="U314" i="40"/>
  <c r="U315" i="40"/>
  <c r="U316" i="40"/>
  <c r="U317" i="40"/>
  <c r="U318" i="40"/>
  <c r="U319" i="40"/>
  <c r="U320" i="40"/>
  <c r="U321" i="40"/>
  <c r="U322" i="40"/>
  <c r="U323" i="40"/>
  <c r="U324" i="40"/>
  <c r="U325" i="40"/>
  <c r="U326" i="40"/>
  <c r="U327" i="40"/>
  <c r="U328" i="40"/>
  <c r="U329" i="40"/>
  <c r="U330" i="40"/>
  <c r="U331" i="40"/>
  <c r="U332" i="40"/>
  <c r="U333" i="40"/>
  <c r="U334" i="40"/>
  <c r="U335" i="40"/>
  <c r="U336" i="40"/>
  <c r="U337" i="40"/>
  <c r="U338" i="40"/>
  <c r="U339" i="40"/>
  <c r="U340" i="40"/>
  <c r="U341" i="40"/>
  <c r="U342" i="40"/>
  <c r="U343" i="40"/>
  <c r="U344" i="40"/>
  <c r="U345" i="40"/>
  <c r="U346" i="40"/>
  <c r="U347" i="40"/>
  <c r="U348" i="40"/>
  <c r="U349" i="40"/>
  <c r="U350" i="40"/>
  <c r="U351" i="40"/>
  <c r="U352" i="40"/>
  <c r="U353" i="40"/>
  <c r="U354" i="40"/>
  <c r="U359" i="40"/>
  <c r="U360" i="40"/>
  <c r="U361" i="40"/>
  <c r="U362" i="40"/>
  <c r="U363" i="40"/>
  <c r="U364" i="40"/>
  <c r="U365" i="40"/>
  <c r="U366" i="40"/>
  <c r="U367" i="40"/>
  <c r="U368" i="40"/>
  <c r="U369" i="40"/>
  <c r="U370" i="40"/>
  <c r="U371" i="40"/>
  <c r="U372" i="40"/>
  <c r="U373" i="40"/>
  <c r="U374" i="40"/>
  <c r="U375" i="40"/>
  <c r="U376" i="40"/>
  <c r="U377" i="40"/>
  <c r="U378" i="40"/>
  <c r="U379" i="40"/>
  <c r="U380" i="40"/>
  <c r="U381" i="40"/>
  <c r="U382" i="40"/>
  <c r="U383" i="40"/>
  <c r="U384" i="40"/>
  <c r="U385" i="40"/>
  <c r="U386" i="40"/>
  <c r="U387" i="40"/>
  <c r="U388" i="40"/>
  <c r="U389" i="40"/>
  <c r="U390" i="40"/>
  <c r="U391" i="40"/>
  <c r="U392" i="40"/>
  <c r="U397" i="40"/>
  <c r="U399" i="40"/>
  <c r="U400" i="40"/>
  <c r="U401" i="40"/>
  <c r="U402" i="40"/>
  <c r="U403" i="40"/>
  <c r="U404" i="40"/>
  <c r="U405" i="40"/>
  <c r="U406" i="40"/>
  <c r="U411" i="40"/>
  <c r="U413" i="40"/>
  <c r="U414" i="40"/>
  <c r="U415" i="40"/>
  <c r="U416" i="40"/>
  <c r="U417" i="40"/>
  <c r="U418" i="40"/>
  <c r="U419" i="40"/>
  <c r="U420" i="40"/>
  <c r="U422" i="40"/>
  <c r="U424" i="40"/>
  <c r="U425" i="40"/>
  <c r="U427" i="40"/>
  <c r="U428" i="40"/>
  <c r="U430" i="40"/>
  <c r="U431" i="40"/>
  <c r="U432" i="40"/>
  <c r="U433" i="40"/>
  <c r="U437" i="40"/>
  <c r="U442" i="40"/>
  <c r="U443" i="40"/>
  <c r="U446" i="40"/>
  <c r="U447" i="40"/>
  <c r="U448" i="40"/>
  <c r="U449" i="40"/>
  <c r="U450" i="40"/>
  <c r="U453" i="40"/>
  <c r="U454" i="40"/>
  <c r="U455" i="40"/>
  <c r="U457" i="40"/>
  <c r="U458" i="40"/>
  <c r="U459" i="40"/>
  <c r="U468" i="40"/>
  <c r="U469" i="40"/>
  <c r="U470" i="40"/>
  <c r="U471" i="40"/>
  <c r="U472" i="40"/>
  <c r="U473" i="40"/>
  <c r="U474" i="40"/>
  <c r="U475" i="40"/>
  <c r="U476" i="40"/>
  <c r="U477" i="40"/>
  <c r="U478" i="40"/>
  <c r="U485" i="40"/>
  <c r="U487" i="40"/>
  <c r="U488" i="40"/>
  <c r="U490" i="40"/>
  <c r="U491" i="40"/>
  <c r="U492" i="40"/>
  <c r="U493" i="40"/>
  <c r="U494" i="40"/>
  <c r="U495" i="40"/>
  <c r="U496" i="40"/>
  <c r="U497" i="40"/>
  <c r="U498" i="40"/>
  <c r="U499" i="40"/>
  <c r="U500" i="40"/>
  <c r="U501" i="40"/>
  <c r="U502" i="40"/>
  <c r="U503" i="40"/>
  <c r="U504" i="40"/>
  <c r="U505" i="40"/>
  <c r="U506" i="40"/>
  <c r="U507" i="40"/>
  <c r="U508" i="40"/>
  <c r="U510" i="40"/>
  <c r="U511" i="40"/>
  <c r="U513" i="40"/>
  <c r="U515" i="40"/>
  <c r="U516" i="40"/>
  <c r="U517" i="40"/>
  <c r="U518" i="40"/>
  <c r="U519" i="40"/>
  <c r="U520" i="40"/>
  <c r="U522" i="40"/>
  <c r="U523" i="40"/>
  <c r="U524" i="40"/>
  <c r="U525" i="40"/>
  <c r="U527" i="40"/>
  <c r="U528" i="40"/>
  <c r="U531" i="40"/>
  <c r="U532" i="40"/>
  <c r="U533" i="40"/>
  <c r="U534" i="40"/>
  <c r="U535" i="40"/>
  <c r="U536" i="40"/>
  <c r="U537" i="40"/>
  <c r="U538" i="40"/>
  <c r="U539" i="40"/>
  <c r="U540" i="40"/>
  <c r="U541" i="40"/>
  <c r="U542" i="40"/>
  <c r="U543" i="40"/>
  <c r="U544" i="40"/>
  <c r="U545" i="40"/>
  <c r="U546" i="40"/>
  <c r="U547" i="40"/>
  <c r="U548" i="40"/>
  <c r="U549" i="40"/>
  <c r="U550" i="40"/>
  <c r="U551" i="40"/>
  <c r="U552" i="40"/>
  <c r="U553" i="40"/>
  <c r="U554" i="40"/>
  <c r="U555" i="40"/>
  <c r="U556" i="40"/>
  <c r="U557" i="40"/>
  <c r="U558" i="40"/>
  <c r="U559" i="40"/>
  <c r="U560" i="40"/>
  <c r="U561" i="40"/>
  <c r="U562" i="40"/>
  <c r="L6" i="41"/>
  <c r="M20" i="47"/>
  <c r="M21" i="47"/>
  <c r="M26" i="47"/>
  <c r="M28" i="47"/>
  <c r="M29" i="47"/>
  <c r="M30" i="47"/>
  <c r="M31" i="47"/>
  <c r="M32" i="47"/>
  <c r="M33" i="47"/>
  <c r="M34" i="47"/>
  <c r="M35" i="47"/>
  <c r="M41" i="47"/>
  <c r="M42" i="47"/>
  <c r="M43" i="47"/>
  <c r="M44" i="47"/>
  <c r="M45" i="47"/>
  <c r="M46" i="47"/>
  <c r="M47" i="47"/>
  <c r="M48" i="47"/>
  <c r="M49" i="47"/>
  <c r="M51" i="47"/>
  <c r="M53" i="47"/>
  <c r="M54" i="47"/>
  <c r="M56" i="47"/>
  <c r="M58" i="47"/>
  <c r="M59" i="47"/>
  <c r="M60" i="47"/>
  <c r="M61" i="47"/>
  <c r="M62" i="47"/>
  <c r="M66" i="47"/>
  <c r="M71" i="47"/>
  <c r="M72" i="47"/>
  <c r="M75" i="47"/>
  <c r="M76" i="47"/>
  <c r="M77" i="47"/>
  <c r="M78" i="47"/>
  <c r="M79" i="47"/>
  <c r="M82" i="47"/>
  <c r="M83" i="47"/>
  <c r="M84" i="47"/>
  <c r="M86" i="47"/>
  <c r="M91" i="47"/>
  <c r="M92" i="47"/>
  <c r="M97" i="47"/>
  <c r="M98" i="47"/>
  <c r="M99" i="47"/>
  <c r="M100" i="47"/>
  <c r="M101" i="47"/>
  <c r="M102" i="47"/>
  <c r="M103" i="47"/>
  <c r="M104" i="47"/>
  <c r="M105" i="47"/>
  <c r="M106" i="47"/>
  <c r="M107" i="47"/>
  <c r="M114" i="47"/>
  <c r="M115" i="47"/>
  <c r="M117" i="47"/>
  <c r="M119" i="47"/>
  <c r="M120" i="47"/>
  <c r="M121" i="47"/>
  <c r="M122" i="47"/>
  <c r="M123" i="47"/>
  <c r="M124" i="47"/>
  <c r="M125" i="47"/>
  <c r="M126" i="47"/>
  <c r="M127" i="47"/>
  <c r="M128" i="47"/>
  <c r="M129" i="47"/>
  <c r="M130" i="47"/>
  <c r="M131" i="47"/>
  <c r="M132" i="47"/>
  <c r="N132" i="47" s="1"/>
  <c r="M133" i="47"/>
  <c r="M134" i="47"/>
  <c r="M135" i="47"/>
  <c r="M136" i="47"/>
  <c r="N136" i="47" s="1"/>
  <c r="M137" i="47"/>
  <c r="M139" i="47"/>
  <c r="M140" i="47"/>
  <c r="M142" i="47"/>
  <c r="M144" i="47"/>
  <c r="M145" i="47"/>
  <c r="M146" i="47"/>
  <c r="M147" i="47"/>
  <c r="M148" i="47"/>
  <c r="M149" i="47"/>
  <c r="M155" i="47"/>
  <c r="M151" i="47"/>
  <c r="M153" i="47"/>
  <c r="M154" i="47"/>
  <c r="M156" i="47"/>
  <c r="M157" i="47"/>
  <c r="M160" i="47"/>
  <c r="M161" i="47"/>
  <c r="M162" i="47"/>
  <c r="M163" i="47"/>
  <c r="M164" i="47"/>
  <c r="N164" i="47" s="1"/>
  <c r="M165" i="47"/>
  <c r="M166" i="47"/>
  <c r="M167" i="47"/>
  <c r="M168" i="47"/>
  <c r="M169" i="47"/>
  <c r="M170" i="47"/>
  <c r="M171" i="47"/>
  <c r="M172" i="47"/>
  <c r="M173" i="47"/>
  <c r="M174" i="47"/>
  <c r="M175" i="47"/>
  <c r="M176" i="47"/>
  <c r="M177" i="47"/>
  <c r="M178" i="47"/>
  <c r="M179" i="47"/>
  <c r="M180" i="47"/>
  <c r="M181" i="47"/>
  <c r="M182" i="47"/>
  <c r="M183" i="47"/>
  <c r="M184" i="47"/>
  <c r="N184" i="47" s="1"/>
  <c r="M185" i="47"/>
  <c r="N185" i="47" s="1"/>
  <c r="M186" i="47"/>
  <c r="K20" i="47"/>
  <c r="S19" i="40"/>
  <c r="S20" i="40"/>
  <c r="S21" i="40"/>
  <c r="S22" i="40"/>
  <c r="S23" i="40"/>
  <c r="S24" i="40"/>
  <c r="S25" i="40"/>
  <c r="S26" i="40"/>
  <c r="S27" i="40"/>
  <c r="S28" i="40"/>
  <c r="S29" i="40"/>
  <c r="S30" i="40"/>
  <c r="S31" i="40"/>
  <c r="S32" i="40"/>
  <c r="S33" i="40"/>
  <c r="S34" i="40"/>
  <c r="S35" i="40"/>
  <c r="S36" i="40"/>
  <c r="S37" i="40"/>
  <c r="S38" i="40"/>
  <c r="S39" i="40"/>
  <c r="S40" i="40"/>
  <c r="S41" i="40"/>
  <c r="S42" i="40"/>
  <c r="S43" i="40"/>
  <c r="S44" i="40"/>
  <c r="S45" i="40"/>
  <c r="S46" i="40"/>
  <c r="S47" i="40"/>
  <c r="S48" i="40"/>
  <c r="S49" i="40"/>
  <c r="S50" i="40"/>
  <c r="S51" i="40"/>
  <c r="S52" i="40"/>
  <c r="S53" i="40"/>
  <c r="S54" i="40"/>
  <c r="S55" i="40"/>
  <c r="S56" i="40"/>
  <c r="S57" i="40"/>
  <c r="S58" i="40"/>
  <c r="S59" i="40"/>
  <c r="S60" i="40"/>
  <c r="S61" i="40"/>
  <c r="S62" i="40"/>
  <c r="S63" i="40"/>
  <c r="S64" i="40"/>
  <c r="S65" i="40"/>
  <c r="S66" i="40"/>
  <c r="S67" i="40"/>
  <c r="S68" i="40"/>
  <c r="S69" i="40"/>
  <c r="S70" i="40"/>
  <c r="S71" i="40"/>
  <c r="S72" i="40"/>
  <c r="S73" i="40"/>
  <c r="S74" i="40"/>
  <c r="S75" i="40"/>
  <c r="S76" i="40"/>
  <c r="S77" i="40"/>
  <c r="S78" i="40"/>
  <c r="S79" i="40"/>
  <c r="S80" i="40"/>
  <c r="S81" i="40"/>
  <c r="S82" i="40"/>
  <c r="S83" i="40"/>
  <c r="S84" i="40"/>
  <c r="S85" i="40"/>
  <c r="S86" i="40"/>
  <c r="S87" i="40"/>
  <c r="S88" i="40"/>
  <c r="S89" i="40"/>
  <c r="S90" i="40"/>
  <c r="S91" i="40"/>
  <c r="S92" i="40"/>
  <c r="S93" i="40"/>
  <c r="S94" i="40"/>
  <c r="S95" i="40"/>
  <c r="S96" i="40"/>
  <c r="S97" i="40"/>
  <c r="S98" i="40"/>
  <c r="S99" i="40"/>
  <c r="S100" i="40"/>
  <c r="S101" i="40"/>
  <c r="S102" i="40"/>
  <c r="S103" i="40"/>
  <c r="S104" i="40"/>
  <c r="S105" i="40"/>
  <c r="S106" i="40"/>
  <c r="S107" i="40"/>
  <c r="S108" i="40"/>
  <c r="S109" i="40"/>
  <c r="S110" i="40"/>
  <c r="S111" i="40"/>
  <c r="S112" i="40"/>
  <c r="S113" i="40"/>
  <c r="S114" i="40"/>
  <c r="S115" i="40"/>
  <c r="S116" i="40"/>
  <c r="S117" i="40"/>
  <c r="S118" i="40"/>
  <c r="S119" i="40"/>
  <c r="S120" i="40"/>
  <c r="S121" i="40"/>
  <c r="S122" i="40"/>
  <c r="S123" i="40"/>
  <c r="S124" i="40"/>
  <c r="S125" i="40"/>
  <c r="S126" i="40"/>
  <c r="S127" i="40"/>
  <c r="S128" i="40"/>
  <c r="S129" i="40"/>
  <c r="S130" i="40"/>
  <c r="S131" i="40"/>
  <c r="S132" i="40"/>
  <c r="S133" i="40"/>
  <c r="S134" i="40"/>
  <c r="S135" i="40"/>
  <c r="S136" i="40"/>
  <c r="S137" i="40"/>
  <c r="S138" i="40"/>
  <c r="S139" i="40"/>
  <c r="S140" i="40"/>
  <c r="S141" i="40"/>
  <c r="S142" i="40"/>
  <c r="S143" i="40"/>
  <c r="S144" i="40"/>
  <c r="S145" i="40"/>
  <c r="S146" i="40"/>
  <c r="S147" i="40"/>
  <c r="S148" i="40"/>
  <c r="S149" i="40"/>
  <c r="S150" i="40"/>
  <c r="S151" i="40"/>
  <c r="S152" i="40"/>
  <c r="S153" i="40"/>
  <c r="S154" i="40"/>
  <c r="S155" i="40"/>
  <c r="S156" i="40"/>
  <c r="S157" i="40"/>
  <c r="S158" i="40"/>
  <c r="S159" i="40"/>
  <c r="S160" i="40"/>
  <c r="S161" i="40"/>
  <c r="S162" i="40"/>
  <c r="S163" i="40"/>
  <c r="S164" i="40"/>
  <c r="S165" i="40"/>
  <c r="S166" i="40"/>
  <c r="S167" i="40"/>
  <c r="S168" i="40"/>
  <c r="S169" i="40"/>
  <c r="S170" i="40"/>
  <c r="S171" i="40"/>
  <c r="S172" i="40"/>
  <c r="S173" i="40"/>
  <c r="S175" i="40"/>
  <c r="S176" i="40"/>
  <c r="S177" i="40"/>
  <c r="S178" i="40"/>
  <c r="S179" i="40"/>
  <c r="S180" i="40"/>
  <c r="S181" i="40"/>
  <c r="S182" i="40"/>
  <c r="S183" i="40"/>
  <c r="S184" i="40"/>
  <c r="S185" i="40"/>
  <c r="S186" i="40"/>
  <c r="S187" i="40"/>
  <c r="S188" i="40"/>
  <c r="S189" i="40"/>
  <c r="S190" i="40"/>
  <c r="S191" i="40"/>
  <c r="S192" i="40"/>
  <c r="S193" i="40"/>
  <c r="S194" i="40"/>
  <c r="S195" i="40"/>
  <c r="S196" i="40"/>
  <c r="S197" i="40"/>
  <c r="S198" i="40"/>
  <c r="S199" i="40"/>
  <c r="S200" i="40"/>
  <c r="S201" i="40"/>
  <c r="S202" i="40"/>
  <c r="S203" i="40"/>
  <c r="S204" i="40"/>
  <c r="S205" i="40"/>
  <c r="S206" i="40"/>
  <c r="S207" i="40"/>
  <c r="S208" i="40"/>
  <c r="S209" i="40"/>
  <c r="S210" i="40"/>
  <c r="S211" i="40"/>
  <c r="S212" i="40"/>
  <c r="S213" i="40"/>
  <c r="S214" i="40"/>
  <c r="S215" i="40"/>
  <c r="S216" i="40"/>
  <c r="S217" i="40"/>
  <c r="S218" i="40"/>
  <c r="S219" i="40"/>
  <c r="S220" i="40"/>
  <c r="S221" i="40"/>
  <c r="S222" i="40"/>
  <c r="S223" i="40"/>
  <c r="S224" i="40"/>
  <c r="S225" i="40"/>
  <c r="S226" i="40"/>
  <c r="S227" i="40"/>
  <c r="S228" i="40"/>
  <c r="S229" i="40"/>
  <c r="S230" i="40"/>
  <c r="S231" i="40"/>
  <c r="S232" i="40"/>
  <c r="S233" i="40"/>
  <c r="S234" i="40"/>
  <c r="S235" i="40"/>
  <c r="S236" i="40"/>
  <c r="S237" i="40"/>
  <c r="S238" i="40"/>
  <c r="S239" i="40"/>
  <c r="S240" i="40"/>
  <c r="S241" i="40"/>
  <c r="S242" i="40"/>
  <c r="S243" i="40"/>
  <c r="S244" i="40"/>
  <c r="S245" i="40"/>
  <c r="S246" i="40"/>
  <c r="S247" i="40"/>
  <c r="S248" i="40"/>
  <c r="S249" i="40"/>
  <c r="S250" i="40"/>
  <c r="S251" i="40"/>
  <c r="S252" i="40"/>
  <c r="S253" i="40"/>
  <c r="S254" i="40"/>
  <c r="S255" i="40"/>
  <c r="S256" i="40"/>
  <c r="S257" i="40"/>
  <c r="S258" i="40"/>
  <c r="S259" i="40"/>
  <c r="S260" i="40"/>
  <c r="S261" i="40"/>
  <c r="S262" i="40"/>
  <c r="S263" i="40"/>
  <c r="S264" i="40"/>
  <c r="S265" i="40"/>
  <c r="S266" i="40"/>
  <c r="S267" i="40"/>
  <c r="S268" i="40"/>
  <c r="S269" i="40"/>
  <c r="S270" i="40"/>
  <c r="S271" i="40"/>
  <c r="S272" i="40"/>
  <c r="S273" i="40"/>
  <c r="S274" i="40"/>
  <c r="S275" i="40"/>
  <c r="S276" i="40"/>
  <c r="S277" i="40"/>
  <c r="S278" i="40"/>
  <c r="S279" i="40"/>
  <c r="S280" i="40"/>
  <c r="S281" i="40"/>
  <c r="S282" i="40"/>
  <c r="S283" i="40"/>
  <c r="S284" i="40"/>
  <c r="S285" i="40"/>
  <c r="S286" i="40"/>
  <c r="S287" i="40"/>
  <c r="S288" i="40"/>
  <c r="S289" i="40"/>
  <c r="S290" i="40"/>
  <c r="S291" i="40"/>
  <c r="S292" i="40"/>
  <c r="S293" i="40"/>
  <c r="S294" i="40"/>
  <c r="S295" i="40"/>
  <c r="S296" i="40"/>
  <c r="S297" i="40"/>
  <c r="S298" i="40"/>
  <c r="S299" i="40"/>
  <c r="S300" i="40"/>
  <c r="S301" i="40"/>
  <c r="S302" i="40"/>
  <c r="S303" i="40"/>
  <c r="S304" i="40"/>
  <c r="S305" i="40"/>
  <c r="S306" i="40"/>
  <c r="S307" i="40"/>
  <c r="S308" i="40"/>
  <c r="S309" i="40"/>
  <c r="S310" i="40"/>
  <c r="S311" i="40"/>
  <c r="S312" i="40"/>
  <c r="S313" i="40"/>
  <c r="S314" i="40"/>
  <c r="S315" i="40"/>
  <c r="S316" i="40"/>
  <c r="S317" i="40"/>
  <c r="S318" i="40"/>
  <c r="S319" i="40"/>
  <c r="S320" i="40"/>
  <c r="S321" i="40"/>
  <c r="S322" i="40"/>
  <c r="S323" i="40"/>
  <c r="S324" i="40"/>
  <c r="S325" i="40"/>
  <c r="S326" i="40"/>
  <c r="S327" i="40"/>
  <c r="S328" i="40"/>
  <c r="S329" i="40"/>
  <c r="S330" i="40"/>
  <c r="S331" i="40"/>
  <c r="S332" i="40"/>
  <c r="S333" i="40"/>
  <c r="S334" i="40"/>
  <c r="S335" i="40"/>
  <c r="S336" i="40"/>
  <c r="S337" i="40"/>
  <c r="S338" i="40"/>
  <c r="S339" i="40"/>
  <c r="S340" i="40"/>
  <c r="S341" i="40"/>
  <c r="S342" i="40"/>
  <c r="S343" i="40"/>
  <c r="S344" i="40"/>
  <c r="S345" i="40"/>
  <c r="S346" i="40"/>
  <c r="S347" i="40"/>
  <c r="S348" i="40"/>
  <c r="S349" i="40"/>
  <c r="S350" i="40"/>
  <c r="S351" i="40"/>
  <c r="S352" i="40"/>
  <c r="S353" i="40"/>
  <c r="S354" i="40"/>
  <c r="S359" i="40"/>
  <c r="S360" i="40"/>
  <c r="S361" i="40"/>
  <c r="S362" i="40"/>
  <c r="S363" i="40"/>
  <c r="S364" i="40"/>
  <c r="S365" i="40"/>
  <c r="S366" i="40"/>
  <c r="S367" i="40"/>
  <c r="S368" i="40"/>
  <c r="S369" i="40"/>
  <c r="S370" i="40"/>
  <c r="S371" i="40"/>
  <c r="S372" i="40"/>
  <c r="S373" i="40"/>
  <c r="S374" i="40"/>
  <c r="S375" i="40"/>
  <c r="S376" i="40"/>
  <c r="S377" i="40"/>
  <c r="S378" i="40"/>
  <c r="S379" i="40"/>
  <c r="S380" i="40"/>
  <c r="S381" i="40"/>
  <c r="S382" i="40"/>
  <c r="S383" i="40"/>
  <c r="S384" i="40"/>
  <c r="S385" i="40"/>
  <c r="S386" i="40"/>
  <c r="S387" i="40"/>
  <c r="S388" i="40"/>
  <c r="S389" i="40"/>
  <c r="S390" i="40"/>
  <c r="S558" i="40"/>
  <c r="S559" i="40"/>
  <c r="S560" i="40"/>
  <c r="S561" i="40"/>
  <c r="S562" i="40"/>
  <c r="S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32" i="40"/>
  <c r="O33" i="40"/>
  <c r="O34" i="40"/>
  <c r="O35" i="40"/>
  <c r="O36" i="40"/>
  <c r="O37" i="40"/>
  <c r="O38" i="40"/>
  <c r="O39" i="40"/>
  <c r="O40" i="40"/>
  <c r="O41" i="40"/>
  <c r="O42" i="40"/>
  <c r="O43" i="40"/>
  <c r="O44" i="40"/>
  <c r="O45" i="40"/>
  <c r="O46" i="40"/>
  <c r="O47" i="40"/>
  <c r="O48" i="40"/>
  <c r="O49" i="40"/>
  <c r="O50" i="40"/>
  <c r="O51" i="40"/>
  <c r="O52" i="40"/>
  <c r="O53" i="40"/>
  <c r="O54" i="40"/>
  <c r="O55" i="40"/>
  <c r="O56" i="40"/>
  <c r="O57" i="40"/>
  <c r="O58" i="40"/>
  <c r="O59" i="40"/>
  <c r="O60" i="40"/>
  <c r="O61" i="40"/>
  <c r="O62" i="40"/>
  <c r="O63" i="40"/>
  <c r="O64" i="40"/>
  <c r="O65" i="40"/>
  <c r="O66" i="40"/>
  <c r="O67" i="40"/>
  <c r="O68" i="40"/>
  <c r="O69" i="40"/>
  <c r="O70" i="40"/>
  <c r="O71" i="40"/>
  <c r="O72" i="40"/>
  <c r="O73" i="40"/>
  <c r="O74" i="40"/>
  <c r="O75" i="40"/>
  <c r="O76" i="40"/>
  <c r="O77" i="40"/>
  <c r="O78" i="40"/>
  <c r="O79" i="40"/>
  <c r="O80" i="40"/>
  <c r="O81" i="40"/>
  <c r="O82" i="40"/>
  <c r="O83" i="40"/>
  <c r="O84" i="40"/>
  <c r="O85" i="40"/>
  <c r="O86" i="40"/>
  <c r="O87" i="40"/>
  <c r="O88" i="40"/>
  <c r="O89" i="40"/>
  <c r="O90" i="40"/>
  <c r="O91" i="40"/>
  <c r="O92" i="40"/>
  <c r="O93" i="40"/>
  <c r="O94" i="40"/>
  <c r="O95" i="40"/>
  <c r="O96" i="40"/>
  <c r="O97" i="40"/>
  <c r="O98" i="40"/>
  <c r="O99" i="40"/>
  <c r="O100" i="40"/>
  <c r="O101" i="40"/>
  <c r="O102" i="40"/>
  <c r="O103" i="40"/>
  <c r="O104" i="40"/>
  <c r="O105" i="40"/>
  <c r="O106" i="40"/>
  <c r="O107" i="40"/>
  <c r="O108" i="40"/>
  <c r="O109" i="40"/>
  <c r="O110" i="40"/>
  <c r="O111" i="40"/>
  <c r="O112" i="40"/>
  <c r="O113" i="40"/>
  <c r="O114" i="40"/>
  <c r="O115" i="40"/>
  <c r="O116" i="40"/>
  <c r="O117" i="40"/>
  <c r="O118" i="40"/>
  <c r="O119" i="40"/>
  <c r="O120" i="40"/>
  <c r="O121" i="40"/>
  <c r="O122" i="40"/>
  <c r="O123" i="40"/>
  <c r="O124" i="40"/>
  <c r="O125" i="40"/>
  <c r="O126" i="40"/>
  <c r="O127" i="40"/>
  <c r="O128" i="40"/>
  <c r="O129" i="40"/>
  <c r="O130" i="40"/>
  <c r="O131" i="40"/>
  <c r="O132" i="40"/>
  <c r="O133" i="40"/>
  <c r="O134" i="40"/>
  <c r="O135" i="40"/>
  <c r="O136" i="40"/>
  <c r="O137" i="40"/>
  <c r="O138" i="40"/>
  <c r="O139" i="40"/>
  <c r="O140" i="40"/>
  <c r="O141" i="40"/>
  <c r="O142" i="40"/>
  <c r="O143" i="40"/>
  <c r="O144" i="40"/>
  <c r="O145" i="40"/>
  <c r="O146" i="40"/>
  <c r="O147" i="40"/>
  <c r="O148" i="40"/>
  <c r="O149" i="40"/>
  <c r="O150" i="40"/>
  <c r="O151" i="40"/>
  <c r="O152" i="40"/>
  <c r="O153" i="40"/>
  <c r="O154" i="40"/>
  <c r="O155" i="40"/>
  <c r="O156" i="40"/>
  <c r="O157" i="40"/>
  <c r="O158" i="40"/>
  <c r="O159" i="40"/>
  <c r="O160" i="40"/>
  <c r="O161" i="40"/>
  <c r="O162" i="40"/>
  <c r="O163" i="40"/>
  <c r="O164" i="40"/>
  <c r="O165" i="40"/>
  <c r="O166" i="40"/>
  <c r="O167" i="40"/>
  <c r="O168" i="40"/>
  <c r="O169" i="40"/>
  <c r="O170" i="40"/>
  <c r="O183" i="40"/>
  <c r="O184" i="40"/>
  <c r="O185" i="40"/>
  <c r="O186" i="40"/>
  <c r="O187" i="40"/>
  <c r="O188" i="40"/>
  <c r="O189" i="40"/>
  <c r="O190" i="40"/>
  <c r="O191" i="40"/>
  <c r="O192" i="40"/>
  <c r="O193" i="40"/>
  <c r="O194" i="40"/>
  <c r="O195" i="40"/>
  <c r="O196" i="40"/>
  <c r="O197" i="40"/>
  <c r="O198" i="40"/>
  <c r="O199" i="40"/>
  <c r="O200" i="40"/>
  <c r="O201" i="40"/>
  <c r="O202" i="40"/>
  <c r="O203" i="40"/>
  <c r="O204" i="40"/>
  <c r="O205" i="40"/>
  <c r="O206" i="40"/>
  <c r="O207" i="40"/>
  <c r="O208" i="40"/>
  <c r="O209" i="40"/>
  <c r="O210" i="40"/>
  <c r="O211" i="40"/>
  <c r="O212" i="40"/>
  <c r="O213" i="40"/>
  <c r="O214" i="40"/>
  <c r="O215" i="40"/>
  <c r="O216" i="40"/>
  <c r="O217" i="40"/>
  <c r="O218" i="40"/>
  <c r="O219" i="40"/>
  <c r="O220" i="40"/>
  <c r="O221" i="40"/>
  <c r="O222" i="40"/>
  <c r="O223" i="40"/>
  <c r="O224" i="40"/>
  <c r="O225" i="40"/>
  <c r="O226" i="40"/>
  <c r="O227" i="40"/>
  <c r="O228" i="40"/>
  <c r="O229" i="40"/>
  <c r="O230" i="40"/>
  <c r="O231" i="40"/>
  <c r="O232" i="40"/>
  <c r="O233" i="40"/>
  <c r="O234" i="40"/>
  <c r="O235" i="40"/>
  <c r="O236" i="40"/>
  <c r="O237" i="40"/>
  <c r="O238" i="40"/>
  <c r="O239" i="40"/>
  <c r="O240" i="40"/>
  <c r="O241" i="40"/>
  <c r="O242" i="40"/>
  <c r="O243" i="40"/>
  <c r="O244" i="40"/>
  <c r="O245" i="40"/>
  <c r="O246" i="40"/>
  <c r="O247" i="40"/>
  <c r="O248" i="40"/>
  <c r="O249" i="40"/>
  <c r="O250" i="40"/>
  <c r="O251" i="40"/>
  <c r="O252" i="40"/>
  <c r="O253" i="40"/>
  <c r="O254" i="40"/>
  <c r="O255" i="40"/>
  <c r="O256" i="40"/>
  <c r="O257" i="40"/>
  <c r="O258" i="40"/>
  <c r="O259" i="40"/>
  <c r="O260" i="40"/>
  <c r="O261" i="40"/>
  <c r="O262" i="40"/>
  <c r="O263" i="40"/>
  <c r="O264" i="40"/>
  <c r="O265" i="40"/>
  <c r="O266" i="40"/>
  <c r="O267" i="40"/>
  <c r="O268" i="40"/>
  <c r="O269" i="40"/>
  <c r="O270" i="40"/>
  <c r="O271" i="40"/>
  <c r="O272" i="40"/>
  <c r="O273" i="40"/>
  <c r="O274" i="40"/>
  <c r="O275" i="40"/>
  <c r="O276" i="40"/>
  <c r="O277" i="40"/>
  <c r="O278" i="40"/>
  <c r="O279" i="40"/>
  <c r="O280" i="40"/>
  <c r="O281" i="40"/>
  <c r="O282" i="40"/>
  <c r="O283" i="40"/>
  <c r="O284" i="40"/>
  <c r="O285" i="40"/>
  <c r="O286" i="40"/>
  <c r="O287" i="40"/>
  <c r="O288" i="40"/>
  <c r="O289" i="40"/>
  <c r="O290" i="40"/>
  <c r="O291" i="40"/>
  <c r="O292" i="40"/>
  <c r="O293" i="40"/>
  <c r="O294" i="40"/>
  <c r="O295" i="40"/>
  <c r="O296" i="40"/>
  <c r="O297" i="40"/>
  <c r="O298" i="40"/>
  <c r="O299" i="40"/>
  <c r="O300" i="40"/>
  <c r="O301" i="40"/>
  <c r="O302" i="40"/>
  <c r="O303" i="40"/>
  <c r="O304" i="40"/>
  <c r="O305" i="40"/>
  <c r="O306" i="40"/>
  <c r="O307" i="40"/>
  <c r="O308" i="40"/>
  <c r="O309" i="40"/>
  <c r="O310" i="40"/>
  <c r="O311" i="40"/>
  <c r="O312" i="40"/>
  <c r="O313" i="40"/>
  <c r="O314" i="40"/>
  <c r="O315" i="40"/>
  <c r="O316" i="40"/>
  <c r="O317" i="40"/>
  <c r="O318" i="40"/>
  <c r="O319" i="40"/>
  <c r="O320" i="40"/>
  <c r="O321" i="40"/>
  <c r="O322" i="40"/>
  <c r="O323" i="40"/>
  <c r="O324" i="40"/>
  <c r="O325" i="40"/>
  <c r="O326" i="40"/>
  <c r="O327" i="40"/>
  <c r="O328" i="40"/>
  <c r="O329" i="40"/>
  <c r="O330" i="40"/>
  <c r="O331" i="40"/>
  <c r="O332" i="40"/>
  <c r="O333" i="40"/>
  <c r="O334" i="40"/>
  <c r="O335" i="40"/>
  <c r="O336" i="40"/>
  <c r="O337" i="40"/>
  <c r="O338" i="40"/>
  <c r="O339" i="40"/>
  <c r="O340" i="40"/>
  <c r="O341" i="40"/>
  <c r="O342" i="40"/>
  <c r="O343" i="40"/>
  <c r="O344" i="40"/>
  <c r="O345" i="40"/>
  <c r="O346" i="40"/>
  <c r="O347" i="40"/>
  <c r="O348" i="40"/>
  <c r="O349" i="40"/>
  <c r="O350" i="40"/>
  <c r="O351" i="40"/>
  <c r="O352" i="40"/>
  <c r="O353" i="40"/>
  <c r="O354" i="40"/>
  <c r="O359" i="40"/>
  <c r="O360" i="40"/>
  <c r="O361" i="40"/>
  <c r="O362" i="40"/>
  <c r="O363" i="40"/>
  <c r="O364" i="40"/>
  <c r="O365" i="40"/>
  <c r="O366" i="40"/>
  <c r="O367" i="40"/>
  <c r="O368" i="40"/>
  <c r="O369" i="40"/>
  <c r="O370" i="40"/>
  <c r="O371" i="40"/>
  <c r="O372" i="40"/>
  <c r="O373" i="40"/>
  <c r="O374" i="40"/>
  <c r="O375" i="40"/>
  <c r="O376" i="40"/>
  <c r="O377" i="40"/>
  <c r="O378" i="40"/>
  <c r="O379" i="40"/>
  <c r="O380" i="40"/>
  <c r="O381" i="40"/>
  <c r="O382" i="40"/>
  <c r="O383" i="40"/>
  <c r="O384" i="40"/>
  <c r="O385" i="40"/>
  <c r="O386" i="40"/>
  <c r="O387" i="40"/>
  <c r="O388" i="40"/>
  <c r="O389" i="40"/>
  <c r="O390" i="40"/>
  <c r="O391" i="40"/>
  <c r="O392" i="40"/>
  <c r="O397" i="40"/>
  <c r="O399" i="40"/>
  <c r="O400" i="40"/>
  <c r="O401" i="40"/>
  <c r="O402" i="40"/>
  <c r="O403" i="40"/>
  <c r="O404" i="40"/>
  <c r="O405" i="40"/>
  <c r="O406" i="40"/>
  <c r="O411" i="40"/>
  <c r="O413" i="40"/>
  <c r="O414" i="40"/>
  <c r="O415" i="40"/>
  <c r="O416" i="40"/>
  <c r="O417" i="40"/>
  <c r="O418" i="40"/>
  <c r="O419" i="40"/>
  <c r="O420" i="40"/>
  <c r="O422" i="40"/>
  <c r="O424" i="40"/>
  <c r="O425" i="40"/>
  <c r="O427" i="40"/>
  <c r="O428" i="40"/>
  <c r="O430" i="40"/>
  <c r="O431" i="40"/>
  <c r="O432" i="40"/>
  <c r="O433" i="40"/>
  <c r="O437" i="40"/>
  <c r="O442" i="40"/>
  <c r="O443" i="40"/>
  <c r="O446" i="40"/>
  <c r="O447" i="40"/>
  <c r="O448" i="40"/>
  <c r="O449" i="40"/>
  <c r="O450" i="40"/>
  <c r="O453" i="40"/>
  <c r="O454" i="40"/>
  <c r="O455" i="40"/>
  <c r="O457" i="40"/>
  <c r="O458" i="40"/>
  <c r="O459" i="40"/>
  <c r="O468" i="40"/>
  <c r="O469" i="40"/>
  <c r="O470" i="40"/>
  <c r="O471" i="40"/>
  <c r="O472" i="40"/>
  <c r="O473" i="40"/>
  <c r="O474" i="40"/>
  <c r="O475" i="40"/>
  <c r="O476" i="40"/>
  <c r="O477" i="40"/>
  <c r="O478" i="40"/>
  <c r="O485" i="40"/>
  <c r="O487" i="40"/>
  <c r="O488" i="40"/>
  <c r="O490" i="40"/>
  <c r="O491" i="40"/>
  <c r="O492" i="40"/>
  <c r="O493" i="40"/>
  <c r="O494" i="40"/>
  <c r="O495" i="40"/>
  <c r="O496" i="40"/>
  <c r="O497" i="40"/>
  <c r="O498" i="40"/>
  <c r="O499" i="40"/>
  <c r="O500" i="40"/>
  <c r="O501" i="40"/>
  <c r="O502" i="40"/>
  <c r="O503" i="40"/>
  <c r="O504" i="40"/>
  <c r="O505" i="40"/>
  <c r="O506" i="40"/>
  <c r="O507" i="40"/>
  <c r="O508" i="40"/>
  <c r="O510" i="40"/>
  <c r="O511" i="40"/>
  <c r="O513" i="40"/>
  <c r="O515" i="40"/>
  <c r="O516" i="40"/>
  <c r="O517" i="40"/>
  <c r="O518" i="40"/>
  <c r="O519" i="40"/>
  <c r="O520" i="40"/>
  <c r="O522" i="40"/>
  <c r="O523" i="40"/>
  <c r="O524" i="40"/>
  <c r="O525" i="40"/>
  <c r="O527" i="40"/>
  <c r="O528" i="40"/>
  <c r="O531" i="40"/>
  <c r="O532" i="40"/>
  <c r="O533" i="40"/>
  <c r="O534" i="40"/>
  <c r="O535" i="40"/>
  <c r="O536" i="40"/>
  <c r="O537" i="40"/>
  <c r="O538" i="40"/>
  <c r="O539" i="40"/>
  <c r="O540" i="40"/>
  <c r="O541" i="40"/>
  <c r="O542" i="40"/>
  <c r="O543" i="40"/>
  <c r="O544" i="40"/>
  <c r="O545" i="40"/>
  <c r="O546" i="40"/>
  <c r="O547" i="40"/>
  <c r="O548" i="40"/>
  <c r="O549" i="40"/>
  <c r="O550" i="40"/>
  <c r="O551" i="40"/>
  <c r="O552" i="40"/>
  <c r="O553" i="40"/>
  <c r="O554" i="40"/>
  <c r="O555" i="40"/>
  <c r="O556" i="40"/>
  <c r="O557" i="40"/>
  <c r="O558" i="40"/>
  <c r="O559" i="40"/>
  <c r="O560" i="40"/>
  <c r="O561" i="40"/>
  <c r="O562" i="40"/>
  <c r="R18" i="40"/>
  <c r="R19" i="40"/>
  <c r="R20" i="40"/>
  <c r="R21" i="40"/>
  <c r="R22" i="40"/>
  <c r="R23" i="40"/>
  <c r="R24" i="40"/>
  <c r="R25" i="40"/>
  <c r="R26" i="40"/>
  <c r="R27" i="40"/>
  <c r="R28" i="40"/>
  <c r="R29" i="40"/>
  <c r="R30" i="40"/>
  <c r="R31" i="40"/>
  <c r="R32" i="40"/>
  <c r="R33" i="40"/>
  <c r="R34" i="40"/>
  <c r="R35" i="40"/>
  <c r="R36" i="40"/>
  <c r="R37" i="40"/>
  <c r="R38" i="40"/>
  <c r="R39" i="40"/>
  <c r="R40" i="40"/>
  <c r="R41" i="40"/>
  <c r="R42" i="40"/>
  <c r="R43" i="40"/>
  <c r="R44" i="40"/>
  <c r="R45" i="40"/>
  <c r="R46" i="40"/>
  <c r="R47" i="40"/>
  <c r="R48" i="40"/>
  <c r="R49" i="40"/>
  <c r="R50" i="40"/>
  <c r="R51" i="40"/>
  <c r="R52" i="40"/>
  <c r="R53" i="40"/>
  <c r="R54" i="40"/>
  <c r="R55" i="40"/>
  <c r="R56" i="40"/>
  <c r="R57" i="40"/>
  <c r="R58" i="40"/>
  <c r="R59" i="40"/>
  <c r="R60" i="40"/>
  <c r="R61" i="40"/>
  <c r="R62" i="40"/>
  <c r="R63" i="40"/>
  <c r="R64" i="40"/>
  <c r="R65" i="40"/>
  <c r="R66" i="40"/>
  <c r="R67" i="40"/>
  <c r="R68" i="40"/>
  <c r="R69" i="40"/>
  <c r="R70" i="40"/>
  <c r="R71" i="40"/>
  <c r="R72" i="40"/>
  <c r="R73" i="40"/>
  <c r="R74" i="40"/>
  <c r="R75" i="40"/>
  <c r="R76" i="40"/>
  <c r="R77" i="40"/>
  <c r="R78" i="40"/>
  <c r="R79" i="40"/>
  <c r="R80" i="40"/>
  <c r="R81" i="40"/>
  <c r="R82" i="40"/>
  <c r="R83" i="40"/>
  <c r="R84" i="40"/>
  <c r="R85" i="40"/>
  <c r="R86" i="40"/>
  <c r="R87" i="40"/>
  <c r="R88" i="40"/>
  <c r="R89" i="40"/>
  <c r="R90" i="40"/>
  <c r="R91" i="40"/>
  <c r="R92" i="40"/>
  <c r="R93" i="40"/>
  <c r="R94" i="40"/>
  <c r="R95" i="40"/>
  <c r="R96" i="40"/>
  <c r="R97" i="40"/>
  <c r="R98" i="40"/>
  <c r="R99" i="40"/>
  <c r="R100" i="40"/>
  <c r="R101" i="40"/>
  <c r="R102" i="40"/>
  <c r="R103" i="40"/>
  <c r="R104" i="40"/>
  <c r="R105" i="40"/>
  <c r="R106" i="40"/>
  <c r="R107" i="40"/>
  <c r="R108" i="40"/>
  <c r="R109" i="40"/>
  <c r="R110" i="40"/>
  <c r="R111" i="40"/>
  <c r="R112" i="40"/>
  <c r="R113" i="40"/>
  <c r="R114" i="40"/>
  <c r="R115" i="40"/>
  <c r="R116" i="40"/>
  <c r="R117" i="40"/>
  <c r="R118" i="40"/>
  <c r="R119" i="40"/>
  <c r="R120" i="40"/>
  <c r="R121" i="40"/>
  <c r="R122" i="40"/>
  <c r="R123" i="40"/>
  <c r="R124" i="40"/>
  <c r="R125" i="40"/>
  <c r="R126" i="40"/>
  <c r="R127" i="40"/>
  <c r="R128" i="40"/>
  <c r="R129" i="40"/>
  <c r="R130" i="40"/>
  <c r="R131" i="40"/>
  <c r="R132" i="40"/>
  <c r="R133" i="40"/>
  <c r="R134" i="40"/>
  <c r="R135" i="40"/>
  <c r="R136" i="40"/>
  <c r="R137" i="40"/>
  <c r="R138" i="40"/>
  <c r="R139" i="40"/>
  <c r="R140" i="40"/>
  <c r="R141" i="40"/>
  <c r="R142" i="40"/>
  <c r="R143" i="40"/>
  <c r="R144" i="40"/>
  <c r="R145" i="40"/>
  <c r="R146" i="40"/>
  <c r="R147" i="40"/>
  <c r="R148" i="40"/>
  <c r="R149" i="40"/>
  <c r="R150" i="40"/>
  <c r="R151" i="40"/>
  <c r="R152" i="40"/>
  <c r="R153" i="40"/>
  <c r="R154" i="40"/>
  <c r="R155" i="40"/>
  <c r="R156" i="40"/>
  <c r="R157" i="40"/>
  <c r="R158" i="40"/>
  <c r="R159" i="40"/>
  <c r="R160" i="40"/>
  <c r="R161" i="40"/>
  <c r="R162" i="40"/>
  <c r="R163" i="40"/>
  <c r="R164" i="40"/>
  <c r="R165" i="40"/>
  <c r="R166" i="40"/>
  <c r="R167" i="40"/>
  <c r="R168" i="40"/>
  <c r="R169" i="40"/>
  <c r="R170" i="40"/>
  <c r="R171" i="40"/>
  <c r="R172" i="40"/>
  <c r="R173" i="40"/>
  <c r="R175" i="40"/>
  <c r="R176" i="40"/>
  <c r="R177" i="40"/>
  <c r="R178" i="40"/>
  <c r="R179" i="40"/>
  <c r="R180" i="40"/>
  <c r="R181" i="40"/>
  <c r="R182" i="40"/>
  <c r="R318" i="40"/>
  <c r="R319" i="40"/>
  <c r="R320" i="40"/>
  <c r="R321" i="40"/>
  <c r="R322" i="40"/>
  <c r="R323" i="40"/>
  <c r="R324" i="40"/>
  <c r="R325" i="40"/>
  <c r="R326" i="40"/>
  <c r="R327" i="40"/>
  <c r="R328" i="40"/>
  <c r="R329" i="40"/>
  <c r="R330" i="40"/>
  <c r="R331" i="40"/>
  <c r="R332" i="40"/>
  <c r="R333" i="40"/>
  <c r="R334" i="40"/>
  <c r="R335" i="40"/>
  <c r="R336" i="40"/>
  <c r="R337" i="40"/>
  <c r="R338" i="40"/>
  <c r="R339" i="40"/>
  <c r="R340" i="40"/>
  <c r="R341" i="40"/>
  <c r="R342" i="40"/>
  <c r="R343" i="40"/>
  <c r="R344" i="40"/>
  <c r="R345" i="40"/>
  <c r="R346" i="40"/>
  <c r="R347" i="40"/>
  <c r="R348" i="40"/>
  <c r="R349" i="40"/>
  <c r="R350" i="40"/>
  <c r="R351" i="40"/>
  <c r="R352" i="40"/>
  <c r="R353" i="40"/>
  <c r="R354" i="40"/>
  <c r="R359" i="40"/>
  <c r="R360" i="40"/>
  <c r="R361" i="40"/>
  <c r="R362" i="40"/>
  <c r="R363" i="40"/>
  <c r="R364" i="40"/>
  <c r="R365" i="40"/>
  <c r="R366" i="40"/>
  <c r="R367" i="40"/>
  <c r="R368" i="40"/>
  <c r="R369" i="40"/>
  <c r="R370" i="40"/>
  <c r="R371" i="40"/>
  <c r="R372" i="40"/>
  <c r="R373" i="40"/>
  <c r="R374" i="40"/>
  <c r="R375" i="40"/>
  <c r="R376" i="40"/>
  <c r="R377" i="40"/>
  <c r="R378" i="40"/>
  <c r="R379" i="40"/>
  <c r="R380" i="40"/>
  <c r="R381" i="40"/>
  <c r="R382" i="40"/>
  <c r="R383" i="40"/>
  <c r="R384" i="40"/>
  <c r="R385" i="40"/>
  <c r="R386" i="40"/>
  <c r="R387" i="40"/>
  <c r="R388" i="40"/>
  <c r="R389" i="40"/>
  <c r="R390" i="40"/>
  <c r="R391" i="40"/>
  <c r="R392" i="40"/>
  <c r="R397" i="40"/>
  <c r="R399" i="40"/>
  <c r="R400" i="40"/>
  <c r="R401" i="40"/>
  <c r="R402" i="40"/>
  <c r="R403" i="40"/>
  <c r="R404" i="40"/>
  <c r="R405" i="40"/>
  <c r="R406" i="40"/>
  <c r="R411" i="40"/>
  <c r="R413" i="40"/>
  <c r="R414" i="40"/>
  <c r="R415" i="40"/>
  <c r="R416" i="40"/>
  <c r="R417" i="40"/>
  <c r="R418" i="40"/>
  <c r="R419" i="40"/>
  <c r="R420" i="40"/>
  <c r="R422" i="40"/>
  <c r="R424" i="40"/>
  <c r="R425" i="40"/>
  <c r="R427" i="40"/>
  <c r="R428" i="40"/>
  <c r="R430" i="40"/>
  <c r="R431" i="40"/>
  <c r="R432" i="40"/>
  <c r="R433" i="40"/>
  <c r="R437" i="40"/>
  <c r="R442" i="40"/>
  <c r="R443" i="40"/>
  <c r="R446" i="40"/>
  <c r="R447" i="40"/>
  <c r="R448" i="40"/>
  <c r="R449" i="40"/>
  <c r="R450" i="40"/>
  <c r="R453" i="40"/>
  <c r="R454" i="40"/>
  <c r="R455" i="40"/>
  <c r="R457" i="40"/>
  <c r="R458" i="40"/>
  <c r="R459" i="40"/>
  <c r="R468" i="40"/>
  <c r="R469" i="40"/>
  <c r="R470" i="40"/>
  <c r="R471" i="40"/>
  <c r="R472" i="40"/>
  <c r="R473" i="40"/>
  <c r="R474" i="40"/>
  <c r="R475" i="40"/>
  <c r="R476" i="40"/>
  <c r="R477" i="40"/>
  <c r="R478" i="40"/>
  <c r="R485" i="40"/>
  <c r="R487" i="40"/>
  <c r="R488" i="40"/>
  <c r="R490" i="40"/>
  <c r="R491" i="40"/>
  <c r="R492" i="40"/>
  <c r="R493" i="40"/>
  <c r="R494" i="40"/>
  <c r="R495" i="40"/>
  <c r="R496" i="40"/>
  <c r="R497" i="40"/>
  <c r="R498" i="40"/>
  <c r="R499" i="40"/>
  <c r="R500" i="40"/>
  <c r="R501" i="40"/>
  <c r="R502" i="40"/>
  <c r="R503" i="40"/>
  <c r="R504" i="40"/>
  <c r="R505" i="40"/>
  <c r="R506" i="40"/>
  <c r="R507" i="40"/>
  <c r="R508" i="40"/>
  <c r="R510" i="40"/>
  <c r="R511" i="40"/>
  <c r="R513" i="40"/>
  <c r="R515" i="40"/>
  <c r="R516" i="40"/>
  <c r="R517" i="40"/>
  <c r="R518" i="40"/>
  <c r="R519" i="40"/>
  <c r="R520" i="40"/>
  <c r="R522" i="40"/>
  <c r="R523" i="40"/>
  <c r="R524" i="40"/>
  <c r="R525" i="40"/>
  <c r="R527" i="40"/>
  <c r="R528" i="40"/>
  <c r="R531" i="40"/>
  <c r="R532" i="40"/>
  <c r="R533" i="40"/>
  <c r="R534" i="40"/>
  <c r="R535" i="40"/>
  <c r="R536" i="40"/>
  <c r="R537" i="40"/>
  <c r="R538" i="40"/>
  <c r="R539" i="40"/>
  <c r="R540" i="40"/>
  <c r="R541" i="40"/>
  <c r="R542" i="40"/>
  <c r="R543" i="40"/>
  <c r="R544" i="40"/>
  <c r="R545" i="40"/>
  <c r="R546" i="40"/>
  <c r="R547" i="40"/>
  <c r="R548" i="40"/>
  <c r="R549" i="40"/>
  <c r="R550" i="40"/>
  <c r="R551" i="40"/>
  <c r="R552" i="40"/>
  <c r="R553" i="40"/>
  <c r="R554" i="40"/>
  <c r="R555" i="40"/>
  <c r="R556" i="40"/>
  <c r="R557" i="40"/>
  <c r="R558" i="40"/>
  <c r="R559" i="40"/>
  <c r="R560" i="40"/>
  <c r="R561" i="40"/>
  <c r="R562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78" i="40"/>
  <c r="Q79" i="40"/>
  <c r="Q80" i="40"/>
  <c r="Q81" i="40"/>
  <c r="Q82" i="40"/>
  <c r="Q83" i="40"/>
  <c r="Q84" i="40"/>
  <c r="Q85" i="40"/>
  <c r="Q86" i="40"/>
  <c r="Q87" i="40"/>
  <c r="Q88" i="40"/>
  <c r="Q89" i="40"/>
  <c r="Q90" i="40"/>
  <c r="Q91" i="40"/>
  <c r="Q92" i="40"/>
  <c r="Q93" i="40"/>
  <c r="Q94" i="40"/>
  <c r="Q95" i="40"/>
  <c r="Q96" i="40"/>
  <c r="Q97" i="40"/>
  <c r="Q98" i="40"/>
  <c r="Q99" i="40"/>
  <c r="Q100" i="40"/>
  <c r="Q101" i="40"/>
  <c r="Q102" i="40"/>
  <c r="Q103" i="40"/>
  <c r="Q104" i="40"/>
  <c r="Q105" i="40"/>
  <c r="Q106" i="40"/>
  <c r="Q107" i="40"/>
  <c r="Q108" i="40"/>
  <c r="Q109" i="40"/>
  <c r="Q110" i="40"/>
  <c r="Q111" i="40"/>
  <c r="Q112" i="40"/>
  <c r="Q113" i="40"/>
  <c r="Q114" i="40"/>
  <c r="Q115" i="40"/>
  <c r="Q116" i="40"/>
  <c r="Q117" i="40"/>
  <c r="Q118" i="40"/>
  <c r="Q119" i="40"/>
  <c r="Q120" i="40"/>
  <c r="Q121" i="40"/>
  <c r="Q122" i="40"/>
  <c r="Q123" i="40"/>
  <c r="Q124" i="40"/>
  <c r="Q125" i="40"/>
  <c r="Q126" i="40"/>
  <c r="Q127" i="40"/>
  <c r="Q128" i="40"/>
  <c r="Q129" i="40"/>
  <c r="Q130" i="40"/>
  <c r="Q131" i="40"/>
  <c r="Q132" i="40"/>
  <c r="Q133" i="40"/>
  <c r="Q134" i="40"/>
  <c r="Q135" i="40"/>
  <c r="Q136" i="40"/>
  <c r="Q137" i="40"/>
  <c r="Q138" i="40"/>
  <c r="Q139" i="40"/>
  <c r="Q140" i="40"/>
  <c r="Q141" i="40"/>
  <c r="Q142" i="40"/>
  <c r="Q143" i="40"/>
  <c r="Q144" i="40"/>
  <c r="Q145" i="40"/>
  <c r="Q146" i="40"/>
  <c r="Q147" i="40"/>
  <c r="Q148" i="40"/>
  <c r="Q149" i="40"/>
  <c r="Q150" i="40"/>
  <c r="Q151" i="40"/>
  <c r="Q152" i="40"/>
  <c r="Q162" i="40"/>
  <c r="Q164" i="40"/>
  <c r="Q165" i="40"/>
  <c r="Q166" i="40"/>
  <c r="Q167" i="40"/>
  <c r="Q168" i="40"/>
  <c r="Q169" i="40"/>
  <c r="Q170" i="40"/>
  <c r="Q171" i="40"/>
  <c r="Q172" i="40"/>
  <c r="Q173" i="40"/>
  <c r="Q175" i="40"/>
  <c r="Q176" i="40"/>
  <c r="Q177" i="40"/>
  <c r="Q178" i="40"/>
  <c r="Q179" i="40"/>
  <c r="Q180" i="40"/>
  <c r="Q181" i="40"/>
  <c r="Q182" i="40"/>
  <c r="Q183" i="40"/>
  <c r="Q184" i="40"/>
  <c r="Q185" i="40"/>
  <c r="Q186" i="40"/>
  <c r="Q187" i="40"/>
  <c r="Q188" i="40"/>
  <c r="Q189" i="40"/>
  <c r="Q190" i="40"/>
  <c r="Q191" i="40"/>
  <c r="Q192" i="40"/>
  <c r="Q193" i="40"/>
  <c r="Q194" i="40"/>
  <c r="Q195" i="40"/>
  <c r="Q196" i="40"/>
  <c r="Q197" i="40"/>
  <c r="Q198" i="40"/>
  <c r="Q199" i="40"/>
  <c r="Q200" i="40"/>
  <c r="Q201" i="40"/>
  <c r="Q202" i="40"/>
  <c r="Q203" i="40"/>
  <c r="Q204" i="40"/>
  <c r="Q205" i="40"/>
  <c r="Q206" i="40"/>
  <c r="Q207" i="40"/>
  <c r="Q208" i="40"/>
  <c r="Q209" i="40"/>
  <c r="Q210" i="40"/>
  <c r="Q211" i="40"/>
  <c r="Q212" i="40"/>
  <c r="Q213" i="40"/>
  <c r="Q214" i="40"/>
  <c r="Q215" i="40"/>
  <c r="Q216" i="40"/>
  <c r="Q217" i="40"/>
  <c r="Q218" i="40"/>
  <c r="Q219" i="40"/>
  <c r="Q220" i="40"/>
  <c r="Q221" i="40"/>
  <c r="Q222" i="40"/>
  <c r="Q223" i="40"/>
  <c r="Q224" i="40"/>
  <c r="Q225" i="40"/>
  <c r="Q226" i="40"/>
  <c r="Q227" i="40"/>
  <c r="Q228" i="40"/>
  <c r="Q229" i="40"/>
  <c r="Q230" i="40"/>
  <c r="Q231" i="40"/>
  <c r="Q232" i="40"/>
  <c r="Q233" i="40"/>
  <c r="Q234" i="40"/>
  <c r="Q235" i="40"/>
  <c r="Q236" i="40"/>
  <c r="Q237" i="40"/>
  <c r="Q238" i="40"/>
  <c r="Q239" i="40"/>
  <c r="Q240" i="40"/>
  <c r="Q241" i="40"/>
  <c r="Q242" i="40"/>
  <c r="Q243" i="40"/>
  <c r="Q244" i="40"/>
  <c r="Q245" i="40"/>
  <c r="Q246" i="40"/>
  <c r="Q247" i="40"/>
  <c r="Q248" i="40"/>
  <c r="Q249" i="40"/>
  <c r="Q250" i="40"/>
  <c r="Q251" i="40"/>
  <c r="Q252" i="40"/>
  <c r="Q253" i="40"/>
  <c r="Q254" i="40"/>
  <c r="Q255" i="40"/>
  <c r="Q256" i="40"/>
  <c r="Q257" i="40"/>
  <c r="Q258" i="40"/>
  <c r="Q259" i="40"/>
  <c r="Q260" i="40"/>
  <c r="Q261" i="40"/>
  <c r="Q262" i="40"/>
  <c r="Q263" i="40"/>
  <c r="Q264" i="40"/>
  <c r="Q265" i="40"/>
  <c r="Q266" i="40"/>
  <c r="Q267" i="40"/>
  <c r="Q268" i="40"/>
  <c r="Q269" i="40"/>
  <c r="Q270" i="40"/>
  <c r="Q271" i="40"/>
  <c r="Q272" i="40"/>
  <c r="Q273" i="40"/>
  <c r="Q274" i="40"/>
  <c r="Q275" i="40"/>
  <c r="Q276" i="40"/>
  <c r="Q277" i="40"/>
  <c r="Q278" i="40"/>
  <c r="Q279" i="40"/>
  <c r="Q280" i="40"/>
  <c r="Q281" i="40"/>
  <c r="Q282" i="40"/>
  <c r="Q283" i="40"/>
  <c r="Q284" i="40"/>
  <c r="Q285" i="40"/>
  <c r="Q286" i="40"/>
  <c r="Q287" i="40"/>
  <c r="Q288" i="40"/>
  <c r="Q289" i="40"/>
  <c r="Q290" i="40"/>
  <c r="Q291" i="40"/>
  <c r="Q292" i="40"/>
  <c r="Q293" i="40"/>
  <c r="Q294" i="40"/>
  <c r="Q295" i="40"/>
  <c r="Q296" i="40"/>
  <c r="Q297" i="40"/>
  <c r="Q298" i="40"/>
  <c r="Q299" i="40"/>
  <c r="Q300" i="40"/>
  <c r="Q301" i="40"/>
  <c r="Q302" i="40"/>
  <c r="Q303" i="40"/>
  <c r="Q304" i="40"/>
  <c r="Q305" i="40"/>
  <c r="Q306" i="40"/>
  <c r="Q307" i="40"/>
  <c r="Q308" i="40"/>
  <c r="Q309" i="40"/>
  <c r="Q310" i="40"/>
  <c r="Q311" i="40"/>
  <c r="Q312" i="40"/>
  <c r="Q313" i="40"/>
  <c r="Q314" i="40"/>
  <c r="Q315" i="40"/>
  <c r="Q316" i="40"/>
  <c r="Q317" i="40"/>
  <c r="Q318" i="40"/>
  <c r="Q319" i="40"/>
  <c r="Q320" i="40"/>
  <c r="Q321" i="40"/>
  <c r="Q322" i="40"/>
  <c r="Q323" i="40"/>
  <c r="Q324" i="40"/>
  <c r="Q325" i="40"/>
  <c r="Q326" i="40"/>
  <c r="Q327" i="40"/>
  <c r="Q328" i="40"/>
  <c r="Q329" i="40"/>
  <c r="Q330" i="40"/>
  <c r="Q331" i="40"/>
  <c r="Q332" i="40"/>
  <c r="Q333" i="40"/>
  <c r="Q334" i="40"/>
  <c r="Q335" i="40"/>
  <c r="Q336" i="40"/>
  <c r="Q337" i="40"/>
  <c r="Q338" i="40"/>
  <c r="Q339" i="40"/>
  <c r="Q340" i="40"/>
  <c r="Q341" i="40"/>
  <c r="Q342" i="40"/>
  <c r="Q343" i="40"/>
  <c r="Q344" i="40"/>
  <c r="Q345" i="40"/>
  <c r="Q346" i="40"/>
  <c r="Q347" i="40"/>
  <c r="Q348" i="40"/>
  <c r="Q349" i="40"/>
  <c r="Q350" i="40"/>
  <c r="Q351" i="40"/>
  <c r="Q352" i="40"/>
  <c r="Q353" i="40"/>
  <c r="Q354" i="40"/>
  <c r="Q359" i="40"/>
  <c r="Q360" i="40"/>
  <c r="Q361" i="40"/>
  <c r="Q362" i="40"/>
  <c r="Q363" i="40"/>
  <c r="Q364" i="40"/>
  <c r="Q365" i="40"/>
  <c r="Q366" i="40"/>
  <c r="Q367" i="40"/>
  <c r="Q368" i="40"/>
  <c r="Q369" i="40"/>
  <c r="Q370" i="40"/>
  <c r="Q371" i="40"/>
  <c r="Q372" i="40"/>
  <c r="Q373" i="40"/>
  <c r="Q374" i="40"/>
  <c r="Q375" i="40"/>
  <c r="Q376" i="40"/>
  <c r="Q377" i="40"/>
  <c r="Q378" i="40"/>
  <c r="Q379" i="40"/>
  <c r="Q380" i="40"/>
  <c r="Q381" i="40"/>
  <c r="Q382" i="40"/>
  <c r="Q383" i="40"/>
  <c r="Q384" i="40"/>
  <c r="Q385" i="40"/>
  <c r="Q386" i="40"/>
  <c r="Q387" i="40"/>
  <c r="Q388" i="40"/>
  <c r="Q389" i="40"/>
  <c r="Q390" i="40"/>
  <c r="Q391" i="40"/>
  <c r="Q392" i="40"/>
  <c r="Q397" i="40"/>
  <c r="Q399" i="40"/>
  <c r="Q400" i="40"/>
  <c r="Q401" i="40"/>
  <c r="Q402" i="40"/>
  <c r="Q403" i="40"/>
  <c r="Q404" i="40"/>
  <c r="Q405" i="40"/>
  <c r="Q406" i="40"/>
  <c r="Q411" i="40"/>
  <c r="Q413" i="40"/>
  <c r="Q414" i="40"/>
  <c r="Q415" i="40"/>
  <c r="Q416" i="40"/>
  <c r="Q417" i="40"/>
  <c r="Q418" i="40"/>
  <c r="Q419" i="40"/>
  <c r="Q420" i="40"/>
  <c r="Q422" i="40"/>
  <c r="Q424" i="40"/>
  <c r="Q425" i="40"/>
  <c r="Q427" i="40"/>
  <c r="Q428" i="40"/>
  <c r="Q430" i="40"/>
  <c r="Q431" i="40"/>
  <c r="Q432" i="40"/>
  <c r="Q433" i="40"/>
  <c r="Q437" i="40"/>
  <c r="Q442" i="40"/>
  <c r="Q443" i="40"/>
  <c r="Q446" i="40"/>
  <c r="Q447" i="40"/>
  <c r="Q448" i="40"/>
  <c r="Q449" i="40"/>
  <c r="Q450" i="40"/>
  <c r="Q453" i="40"/>
  <c r="Q454" i="40"/>
  <c r="Q455" i="40"/>
  <c r="Q457" i="40"/>
  <c r="Q458" i="40"/>
  <c r="Q459" i="40"/>
  <c r="Q468" i="40"/>
  <c r="Q469" i="40"/>
  <c r="Q470" i="40"/>
  <c r="Q471" i="40"/>
  <c r="Q472" i="40"/>
  <c r="Q473" i="40"/>
  <c r="Q474" i="40"/>
  <c r="Q475" i="40"/>
  <c r="Q476" i="40"/>
  <c r="Q477" i="40"/>
  <c r="Q478" i="40"/>
  <c r="Q485" i="40"/>
  <c r="Q487" i="40"/>
  <c r="Q488" i="40"/>
  <c r="Q490" i="40"/>
  <c r="Q491" i="40"/>
  <c r="Q492" i="40"/>
  <c r="Q493" i="40"/>
  <c r="Q494" i="40"/>
  <c r="Q495" i="40"/>
  <c r="Q496" i="40"/>
  <c r="Q497" i="40"/>
  <c r="Q498" i="40"/>
  <c r="Q499" i="40"/>
  <c r="Q500" i="40"/>
  <c r="Q501" i="40"/>
  <c r="Q502" i="40"/>
  <c r="Q503" i="40"/>
  <c r="Q504" i="40"/>
  <c r="Q505" i="40"/>
  <c r="Q506" i="40"/>
  <c r="Q507" i="40"/>
  <c r="Q508" i="40"/>
  <c r="Q510" i="40"/>
  <c r="Q511" i="40"/>
  <c r="Q513" i="40"/>
  <c r="Q515" i="40"/>
  <c r="Q516" i="40"/>
  <c r="Q517" i="40"/>
  <c r="Q518" i="40"/>
  <c r="Q519" i="40"/>
  <c r="Q520" i="40"/>
  <c r="Q522" i="40"/>
  <c r="Q523" i="40"/>
  <c r="Q524" i="40"/>
  <c r="Q525" i="40"/>
  <c r="Q527" i="40"/>
  <c r="Q528" i="40"/>
  <c r="Q531" i="40"/>
  <c r="Q532" i="40"/>
  <c r="Q533" i="40"/>
  <c r="Q534" i="40"/>
  <c r="Q535" i="40"/>
  <c r="Q536" i="40"/>
  <c r="Q537" i="40"/>
  <c r="Q538" i="40"/>
  <c r="Q539" i="40"/>
  <c r="Q540" i="40"/>
  <c r="Q541" i="40"/>
  <c r="Q542" i="40"/>
  <c r="Q543" i="40"/>
  <c r="Q544" i="40"/>
  <c r="Q545" i="40"/>
  <c r="Q546" i="40"/>
  <c r="Q547" i="40"/>
  <c r="Q548" i="40"/>
  <c r="Q549" i="40"/>
  <c r="Q550" i="40"/>
  <c r="Q551" i="40"/>
  <c r="Q552" i="40"/>
  <c r="Q553" i="40"/>
  <c r="Q554" i="40"/>
  <c r="Q555" i="40"/>
  <c r="Q556" i="40"/>
  <c r="Q557" i="40"/>
  <c r="Q558" i="40"/>
  <c r="Q559" i="40"/>
  <c r="Q560" i="40"/>
  <c r="Q561" i="40"/>
  <c r="Q562" i="40"/>
  <c r="N19" i="40"/>
  <c r="N20" i="40"/>
  <c r="N21" i="40"/>
  <c r="N22" i="40"/>
  <c r="N23" i="40"/>
  <c r="N24" i="40"/>
  <c r="N25" i="40"/>
  <c r="N26" i="40"/>
  <c r="N27" i="40"/>
  <c r="N28" i="40"/>
  <c r="N29" i="40"/>
  <c r="N30" i="40"/>
  <c r="N31" i="40"/>
  <c r="N32" i="40"/>
  <c r="N33" i="40"/>
  <c r="N34" i="40"/>
  <c r="N35" i="40"/>
  <c r="N36" i="40"/>
  <c r="N37" i="40"/>
  <c r="N38" i="40"/>
  <c r="N39" i="40"/>
  <c r="N40" i="40"/>
  <c r="N41" i="40"/>
  <c r="N42" i="40"/>
  <c r="N43" i="40"/>
  <c r="N44" i="40"/>
  <c r="N45" i="40"/>
  <c r="N46" i="40"/>
  <c r="N47" i="40"/>
  <c r="N48" i="40"/>
  <c r="N49" i="40"/>
  <c r="N50" i="40"/>
  <c r="N51" i="40"/>
  <c r="N52" i="40"/>
  <c r="N53" i="40"/>
  <c r="N54" i="40"/>
  <c r="N55" i="40"/>
  <c r="N56" i="40"/>
  <c r="N57" i="40"/>
  <c r="N58" i="40"/>
  <c r="N59" i="40"/>
  <c r="N60" i="40"/>
  <c r="N61" i="40"/>
  <c r="N62" i="40"/>
  <c r="N63" i="40"/>
  <c r="N64" i="40"/>
  <c r="N65" i="40"/>
  <c r="N66" i="40"/>
  <c r="N67" i="40"/>
  <c r="N68" i="40"/>
  <c r="N69" i="40"/>
  <c r="N70" i="40"/>
  <c r="N71" i="40"/>
  <c r="N72" i="40"/>
  <c r="N73" i="40"/>
  <c r="N74" i="40"/>
  <c r="N75" i="40"/>
  <c r="N76" i="40"/>
  <c r="N77" i="40"/>
  <c r="N78" i="40"/>
  <c r="N79" i="40"/>
  <c r="N80" i="40"/>
  <c r="N100" i="40"/>
  <c r="N101" i="40"/>
  <c r="N102" i="40"/>
  <c r="N103" i="40"/>
  <c r="N104" i="40"/>
  <c r="N105" i="40"/>
  <c r="N106" i="40"/>
  <c r="N107" i="40"/>
  <c r="N108" i="40"/>
  <c r="N109" i="40"/>
  <c r="N110" i="40"/>
  <c r="N111" i="40"/>
  <c r="N112" i="40"/>
  <c r="N113" i="40"/>
  <c r="N114" i="40"/>
  <c r="N115" i="40"/>
  <c r="N116" i="40"/>
  <c r="N117" i="40"/>
  <c r="N118" i="40"/>
  <c r="N119" i="40"/>
  <c r="N120" i="40"/>
  <c r="N121" i="40"/>
  <c r="N122" i="40"/>
  <c r="N123" i="40"/>
  <c r="N124" i="40"/>
  <c r="N125" i="40"/>
  <c r="N126" i="40"/>
  <c r="N127" i="40"/>
  <c r="N128" i="40"/>
  <c r="N129" i="40"/>
  <c r="N130" i="40"/>
  <c r="N131" i="40"/>
  <c r="N132" i="40"/>
  <c r="N133" i="40"/>
  <c r="N134" i="40"/>
  <c r="N135" i="40"/>
  <c r="N136" i="40"/>
  <c r="N137" i="40"/>
  <c r="N138" i="40"/>
  <c r="N139" i="40"/>
  <c r="N140" i="40"/>
  <c r="N141" i="40"/>
  <c r="N142" i="40"/>
  <c r="N143" i="40"/>
  <c r="N144" i="40"/>
  <c r="N145" i="40"/>
  <c r="N146" i="40"/>
  <c r="N147" i="40"/>
  <c r="N149" i="40"/>
  <c r="N151" i="40"/>
  <c r="N152" i="40"/>
  <c r="N153" i="40"/>
  <c r="N154" i="40"/>
  <c r="N155" i="40"/>
  <c r="N156" i="40"/>
  <c r="N157" i="40"/>
  <c r="N158" i="40"/>
  <c r="N159" i="40"/>
  <c r="N160" i="40"/>
  <c r="N161" i="40"/>
  <c r="N163" i="40"/>
  <c r="N164" i="40"/>
  <c r="N165" i="40"/>
  <c r="N167" i="40"/>
  <c r="N168" i="40"/>
  <c r="N169" i="40"/>
  <c r="N170" i="40"/>
  <c r="N171" i="40"/>
  <c r="N172" i="40"/>
  <c r="N173" i="40"/>
  <c r="N175" i="40"/>
  <c r="N176" i="40"/>
  <c r="N177" i="40"/>
  <c r="N178" i="40"/>
  <c r="N179" i="40"/>
  <c r="N180" i="40"/>
  <c r="N181" i="40"/>
  <c r="N182" i="40"/>
  <c r="N183" i="40"/>
  <c r="N184" i="40"/>
  <c r="N185" i="40"/>
  <c r="N186" i="40"/>
  <c r="N187" i="40"/>
  <c r="N188" i="40"/>
  <c r="N189" i="40"/>
  <c r="N190" i="40"/>
  <c r="N191" i="40"/>
  <c r="N192" i="40"/>
  <c r="N193" i="40"/>
  <c r="N194" i="40"/>
  <c r="N195" i="40"/>
  <c r="N196" i="40"/>
  <c r="N197" i="40"/>
  <c r="N198" i="40"/>
  <c r="N199" i="40"/>
  <c r="N200" i="40"/>
  <c r="N201" i="40"/>
  <c r="N202" i="40"/>
  <c r="N203" i="40"/>
  <c r="N204" i="40"/>
  <c r="N205" i="40"/>
  <c r="N206" i="40"/>
  <c r="N207" i="40"/>
  <c r="N208" i="40"/>
  <c r="N209" i="40"/>
  <c r="N210" i="40"/>
  <c r="N211" i="40"/>
  <c r="N212" i="40"/>
  <c r="N213" i="40"/>
  <c r="N214" i="40"/>
  <c r="N215" i="40"/>
  <c r="N216" i="40"/>
  <c r="N217" i="40"/>
  <c r="N218" i="40"/>
  <c r="N219" i="40"/>
  <c r="N220" i="40"/>
  <c r="N221" i="40"/>
  <c r="N222" i="40"/>
  <c r="N223" i="40"/>
  <c r="N224" i="40"/>
  <c r="N225" i="40"/>
  <c r="N226" i="40"/>
  <c r="N227" i="40"/>
  <c r="N228" i="40"/>
  <c r="N229" i="40"/>
  <c r="N230" i="40"/>
  <c r="N231" i="40"/>
  <c r="N232" i="40"/>
  <c r="N233" i="40"/>
  <c r="N234" i="40"/>
  <c r="N235" i="40"/>
  <c r="N236" i="40"/>
  <c r="N237" i="40"/>
  <c r="N238" i="40"/>
  <c r="N239" i="40"/>
  <c r="N240" i="40"/>
  <c r="N241" i="40"/>
  <c r="N242" i="40"/>
  <c r="N243" i="40"/>
  <c r="N244" i="40"/>
  <c r="N245" i="40"/>
  <c r="N246" i="40"/>
  <c r="N247" i="40"/>
  <c r="N248" i="40"/>
  <c r="N249" i="40"/>
  <c r="N250" i="40"/>
  <c r="N251" i="40"/>
  <c r="N252" i="40"/>
  <c r="N253" i="40"/>
  <c r="N254" i="40"/>
  <c r="N255" i="40"/>
  <c r="N256" i="40"/>
  <c r="N257" i="40"/>
  <c r="N258" i="40"/>
  <c r="N259" i="40"/>
  <c r="N260" i="40"/>
  <c r="N261" i="40"/>
  <c r="N262" i="40"/>
  <c r="N263" i="40"/>
  <c r="N264" i="40"/>
  <c r="N265" i="40"/>
  <c r="N266" i="40"/>
  <c r="N267" i="40"/>
  <c r="N268" i="40"/>
  <c r="N269" i="40"/>
  <c r="N270" i="40"/>
  <c r="N271" i="40"/>
  <c r="N272" i="40"/>
  <c r="N273" i="40"/>
  <c r="N274" i="40"/>
  <c r="N275" i="40"/>
  <c r="N276" i="40"/>
  <c r="N277" i="40"/>
  <c r="N278" i="40"/>
  <c r="N279" i="40"/>
  <c r="N280" i="40"/>
  <c r="N281" i="40"/>
  <c r="N282" i="40"/>
  <c r="N283" i="40"/>
  <c r="N284" i="40"/>
  <c r="N285" i="40"/>
  <c r="N286" i="40"/>
  <c r="N287" i="40"/>
  <c r="N288" i="40"/>
  <c r="N289" i="40"/>
  <c r="N290" i="40"/>
  <c r="N291" i="40"/>
  <c r="N292" i="40"/>
  <c r="N293" i="40"/>
  <c r="N294" i="40"/>
  <c r="N295" i="40"/>
  <c r="N296" i="40"/>
  <c r="N297" i="40"/>
  <c r="N298" i="40"/>
  <c r="N299" i="40"/>
  <c r="N300" i="40"/>
  <c r="N301" i="40"/>
  <c r="N302" i="40"/>
  <c r="N303" i="40"/>
  <c r="N304" i="40"/>
  <c r="N305" i="40"/>
  <c r="N306" i="40"/>
  <c r="N307" i="40"/>
  <c r="N308" i="40"/>
  <c r="N309" i="40"/>
  <c r="N310" i="40"/>
  <c r="N311" i="40"/>
  <c r="N312" i="40"/>
  <c r="N313" i="40"/>
  <c r="N314" i="40"/>
  <c r="N315" i="40"/>
  <c r="N316" i="40"/>
  <c r="N317" i="40"/>
  <c r="N318" i="40"/>
  <c r="N319" i="40"/>
  <c r="N320" i="40"/>
  <c r="N322" i="40"/>
  <c r="N323" i="40"/>
  <c r="N324" i="40"/>
  <c r="N325" i="40"/>
  <c r="N327" i="40"/>
  <c r="N328" i="40"/>
  <c r="N329" i="40"/>
  <c r="N330" i="40"/>
  <c r="N331" i="40"/>
  <c r="N332" i="40"/>
  <c r="N333" i="40"/>
  <c r="N334" i="40"/>
  <c r="N335" i="40"/>
  <c r="N336" i="40"/>
  <c r="N337" i="40"/>
  <c r="N338" i="40"/>
  <c r="N339" i="40"/>
  <c r="N340" i="40"/>
  <c r="N341" i="40"/>
  <c r="N342" i="40"/>
  <c r="N343" i="40"/>
  <c r="N344" i="40"/>
  <c r="N345" i="40"/>
  <c r="N346" i="40"/>
  <c r="N347" i="40"/>
  <c r="N348" i="40"/>
  <c r="N349" i="40"/>
  <c r="N350" i="40"/>
  <c r="N351" i="40"/>
  <c r="N352" i="40"/>
  <c r="N353" i="40"/>
  <c r="N354" i="40"/>
  <c r="N359" i="40"/>
  <c r="N360" i="40"/>
  <c r="N361" i="40"/>
  <c r="N362" i="40"/>
  <c r="N363" i="40"/>
  <c r="N364" i="40"/>
  <c r="N365" i="40"/>
  <c r="N366" i="40"/>
  <c r="N367" i="40"/>
  <c r="N368" i="40"/>
  <c r="N369" i="40"/>
  <c r="N370" i="40"/>
  <c r="N371" i="40"/>
  <c r="N372" i="40"/>
  <c r="N373" i="40"/>
  <c r="N374" i="40"/>
  <c r="N375" i="40"/>
  <c r="N376" i="40"/>
  <c r="N377" i="40"/>
  <c r="N378" i="40"/>
  <c r="N379" i="40"/>
  <c r="N380" i="40"/>
  <c r="N381" i="40"/>
  <c r="N382" i="40"/>
  <c r="N383" i="40"/>
  <c r="N384" i="40"/>
  <c r="N385" i="40"/>
  <c r="N386" i="40"/>
  <c r="N387" i="40"/>
  <c r="N388" i="40"/>
  <c r="N389" i="40"/>
  <c r="N390" i="40"/>
  <c r="N391" i="40"/>
  <c r="N392" i="40"/>
  <c r="N397" i="40"/>
  <c r="N399" i="40"/>
  <c r="N400" i="40"/>
  <c r="N401" i="40"/>
  <c r="N402" i="40"/>
  <c r="N403" i="40"/>
  <c r="N404" i="40"/>
  <c r="N405" i="40"/>
  <c r="N406" i="40"/>
  <c r="N411" i="40"/>
  <c r="N413" i="40"/>
  <c r="N414" i="40"/>
  <c r="N415" i="40"/>
  <c r="N416" i="40"/>
  <c r="N417" i="40"/>
  <c r="N418" i="40"/>
  <c r="N419" i="40"/>
  <c r="N420" i="40"/>
  <c r="N422" i="40"/>
  <c r="N424" i="40"/>
  <c r="N425" i="40"/>
  <c r="N427" i="40"/>
  <c r="N428" i="40"/>
  <c r="N430" i="40"/>
  <c r="N431" i="40"/>
  <c r="N432" i="40"/>
  <c r="N433" i="40"/>
  <c r="N437" i="40"/>
  <c r="N442" i="40"/>
  <c r="N443" i="40"/>
  <c r="N446" i="40"/>
  <c r="N447" i="40"/>
  <c r="N448" i="40"/>
  <c r="N449" i="40"/>
  <c r="N450" i="40"/>
  <c r="N453" i="40"/>
  <c r="N454" i="40"/>
  <c r="N455" i="40"/>
  <c r="N457" i="40"/>
  <c r="N458" i="40"/>
  <c r="N459" i="40"/>
  <c r="N468" i="40"/>
  <c r="N469" i="40"/>
  <c r="N470" i="40"/>
  <c r="N471" i="40"/>
  <c r="N472" i="40"/>
  <c r="N473" i="40"/>
  <c r="N474" i="40"/>
  <c r="N475" i="40"/>
  <c r="N476" i="40"/>
  <c r="N477" i="40"/>
  <c r="N478" i="40"/>
  <c r="N485" i="40"/>
  <c r="N487" i="40"/>
  <c r="N488" i="40"/>
  <c r="N490" i="40"/>
  <c r="N491" i="40"/>
  <c r="N492" i="40"/>
  <c r="N493" i="40"/>
  <c r="N494" i="40"/>
  <c r="N495" i="40"/>
  <c r="N496" i="40"/>
  <c r="N497" i="40"/>
  <c r="N498" i="40"/>
  <c r="N499" i="40"/>
  <c r="N500" i="40"/>
  <c r="N501" i="40"/>
  <c r="N502" i="40"/>
  <c r="N503" i="40"/>
  <c r="N504" i="40"/>
  <c r="N505" i="40"/>
  <c r="N506" i="40"/>
  <c r="N507" i="40"/>
  <c r="N508" i="40"/>
  <c r="N510" i="40"/>
  <c r="N511" i="40"/>
  <c r="N513" i="40"/>
  <c r="N515" i="40"/>
  <c r="N516" i="40"/>
  <c r="N517" i="40"/>
  <c r="N518" i="40"/>
  <c r="N519" i="40"/>
  <c r="N520" i="40"/>
  <c r="N522" i="40"/>
  <c r="N523" i="40"/>
  <c r="N524" i="40"/>
  <c r="N525" i="40"/>
  <c r="N527" i="40"/>
  <c r="N528" i="40"/>
  <c r="N531" i="40"/>
  <c r="N532" i="40"/>
  <c r="N533" i="40"/>
  <c r="N534" i="40"/>
  <c r="N535" i="40"/>
  <c r="N536" i="40"/>
  <c r="N537" i="40"/>
  <c r="N538" i="40"/>
  <c r="N539" i="40"/>
  <c r="N540" i="40"/>
  <c r="N541" i="40"/>
  <c r="N542" i="40"/>
  <c r="N543" i="40"/>
  <c r="N544" i="40"/>
  <c r="N545" i="40"/>
  <c r="N546" i="40"/>
  <c r="N547" i="40"/>
  <c r="N548" i="40"/>
  <c r="N549" i="40"/>
  <c r="N550" i="40"/>
  <c r="N551" i="40"/>
  <c r="N552" i="40"/>
  <c r="N553" i="40"/>
  <c r="N554" i="40"/>
  <c r="N555" i="40"/>
  <c r="N556" i="40"/>
  <c r="N557" i="40"/>
  <c r="N558" i="40"/>
  <c r="N559" i="40"/>
  <c r="N560" i="40"/>
  <c r="N561" i="40"/>
  <c r="N562" i="40"/>
  <c r="K21" i="47"/>
  <c r="K26" i="47"/>
  <c r="K28" i="47"/>
  <c r="K29" i="47"/>
  <c r="K30" i="47"/>
  <c r="K31" i="47"/>
  <c r="K32" i="47"/>
  <c r="K33" i="47"/>
  <c r="K34" i="47"/>
  <c r="K35" i="47"/>
  <c r="K41" i="47"/>
  <c r="K42" i="47"/>
  <c r="K43" i="47"/>
  <c r="K44" i="47"/>
  <c r="K45" i="47"/>
  <c r="K46" i="47"/>
  <c r="K47" i="47"/>
  <c r="K48" i="47"/>
  <c r="K49" i="47"/>
  <c r="K51" i="47"/>
  <c r="K53" i="47"/>
  <c r="K54" i="47"/>
  <c r="K56" i="47"/>
  <c r="K58" i="47"/>
  <c r="K59" i="47"/>
  <c r="K60" i="47"/>
  <c r="K61" i="47"/>
  <c r="K62" i="47"/>
  <c r="K66" i="47"/>
  <c r="K71" i="47"/>
  <c r="K72" i="47"/>
  <c r="K75" i="47"/>
  <c r="K76" i="47"/>
  <c r="K77" i="47"/>
  <c r="K78" i="47"/>
  <c r="K79" i="47"/>
  <c r="K82" i="47"/>
  <c r="K83" i="47"/>
  <c r="K84" i="47"/>
  <c r="K86" i="47"/>
  <c r="K91" i="47"/>
  <c r="K92" i="47"/>
  <c r="K97" i="47"/>
  <c r="K98" i="47"/>
  <c r="K99" i="47"/>
  <c r="K100" i="47"/>
  <c r="K101" i="47"/>
  <c r="K102" i="47"/>
  <c r="K103" i="47"/>
  <c r="K104" i="47"/>
  <c r="K105" i="47"/>
  <c r="K106" i="47"/>
  <c r="K107" i="47"/>
  <c r="K114" i="47"/>
  <c r="K115" i="47"/>
  <c r="K117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L130" i="47" s="1"/>
  <c r="K131" i="47"/>
  <c r="K132" i="47"/>
  <c r="L132" i="47" s="1"/>
  <c r="K133" i="47"/>
  <c r="L133" i="47" s="1"/>
  <c r="K134" i="47"/>
  <c r="K135" i="47"/>
  <c r="L135" i="47" s="1"/>
  <c r="K136" i="47"/>
  <c r="L136" i="47" s="1"/>
  <c r="K137" i="47"/>
  <c r="K139" i="47"/>
  <c r="K140" i="47"/>
  <c r="L140" i="47" s="1"/>
  <c r="K142" i="47"/>
  <c r="K144" i="47"/>
  <c r="K145" i="47"/>
  <c r="K146" i="47"/>
  <c r="K147" i="47"/>
  <c r="K148" i="47"/>
  <c r="L148" i="47" s="1"/>
  <c r="K149" i="47"/>
  <c r="L149" i="47" s="1"/>
  <c r="K155" i="47"/>
  <c r="K151" i="47"/>
  <c r="L151" i="47" s="1"/>
  <c r="K153" i="47"/>
  <c r="K154" i="47"/>
  <c r="L154" i="47" s="1"/>
  <c r="K156" i="47"/>
  <c r="K157" i="47"/>
  <c r="K160" i="47"/>
  <c r="K161" i="47"/>
  <c r="K162" i="47"/>
  <c r="K163" i="47"/>
  <c r="K164" i="47"/>
  <c r="L164" i="47" s="1"/>
  <c r="K165" i="47"/>
  <c r="L165" i="47" s="1"/>
  <c r="K166" i="47"/>
  <c r="K167" i="47"/>
  <c r="K168" i="47"/>
  <c r="K169" i="47"/>
  <c r="K170" i="47"/>
  <c r="K171" i="47"/>
  <c r="K172" i="47"/>
  <c r="K173" i="47"/>
  <c r="L173" i="47" s="1"/>
  <c r="K174" i="47"/>
  <c r="K175" i="47"/>
  <c r="K176" i="47"/>
  <c r="K177" i="47"/>
  <c r="K178" i="47"/>
  <c r="K179" i="47"/>
  <c r="K180" i="47"/>
  <c r="K181" i="47"/>
  <c r="K182" i="47"/>
  <c r="K183" i="47"/>
  <c r="L183" i="47" s="1"/>
  <c r="K184" i="47"/>
  <c r="L184" i="47" s="1"/>
  <c r="K185" i="47"/>
  <c r="L185" i="47" s="1"/>
  <c r="K186" i="47"/>
  <c r="L186" i="47" s="1"/>
  <c r="M10" i="46"/>
  <c r="Q10" i="46"/>
  <c r="Q11" i="46"/>
  <c r="Q12" i="46"/>
  <c r="Q14" i="46"/>
  <c r="Q15" i="46"/>
  <c r="O10" i="46"/>
  <c r="O11" i="46"/>
  <c r="O12" i="46"/>
  <c r="O14" i="46"/>
  <c r="O15" i="46"/>
  <c r="O16" i="46"/>
  <c r="O17" i="46"/>
  <c r="O18" i="46"/>
  <c r="O19" i="46"/>
  <c r="O20" i="46"/>
  <c r="O21" i="46"/>
  <c r="M11" i="46"/>
  <c r="M12" i="46"/>
  <c r="M14" i="46"/>
  <c r="M15" i="46"/>
  <c r="M16" i="46"/>
  <c r="M17" i="46"/>
  <c r="M18" i="46"/>
  <c r="M19" i="46"/>
  <c r="M20" i="46"/>
  <c r="M21" i="46"/>
  <c r="S19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36" i="45"/>
  <c r="U37" i="45"/>
  <c r="U38" i="45"/>
  <c r="U39" i="45"/>
  <c r="U40" i="45"/>
  <c r="U41" i="45"/>
  <c r="U42" i="45"/>
  <c r="U43" i="45"/>
  <c r="U44" i="45"/>
  <c r="U45" i="45"/>
  <c r="U46" i="45"/>
  <c r="U47" i="45"/>
  <c r="U48" i="45"/>
  <c r="U49" i="45"/>
  <c r="U50" i="45"/>
  <c r="U51" i="45"/>
  <c r="U52" i="45"/>
  <c r="U53" i="45"/>
  <c r="U54" i="45"/>
  <c r="U55" i="45"/>
  <c r="U56" i="45"/>
  <c r="U57" i="45"/>
  <c r="U58" i="45"/>
  <c r="U59" i="45"/>
  <c r="U60" i="45"/>
  <c r="U61" i="45"/>
  <c r="U62" i="45"/>
  <c r="U63" i="45"/>
  <c r="U64" i="45"/>
  <c r="U65" i="45"/>
  <c r="U66" i="45"/>
  <c r="U67" i="45"/>
  <c r="U68" i="45"/>
  <c r="U69" i="45"/>
  <c r="U70" i="45"/>
  <c r="U71" i="45"/>
  <c r="U72" i="45"/>
  <c r="U73" i="45"/>
  <c r="U74" i="45"/>
  <c r="U75" i="45"/>
  <c r="U76" i="45"/>
  <c r="U77" i="45"/>
  <c r="U78" i="45"/>
  <c r="U79" i="45"/>
  <c r="U80" i="45"/>
  <c r="U81" i="45"/>
  <c r="U82" i="45"/>
  <c r="U83" i="45"/>
  <c r="U84" i="45"/>
  <c r="U85" i="45"/>
  <c r="U86" i="45"/>
  <c r="U87" i="45"/>
  <c r="U88" i="45"/>
  <c r="U89" i="45"/>
  <c r="U90" i="45"/>
  <c r="U91" i="45"/>
  <c r="U92" i="45"/>
  <c r="U93" i="45"/>
  <c r="U94" i="45"/>
  <c r="U95" i="45"/>
  <c r="U96" i="45"/>
  <c r="U97" i="45"/>
  <c r="U98" i="45"/>
  <c r="U99" i="45"/>
  <c r="U100" i="45"/>
  <c r="U101" i="45"/>
  <c r="U102" i="45"/>
  <c r="U103" i="45"/>
  <c r="U104" i="45"/>
  <c r="U105" i="45"/>
  <c r="U106" i="45"/>
  <c r="U107" i="45"/>
  <c r="U108" i="45"/>
  <c r="U109" i="45"/>
  <c r="U110" i="45"/>
  <c r="U111" i="45"/>
  <c r="U112" i="45"/>
  <c r="U113" i="45"/>
  <c r="U114" i="45"/>
  <c r="U115" i="45"/>
  <c r="U116" i="45"/>
  <c r="U117" i="45"/>
  <c r="U118" i="45"/>
  <c r="U119" i="45"/>
  <c r="U120" i="45"/>
  <c r="U121" i="45"/>
  <c r="U122" i="45"/>
  <c r="U123" i="45"/>
  <c r="U124" i="45"/>
  <c r="U125" i="45"/>
  <c r="U126" i="45"/>
  <c r="U127" i="45"/>
  <c r="U128" i="45"/>
  <c r="U129" i="45"/>
  <c r="U130" i="45"/>
  <c r="U131" i="45"/>
  <c r="U132" i="45"/>
  <c r="U133" i="45"/>
  <c r="U134" i="45"/>
  <c r="U135" i="45"/>
  <c r="U136" i="45"/>
  <c r="U137" i="45"/>
  <c r="U138" i="45"/>
  <c r="U139" i="45"/>
  <c r="U140" i="45"/>
  <c r="U141" i="45"/>
  <c r="U142" i="45"/>
  <c r="U143" i="45"/>
  <c r="U144" i="45"/>
  <c r="U145" i="45"/>
  <c r="U146" i="45"/>
  <c r="U147" i="45"/>
  <c r="U148" i="45"/>
  <c r="U149" i="45"/>
  <c r="U150" i="45"/>
  <c r="U151" i="45"/>
  <c r="U152" i="45"/>
  <c r="U153" i="45"/>
  <c r="S20" i="45"/>
  <c r="S21" i="45"/>
  <c r="S22" i="45"/>
  <c r="S23" i="45"/>
  <c r="S24" i="45"/>
  <c r="S25" i="45"/>
  <c r="S26" i="45"/>
  <c r="S27" i="45"/>
  <c r="S28" i="45"/>
  <c r="S29" i="45"/>
  <c r="S30" i="45"/>
  <c r="S31" i="45"/>
  <c r="S32" i="45"/>
  <c r="S33" i="45"/>
  <c r="S34" i="45"/>
  <c r="S35" i="45"/>
  <c r="S36" i="45"/>
  <c r="S37" i="45"/>
  <c r="S38" i="45"/>
  <c r="S39" i="45"/>
  <c r="S40" i="45"/>
  <c r="S41" i="45"/>
  <c r="S42" i="45"/>
  <c r="S43" i="45"/>
  <c r="S44" i="45"/>
  <c r="S45" i="45"/>
  <c r="S46" i="45"/>
  <c r="S47" i="45"/>
  <c r="S48" i="45"/>
  <c r="S49" i="45"/>
  <c r="S50" i="45"/>
  <c r="S51" i="45"/>
  <c r="S52" i="45"/>
  <c r="S53" i="45"/>
  <c r="S54" i="45"/>
  <c r="S55" i="45"/>
  <c r="S56" i="45"/>
  <c r="S57" i="45"/>
  <c r="S58" i="45"/>
  <c r="S59" i="45"/>
  <c r="S60" i="45"/>
  <c r="S61" i="45"/>
  <c r="S62" i="45"/>
  <c r="S63" i="45"/>
  <c r="S64" i="45"/>
  <c r="S65" i="45"/>
  <c r="S66" i="45"/>
  <c r="S67" i="45"/>
  <c r="S68" i="45"/>
  <c r="S69" i="45"/>
  <c r="S70" i="45"/>
  <c r="S71" i="45"/>
  <c r="S72" i="45"/>
  <c r="S73" i="45"/>
  <c r="S74" i="45"/>
  <c r="S75" i="45"/>
  <c r="S76" i="45"/>
  <c r="S77" i="45"/>
  <c r="S78" i="45"/>
  <c r="S79" i="45"/>
  <c r="S80" i="45"/>
  <c r="S81" i="45"/>
  <c r="S82" i="45"/>
  <c r="S83" i="45"/>
  <c r="S84" i="45"/>
  <c r="S85" i="45"/>
  <c r="S86" i="45"/>
  <c r="S87" i="45"/>
  <c r="S88" i="45"/>
  <c r="S89" i="45"/>
  <c r="S90" i="45"/>
  <c r="S91" i="45"/>
  <c r="S92" i="45"/>
  <c r="S93" i="45"/>
  <c r="S94" i="45"/>
  <c r="S95" i="45"/>
  <c r="S96" i="45"/>
  <c r="S97" i="45"/>
  <c r="S98" i="45"/>
  <c r="S99" i="45"/>
  <c r="S100" i="45"/>
  <c r="S101" i="45"/>
  <c r="S102" i="45"/>
  <c r="S103" i="45"/>
  <c r="S104" i="45"/>
  <c r="S105" i="45"/>
  <c r="S106" i="45"/>
  <c r="S107" i="45"/>
  <c r="S108" i="45"/>
  <c r="S109" i="45"/>
  <c r="S110" i="45"/>
  <c r="S111" i="45"/>
  <c r="S112" i="45"/>
  <c r="S113" i="45"/>
  <c r="S114" i="45"/>
  <c r="S115" i="45"/>
  <c r="S116" i="45"/>
  <c r="S117" i="45"/>
  <c r="S118" i="45"/>
  <c r="S119" i="45"/>
  <c r="S120" i="45"/>
  <c r="S121" i="45"/>
  <c r="S122" i="45"/>
  <c r="S123" i="45"/>
  <c r="S124" i="45"/>
  <c r="S125" i="45"/>
  <c r="S126" i="45"/>
  <c r="S127" i="45"/>
  <c r="S128" i="45"/>
  <c r="S129" i="45"/>
  <c r="S130" i="45"/>
  <c r="S131" i="45"/>
  <c r="S132" i="45"/>
  <c r="S133" i="45"/>
  <c r="S134" i="45"/>
  <c r="S135" i="45"/>
  <c r="S136" i="45"/>
  <c r="S137" i="45"/>
  <c r="S138" i="45"/>
  <c r="S139" i="45"/>
  <c r="S140" i="45"/>
  <c r="S141" i="45"/>
  <c r="S142" i="45"/>
  <c r="S143" i="45"/>
  <c r="S144" i="45"/>
  <c r="S145" i="45"/>
  <c r="S146" i="45"/>
  <c r="S147" i="45"/>
  <c r="S148" i="45"/>
  <c r="S149" i="45"/>
  <c r="S150" i="45"/>
  <c r="S151" i="45"/>
  <c r="S152" i="45"/>
  <c r="S153" i="45"/>
  <c r="L10" i="44"/>
  <c r="L11" i="44"/>
  <c r="L12" i="44"/>
  <c r="L13" i="44"/>
  <c r="L14" i="44"/>
  <c r="L15" i="44"/>
  <c r="L16" i="44"/>
  <c r="L17" i="44"/>
  <c r="L18" i="44"/>
  <c r="L19" i="44"/>
  <c r="R25" i="43"/>
  <c r="N10" i="44"/>
  <c r="N11" i="44"/>
  <c r="N12" i="44"/>
  <c r="N13" i="44"/>
  <c r="N14" i="44"/>
  <c r="N15" i="44"/>
  <c r="N16" i="44"/>
  <c r="N17" i="44"/>
  <c r="N18" i="44"/>
  <c r="N19" i="44"/>
  <c r="V44" i="43"/>
  <c r="V45" i="43"/>
  <c r="T25" i="43"/>
  <c r="T26" i="43"/>
  <c r="T27" i="43"/>
  <c r="T28" i="43"/>
  <c r="T29" i="43"/>
  <c r="T30" i="43"/>
  <c r="T31" i="43"/>
  <c r="T32" i="43"/>
  <c r="T33" i="43"/>
  <c r="T34" i="43"/>
  <c r="T35" i="43"/>
  <c r="T36" i="43"/>
  <c r="T37" i="43"/>
  <c r="T38" i="43"/>
  <c r="T39" i="43"/>
  <c r="T40" i="43"/>
  <c r="T41" i="43"/>
  <c r="T42" i="43"/>
  <c r="T43" i="43"/>
  <c r="T44" i="43"/>
  <c r="T45" i="43"/>
  <c r="T46" i="43"/>
  <c r="T47" i="43"/>
  <c r="T48" i="43"/>
  <c r="T49" i="43"/>
  <c r="T50" i="43"/>
  <c r="R26" i="43"/>
  <c r="R27" i="43"/>
  <c r="R28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48" i="43"/>
  <c r="R49" i="43"/>
  <c r="R50" i="43"/>
  <c r="P136" i="41"/>
  <c r="P137" i="41"/>
  <c r="P138" i="41"/>
  <c r="P139" i="41"/>
  <c r="P140" i="41"/>
  <c r="P161" i="41"/>
  <c r="P162" i="41"/>
  <c r="P163" i="41"/>
  <c r="P165" i="41"/>
  <c r="P166" i="41"/>
  <c r="P167" i="41"/>
  <c r="N6" i="41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N59" i="41"/>
  <c r="N60" i="41"/>
  <c r="N61" i="41"/>
  <c r="N62" i="41"/>
  <c r="N63" i="41"/>
  <c r="N64" i="41"/>
  <c r="N65" i="41"/>
  <c r="N66" i="41"/>
  <c r="N67" i="41"/>
  <c r="N68" i="41"/>
  <c r="N69" i="41"/>
  <c r="N70" i="41"/>
  <c r="N71" i="41"/>
  <c r="N72" i="41"/>
  <c r="N73" i="41"/>
  <c r="N74" i="41"/>
  <c r="N75" i="41"/>
  <c r="N76" i="41"/>
  <c r="N77" i="41"/>
  <c r="N78" i="41"/>
  <c r="N79" i="41"/>
  <c r="N80" i="41"/>
  <c r="N81" i="41"/>
  <c r="N82" i="41"/>
  <c r="N83" i="41"/>
  <c r="N84" i="41"/>
  <c r="N85" i="41"/>
  <c r="N86" i="41"/>
  <c r="N87" i="41"/>
  <c r="N88" i="41"/>
  <c r="N89" i="41"/>
  <c r="N90" i="41"/>
  <c r="N91" i="41"/>
  <c r="N92" i="41"/>
  <c r="N93" i="41"/>
  <c r="N94" i="41"/>
  <c r="N95" i="41"/>
  <c r="N96" i="41"/>
  <c r="N97" i="41"/>
  <c r="N98" i="41"/>
  <c r="N99" i="41"/>
  <c r="N100" i="41"/>
  <c r="N101" i="41"/>
  <c r="N102" i="41"/>
  <c r="N103" i="41"/>
  <c r="N104" i="41"/>
  <c r="N105" i="41"/>
  <c r="N106" i="41"/>
  <c r="N107" i="41"/>
  <c r="N108" i="41"/>
  <c r="N109" i="41"/>
  <c r="N110" i="41"/>
  <c r="N111" i="41"/>
  <c r="N112" i="41"/>
  <c r="N113" i="41"/>
  <c r="N114" i="41"/>
  <c r="N115" i="41"/>
  <c r="N116" i="41"/>
  <c r="N117" i="41"/>
  <c r="N118" i="41"/>
  <c r="N119" i="41"/>
  <c r="N120" i="41"/>
  <c r="N121" i="41"/>
  <c r="N122" i="41"/>
  <c r="N123" i="41"/>
  <c r="N124" i="41"/>
  <c r="N125" i="41"/>
  <c r="N126" i="41"/>
  <c r="N127" i="41"/>
  <c r="N128" i="41"/>
  <c r="N129" i="41"/>
  <c r="N130" i="41"/>
  <c r="N131" i="41"/>
  <c r="N132" i="41"/>
  <c r="N133" i="41"/>
  <c r="N134" i="41"/>
  <c r="N135" i="41"/>
  <c r="N136" i="41"/>
  <c r="N137" i="41"/>
  <c r="N138" i="41"/>
  <c r="N139" i="41"/>
  <c r="N140" i="41"/>
  <c r="N141" i="41"/>
  <c r="N142" i="41"/>
  <c r="N143" i="41"/>
  <c r="N144" i="41"/>
  <c r="N145" i="41"/>
  <c r="N146" i="41"/>
  <c r="N147" i="41"/>
  <c r="N148" i="41"/>
  <c r="N149" i="41"/>
  <c r="N150" i="41"/>
  <c r="N151" i="41"/>
  <c r="N152" i="41"/>
  <c r="N153" i="41"/>
  <c r="N154" i="41"/>
  <c r="N155" i="41"/>
  <c r="N156" i="41"/>
  <c r="N157" i="41"/>
  <c r="N158" i="41"/>
  <c r="N159" i="41"/>
  <c r="N160" i="41"/>
  <c r="N161" i="41"/>
  <c r="N162" i="41"/>
  <c r="N163" i="41"/>
  <c r="N165" i="41"/>
  <c r="N166" i="41"/>
  <c r="N167" i="41"/>
  <c r="N168" i="41"/>
  <c r="N169" i="41"/>
  <c r="N170" i="41"/>
  <c r="N171" i="41"/>
  <c r="N172" i="41"/>
  <c r="N173" i="41"/>
  <c r="N174" i="41"/>
  <c r="N175" i="41"/>
  <c r="N176" i="41"/>
  <c r="N177" i="41"/>
  <c r="N178" i="41"/>
  <c r="N179" i="41"/>
  <c r="N180" i="41"/>
  <c r="N181" i="41"/>
  <c r="N182" i="41"/>
  <c r="N183" i="41"/>
  <c r="N184" i="41"/>
  <c r="N185" i="41"/>
  <c r="N186" i="41"/>
  <c r="N187" i="41"/>
  <c r="N188" i="41"/>
  <c r="N189" i="41"/>
  <c r="N190" i="41"/>
  <c r="N191" i="41"/>
  <c r="N192" i="41"/>
  <c r="N193" i="41"/>
  <c r="N194" i="41"/>
  <c r="N195" i="41"/>
  <c r="N196" i="41"/>
  <c r="N197" i="41"/>
  <c r="N198" i="41"/>
  <c r="N199" i="41"/>
  <c r="N200" i="41"/>
  <c r="N201" i="41"/>
  <c r="N202" i="41"/>
  <c r="N203" i="41"/>
  <c r="N204" i="41"/>
  <c r="N205" i="41"/>
  <c r="N206" i="41"/>
  <c r="N207" i="41"/>
  <c r="N208" i="41"/>
  <c r="N209" i="41"/>
  <c r="N210" i="41"/>
  <c r="N211" i="41"/>
  <c r="N212" i="41"/>
  <c r="N213" i="41"/>
  <c r="N214" i="41"/>
  <c r="N215" i="41"/>
  <c r="N216" i="41"/>
  <c r="N217" i="41"/>
  <c r="N218" i="41"/>
  <c r="N219" i="41"/>
  <c r="N220" i="41"/>
  <c r="N221" i="41"/>
  <c r="N222" i="41"/>
  <c r="N223" i="41"/>
  <c r="N224" i="41"/>
  <c r="N225" i="41"/>
  <c r="N226" i="41"/>
  <c r="N227" i="41"/>
  <c r="N228" i="41"/>
  <c r="N229" i="41"/>
  <c r="N230" i="41"/>
  <c r="N231" i="41"/>
  <c r="N232" i="41"/>
  <c r="N233" i="41"/>
  <c r="N234" i="41"/>
  <c r="N235" i="41"/>
  <c r="N236" i="41"/>
  <c r="N237" i="41"/>
  <c r="N238" i="41"/>
  <c r="N239" i="41"/>
  <c r="N240" i="41"/>
  <c r="N241" i="41"/>
  <c r="N242" i="41"/>
  <c r="N243" i="41"/>
  <c r="N244" i="41"/>
  <c r="N245" i="41"/>
  <c r="N246" i="41"/>
  <c r="N247" i="41"/>
  <c r="N248" i="41"/>
  <c r="N249" i="41"/>
  <c r="N250" i="41"/>
  <c r="N251" i="41"/>
  <c r="N252" i="41"/>
  <c r="N253" i="41"/>
  <c r="N254" i="41"/>
  <c r="N255" i="41"/>
  <c r="N256" i="41"/>
  <c r="N257" i="41"/>
  <c r="N258" i="41"/>
  <c r="N259" i="41"/>
  <c r="N260" i="41"/>
  <c r="N261" i="41"/>
  <c r="N262" i="41"/>
  <c r="N263" i="41"/>
  <c r="N264" i="41"/>
  <c r="N265" i="41"/>
  <c r="N266" i="41"/>
  <c r="N267" i="41"/>
  <c r="N268" i="41"/>
  <c r="N269" i="41"/>
  <c r="N270" i="41"/>
  <c r="N271" i="41"/>
  <c r="N272" i="41"/>
  <c r="N273" i="41"/>
  <c r="N274" i="41"/>
  <c r="N275" i="41"/>
  <c r="N276" i="41"/>
  <c r="N277" i="41"/>
  <c r="N278" i="41"/>
  <c r="N279" i="41"/>
  <c r="N280" i="41"/>
  <c r="N281" i="41"/>
  <c r="N282" i="41"/>
  <c r="N283" i="41"/>
  <c r="N284" i="41"/>
  <c r="N285" i="41"/>
  <c r="N286" i="41"/>
  <c r="N287" i="41"/>
  <c r="N288" i="41"/>
  <c r="N289" i="41"/>
  <c r="N290" i="41"/>
  <c r="N291" i="41"/>
  <c r="N292" i="41"/>
  <c r="N293" i="41"/>
  <c r="N294" i="41"/>
  <c r="N295" i="41"/>
  <c r="N296" i="41"/>
  <c r="N297" i="41"/>
  <c r="N298" i="41"/>
  <c r="N299" i="41"/>
  <c r="N300" i="41"/>
  <c r="N301" i="41"/>
  <c r="N302" i="41"/>
  <c r="N303" i="41"/>
  <c r="N304" i="41"/>
  <c r="N305" i="41"/>
  <c r="N306" i="41"/>
  <c r="N307" i="41"/>
  <c r="N308" i="41"/>
  <c r="N309" i="41"/>
  <c r="N310" i="41"/>
  <c r="N311" i="41"/>
  <c r="N312" i="41"/>
  <c r="N313" i="41"/>
  <c r="N314" i="41"/>
  <c r="N315" i="41"/>
  <c r="N316" i="41"/>
  <c r="N317" i="41"/>
  <c r="N318" i="41"/>
  <c r="N319" i="41"/>
  <c r="N320" i="41"/>
  <c r="N321" i="41"/>
  <c r="N322" i="41"/>
  <c r="N323" i="41"/>
  <c r="N324" i="41"/>
  <c r="N325" i="41"/>
  <c r="N326" i="41"/>
  <c r="N327" i="41"/>
  <c r="N328" i="41"/>
  <c r="N329" i="41"/>
  <c r="N330" i="41"/>
  <c r="N331" i="41"/>
  <c r="N332" i="41"/>
  <c r="N333" i="41"/>
  <c r="N334" i="41"/>
  <c r="N335" i="41"/>
  <c r="N336" i="41"/>
  <c r="N337" i="41"/>
  <c r="N338" i="41"/>
  <c r="N339" i="41"/>
  <c r="N340" i="41"/>
  <c r="N341" i="41"/>
  <c r="N342" i="41"/>
  <c r="N343" i="41"/>
  <c r="N344" i="41"/>
  <c r="N349" i="41"/>
  <c r="N350" i="41"/>
  <c r="N351" i="41"/>
  <c r="N352" i="41"/>
  <c r="N353" i="41"/>
  <c r="N354" i="41"/>
  <c r="N355" i="41"/>
  <c r="N356" i="41"/>
  <c r="N357" i="41"/>
  <c r="N358" i="41"/>
  <c r="N359" i="41"/>
  <c r="N360" i="41"/>
  <c r="N361" i="41"/>
  <c r="N362" i="41"/>
  <c r="N363" i="41"/>
  <c r="N364" i="41"/>
  <c r="N365" i="41"/>
  <c r="N366" i="41"/>
  <c r="N367" i="41"/>
  <c r="N368" i="41"/>
  <c r="N369" i="41"/>
  <c r="N370" i="41"/>
  <c r="N371" i="41"/>
  <c r="N372" i="41"/>
  <c r="N373" i="41"/>
  <c r="N374" i="41"/>
  <c r="N375" i="41"/>
  <c r="N376" i="41"/>
  <c r="N377" i="41"/>
  <c r="N378" i="41"/>
  <c r="N379" i="41"/>
  <c r="N380" i="41"/>
  <c r="N381" i="41"/>
  <c r="N382" i="41"/>
  <c r="N383" i="41"/>
  <c r="N384" i="41"/>
  <c r="N385" i="41"/>
  <c r="N386" i="41"/>
  <c r="N387" i="41"/>
  <c r="N388" i="41"/>
  <c r="N389" i="41"/>
  <c r="N390" i="41"/>
  <c r="N391" i="41"/>
  <c r="N392" i="41"/>
  <c r="N393" i="41"/>
  <c r="N394" i="41"/>
  <c r="N395" i="41"/>
  <c r="N396" i="41"/>
  <c r="N397" i="41"/>
  <c r="N398" i="41"/>
  <c r="N399" i="41"/>
  <c r="N400" i="41"/>
  <c r="N401" i="41"/>
  <c r="N402" i="41"/>
  <c r="N403" i="41"/>
  <c r="N404" i="41"/>
  <c r="N405" i="41"/>
  <c r="N406" i="41"/>
  <c r="N407" i="41"/>
  <c r="N408" i="41"/>
  <c r="N409" i="41"/>
  <c r="N410" i="41"/>
  <c r="N411" i="41"/>
  <c r="N412" i="41"/>
  <c r="N413" i="41"/>
  <c r="N414" i="41"/>
  <c r="N415" i="41"/>
  <c r="N416" i="41"/>
  <c r="N417" i="41"/>
  <c r="N418" i="41"/>
  <c r="N419" i="41"/>
  <c r="N420" i="41"/>
  <c r="N421" i="41"/>
  <c r="N422" i="41"/>
  <c r="N423" i="41"/>
  <c r="N424" i="41"/>
  <c r="N425" i="41"/>
  <c r="N426" i="41"/>
  <c r="N427" i="41"/>
  <c r="N428" i="41"/>
  <c r="N429" i="41"/>
  <c r="N430" i="41"/>
  <c r="N431" i="41"/>
  <c r="N432" i="41"/>
  <c r="N433" i="41"/>
  <c r="N434" i="41"/>
  <c r="N435" i="41"/>
  <c r="N436" i="41"/>
  <c r="N437" i="41"/>
  <c r="N438" i="41"/>
  <c r="N439" i="41"/>
  <c r="N440" i="41"/>
  <c r="N441" i="41"/>
  <c r="N442" i="41"/>
  <c r="N443" i="41"/>
  <c r="N444" i="41"/>
  <c r="N445" i="41"/>
  <c r="N446" i="41"/>
  <c r="N447" i="41"/>
  <c r="N448" i="41"/>
  <c r="N449" i="41"/>
  <c r="N450" i="41"/>
  <c r="N451" i="41"/>
  <c r="N452" i="41"/>
  <c r="N453" i="41"/>
  <c r="N454" i="41"/>
  <c r="N455" i="41"/>
  <c r="N456" i="41"/>
  <c r="N457" i="41"/>
  <c r="N458" i="41"/>
  <c r="N459" i="41"/>
  <c r="N460" i="41"/>
  <c r="N461" i="41"/>
  <c r="N462" i="41"/>
  <c r="N463" i="41"/>
  <c r="N464" i="41"/>
  <c r="N465" i="41"/>
  <c r="N466" i="41"/>
  <c r="N467" i="41"/>
  <c r="N468" i="41"/>
  <c r="N469" i="41"/>
  <c r="N470" i="41"/>
  <c r="N471" i="41"/>
  <c r="N472" i="41"/>
  <c r="N473" i="41"/>
  <c r="N474" i="41"/>
  <c r="N475" i="41"/>
  <c r="N476" i="41"/>
  <c r="N477" i="41"/>
  <c r="N478" i="41"/>
  <c r="N479" i="41"/>
  <c r="N480" i="41"/>
  <c r="N481" i="41"/>
  <c r="N482" i="41"/>
  <c r="N483" i="41"/>
  <c r="N484" i="41"/>
  <c r="N485" i="41"/>
  <c r="N486" i="41"/>
  <c r="N487" i="41"/>
  <c r="N488" i="41"/>
  <c r="N489" i="41"/>
  <c r="N490" i="41"/>
  <c r="N491" i="41"/>
  <c r="N492" i="41"/>
  <c r="N493" i="41"/>
  <c r="N494" i="41"/>
  <c r="N495" i="41"/>
  <c r="N496" i="41"/>
  <c r="N497" i="41"/>
  <c r="N547" i="41"/>
  <c r="N548" i="41"/>
  <c r="N549" i="41"/>
  <c r="N550" i="41"/>
  <c r="N551" i="41"/>
  <c r="N552" i="41"/>
  <c r="L7" i="41"/>
  <c r="L8" i="41"/>
  <c r="L9" i="41"/>
  <c r="L10" i="41"/>
  <c r="L11" i="41"/>
  <c r="L12" i="41"/>
  <c r="L13" i="41"/>
  <c r="L14" i="41"/>
  <c r="L15" i="41"/>
  <c r="L16" i="41"/>
  <c r="L17" i="41"/>
  <c r="L18" i="41"/>
  <c r="L19" i="41"/>
  <c r="L20" i="41"/>
  <c r="L21" i="41"/>
  <c r="L22" i="41"/>
  <c r="L23" i="41"/>
  <c r="L24" i="41"/>
  <c r="L25" i="41"/>
  <c r="L26" i="41"/>
  <c r="L27" i="41"/>
  <c r="L28" i="41"/>
  <c r="L29" i="41"/>
  <c r="L30" i="41"/>
  <c r="L31" i="41"/>
  <c r="L32" i="41"/>
  <c r="L33" i="41"/>
  <c r="L34" i="41"/>
  <c r="L35" i="41"/>
  <c r="L36" i="41"/>
  <c r="L37" i="41"/>
  <c r="L38" i="41"/>
  <c r="L39" i="41"/>
  <c r="L40" i="41"/>
  <c r="L41" i="41"/>
  <c r="L42" i="41"/>
  <c r="L43" i="41"/>
  <c r="L44" i="41"/>
  <c r="L45" i="41"/>
  <c r="L46" i="41"/>
  <c r="L47" i="41"/>
  <c r="L48" i="41"/>
  <c r="L49" i="41"/>
  <c r="L50" i="41"/>
  <c r="L51" i="41"/>
  <c r="L52" i="41"/>
  <c r="L53" i="41"/>
  <c r="L54" i="41"/>
  <c r="L55" i="41"/>
  <c r="L56" i="41"/>
  <c r="L57" i="41"/>
  <c r="L58" i="41"/>
  <c r="L59" i="41"/>
  <c r="L60" i="41"/>
  <c r="L61" i="41"/>
  <c r="L62" i="41"/>
  <c r="L63" i="41"/>
  <c r="L64" i="41"/>
  <c r="L65" i="41"/>
  <c r="L66" i="41"/>
  <c r="L67" i="41"/>
  <c r="L68" i="41"/>
  <c r="L69" i="41"/>
  <c r="L70" i="41"/>
  <c r="L71" i="41"/>
  <c r="L72" i="41"/>
  <c r="L73" i="41"/>
  <c r="L74" i="41"/>
  <c r="L75" i="41"/>
  <c r="L76" i="41"/>
  <c r="L77" i="41"/>
  <c r="L78" i="41"/>
  <c r="L79" i="41"/>
  <c r="L80" i="41"/>
  <c r="L81" i="41"/>
  <c r="L82" i="41"/>
  <c r="L83" i="41"/>
  <c r="L84" i="41"/>
  <c r="L85" i="41"/>
  <c r="L86" i="41"/>
  <c r="L87" i="41"/>
  <c r="L88" i="41"/>
  <c r="L89" i="41"/>
  <c r="L90" i="41"/>
  <c r="L91" i="41"/>
  <c r="L92" i="41"/>
  <c r="L93" i="41"/>
  <c r="L94" i="41"/>
  <c r="L95" i="41"/>
  <c r="L96" i="41"/>
  <c r="L97" i="41"/>
  <c r="L98" i="41"/>
  <c r="L99" i="41"/>
  <c r="L100" i="41"/>
  <c r="L101" i="41"/>
  <c r="L102" i="41"/>
  <c r="L103" i="41"/>
  <c r="L104" i="41"/>
  <c r="L105" i="41"/>
  <c r="L106" i="41"/>
  <c r="L107" i="41"/>
  <c r="L108" i="41"/>
  <c r="L109" i="41"/>
  <c r="L110" i="41"/>
  <c r="L111" i="41"/>
  <c r="L112" i="41"/>
  <c r="L113" i="41"/>
  <c r="L114" i="41"/>
  <c r="L115" i="41"/>
  <c r="L116" i="41"/>
  <c r="L117" i="41"/>
  <c r="L118" i="41"/>
  <c r="L119" i="41"/>
  <c r="L120" i="41"/>
  <c r="L121" i="41"/>
  <c r="L122" i="41"/>
  <c r="L123" i="41"/>
  <c r="L124" i="41"/>
  <c r="L125" i="41"/>
  <c r="L126" i="41"/>
  <c r="L127" i="41"/>
  <c r="L128" i="41"/>
  <c r="L129" i="41"/>
  <c r="L130" i="41"/>
  <c r="L131" i="41"/>
  <c r="L132" i="41"/>
  <c r="L133" i="41"/>
  <c r="L134" i="41"/>
  <c r="L135" i="41"/>
  <c r="L136" i="41"/>
  <c r="L137" i="41"/>
  <c r="L138" i="41"/>
  <c r="L139" i="41"/>
  <c r="L140" i="41"/>
  <c r="L141" i="41"/>
  <c r="L142" i="41"/>
  <c r="L143" i="41"/>
  <c r="L144" i="41"/>
  <c r="L145" i="41"/>
  <c r="L146" i="41"/>
  <c r="L147" i="41"/>
  <c r="L148" i="41"/>
  <c r="L149" i="41"/>
  <c r="L150" i="41"/>
  <c r="L151" i="41"/>
  <c r="L152" i="41"/>
  <c r="L153" i="41"/>
  <c r="L154" i="41"/>
  <c r="L155" i="41"/>
  <c r="L156" i="41"/>
  <c r="L157" i="41"/>
  <c r="L158" i="41"/>
  <c r="L159" i="41"/>
  <c r="L160" i="41"/>
  <c r="L161" i="41"/>
  <c r="L162" i="41"/>
  <c r="L163" i="41"/>
  <c r="L165" i="41"/>
  <c r="L166" i="41"/>
  <c r="L167" i="41"/>
  <c r="L168" i="41"/>
  <c r="L169" i="41"/>
  <c r="L170" i="41"/>
  <c r="L171" i="41"/>
  <c r="L172" i="41"/>
  <c r="L173" i="41"/>
  <c r="L174" i="41"/>
  <c r="L175" i="41"/>
  <c r="L176" i="41"/>
  <c r="L177" i="41"/>
  <c r="L178" i="41"/>
  <c r="L179" i="41"/>
  <c r="L180" i="41"/>
  <c r="L181" i="41"/>
  <c r="L182" i="41"/>
  <c r="L183" i="41"/>
  <c r="L184" i="41"/>
  <c r="L185" i="41"/>
  <c r="L186" i="41"/>
  <c r="L187" i="41"/>
  <c r="L188" i="41"/>
  <c r="L189" i="41"/>
  <c r="L190" i="41"/>
  <c r="L191" i="41"/>
  <c r="L192" i="41"/>
  <c r="L193" i="41"/>
  <c r="L194" i="41"/>
  <c r="L195" i="41"/>
  <c r="L196" i="41"/>
  <c r="L197" i="41"/>
  <c r="L198" i="41"/>
  <c r="L199" i="41"/>
  <c r="L200" i="41"/>
  <c r="L201" i="41"/>
  <c r="L202" i="41"/>
  <c r="L203" i="41"/>
  <c r="L204" i="41"/>
  <c r="L205" i="41"/>
  <c r="L206" i="41"/>
  <c r="L207" i="41"/>
  <c r="L208" i="41"/>
  <c r="L209" i="41"/>
  <c r="L210" i="41"/>
  <c r="L211" i="41"/>
  <c r="L212" i="41"/>
  <c r="L213" i="41"/>
  <c r="L214" i="41"/>
  <c r="L215" i="41"/>
  <c r="L216" i="41"/>
  <c r="L217" i="41"/>
  <c r="L218" i="41"/>
  <c r="L219" i="41"/>
  <c r="L220" i="41"/>
  <c r="L221" i="41"/>
  <c r="L222" i="41"/>
  <c r="L223" i="41"/>
  <c r="L224" i="41"/>
  <c r="L225" i="41"/>
  <c r="L226" i="41"/>
  <c r="L227" i="41"/>
  <c r="L228" i="41"/>
  <c r="L229" i="41"/>
  <c r="L230" i="41"/>
  <c r="L231" i="41"/>
  <c r="L232" i="41"/>
  <c r="L233" i="41"/>
  <c r="L234" i="41"/>
  <c r="L235" i="41"/>
  <c r="L236" i="41"/>
  <c r="L237" i="41"/>
  <c r="L238" i="41"/>
  <c r="L239" i="41"/>
  <c r="L240" i="41"/>
  <c r="L241" i="41"/>
  <c r="L242" i="41"/>
  <c r="L243" i="41"/>
  <c r="L244" i="41"/>
  <c r="L245" i="41"/>
  <c r="L246" i="41"/>
  <c r="L247" i="41"/>
  <c r="L248" i="41"/>
  <c r="L249" i="41"/>
  <c r="L250" i="41"/>
  <c r="L251" i="41"/>
  <c r="L252" i="41"/>
  <c r="L253" i="41"/>
  <c r="L254" i="41"/>
  <c r="L255" i="41"/>
  <c r="L256" i="41"/>
  <c r="L257" i="41"/>
  <c r="L258" i="41"/>
  <c r="L259" i="41"/>
  <c r="L260" i="41"/>
  <c r="L261" i="41"/>
  <c r="L262" i="41"/>
  <c r="L263" i="41"/>
  <c r="L264" i="41"/>
  <c r="L265" i="41"/>
  <c r="L266" i="41"/>
  <c r="L267" i="41"/>
  <c r="L268" i="41"/>
  <c r="L269" i="41"/>
  <c r="L270" i="41"/>
  <c r="L271" i="41"/>
  <c r="L272" i="41"/>
  <c r="L273" i="41"/>
  <c r="L274" i="41"/>
  <c r="L275" i="41"/>
  <c r="L276" i="41"/>
  <c r="L277" i="41"/>
  <c r="L278" i="41"/>
  <c r="L279" i="41"/>
  <c r="L280" i="41"/>
  <c r="L281" i="41"/>
  <c r="L282" i="41"/>
  <c r="L283" i="41"/>
  <c r="L284" i="41"/>
  <c r="L285" i="41"/>
  <c r="L286" i="41"/>
  <c r="L287" i="41"/>
  <c r="L288" i="41"/>
  <c r="L289" i="41"/>
  <c r="L290" i="41"/>
  <c r="L291" i="41"/>
  <c r="L292" i="41"/>
  <c r="L293" i="41"/>
  <c r="L294" i="41"/>
  <c r="L295" i="41"/>
  <c r="L296" i="41"/>
  <c r="L297" i="41"/>
  <c r="L298" i="41"/>
  <c r="L299" i="41"/>
  <c r="L300" i="41"/>
  <c r="L301" i="41"/>
  <c r="L302" i="41"/>
  <c r="L303" i="41"/>
  <c r="L304" i="41"/>
  <c r="L305" i="41"/>
  <c r="L306" i="41"/>
  <c r="L307" i="41"/>
  <c r="L308" i="41"/>
  <c r="L309" i="41"/>
  <c r="L310" i="41"/>
  <c r="L311" i="41"/>
  <c r="L312" i="41"/>
  <c r="L313" i="41"/>
  <c r="L314" i="41"/>
  <c r="L315" i="41"/>
  <c r="L316" i="41"/>
  <c r="L317" i="41"/>
  <c r="L318" i="41"/>
  <c r="L319" i="41"/>
  <c r="L320" i="41"/>
  <c r="L321" i="41"/>
  <c r="L322" i="41"/>
  <c r="L323" i="41"/>
  <c r="L324" i="41"/>
  <c r="L325" i="41"/>
  <c r="L326" i="41"/>
  <c r="L327" i="41"/>
  <c r="L328" i="41"/>
  <c r="L329" i="41"/>
  <c r="L330" i="41"/>
  <c r="L331" i="41"/>
  <c r="L332" i="41"/>
  <c r="L333" i="41"/>
  <c r="L334" i="41"/>
  <c r="L335" i="41"/>
  <c r="L336" i="41"/>
  <c r="L337" i="41"/>
  <c r="L338" i="41"/>
  <c r="L339" i="41"/>
  <c r="L340" i="41"/>
  <c r="L341" i="41"/>
  <c r="L342" i="41"/>
  <c r="L343" i="41"/>
  <c r="L344" i="41"/>
  <c r="L349" i="41"/>
  <c r="L350" i="41"/>
  <c r="L351" i="41"/>
  <c r="L352" i="41"/>
  <c r="L353" i="41"/>
  <c r="L354" i="41"/>
  <c r="L355" i="41"/>
  <c r="L356" i="41"/>
  <c r="L357" i="41"/>
  <c r="L358" i="41"/>
  <c r="L359" i="41"/>
  <c r="L360" i="41"/>
  <c r="L361" i="41"/>
  <c r="L362" i="41"/>
  <c r="L363" i="41"/>
  <c r="L364" i="41"/>
  <c r="L365" i="41"/>
  <c r="L366" i="41"/>
  <c r="L367" i="41"/>
  <c r="L368" i="41"/>
  <c r="L369" i="41"/>
  <c r="L370" i="41"/>
  <c r="L371" i="41"/>
  <c r="L372" i="41"/>
  <c r="L373" i="41"/>
  <c r="L374" i="41"/>
  <c r="L375" i="41"/>
  <c r="L376" i="41"/>
  <c r="L377" i="41"/>
  <c r="L378" i="41"/>
  <c r="L379" i="41"/>
  <c r="L380" i="41"/>
  <c r="L381" i="41"/>
  <c r="L382" i="41"/>
  <c r="L383" i="41"/>
  <c r="L384" i="41"/>
  <c r="L385" i="41"/>
  <c r="L386" i="41"/>
  <c r="L387" i="41"/>
  <c r="L388" i="41"/>
  <c r="L389" i="41"/>
  <c r="L390" i="41"/>
  <c r="L391" i="41"/>
  <c r="L392" i="41"/>
  <c r="L393" i="41"/>
  <c r="L394" i="41"/>
  <c r="L395" i="41"/>
  <c r="L396" i="41"/>
  <c r="L397" i="41"/>
  <c r="L398" i="41"/>
  <c r="L399" i="41"/>
  <c r="L400" i="41"/>
  <c r="L401" i="41"/>
  <c r="L402" i="41"/>
  <c r="L403" i="41"/>
  <c r="L404" i="41"/>
  <c r="L405" i="41"/>
  <c r="L406" i="41"/>
  <c r="L407" i="41"/>
  <c r="L408" i="41"/>
  <c r="L409" i="41"/>
  <c r="L410" i="41"/>
  <c r="L411" i="41"/>
  <c r="L412" i="41"/>
  <c r="L413" i="41"/>
  <c r="L414" i="41"/>
  <c r="L415" i="41"/>
  <c r="L416" i="41"/>
  <c r="L417" i="41"/>
  <c r="L418" i="41"/>
  <c r="L419" i="41"/>
  <c r="L420" i="41"/>
  <c r="L421" i="41"/>
  <c r="L422" i="41"/>
  <c r="L423" i="41"/>
  <c r="L424" i="41"/>
  <c r="L425" i="41"/>
  <c r="L426" i="41"/>
  <c r="L427" i="41"/>
  <c r="L428" i="41"/>
  <c r="L429" i="41"/>
  <c r="L430" i="41"/>
  <c r="L431" i="41"/>
  <c r="L432" i="41"/>
  <c r="L433" i="41"/>
  <c r="L434" i="41"/>
  <c r="L435" i="41"/>
  <c r="L436" i="41"/>
  <c r="L437" i="41"/>
  <c r="L438" i="41"/>
  <c r="L439" i="41"/>
  <c r="L440" i="41"/>
  <c r="L441" i="41"/>
  <c r="L442" i="41"/>
  <c r="L443" i="41"/>
  <c r="L444" i="41"/>
  <c r="L445" i="41"/>
  <c r="L446" i="41"/>
  <c r="L447" i="41"/>
  <c r="L448" i="41"/>
  <c r="L449" i="41"/>
  <c r="L450" i="41"/>
  <c r="L451" i="41"/>
  <c r="L452" i="41"/>
  <c r="L453" i="41"/>
  <c r="L454" i="41"/>
  <c r="L455" i="41"/>
  <c r="L456" i="41"/>
  <c r="L457" i="41"/>
  <c r="L458" i="41"/>
  <c r="L459" i="41"/>
  <c r="L460" i="41"/>
  <c r="L461" i="41"/>
  <c r="L462" i="41"/>
  <c r="L463" i="41"/>
  <c r="L464" i="41"/>
  <c r="L465" i="41"/>
  <c r="L466" i="41"/>
  <c r="L467" i="41"/>
  <c r="L468" i="41"/>
  <c r="L469" i="41"/>
  <c r="L470" i="41"/>
  <c r="L471" i="41"/>
  <c r="L472" i="41"/>
  <c r="L473" i="41"/>
  <c r="L474" i="41"/>
  <c r="L475" i="41"/>
  <c r="L476" i="41"/>
  <c r="L477" i="41"/>
  <c r="L478" i="41"/>
  <c r="L479" i="41"/>
  <c r="L480" i="41"/>
  <c r="L481" i="41"/>
  <c r="L482" i="41"/>
  <c r="L483" i="41"/>
  <c r="L484" i="41"/>
  <c r="L485" i="41"/>
  <c r="L486" i="41"/>
  <c r="L487" i="41"/>
  <c r="L488" i="41"/>
  <c r="L489" i="41"/>
  <c r="L490" i="41"/>
  <c r="L491" i="41"/>
  <c r="L492" i="41"/>
  <c r="L493" i="41"/>
  <c r="L494" i="41"/>
  <c r="L495" i="41"/>
  <c r="L496" i="41"/>
  <c r="L497" i="41"/>
  <c r="L547" i="41"/>
  <c r="L548" i="41"/>
  <c r="L549" i="41"/>
  <c r="L550" i="41"/>
  <c r="L551" i="41"/>
  <c r="L552" i="41"/>
  <c r="K7" i="41"/>
  <c r="K8" i="41"/>
  <c r="K9" i="41"/>
  <c r="K10" i="41"/>
  <c r="K11" i="41"/>
  <c r="K12" i="41"/>
  <c r="K13" i="41"/>
  <c r="K14" i="41"/>
  <c r="K15" i="41"/>
  <c r="K17" i="41"/>
  <c r="K18" i="41"/>
  <c r="K19" i="41"/>
  <c r="K20" i="41"/>
  <c r="K21" i="41"/>
  <c r="K22" i="41"/>
  <c r="K23" i="41"/>
  <c r="K24" i="41"/>
  <c r="K25" i="41"/>
  <c r="K26" i="41"/>
  <c r="K27" i="41"/>
  <c r="K28" i="41"/>
  <c r="K29" i="41"/>
  <c r="K30" i="41"/>
  <c r="K31" i="41"/>
  <c r="K32" i="41"/>
  <c r="K33" i="41"/>
  <c r="K34" i="41"/>
  <c r="K35" i="41"/>
  <c r="K36" i="41"/>
  <c r="K37" i="41"/>
  <c r="K38" i="41"/>
  <c r="K39" i="41"/>
  <c r="K40" i="41"/>
  <c r="K41" i="41"/>
  <c r="K42" i="41"/>
  <c r="K43" i="41"/>
  <c r="K44" i="41"/>
  <c r="K45" i="41"/>
  <c r="K46" i="41"/>
  <c r="K47" i="41"/>
  <c r="K48" i="41"/>
  <c r="K49" i="41"/>
  <c r="K50" i="41"/>
  <c r="K51" i="41"/>
  <c r="K52" i="41"/>
  <c r="K53" i="41"/>
  <c r="K54" i="41"/>
  <c r="K55" i="41"/>
  <c r="K56" i="41"/>
  <c r="K57" i="41"/>
  <c r="K58" i="41"/>
  <c r="K59" i="41"/>
  <c r="K60" i="41"/>
  <c r="K61" i="41"/>
  <c r="K62" i="41"/>
  <c r="K63" i="41"/>
  <c r="K64" i="41"/>
  <c r="K65" i="41"/>
  <c r="K66" i="41"/>
  <c r="K67" i="41"/>
  <c r="K68" i="41"/>
  <c r="K69" i="41"/>
  <c r="K70" i="41"/>
  <c r="K71" i="41"/>
  <c r="K72" i="41"/>
  <c r="K73" i="41"/>
  <c r="K74" i="41"/>
  <c r="K75" i="41"/>
  <c r="K76" i="41"/>
  <c r="K77" i="41"/>
  <c r="K78" i="41"/>
  <c r="K79" i="41"/>
  <c r="K80" i="41"/>
  <c r="K81" i="41"/>
  <c r="K82" i="41"/>
  <c r="K83" i="41"/>
  <c r="K84" i="41"/>
  <c r="K85" i="41"/>
  <c r="K86" i="41"/>
  <c r="K87" i="41"/>
  <c r="K88" i="41"/>
  <c r="K89" i="41"/>
  <c r="K90" i="41"/>
  <c r="K91" i="41"/>
  <c r="K92" i="41"/>
  <c r="K93" i="41"/>
  <c r="K94" i="41"/>
  <c r="K95" i="41"/>
  <c r="K96" i="41"/>
  <c r="K97" i="41"/>
  <c r="K98" i="41"/>
  <c r="K99" i="41"/>
  <c r="K100" i="41"/>
  <c r="K101" i="41"/>
  <c r="K102" i="41"/>
  <c r="K103" i="41"/>
  <c r="K104" i="41"/>
  <c r="K105" i="41"/>
  <c r="K106" i="41"/>
  <c r="K107" i="41"/>
  <c r="K108" i="41"/>
  <c r="K109" i="41"/>
  <c r="K110" i="41"/>
  <c r="K111" i="41"/>
  <c r="K112" i="41"/>
  <c r="K113" i="41"/>
  <c r="K114" i="41"/>
  <c r="K115" i="41"/>
  <c r="K116" i="41"/>
  <c r="K117" i="41"/>
  <c r="K118" i="41"/>
  <c r="K119" i="41"/>
  <c r="K120" i="41"/>
  <c r="K121" i="41"/>
  <c r="K122" i="41"/>
  <c r="K123" i="41"/>
  <c r="K124" i="41"/>
  <c r="K125" i="41"/>
  <c r="K126" i="41"/>
  <c r="K127" i="41"/>
  <c r="K128" i="41"/>
  <c r="K129" i="41"/>
  <c r="K130" i="41"/>
  <c r="K131" i="41"/>
  <c r="K132" i="41"/>
  <c r="K133" i="41"/>
  <c r="K134" i="41"/>
  <c r="K135" i="41"/>
  <c r="K136" i="41"/>
  <c r="K137" i="41"/>
  <c r="K138" i="41"/>
  <c r="K139" i="41"/>
  <c r="K140" i="41"/>
  <c r="K141" i="41"/>
  <c r="K142" i="41"/>
  <c r="K143" i="41"/>
  <c r="K144" i="41"/>
  <c r="K145" i="41"/>
  <c r="K146" i="41"/>
  <c r="K147" i="41"/>
  <c r="K148" i="41"/>
  <c r="K149" i="41"/>
  <c r="K150" i="41"/>
  <c r="K151" i="41"/>
  <c r="K152" i="41"/>
  <c r="K153" i="41"/>
  <c r="K154" i="41"/>
  <c r="K155" i="41"/>
  <c r="K156" i="41"/>
  <c r="J20" i="57" s="1"/>
  <c r="K157" i="41"/>
  <c r="J21" i="57" s="1"/>
  <c r="K158" i="41"/>
  <c r="J22" i="57" s="1"/>
  <c r="K159" i="41"/>
  <c r="J23" i="57" s="1"/>
  <c r="K160" i="41"/>
  <c r="J24" i="57" s="1"/>
  <c r="K161" i="41"/>
  <c r="K162" i="41"/>
  <c r="K163" i="41"/>
  <c r="K165" i="41"/>
  <c r="K166" i="41"/>
  <c r="K167" i="41"/>
  <c r="K168" i="41"/>
  <c r="K169" i="41"/>
  <c r="K170" i="41"/>
  <c r="K171" i="41"/>
  <c r="K172" i="41"/>
  <c r="K173" i="41"/>
  <c r="K174" i="41"/>
  <c r="K175" i="41"/>
  <c r="K176" i="41"/>
  <c r="K177" i="41"/>
  <c r="K178" i="41"/>
  <c r="K179" i="41"/>
  <c r="K180" i="41"/>
  <c r="K181" i="41"/>
  <c r="K182" i="41"/>
  <c r="K183" i="41"/>
  <c r="K184" i="41"/>
  <c r="K185" i="41"/>
  <c r="K186" i="41"/>
  <c r="K187" i="41"/>
  <c r="K188" i="41"/>
  <c r="K189" i="41"/>
  <c r="K190" i="41"/>
  <c r="K191" i="41"/>
  <c r="K192" i="41"/>
  <c r="K193" i="41"/>
  <c r="K194" i="41"/>
  <c r="K195" i="41"/>
  <c r="K196" i="41"/>
  <c r="K197" i="41"/>
  <c r="K198" i="41"/>
  <c r="K199" i="41"/>
  <c r="K200" i="41"/>
  <c r="K201" i="41"/>
  <c r="K202" i="41"/>
  <c r="K203" i="41"/>
  <c r="K204" i="41"/>
  <c r="K205" i="41"/>
  <c r="K206" i="41"/>
  <c r="K207" i="41"/>
  <c r="K208" i="41"/>
  <c r="K209" i="41"/>
  <c r="K210" i="41"/>
  <c r="K211" i="41"/>
  <c r="K212" i="41"/>
  <c r="K213" i="41"/>
  <c r="K214" i="41"/>
  <c r="K215" i="41"/>
  <c r="K216" i="41"/>
  <c r="K217" i="41"/>
  <c r="K218" i="41"/>
  <c r="K219" i="41"/>
  <c r="K220" i="41"/>
  <c r="K221" i="41"/>
  <c r="K222" i="41"/>
  <c r="K223" i="41"/>
  <c r="K224" i="41"/>
  <c r="K225" i="41"/>
  <c r="K226" i="41"/>
  <c r="K227" i="41"/>
  <c r="K228" i="41"/>
  <c r="K229" i="41"/>
  <c r="K230" i="41"/>
  <c r="K231" i="41"/>
  <c r="K232" i="41"/>
  <c r="K233" i="41"/>
  <c r="K234" i="41"/>
  <c r="K235" i="41"/>
  <c r="K236" i="41"/>
  <c r="K237" i="41"/>
  <c r="K238" i="41"/>
  <c r="K239" i="41"/>
  <c r="K240" i="41"/>
  <c r="K241" i="41"/>
  <c r="K242" i="41"/>
  <c r="K243" i="41"/>
  <c r="K244" i="41"/>
  <c r="K245" i="41"/>
  <c r="K246" i="41"/>
  <c r="K247" i="41"/>
  <c r="K248" i="41"/>
  <c r="K249" i="41"/>
  <c r="K250" i="41"/>
  <c r="K251" i="41"/>
  <c r="K252" i="41"/>
  <c r="K253" i="41"/>
  <c r="K254" i="41"/>
  <c r="K255" i="41"/>
  <c r="K256" i="41"/>
  <c r="K257" i="41"/>
  <c r="K258" i="41"/>
  <c r="K259" i="41"/>
  <c r="K260" i="41"/>
  <c r="K261" i="41"/>
  <c r="K262" i="41"/>
  <c r="K263" i="41"/>
  <c r="K264" i="41"/>
  <c r="K265" i="41"/>
  <c r="K266" i="41"/>
  <c r="K267" i="41"/>
  <c r="K268" i="41"/>
  <c r="K269" i="41"/>
  <c r="K270" i="41"/>
  <c r="K271" i="41"/>
  <c r="K272" i="41"/>
  <c r="K273" i="41"/>
  <c r="K274" i="41"/>
  <c r="K275" i="41"/>
  <c r="K276" i="41"/>
  <c r="K277" i="41"/>
  <c r="K278" i="41"/>
  <c r="K279" i="41"/>
  <c r="K280" i="41"/>
  <c r="K281" i="41"/>
  <c r="K282" i="41"/>
  <c r="K283" i="41"/>
  <c r="K284" i="41"/>
  <c r="K285" i="41"/>
  <c r="K286" i="41"/>
  <c r="K287" i="41"/>
  <c r="K288" i="41"/>
  <c r="K289" i="41"/>
  <c r="K290" i="41"/>
  <c r="K291" i="41"/>
  <c r="K292" i="41"/>
  <c r="K293" i="41"/>
  <c r="K294" i="41"/>
  <c r="K295" i="41"/>
  <c r="K296" i="41"/>
  <c r="K297" i="41"/>
  <c r="K298" i="41"/>
  <c r="K299" i="41"/>
  <c r="K300" i="41"/>
  <c r="K301" i="41"/>
  <c r="K302" i="41"/>
  <c r="K303" i="41"/>
  <c r="K304" i="41"/>
  <c r="K305" i="41"/>
  <c r="K306" i="41"/>
  <c r="K307" i="41"/>
  <c r="K308" i="41"/>
  <c r="K309" i="41"/>
  <c r="K310" i="41"/>
  <c r="K311" i="41"/>
  <c r="K312" i="41"/>
  <c r="K313" i="41"/>
  <c r="K314" i="41"/>
  <c r="K315" i="41"/>
  <c r="K316" i="41"/>
  <c r="K317" i="41"/>
  <c r="K318" i="41"/>
  <c r="K319" i="41"/>
  <c r="K320" i="41"/>
  <c r="K321" i="41"/>
  <c r="K322" i="41"/>
  <c r="K323" i="41"/>
  <c r="K324" i="41"/>
  <c r="K325" i="41"/>
  <c r="K326" i="41"/>
  <c r="K327" i="41"/>
  <c r="K328" i="41"/>
  <c r="K329" i="41"/>
  <c r="K330" i="41"/>
  <c r="K331" i="41"/>
  <c r="K332" i="41"/>
  <c r="K333" i="41"/>
  <c r="K334" i="41"/>
  <c r="K335" i="41"/>
  <c r="K336" i="41"/>
  <c r="K337" i="41"/>
  <c r="K338" i="41"/>
  <c r="K339" i="41"/>
  <c r="K340" i="41"/>
  <c r="K341" i="41"/>
  <c r="K342" i="41"/>
  <c r="K343" i="41"/>
  <c r="K344" i="41"/>
  <c r="K349" i="41"/>
  <c r="K350" i="41"/>
  <c r="K351" i="41"/>
  <c r="K352" i="41"/>
  <c r="K353" i="41"/>
  <c r="K354" i="41"/>
  <c r="K355" i="41"/>
  <c r="K356" i="41"/>
  <c r="K357" i="41"/>
  <c r="K358" i="41"/>
  <c r="K359" i="41"/>
  <c r="K360" i="41"/>
  <c r="K361" i="41"/>
  <c r="K362" i="41"/>
  <c r="K363" i="41"/>
  <c r="K364" i="41"/>
  <c r="K365" i="41"/>
  <c r="K366" i="41"/>
  <c r="K367" i="41"/>
  <c r="K368" i="41"/>
  <c r="K369" i="41"/>
  <c r="K370" i="41"/>
  <c r="K371" i="41"/>
  <c r="K372" i="41"/>
  <c r="K373" i="41"/>
  <c r="K374" i="41"/>
  <c r="K375" i="41"/>
  <c r="K376" i="41"/>
  <c r="K377" i="41"/>
  <c r="K378" i="41"/>
  <c r="K379" i="41"/>
  <c r="K380" i="41"/>
  <c r="K381" i="41"/>
  <c r="K382" i="41"/>
  <c r="K383" i="41"/>
  <c r="J393" i="40" s="1"/>
  <c r="T393" i="40" s="1"/>
  <c r="K384" i="41"/>
  <c r="J394" i="40" s="1"/>
  <c r="T394" i="40" s="1"/>
  <c r="K385" i="41"/>
  <c r="J395" i="40" s="1"/>
  <c r="T395" i="40" s="1"/>
  <c r="K386" i="41"/>
  <c r="J396" i="40" s="1"/>
  <c r="T396" i="40" s="1"/>
  <c r="K387" i="41"/>
  <c r="K388" i="41"/>
  <c r="J398" i="40" s="1"/>
  <c r="T398" i="40" s="1"/>
  <c r="K389" i="41"/>
  <c r="K390" i="41"/>
  <c r="K391" i="41"/>
  <c r="K392" i="41"/>
  <c r="K393" i="41"/>
  <c r="K394" i="41"/>
  <c r="K395" i="41"/>
  <c r="K396" i="41"/>
  <c r="K397" i="41"/>
  <c r="J407" i="40" s="1"/>
  <c r="T407" i="40" s="1"/>
  <c r="K398" i="41"/>
  <c r="J408" i="40" s="1"/>
  <c r="T408" i="40" s="1"/>
  <c r="K399" i="41"/>
  <c r="J409" i="40" s="1"/>
  <c r="T409" i="40" s="1"/>
  <c r="K400" i="41"/>
  <c r="J410" i="40" s="1"/>
  <c r="T410" i="40" s="1"/>
  <c r="K401" i="41"/>
  <c r="K402" i="41"/>
  <c r="J412" i="40" s="1"/>
  <c r="K403" i="41"/>
  <c r="K404" i="41"/>
  <c r="K405" i="41"/>
  <c r="K406" i="41"/>
  <c r="K407" i="41"/>
  <c r="K408" i="41"/>
  <c r="K409" i="41"/>
  <c r="K410" i="41"/>
  <c r="K411" i="41"/>
  <c r="J421" i="40" s="1"/>
  <c r="T421" i="40" s="1"/>
  <c r="K412" i="41"/>
  <c r="K413" i="41"/>
  <c r="J423" i="40" s="1"/>
  <c r="T423" i="40" s="1"/>
  <c r="K414" i="41"/>
  <c r="K415" i="41"/>
  <c r="K416" i="41"/>
  <c r="J426" i="40" s="1"/>
  <c r="T426" i="40" s="1"/>
  <c r="K417" i="41"/>
  <c r="K418" i="41"/>
  <c r="K419" i="41"/>
  <c r="J429" i="40" s="1"/>
  <c r="K420" i="41"/>
  <c r="K421" i="41"/>
  <c r="K422" i="41"/>
  <c r="K423" i="41"/>
  <c r="K424" i="41"/>
  <c r="K425" i="41"/>
  <c r="K426" i="41"/>
  <c r="J436" i="40" s="1"/>
  <c r="T436" i="40" s="1"/>
  <c r="K427" i="41"/>
  <c r="K428" i="41"/>
  <c r="J438" i="40" s="1"/>
  <c r="T438" i="40" s="1"/>
  <c r="K429" i="41"/>
  <c r="J439" i="40" s="1"/>
  <c r="T439" i="40" s="1"/>
  <c r="K430" i="41"/>
  <c r="J440" i="40" s="1"/>
  <c r="T440" i="40" s="1"/>
  <c r="K431" i="41"/>
  <c r="J441" i="40" s="1"/>
  <c r="T441" i="40" s="1"/>
  <c r="K432" i="41"/>
  <c r="K433" i="41"/>
  <c r="K434" i="41"/>
  <c r="J444" i="40" s="1"/>
  <c r="T444" i="40" s="1"/>
  <c r="K435" i="41"/>
  <c r="J445" i="40" s="1"/>
  <c r="T445" i="40" s="1"/>
  <c r="K436" i="41"/>
  <c r="K437" i="41"/>
  <c r="K438" i="41"/>
  <c r="K439" i="41"/>
  <c r="K440" i="41"/>
  <c r="K441" i="41"/>
  <c r="J451" i="40" s="1"/>
  <c r="T451" i="40" s="1"/>
  <c r="K442" i="41"/>
  <c r="J452" i="40" s="1"/>
  <c r="T452" i="40" s="1"/>
  <c r="K443" i="41"/>
  <c r="K444" i="41"/>
  <c r="K445" i="41"/>
  <c r="K446" i="41"/>
  <c r="J456" i="40" s="1"/>
  <c r="T456" i="40" s="1"/>
  <c r="K447" i="41"/>
  <c r="K448" i="41"/>
  <c r="K449" i="41"/>
  <c r="K450" i="41"/>
  <c r="J460" i="40" s="1"/>
  <c r="T460" i="40" s="1"/>
  <c r="K451" i="41"/>
  <c r="K452" i="41"/>
  <c r="K453" i="41"/>
  <c r="K454" i="41"/>
  <c r="K455" i="41"/>
  <c r="K456" i="41"/>
  <c r="J510" i="58" s="1"/>
  <c r="K457" i="41"/>
  <c r="K458" i="41"/>
  <c r="J513" i="58" s="1"/>
  <c r="K459" i="41"/>
  <c r="J515" i="58" s="1"/>
  <c r="K460" i="41"/>
  <c r="J517" i="58" s="1"/>
  <c r="K461" i="41"/>
  <c r="J518" i="58" s="1"/>
  <c r="K462" i="41"/>
  <c r="J519" i="58" s="1"/>
  <c r="K463" i="41"/>
  <c r="J520" i="58" s="1"/>
  <c r="K464" i="41"/>
  <c r="J521" i="58" s="1"/>
  <c r="K465" i="41"/>
  <c r="J522" i="58" s="1"/>
  <c r="K466" i="41"/>
  <c r="J524" i="58" s="1"/>
  <c r="K467" i="41"/>
  <c r="J525" i="58" s="1"/>
  <c r="K468" i="41"/>
  <c r="J527" i="58" s="1"/>
  <c r="K469" i="41"/>
  <c r="J479" i="40" s="1"/>
  <c r="T479" i="40" s="1"/>
  <c r="K470" i="41"/>
  <c r="K471" i="41"/>
  <c r="K472" i="41"/>
  <c r="K473" i="41"/>
  <c r="K474" i="41"/>
  <c r="K475" i="41"/>
  <c r="J536" i="58" s="1"/>
  <c r="K476" i="41"/>
  <c r="J537" i="58" s="1"/>
  <c r="K477" i="41"/>
  <c r="J538" i="58" s="1"/>
  <c r="K478" i="41"/>
  <c r="J539" i="58" s="1"/>
  <c r="K479" i="41"/>
  <c r="K480" i="41"/>
  <c r="J541" i="58" s="1"/>
  <c r="K481" i="41"/>
  <c r="J542" i="58" s="1"/>
  <c r="K482" i="41"/>
  <c r="J543" i="58" s="1"/>
  <c r="K483" i="41"/>
  <c r="J544" i="58" s="1"/>
  <c r="K484" i="41"/>
  <c r="J545" i="58" s="1"/>
  <c r="K485" i="41"/>
  <c r="J546" i="58" s="1"/>
  <c r="K486" i="41"/>
  <c r="J547" i="58" s="1"/>
  <c r="K487" i="41"/>
  <c r="J548" i="58" s="1"/>
  <c r="K488" i="41"/>
  <c r="J549" i="58" s="1"/>
  <c r="K489" i="41"/>
  <c r="J550" i="58" s="1"/>
  <c r="K490" i="41"/>
  <c r="J551" i="58" s="1"/>
  <c r="K491" i="41"/>
  <c r="J552" i="58" s="1"/>
  <c r="K492" i="41"/>
  <c r="J553" i="58" s="1"/>
  <c r="K493" i="41"/>
  <c r="K494" i="41"/>
  <c r="K495" i="41"/>
  <c r="K496" i="41"/>
  <c r="K497" i="41"/>
  <c r="K547" i="41"/>
  <c r="K548" i="41"/>
  <c r="K549" i="41"/>
  <c r="K550" i="41"/>
  <c r="K551" i="41"/>
  <c r="K552" i="41"/>
  <c r="K6" i="41"/>
  <c r="J18" i="58" s="1"/>
  <c r="H6" i="6"/>
  <c r="H7" i="6"/>
  <c r="H8" i="6"/>
  <c r="Y23" i="42" s="1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T98" i="51" s="1"/>
  <c r="U98" i="51" s="1"/>
  <c r="H112" i="6"/>
  <c r="T99" i="51" s="1"/>
  <c r="U99" i="51" s="1"/>
  <c r="H113" i="6"/>
  <c r="T100" i="51" s="1"/>
  <c r="U100" i="51" s="1"/>
  <c r="H114" i="6"/>
  <c r="T101" i="51" s="1"/>
  <c r="U101" i="51" s="1"/>
  <c r="H115" i="6"/>
  <c r="T102" i="51" s="1"/>
  <c r="U102" i="51" s="1"/>
  <c r="H116" i="6"/>
  <c r="T103" i="51" s="1"/>
  <c r="U103" i="51" s="1"/>
  <c r="H117" i="6"/>
  <c r="T104" i="51" s="1"/>
  <c r="U104" i="51" s="1"/>
  <c r="H118" i="6"/>
  <c r="T105" i="51" s="1"/>
  <c r="U105" i="51" s="1"/>
  <c r="H119" i="6"/>
  <c r="T106" i="51" s="1"/>
  <c r="U106" i="51" s="1"/>
  <c r="H120" i="6"/>
  <c r="T107" i="51" s="1"/>
  <c r="U107" i="51" s="1"/>
  <c r="H121" i="6"/>
  <c r="T108" i="51" s="1"/>
  <c r="U108" i="51" s="1"/>
  <c r="H122" i="6"/>
  <c r="T109" i="51" s="1"/>
  <c r="U109" i="51" s="1"/>
  <c r="H123" i="6"/>
  <c r="T110" i="51" s="1"/>
  <c r="U110" i="51" s="1"/>
  <c r="H124" i="6"/>
  <c r="T111" i="51" s="1"/>
  <c r="U111" i="51" s="1"/>
  <c r="H125" i="6"/>
  <c r="T112" i="51" s="1"/>
  <c r="U112" i="51" s="1"/>
  <c r="H126" i="6"/>
  <c r="T113" i="51" s="1"/>
  <c r="U113" i="51" s="1"/>
  <c r="H127" i="6"/>
  <c r="T114" i="51" s="1"/>
  <c r="U114" i="51" s="1"/>
  <c r="H128" i="6"/>
  <c r="T115" i="51" s="1"/>
  <c r="U115" i="51" s="1"/>
  <c r="H129" i="6"/>
  <c r="T116" i="51" s="1"/>
  <c r="U116" i="51" s="1"/>
  <c r="H130" i="6"/>
  <c r="T117" i="51" s="1"/>
  <c r="U117" i="51" s="1"/>
  <c r="H131" i="6"/>
  <c r="T118" i="51" s="1"/>
  <c r="U118" i="51" s="1"/>
  <c r="H132" i="6"/>
  <c r="T119" i="51" s="1"/>
  <c r="U119" i="51" s="1"/>
  <c r="H133" i="6"/>
  <c r="T120" i="51" s="1"/>
  <c r="U120" i="51" s="1"/>
  <c r="H134" i="6"/>
  <c r="T121" i="51" s="1"/>
  <c r="U121" i="51" s="1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O17" i="47" s="1"/>
  <c r="P17" i="47" s="1"/>
  <c r="H167" i="6"/>
  <c r="H168" i="6"/>
  <c r="P14" i="52" s="1"/>
  <c r="Q14" i="52" s="1"/>
  <c r="H169" i="6"/>
  <c r="H170" i="6"/>
  <c r="P16" i="52" s="1"/>
  <c r="Q16" i="52" s="1"/>
  <c r="H171" i="6"/>
  <c r="P17" i="52" s="1"/>
  <c r="Q17" i="52" s="1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T124" i="51" s="1"/>
  <c r="U124" i="51" s="1"/>
  <c r="H297" i="6"/>
  <c r="H298" i="6"/>
  <c r="H299" i="6"/>
  <c r="H300" i="6"/>
  <c r="H301" i="6"/>
  <c r="H302" i="6"/>
  <c r="H303" i="6"/>
  <c r="H304" i="6"/>
  <c r="H305" i="6"/>
  <c r="H306" i="6"/>
  <c r="H307" i="6"/>
  <c r="P18" i="52" s="1"/>
  <c r="Q18" i="52" s="1"/>
  <c r="H308" i="6"/>
  <c r="P19" i="52" s="1"/>
  <c r="Q19" i="52" s="1"/>
  <c r="H309" i="6"/>
  <c r="P20" i="52" s="1"/>
  <c r="Q20" i="52" s="1"/>
  <c r="H310" i="6"/>
  <c r="P21" i="52" s="1"/>
  <c r="Q21" i="52" s="1"/>
  <c r="H311" i="6"/>
  <c r="H312" i="6"/>
  <c r="H313" i="6"/>
  <c r="P24" i="52" s="1"/>
  <c r="Q24" i="52" s="1"/>
  <c r="H314" i="6"/>
  <c r="P25" i="52" s="1"/>
  <c r="Q25" i="52" s="1"/>
  <c r="H315" i="6"/>
  <c r="P26" i="52" s="1"/>
  <c r="Q26" i="52" s="1"/>
  <c r="H316" i="6"/>
  <c r="P27" i="52" s="1"/>
  <c r="Q27" i="52" s="1"/>
  <c r="H317" i="6"/>
  <c r="P28" i="52" s="1"/>
  <c r="Q28" i="52" s="1"/>
  <c r="H318" i="6"/>
  <c r="P29" i="52" s="1"/>
  <c r="Q29" i="52" s="1"/>
  <c r="H319" i="6"/>
  <c r="P30" i="52" s="1"/>
  <c r="Q30" i="52" s="1"/>
  <c r="H320" i="6"/>
  <c r="P31" i="52" s="1"/>
  <c r="Q31" i="52" s="1"/>
  <c r="H321" i="6"/>
  <c r="P32" i="52" s="1"/>
  <c r="Q32" i="52" s="1"/>
  <c r="H322" i="6"/>
  <c r="P33" i="52" s="1"/>
  <c r="Q33" i="52" s="1"/>
  <c r="H323" i="6"/>
  <c r="P34" i="52" s="1"/>
  <c r="Q34" i="52" s="1"/>
  <c r="H324" i="6"/>
  <c r="P35" i="52" s="1"/>
  <c r="Q35" i="52" s="1"/>
  <c r="H325" i="6"/>
  <c r="P36" i="52" s="1"/>
  <c r="Q36" i="52" s="1"/>
  <c r="H326" i="6"/>
  <c r="P37" i="52" s="1"/>
  <c r="Q37" i="52" s="1"/>
  <c r="H327" i="6"/>
  <c r="P38" i="52" s="1"/>
  <c r="Q38" i="52" s="1"/>
  <c r="H328" i="6"/>
  <c r="P39" i="52" s="1"/>
  <c r="Q39" i="52" s="1"/>
  <c r="H329" i="6"/>
  <c r="P40" i="52" s="1"/>
  <c r="Q40" i="52" s="1"/>
  <c r="H330" i="6"/>
  <c r="P41" i="52" s="1"/>
  <c r="Q41" i="52" s="1"/>
  <c r="H331" i="6"/>
  <c r="P42" i="52" s="1"/>
  <c r="Q42" i="52" s="1"/>
  <c r="H332" i="6"/>
  <c r="P43" i="52" s="1"/>
  <c r="Q43" i="52" s="1"/>
  <c r="H333" i="6"/>
  <c r="P44" i="52" s="1"/>
  <c r="Q44" i="52" s="1"/>
  <c r="H334" i="6"/>
  <c r="P45" i="52" s="1"/>
  <c r="Q45" i="52" s="1"/>
  <c r="H335" i="6"/>
  <c r="P46" i="52" s="1"/>
  <c r="Q46" i="52" s="1"/>
  <c r="H336" i="6"/>
  <c r="P47" i="52" s="1"/>
  <c r="Q47" i="52" s="1"/>
  <c r="H337" i="6"/>
  <c r="P48" i="52" s="1"/>
  <c r="Q48" i="52" s="1"/>
  <c r="H338" i="6"/>
  <c r="P49" i="52" s="1"/>
  <c r="Q49" i="52" s="1"/>
  <c r="H339" i="6"/>
  <c r="P50" i="52" s="1"/>
  <c r="Q50" i="52" s="1"/>
  <c r="H340" i="6"/>
  <c r="P51" i="52" s="1"/>
  <c r="Q51" i="52" s="1"/>
  <c r="H341" i="6"/>
  <c r="P52" i="52" s="1"/>
  <c r="Q52" i="52" s="1"/>
  <c r="H342" i="6"/>
  <c r="P53" i="52" s="1"/>
  <c r="Q53" i="52" s="1"/>
  <c r="H343" i="6"/>
  <c r="P54" i="52" s="1"/>
  <c r="Q54" i="52" s="1"/>
  <c r="H348" i="6"/>
  <c r="P59" i="52" s="1"/>
  <c r="Q59" i="52" s="1"/>
  <c r="H349" i="6"/>
  <c r="P60" i="52" s="1"/>
  <c r="Q60" i="52" s="1"/>
  <c r="H350" i="6"/>
  <c r="P61" i="52" s="1"/>
  <c r="Q61" i="52" s="1"/>
  <c r="H351" i="6"/>
  <c r="P62" i="52" s="1"/>
  <c r="Q62" i="52" s="1"/>
  <c r="H352" i="6"/>
  <c r="P63" i="52" s="1"/>
  <c r="Q63" i="52" s="1"/>
  <c r="H353" i="6"/>
  <c r="P64" i="52" s="1"/>
  <c r="Q64" i="52" s="1"/>
  <c r="H354" i="6"/>
  <c r="P65" i="52" s="1"/>
  <c r="Q65" i="52" s="1"/>
  <c r="H355" i="6"/>
  <c r="P66" i="52" s="1"/>
  <c r="Q66" i="52" s="1"/>
  <c r="H356" i="6"/>
  <c r="P67" i="52" s="1"/>
  <c r="Q67" i="52" s="1"/>
  <c r="H357" i="6"/>
  <c r="P68" i="52" s="1"/>
  <c r="Q68" i="52" s="1"/>
  <c r="H358" i="6"/>
  <c r="P69" i="52" s="1"/>
  <c r="Q69" i="52" s="1"/>
  <c r="H359" i="6"/>
  <c r="P70" i="52" s="1"/>
  <c r="Q70" i="52" s="1"/>
  <c r="H360" i="6"/>
  <c r="P71" i="52" s="1"/>
  <c r="Q71" i="52" s="1"/>
  <c r="H361" i="6"/>
  <c r="P72" i="52" s="1"/>
  <c r="Q72" i="52" s="1"/>
  <c r="H362" i="6"/>
  <c r="P73" i="52" s="1"/>
  <c r="Q73" i="52" s="1"/>
  <c r="H363" i="6"/>
  <c r="P74" i="52" s="1"/>
  <c r="Q74" i="52" s="1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6" i="6"/>
  <c r="H388" i="6"/>
  <c r="H389" i="6"/>
  <c r="H390" i="6"/>
  <c r="H391" i="6"/>
  <c r="H392" i="6"/>
  <c r="H393" i="6"/>
  <c r="H394" i="6"/>
  <c r="H395" i="6"/>
  <c r="H400" i="6"/>
  <c r="H402" i="6"/>
  <c r="H403" i="6"/>
  <c r="H404" i="6"/>
  <c r="H405" i="6"/>
  <c r="H406" i="6"/>
  <c r="H407" i="6"/>
  <c r="H408" i="6"/>
  <c r="H409" i="6"/>
  <c r="H411" i="6"/>
  <c r="H413" i="6"/>
  <c r="H414" i="6"/>
  <c r="H416" i="6"/>
  <c r="H417" i="6"/>
  <c r="H419" i="6"/>
  <c r="H420" i="6"/>
  <c r="H421" i="6"/>
  <c r="H422" i="6"/>
  <c r="H426" i="6"/>
  <c r="H431" i="6"/>
  <c r="H432" i="6"/>
  <c r="H435" i="6"/>
  <c r="H436" i="6"/>
  <c r="H437" i="6"/>
  <c r="H438" i="6"/>
  <c r="H439" i="6"/>
  <c r="H442" i="6"/>
  <c r="H443" i="6"/>
  <c r="H444" i="6"/>
  <c r="H446" i="6"/>
  <c r="H451" i="6"/>
  <c r="H452" i="6"/>
  <c r="H457" i="6"/>
  <c r="H458" i="6"/>
  <c r="H459" i="6"/>
  <c r="H460" i="6"/>
  <c r="H461" i="6"/>
  <c r="H462" i="6"/>
  <c r="H463" i="6"/>
  <c r="H464" i="6"/>
  <c r="H465" i="6"/>
  <c r="H466" i="6"/>
  <c r="H467" i="6"/>
  <c r="H474" i="6"/>
  <c r="H475" i="6"/>
  <c r="H477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9" i="6"/>
  <c r="H500" i="6"/>
  <c r="H502" i="6"/>
  <c r="H504" i="6"/>
  <c r="H505" i="6"/>
  <c r="H506" i="6"/>
  <c r="H507" i="6"/>
  <c r="H508" i="6"/>
  <c r="H509" i="6"/>
  <c r="H511" i="6"/>
  <c r="H513" i="6"/>
  <c r="H514" i="6"/>
  <c r="H516" i="6"/>
  <c r="H517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" i="6"/>
  <c r="J130" i="47"/>
  <c r="J132" i="47"/>
  <c r="S505" i="58" s="1"/>
  <c r="J133" i="47"/>
  <c r="S506" i="58" s="1"/>
  <c r="J135" i="47"/>
  <c r="S508" i="58" s="1"/>
  <c r="J136" i="47"/>
  <c r="S509" i="58" s="1"/>
  <c r="J140" i="47"/>
  <c r="S513" i="58" s="1"/>
  <c r="J148" i="47"/>
  <c r="S521" i="58" s="1"/>
  <c r="J149" i="47"/>
  <c r="S522" i="58" s="1"/>
  <c r="J151" i="47"/>
  <c r="S525" i="58" s="1"/>
  <c r="J154" i="47"/>
  <c r="J164" i="47"/>
  <c r="S537" i="58" s="1"/>
  <c r="J165" i="47"/>
  <c r="S538" i="58" s="1"/>
  <c r="J173" i="47"/>
  <c r="S546" i="58" s="1"/>
  <c r="J183" i="47"/>
  <c r="J184" i="47"/>
  <c r="J185" i="47"/>
  <c r="J186" i="47"/>
  <c r="I20" i="47"/>
  <c r="I21" i="47"/>
  <c r="I26" i="47"/>
  <c r="I28" i="47"/>
  <c r="I29" i="47"/>
  <c r="I30" i="47"/>
  <c r="I31" i="47"/>
  <c r="I32" i="47"/>
  <c r="I33" i="47"/>
  <c r="I34" i="47"/>
  <c r="I35" i="47"/>
  <c r="I41" i="47"/>
  <c r="I42" i="47"/>
  <c r="I43" i="47"/>
  <c r="I44" i="47"/>
  <c r="I45" i="47"/>
  <c r="I46" i="47"/>
  <c r="I47" i="47"/>
  <c r="I48" i="47"/>
  <c r="I49" i="47"/>
  <c r="I51" i="47"/>
  <c r="I53" i="47"/>
  <c r="I54" i="47"/>
  <c r="I56" i="47"/>
  <c r="I58" i="47"/>
  <c r="I59" i="47"/>
  <c r="I60" i="47"/>
  <c r="I61" i="47"/>
  <c r="I62" i="47"/>
  <c r="I66" i="47"/>
  <c r="I71" i="47"/>
  <c r="I72" i="47"/>
  <c r="I75" i="47"/>
  <c r="I76" i="47"/>
  <c r="I77" i="47"/>
  <c r="I78" i="47"/>
  <c r="I79" i="47"/>
  <c r="I82" i="47"/>
  <c r="I83" i="47"/>
  <c r="I84" i="47"/>
  <c r="I86" i="47"/>
  <c r="I91" i="47"/>
  <c r="I92" i="47"/>
  <c r="I97" i="47"/>
  <c r="I98" i="47"/>
  <c r="I99" i="47"/>
  <c r="I100" i="47"/>
  <c r="I101" i="47"/>
  <c r="I102" i="47"/>
  <c r="I103" i="47"/>
  <c r="I104" i="47"/>
  <c r="I105" i="47"/>
  <c r="I106" i="47"/>
  <c r="I107" i="47"/>
  <c r="I114" i="47"/>
  <c r="I115" i="47"/>
  <c r="I117" i="47"/>
  <c r="I119" i="47"/>
  <c r="I120" i="47"/>
  <c r="I121" i="47"/>
  <c r="I122" i="47"/>
  <c r="I123" i="47"/>
  <c r="I124" i="47"/>
  <c r="I125" i="47"/>
  <c r="I126" i="47"/>
  <c r="I127" i="47"/>
  <c r="I128" i="47"/>
  <c r="I129" i="47"/>
  <c r="I130" i="47"/>
  <c r="I131" i="47"/>
  <c r="I132" i="47"/>
  <c r="I133" i="47"/>
  <c r="I134" i="47"/>
  <c r="I135" i="47"/>
  <c r="I136" i="47"/>
  <c r="I137" i="47"/>
  <c r="I139" i="47"/>
  <c r="I140" i="47"/>
  <c r="I142" i="47"/>
  <c r="I144" i="47"/>
  <c r="I145" i="47"/>
  <c r="I146" i="47"/>
  <c r="I147" i="47"/>
  <c r="I148" i="47"/>
  <c r="I149" i="47"/>
  <c r="I155" i="47"/>
  <c r="I151" i="47"/>
  <c r="I153" i="47"/>
  <c r="I154" i="47"/>
  <c r="I156" i="47"/>
  <c r="I157" i="47"/>
  <c r="I160" i="47"/>
  <c r="I161" i="47"/>
  <c r="I162" i="47"/>
  <c r="I163" i="47"/>
  <c r="I164" i="47"/>
  <c r="I165" i="47"/>
  <c r="I166" i="47"/>
  <c r="I167" i="47"/>
  <c r="I168" i="47"/>
  <c r="I169" i="47"/>
  <c r="I170" i="47"/>
  <c r="I171" i="47"/>
  <c r="I172" i="47"/>
  <c r="I173" i="47"/>
  <c r="I174" i="47"/>
  <c r="I175" i="47"/>
  <c r="I176" i="47"/>
  <c r="I177" i="47"/>
  <c r="I178" i="47"/>
  <c r="I179" i="47"/>
  <c r="I180" i="47"/>
  <c r="I181" i="47"/>
  <c r="I182" i="47"/>
  <c r="I183" i="47"/>
  <c r="I184" i="47"/>
  <c r="I185" i="47"/>
  <c r="I186" i="47"/>
  <c r="J21" i="47"/>
  <c r="F182" i="47"/>
  <c r="F181" i="47"/>
  <c r="J179" i="47"/>
  <c r="S552" i="58" s="1"/>
  <c r="F178" i="47"/>
  <c r="F177" i="47"/>
  <c r="F176" i="47"/>
  <c r="F175" i="47"/>
  <c r="F174" i="47"/>
  <c r="F172" i="47"/>
  <c r="F171" i="47"/>
  <c r="F169" i="47"/>
  <c r="F166" i="47"/>
  <c r="F163" i="47"/>
  <c r="F162" i="47"/>
  <c r="F161" i="47"/>
  <c r="F160" i="47"/>
  <c r="F157" i="47"/>
  <c r="F156" i="47"/>
  <c r="F153" i="47"/>
  <c r="F155" i="47"/>
  <c r="F147" i="47"/>
  <c r="F146" i="47"/>
  <c r="F145" i="47"/>
  <c r="F144" i="47"/>
  <c r="F139" i="47"/>
  <c r="F137" i="47"/>
  <c r="F142" i="47"/>
  <c r="F129" i="47"/>
  <c r="F127" i="47"/>
  <c r="F126" i="47"/>
  <c r="F125" i="47"/>
  <c r="F123" i="47"/>
  <c r="J122" i="47"/>
  <c r="J121" i="47"/>
  <c r="J120" i="47"/>
  <c r="J119" i="47"/>
  <c r="F117" i="47"/>
  <c r="F115" i="47"/>
  <c r="F114" i="47"/>
  <c r="J107" i="47"/>
  <c r="J106" i="47"/>
  <c r="J105" i="47"/>
  <c r="J104" i="47"/>
  <c r="J103" i="47"/>
  <c r="J102" i="47"/>
  <c r="J101" i="47"/>
  <c r="J100" i="47"/>
  <c r="J99" i="47"/>
  <c r="J98" i="47"/>
  <c r="F97" i="47"/>
  <c r="J92" i="47"/>
  <c r="S463" i="40" s="1"/>
  <c r="J91" i="47"/>
  <c r="S462" i="40" s="1"/>
  <c r="F86" i="47"/>
  <c r="F84" i="47"/>
  <c r="F83" i="47"/>
  <c r="F82" i="47"/>
  <c r="F79" i="47"/>
  <c r="F78" i="47"/>
  <c r="F77" i="47"/>
  <c r="F76" i="47"/>
  <c r="F75" i="47"/>
  <c r="F72" i="47"/>
  <c r="F71" i="47"/>
  <c r="F62" i="47"/>
  <c r="F61" i="47"/>
  <c r="F60" i="47"/>
  <c r="F59" i="47"/>
  <c r="F58" i="47"/>
  <c r="F56" i="47"/>
  <c r="F54" i="47"/>
  <c r="J53" i="47"/>
  <c r="F51" i="47"/>
  <c r="J49" i="47"/>
  <c r="F48" i="47"/>
  <c r="F47" i="47"/>
  <c r="F46" i="47"/>
  <c r="F45" i="47"/>
  <c r="F44" i="47"/>
  <c r="F42" i="47"/>
  <c r="F41" i="47"/>
  <c r="F35" i="47"/>
  <c r="F34" i="47"/>
  <c r="F33" i="47"/>
  <c r="F32" i="47"/>
  <c r="F31" i="47"/>
  <c r="F30" i="47"/>
  <c r="F29" i="47"/>
  <c r="F28" i="47"/>
  <c r="F26" i="47"/>
  <c r="J20" i="47"/>
  <c r="K21" i="46"/>
  <c r="H21" i="46"/>
  <c r="G21" i="46"/>
  <c r="F21" i="46"/>
  <c r="K20" i="46"/>
  <c r="K19" i="46"/>
  <c r="K18" i="46"/>
  <c r="K17" i="46"/>
  <c r="K16" i="46"/>
  <c r="H16" i="46"/>
  <c r="H20" i="46" s="1"/>
  <c r="G16" i="46"/>
  <c r="G20" i="46" s="1"/>
  <c r="F16" i="46"/>
  <c r="F20" i="46" s="1"/>
  <c r="K15" i="46"/>
  <c r="H15" i="46"/>
  <c r="G15" i="46"/>
  <c r="F15" i="46"/>
  <c r="K14" i="46"/>
  <c r="H14" i="46"/>
  <c r="G14" i="46"/>
  <c r="F14" i="46"/>
  <c r="K12" i="46"/>
  <c r="H12" i="46"/>
  <c r="G12" i="46"/>
  <c r="F12" i="46"/>
  <c r="K11" i="46"/>
  <c r="H11" i="46"/>
  <c r="G11" i="46"/>
  <c r="K10" i="46"/>
  <c r="H10" i="46"/>
  <c r="G10" i="46"/>
  <c r="F10" i="46"/>
  <c r="R153" i="45"/>
  <c r="Q153" i="45"/>
  <c r="J153" i="45"/>
  <c r="R152" i="45"/>
  <c r="Q152" i="45"/>
  <c r="J152" i="45"/>
  <c r="R151" i="45"/>
  <c r="Q151" i="45"/>
  <c r="J151" i="45"/>
  <c r="R150" i="45"/>
  <c r="Q150" i="45"/>
  <c r="R149" i="45"/>
  <c r="Q149" i="45"/>
  <c r="J149" i="45"/>
  <c r="R148" i="45"/>
  <c r="Q148" i="45"/>
  <c r="R147" i="45"/>
  <c r="Q147" i="45"/>
  <c r="R146" i="45"/>
  <c r="Q146" i="45"/>
  <c r="J146" i="45"/>
  <c r="R145" i="45"/>
  <c r="Q145" i="45"/>
  <c r="R144" i="45"/>
  <c r="Q144" i="45"/>
  <c r="J144" i="45"/>
  <c r="R143" i="45"/>
  <c r="Q143" i="45"/>
  <c r="R142" i="45"/>
  <c r="Q142" i="45"/>
  <c r="J142" i="45"/>
  <c r="R141" i="45"/>
  <c r="Q141" i="45"/>
  <c r="R140" i="45"/>
  <c r="Q140" i="45"/>
  <c r="R139" i="45"/>
  <c r="Q139" i="45"/>
  <c r="R138" i="45"/>
  <c r="Q138" i="45"/>
  <c r="R137" i="45"/>
  <c r="Q137" i="45"/>
  <c r="R136" i="45"/>
  <c r="Q136" i="45"/>
  <c r="R135" i="45"/>
  <c r="Q135" i="45"/>
  <c r="R134" i="45"/>
  <c r="Q134" i="45"/>
  <c r="R133" i="45"/>
  <c r="Q133" i="45"/>
  <c r="J133" i="45"/>
  <c r="R132" i="45"/>
  <c r="Q132" i="45"/>
  <c r="J132" i="45"/>
  <c r="R131" i="45"/>
  <c r="Q131" i="45"/>
  <c r="J131" i="45"/>
  <c r="R130" i="45"/>
  <c r="Q130" i="45"/>
  <c r="R129" i="45"/>
  <c r="Q129" i="45"/>
  <c r="R128" i="45"/>
  <c r="Q128" i="45"/>
  <c r="J128" i="45"/>
  <c r="R127" i="45"/>
  <c r="Q127" i="45"/>
  <c r="R126" i="45"/>
  <c r="Q126" i="45"/>
  <c r="J126" i="45"/>
  <c r="R125" i="45"/>
  <c r="Q125" i="45"/>
  <c r="J125" i="45"/>
  <c r="R124" i="45"/>
  <c r="Q124" i="45"/>
  <c r="R123" i="45"/>
  <c r="Q123" i="45"/>
  <c r="J123" i="45"/>
  <c r="R122" i="45"/>
  <c r="Q122" i="45"/>
  <c r="J122" i="45"/>
  <c r="R121" i="45"/>
  <c r="Q121" i="45"/>
  <c r="J121" i="45"/>
  <c r="R120" i="45"/>
  <c r="Q120" i="45"/>
  <c r="J120" i="45"/>
  <c r="R119" i="45"/>
  <c r="Q119" i="45"/>
  <c r="J119" i="45"/>
  <c r="R118" i="45"/>
  <c r="Q118" i="45"/>
  <c r="R117" i="45"/>
  <c r="Q117" i="45"/>
  <c r="J117" i="45"/>
  <c r="R116" i="45"/>
  <c r="Q116" i="45"/>
  <c r="J116" i="45"/>
  <c r="R115" i="45"/>
  <c r="Q115" i="45"/>
  <c r="J115" i="45"/>
  <c r="R114" i="45"/>
  <c r="Q114" i="45"/>
  <c r="J114" i="45"/>
  <c r="R113" i="45"/>
  <c r="Q113" i="45"/>
  <c r="J113" i="45"/>
  <c r="R112" i="45"/>
  <c r="Q112" i="45"/>
  <c r="R111" i="45"/>
  <c r="Q111" i="45"/>
  <c r="R110" i="45"/>
  <c r="Q110" i="45"/>
  <c r="R109" i="45"/>
  <c r="Q109" i="45"/>
  <c r="R108" i="45"/>
  <c r="Q108" i="45"/>
  <c r="R107" i="45"/>
  <c r="Q107" i="45"/>
  <c r="R106" i="45"/>
  <c r="Q106" i="45"/>
  <c r="R105" i="45"/>
  <c r="Q105" i="45"/>
  <c r="J105" i="45"/>
  <c r="R104" i="45"/>
  <c r="Q104" i="45"/>
  <c r="J104" i="45"/>
  <c r="R103" i="45"/>
  <c r="Q103" i="45"/>
  <c r="J103" i="45"/>
  <c r="R102" i="45"/>
  <c r="Q102" i="45"/>
  <c r="R101" i="45"/>
  <c r="Q101" i="45"/>
  <c r="J101" i="45"/>
  <c r="R100" i="45"/>
  <c r="Q100" i="45"/>
  <c r="J100" i="45"/>
  <c r="Y99" i="45"/>
  <c r="R99" i="45"/>
  <c r="Q99" i="45"/>
  <c r="J99" i="45"/>
  <c r="R98" i="45"/>
  <c r="Q98" i="45"/>
  <c r="J98" i="45"/>
  <c r="R97" i="45"/>
  <c r="Q97" i="45"/>
  <c r="J97" i="45"/>
  <c r="R96" i="45"/>
  <c r="Q96" i="45"/>
  <c r="J96" i="45"/>
  <c r="R95" i="45"/>
  <c r="Q95" i="45"/>
  <c r="J95" i="45"/>
  <c r="R94" i="45"/>
  <c r="Q94" i="45"/>
  <c r="J94" i="45"/>
  <c r="R93" i="45"/>
  <c r="Q93" i="45"/>
  <c r="J93" i="45"/>
  <c r="R92" i="45"/>
  <c r="Q92" i="45"/>
  <c r="J92" i="45"/>
  <c r="R91" i="45"/>
  <c r="Q91" i="45"/>
  <c r="R90" i="45"/>
  <c r="Q90" i="45"/>
  <c r="R89" i="45"/>
  <c r="Q89" i="45"/>
  <c r="J89" i="45"/>
  <c r="R88" i="45"/>
  <c r="Q88" i="45"/>
  <c r="J88" i="45"/>
  <c r="R87" i="45"/>
  <c r="Q87" i="45"/>
  <c r="J87" i="45"/>
  <c r="R86" i="45"/>
  <c r="Q86" i="45"/>
  <c r="J86" i="45"/>
  <c r="R85" i="45"/>
  <c r="Q85" i="45"/>
  <c r="J85" i="45"/>
  <c r="R84" i="45"/>
  <c r="Q84" i="45"/>
  <c r="J84" i="45"/>
  <c r="J143" i="45" s="1"/>
  <c r="R83" i="45"/>
  <c r="Q83" i="45"/>
  <c r="J83" i="45"/>
  <c r="R82" i="45"/>
  <c r="Q82" i="45"/>
  <c r="J82" i="45"/>
  <c r="R81" i="45"/>
  <c r="Q81" i="45"/>
  <c r="J81" i="45"/>
  <c r="R80" i="45"/>
  <c r="Q80" i="45"/>
  <c r="J80" i="45"/>
  <c r="R79" i="45"/>
  <c r="Q79" i="45"/>
  <c r="R78" i="45"/>
  <c r="Q78" i="45"/>
  <c r="R77" i="45"/>
  <c r="Q77" i="45"/>
  <c r="R76" i="45"/>
  <c r="Q76" i="45"/>
  <c r="R75" i="45"/>
  <c r="Q75" i="45"/>
  <c r="R74" i="45"/>
  <c r="Q74" i="45"/>
  <c r="R73" i="45"/>
  <c r="Q73" i="45"/>
  <c r="R72" i="45"/>
  <c r="Q72" i="45"/>
  <c r="R71" i="45"/>
  <c r="Q71" i="45"/>
  <c r="R70" i="45"/>
  <c r="Q70" i="45"/>
  <c r="R69" i="45"/>
  <c r="Q69" i="45"/>
  <c r="R68" i="45"/>
  <c r="Q68" i="45"/>
  <c r="R67" i="45"/>
  <c r="Q67" i="45"/>
  <c r="J67" i="45"/>
  <c r="J70" i="45" s="1"/>
  <c r="R66" i="45"/>
  <c r="Q66" i="45"/>
  <c r="J66" i="45"/>
  <c r="J69" i="45" s="1"/>
  <c r="R65" i="45"/>
  <c r="Q65" i="45"/>
  <c r="J65" i="45"/>
  <c r="J68" i="45" s="1"/>
  <c r="R64" i="45"/>
  <c r="Q64" i="45"/>
  <c r="R63" i="45"/>
  <c r="Q63" i="45"/>
  <c r="J63" i="45"/>
  <c r="J77" i="45" s="1"/>
  <c r="R62" i="45"/>
  <c r="Q62" i="45"/>
  <c r="R61" i="45"/>
  <c r="Q61" i="45"/>
  <c r="J61" i="45"/>
  <c r="R60" i="45"/>
  <c r="Q60" i="45"/>
  <c r="R59" i="45"/>
  <c r="Q59" i="45"/>
  <c r="J59" i="45"/>
  <c r="R58" i="45"/>
  <c r="Q58" i="45"/>
  <c r="J58" i="45"/>
  <c r="R57" i="45"/>
  <c r="Q57" i="45"/>
  <c r="J57" i="45"/>
  <c r="R56" i="45"/>
  <c r="Q56" i="45"/>
  <c r="J56" i="45"/>
  <c r="R55" i="45"/>
  <c r="Q55" i="45"/>
  <c r="J55" i="45"/>
  <c r="R54" i="45"/>
  <c r="Q54" i="45"/>
  <c r="R53" i="45"/>
  <c r="Q53" i="45"/>
  <c r="R52" i="45"/>
  <c r="Q52" i="45"/>
  <c r="R51" i="45"/>
  <c r="Q51" i="45"/>
  <c r="R50" i="45"/>
  <c r="Q50" i="45"/>
  <c r="R49" i="45"/>
  <c r="Q49" i="45"/>
  <c r="J49" i="45"/>
  <c r="R48" i="45"/>
  <c r="Q48" i="45"/>
  <c r="J48" i="45"/>
  <c r="R47" i="45"/>
  <c r="Q47" i="45"/>
  <c r="J47" i="45"/>
  <c r="R46" i="45"/>
  <c r="Q46" i="45"/>
  <c r="J46" i="45"/>
  <c r="R45" i="45"/>
  <c r="Q45" i="45"/>
  <c r="R44" i="45"/>
  <c r="Q44" i="45"/>
  <c r="J44" i="45"/>
  <c r="R43" i="45"/>
  <c r="Q43" i="45"/>
  <c r="J43" i="45"/>
  <c r="R42" i="45"/>
  <c r="Q42" i="45"/>
  <c r="R41" i="45"/>
  <c r="Q41" i="45"/>
  <c r="R40" i="45"/>
  <c r="Q40" i="45"/>
  <c r="J40" i="45"/>
  <c r="R39" i="45"/>
  <c r="Q39" i="45"/>
  <c r="J39" i="45"/>
  <c r="R38" i="45"/>
  <c r="Q38" i="45"/>
  <c r="J38" i="45"/>
  <c r="R37" i="45"/>
  <c r="Q37" i="45"/>
  <c r="J37" i="45"/>
  <c r="R36" i="45"/>
  <c r="Q36" i="45"/>
  <c r="J36" i="45"/>
  <c r="R35" i="45"/>
  <c r="Q35" i="45"/>
  <c r="J35" i="45"/>
  <c r="R34" i="45"/>
  <c r="Q34" i="45"/>
  <c r="J34" i="45"/>
  <c r="R33" i="45"/>
  <c r="Q33" i="45"/>
  <c r="J33" i="45"/>
  <c r="R32" i="45"/>
  <c r="Q32" i="45"/>
  <c r="R31" i="45"/>
  <c r="Q31" i="45"/>
  <c r="R30" i="45"/>
  <c r="Q30" i="45"/>
  <c r="R29" i="45"/>
  <c r="Q29" i="45"/>
  <c r="J29" i="45"/>
  <c r="R28" i="45"/>
  <c r="Q28" i="45"/>
  <c r="R27" i="45"/>
  <c r="Q27" i="45"/>
  <c r="J27" i="45"/>
  <c r="R26" i="45"/>
  <c r="Q26" i="45"/>
  <c r="J26" i="45"/>
  <c r="R25" i="45"/>
  <c r="Q25" i="45"/>
  <c r="J25" i="45"/>
  <c r="R24" i="45"/>
  <c r="Q24" i="45"/>
  <c r="J24" i="45"/>
  <c r="R23" i="45"/>
  <c r="Q23" i="45"/>
  <c r="R22" i="45"/>
  <c r="Q22" i="45"/>
  <c r="J22" i="45"/>
  <c r="R21" i="45"/>
  <c r="Q21" i="45"/>
  <c r="J21" i="45"/>
  <c r="R20" i="45"/>
  <c r="Q20" i="45"/>
  <c r="J20" i="45"/>
  <c r="R19" i="45"/>
  <c r="Q19" i="45"/>
  <c r="N18" i="45"/>
  <c r="M18" i="45"/>
  <c r="L18" i="45"/>
  <c r="J16" i="45"/>
  <c r="J14" i="45"/>
  <c r="J76" i="45" s="1"/>
  <c r="J19" i="44"/>
  <c r="G19" i="44"/>
  <c r="F19" i="44"/>
  <c r="E19" i="44"/>
  <c r="J18" i="44"/>
  <c r="E18" i="44"/>
  <c r="J17" i="44"/>
  <c r="E17" i="44"/>
  <c r="J16" i="44"/>
  <c r="G16" i="44"/>
  <c r="F16" i="44"/>
  <c r="E16" i="44"/>
  <c r="J15" i="44"/>
  <c r="G15" i="44"/>
  <c r="F15" i="44"/>
  <c r="E15" i="44"/>
  <c r="J14" i="44"/>
  <c r="E14" i="44"/>
  <c r="J13" i="44"/>
  <c r="E13" i="44"/>
  <c r="J12" i="44"/>
  <c r="G12" i="44"/>
  <c r="E12" i="44"/>
  <c r="J11" i="44"/>
  <c r="G11" i="44"/>
  <c r="G18" i="44" s="1"/>
  <c r="F11" i="44"/>
  <c r="F18" i="44" s="1"/>
  <c r="J10" i="44"/>
  <c r="G10" i="44"/>
  <c r="F10" i="44"/>
  <c r="F12" i="44" s="1"/>
  <c r="E10" i="44"/>
  <c r="P50" i="43"/>
  <c r="P49" i="43"/>
  <c r="M49" i="43"/>
  <c r="M50" i="43" s="1"/>
  <c r="L49" i="43"/>
  <c r="L50" i="43" s="1"/>
  <c r="K49" i="43"/>
  <c r="K50" i="43" s="1"/>
  <c r="J49" i="43"/>
  <c r="J50" i="43" s="1"/>
  <c r="I49" i="43"/>
  <c r="I50" i="43" s="1"/>
  <c r="H49" i="43"/>
  <c r="H50" i="43" s="1"/>
  <c r="G49" i="43"/>
  <c r="G50" i="43" s="1"/>
  <c r="F49" i="43"/>
  <c r="P48" i="43"/>
  <c r="P47" i="43"/>
  <c r="P46" i="43"/>
  <c r="P45" i="43"/>
  <c r="M45" i="43"/>
  <c r="L45" i="43"/>
  <c r="K45" i="43"/>
  <c r="J45" i="43"/>
  <c r="I45" i="43"/>
  <c r="H45" i="43"/>
  <c r="G45" i="43"/>
  <c r="F45" i="43"/>
  <c r="P44" i="43"/>
  <c r="M44" i="43"/>
  <c r="M47" i="43" s="1"/>
  <c r="L44" i="43"/>
  <c r="L47" i="43" s="1"/>
  <c r="K44" i="43"/>
  <c r="K46" i="43" s="1"/>
  <c r="J44" i="43"/>
  <c r="J47" i="43" s="1"/>
  <c r="I44" i="43"/>
  <c r="I47" i="43" s="1"/>
  <c r="H44" i="43"/>
  <c r="H46" i="43" s="1"/>
  <c r="H48" i="43" s="1"/>
  <c r="G44" i="43"/>
  <c r="G47" i="43" s="1"/>
  <c r="F44" i="43"/>
  <c r="F47" i="43" s="1"/>
  <c r="P43" i="43"/>
  <c r="M43" i="43"/>
  <c r="L43" i="43"/>
  <c r="K43" i="43"/>
  <c r="J43" i="43"/>
  <c r="I43" i="43"/>
  <c r="H43" i="43"/>
  <c r="G43" i="43"/>
  <c r="F43" i="43"/>
  <c r="P42" i="43"/>
  <c r="M42" i="43"/>
  <c r="L42" i="43"/>
  <c r="K42" i="43"/>
  <c r="J42" i="43"/>
  <c r="I42" i="43"/>
  <c r="H42" i="43"/>
  <c r="G42" i="43"/>
  <c r="F42" i="43"/>
  <c r="P41" i="43"/>
  <c r="M41" i="43"/>
  <c r="L41" i="43"/>
  <c r="K41" i="43"/>
  <c r="J41" i="43"/>
  <c r="I41" i="43"/>
  <c r="H41" i="43"/>
  <c r="G41" i="43"/>
  <c r="F41" i="43"/>
  <c r="P40" i="43"/>
  <c r="M40" i="43"/>
  <c r="L40" i="43"/>
  <c r="K40" i="43"/>
  <c r="J40" i="43"/>
  <c r="I40" i="43"/>
  <c r="H40" i="43"/>
  <c r="G40" i="43"/>
  <c r="F40" i="43"/>
  <c r="P39" i="43"/>
  <c r="M39" i="43"/>
  <c r="L39" i="43"/>
  <c r="K39" i="43"/>
  <c r="J39" i="43"/>
  <c r="I39" i="43"/>
  <c r="H39" i="43"/>
  <c r="G39" i="43"/>
  <c r="F39" i="43"/>
  <c r="P38" i="43"/>
  <c r="M38" i="43"/>
  <c r="L38" i="43"/>
  <c r="K38" i="43"/>
  <c r="J38" i="43"/>
  <c r="I38" i="43"/>
  <c r="H38" i="43"/>
  <c r="G38" i="43"/>
  <c r="F38" i="43"/>
  <c r="P37" i="43"/>
  <c r="M37" i="43"/>
  <c r="L37" i="43"/>
  <c r="K37" i="43"/>
  <c r="J37" i="43"/>
  <c r="I37" i="43"/>
  <c r="H37" i="43"/>
  <c r="G37" i="43"/>
  <c r="F37" i="43"/>
  <c r="P36" i="43"/>
  <c r="M36" i="43"/>
  <c r="L36" i="43"/>
  <c r="K36" i="43"/>
  <c r="J36" i="43"/>
  <c r="I36" i="43"/>
  <c r="H36" i="43"/>
  <c r="G36" i="43"/>
  <c r="F36" i="43"/>
  <c r="P35" i="43"/>
  <c r="M35" i="43"/>
  <c r="L35" i="43"/>
  <c r="K35" i="43"/>
  <c r="J35" i="43"/>
  <c r="I35" i="43"/>
  <c r="H35" i="43"/>
  <c r="G35" i="43"/>
  <c r="F35" i="43"/>
  <c r="P34" i="43"/>
  <c r="M34" i="43"/>
  <c r="L34" i="43"/>
  <c r="K34" i="43"/>
  <c r="J34" i="43"/>
  <c r="I34" i="43"/>
  <c r="H34" i="43"/>
  <c r="G34" i="43"/>
  <c r="F34" i="43"/>
  <c r="P33" i="43"/>
  <c r="M33" i="43"/>
  <c r="L33" i="43"/>
  <c r="K33" i="43"/>
  <c r="J33" i="43"/>
  <c r="I33" i="43"/>
  <c r="H33" i="43"/>
  <c r="G33" i="43"/>
  <c r="F33" i="43"/>
  <c r="P32" i="43"/>
  <c r="M32" i="43"/>
  <c r="L32" i="43"/>
  <c r="K32" i="43"/>
  <c r="J32" i="43"/>
  <c r="I32" i="43"/>
  <c r="H32" i="43"/>
  <c r="G32" i="43"/>
  <c r="F32" i="43"/>
  <c r="P31" i="43"/>
  <c r="M31" i="43"/>
  <c r="L31" i="43"/>
  <c r="K31" i="43"/>
  <c r="J31" i="43"/>
  <c r="I31" i="43"/>
  <c r="H31" i="43"/>
  <c r="G31" i="43"/>
  <c r="F31" i="43"/>
  <c r="P30" i="43"/>
  <c r="M30" i="43"/>
  <c r="L30" i="43"/>
  <c r="K30" i="43"/>
  <c r="J30" i="43"/>
  <c r="I30" i="43"/>
  <c r="H30" i="43"/>
  <c r="G30" i="43"/>
  <c r="F30" i="43"/>
  <c r="P29" i="43"/>
  <c r="M29" i="43"/>
  <c r="L29" i="43"/>
  <c r="K29" i="43"/>
  <c r="J29" i="43"/>
  <c r="I29" i="43"/>
  <c r="H29" i="43"/>
  <c r="G29" i="43"/>
  <c r="F29" i="43"/>
  <c r="P28" i="43"/>
  <c r="M28" i="43"/>
  <c r="L28" i="43"/>
  <c r="K28" i="43"/>
  <c r="J28" i="43"/>
  <c r="I28" i="43"/>
  <c r="H28" i="43"/>
  <c r="G28" i="43"/>
  <c r="F28" i="43"/>
  <c r="P27" i="43"/>
  <c r="M27" i="43"/>
  <c r="L27" i="43"/>
  <c r="K27" i="43"/>
  <c r="J27" i="43"/>
  <c r="I27" i="43"/>
  <c r="H27" i="43"/>
  <c r="G27" i="43"/>
  <c r="F27" i="43"/>
  <c r="P26" i="43"/>
  <c r="M26" i="43"/>
  <c r="L26" i="43"/>
  <c r="K26" i="43"/>
  <c r="J26" i="43"/>
  <c r="I26" i="43"/>
  <c r="H26" i="43"/>
  <c r="G26" i="43"/>
  <c r="P25" i="43"/>
  <c r="M25" i="43"/>
  <c r="L25" i="43"/>
  <c r="K25" i="43"/>
  <c r="J25" i="43"/>
  <c r="I25" i="43"/>
  <c r="H25" i="43"/>
  <c r="G25" i="43"/>
  <c r="F25" i="43"/>
  <c r="M21" i="43"/>
  <c r="L21" i="43"/>
  <c r="K21" i="43"/>
  <c r="J21" i="43"/>
  <c r="I21" i="43"/>
  <c r="H21" i="43"/>
  <c r="G21" i="43"/>
  <c r="F21" i="43"/>
  <c r="M17" i="43"/>
  <c r="M15" i="43" s="1"/>
  <c r="L17" i="43"/>
  <c r="K17" i="43"/>
  <c r="J17" i="43"/>
  <c r="I17" i="43"/>
  <c r="H17" i="43"/>
  <c r="G17" i="43"/>
  <c r="F17" i="43"/>
  <c r="F15" i="43" s="1"/>
  <c r="M16" i="43"/>
  <c r="L15" i="43"/>
  <c r="I15" i="43"/>
  <c r="L14" i="43"/>
  <c r="F104" i="42"/>
  <c r="T100" i="42"/>
  <c r="T99" i="42"/>
  <c r="T98" i="42"/>
  <c r="T97" i="42"/>
  <c r="T96" i="42"/>
  <c r="F94" i="42"/>
  <c r="F93" i="42"/>
  <c r="F95" i="42" s="1"/>
  <c r="F90" i="42"/>
  <c r="F89" i="42"/>
  <c r="F76" i="42" s="1"/>
  <c r="F88" i="42"/>
  <c r="F87" i="42"/>
  <c r="F74" i="42" s="1"/>
  <c r="T44" i="42"/>
  <c r="T43" i="42"/>
  <c r="T42" i="42"/>
  <c r="T38" i="42"/>
  <c r="T37" i="42"/>
  <c r="T28" i="42"/>
  <c r="T26" i="42"/>
  <c r="J552" i="41"/>
  <c r="J551" i="41"/>
  <c r="J550" i="41"/>
  <c r="J549" i="41"/>
  <c r="J548" i="41"/>
  <c r="J547" i="41"/>
  <c r="J497" i="41"/>
  <c r="J496" i="41"/>
  <c r="J495" i="41"/>
  <c r="J494" i="41"/>
  <c r="J493" i="41"/>
  <c r="J492" i="41"/>
  <c r="J491" i="41"/>
  <c r="J490" i="41"/>
  <c r="J489" i="41"/>
  <c r="J488" i="41"/>
  <c r="J487" i="41"/>
  <c r="J486" i="41"/>
  <c r="J485" i="41"/>
  <c r="J484" i="41"/>
  <c r="J483" i="41"/>
  <c r="J482" i="41"/>
  <c r="J481" i="41"/>
  <c r="J480" i="41"/>
  <c r="J479" i="41"/>
  <c r="J478" i="41"/>
  <c r="J477" i="41"/>
  <c r="J476" i="41"/>
  <c r="J475" i="41"/>
  <c r="J474" i="41"/>
  <c r="J473" i="41"/>
  <c r="J472" i="41"/>
  <c r="J471" i="41"/>
  <c r="J470" i="41"/>
  <c r="J469" i="41"/>
  <c r="J468" i="41"/>
  <c r="J467" i="41"/>
  <c r="J466" i="41"/>
  <c r="J465" i="41"/>
  <c r="J464" i="41"/>
  <c r="J463" i="41"/>
  <c r="J462" i="41"/>
  <c r="J461" i="41"/>
  <c r="J460" i="41"/>
  <c r="J459" i="41"/>
  <c r="J458" i="41"/>
  <c r="J457" i="41"/>
  <c r="J456" i="41"/>
  <c r="J455" i="41"/>
  <c r="J454" i="41"/>
  <c r="J453" i="41"/>
  <c r="J452" i="41"/>
  <c r="J451" i="41"/>
  <c r="J450" i="41"/>
  <c r="J449" i="41"/>
  <c r="J448" i="41"/>
  <c r="J447" i="41"/>
  <c r="J446" i="41"/>
  <c r="J445" i="41"/>
  <c r="J444" i="41"/>
  <c r="J443" i="41"/>
  <c r="J442" i="41"/>
  <c r="J441" i="41"/>
  <c r="J440" i="41"/>
  <c r="J439" i="41"/>
  <c r="J438" i="41"/>
  <c r="J437" i="41"/>
  <c r="J436" i="41"/>
  <c r="J435" i="41"/>
  <c r="J434" i="41"/>
  <c r="J433" i="41"/>
  <c r="J432" i="41"/>
  <c r="J431" i="41"/>
  <c r="J430" i="41"/>
  <c r="J429" i="41"/>
  <c r="J428" i="41"/>
  <c r="J427" i="41"/>
  <c r="J426" i="41"/>
  <c r="J425" i="41"/>
  <c r="J424" i="41"/>
  <c r="J423" i="41"/>
  <c r="J422" i="41"/>
  <c r="J421" i="41"/>
  <c r="J420" i="41"/>
  <c r="J419" i="41"/>
  <c r="J418" i="41"/>
  <c r="J417" i="41"/>
  <c r="J416" i="41"/>
  <c r="J415" i="41"/>
  <c r="J414" i="41"/>
  <c r="J413" i="41"/>
  <c r="J412" i="41"/>
  <c r="J411" i="41"/>
  <c r="J410" i="41"/>
  <c r="J409" i="41"/>
  <c r="J408" i="41"/>
  <c r="J407" i="41"/>
  <c r="J406" i="41"/>
  <c r="J405" i="41"/>
  <c r="J404" i="41"/>
  <c r="J403" i="41"/>
  <c r="J402" i="41"/>
  <c r="J401" i="41"/>
  <c r="J400" i="41"/>
  <c r="J399" i="41"/>
  <c r="J398" i="41"/>
  <c r="J397" i="41"/>
  <c r="J396" i="41"/>
  <c r="J395" i="41"/>
  <c r="J394" i="41"/>
  <c r="J393" i="41"/>
  <c r="J392" i="41"/>
  <c r="J391" i="41"/>
  <c r="J390" i="41"/>
  <c r="J389" i="41"/>
  <c r="J388" i="41"/>
  <c r="J387" i="41"/>
  <c r="J386" i="41"/>
  <c r="J385" i="41"/>
  <c r="J384" i="41"/>
  <c r="J383" i="41"/>
  <c r="J382" i="41"/>
  <c r="J381" i="41"/>
  <c r="J380" i="41"/>
  <c r="J379" i="41"/>
  <c r="J378" i="41"/>
  <c r="J377" i="41"/>
  <c r="J376" i="41"/>
  <c r="J375" i="41"/>
  <c r="J374" i="41"/>
  <c r="J373" i="41"/>
  <c r="J372" i="41"/>
  <c r="J371" i="41"/>
  <c r="J370" i="41"/>
  <c r="J369" i="41"/>
  <c r="J368" i="41"/>
  <c r="J367" i="41"/>
  <c r="J366" i="41"/>
  <c r="J365" i="41"/>
  <c r="J364" i="41"/>
  <c r="J363" i="41"/>
  <c r="J362" i="41"/>
  <c r="J361" i="41"/>
  <c r="J360" i="41"/>
  <c r="J359" i="41"/>
  <c r="J358" i="41"/>
  <c r="J357" i="41"/>
  <c r="J356" i="41"/>
  <c r="J355" i="41"/>
  <c r="J354" i="41"/>
  <c r="J353" i="41"/>
  <c r="J352" i="41"/>
  <c r="J351" i="41"/>
  <c r="J350" i="41"/>
  <c r="J349" i="41"/>
  <c r="J344" i="41"/>
  <c r="J343" i="41"/>
  <c r="J342" i="41"/>
  <c r="J341" i="41"/>
  <c r="J340" i="41"/>
  <c r="J339" i="41"/>
  <c r="J338" i="41"/>
  <c r="J337" i="41"/>
  <c r="J336" i="41"/>
  <c r="J335" i="41"/>
  <c r="J334" i="41"/>
  <c r="J333" i="41"/>
  <c r="J332" i="41"/>
  <c r="J331" i="41"/>
  <c r="J330" i="41"/>
  <c r="J329" i="41"/>
  <c r="J328" i="41"/>
  <c r="J327" i="41"/>
  <c r="J326" i="41"/>
  <c r="J325" i="41"/>
  <c r="J324" i="41"/>
  <c r="J323" i="41"/>
  <c r="J322" i="41"/>
  <c r="J321" i="41"/>
  <c r="J320" i="41"/>
  <c r="J319" i="41"/>
  <c r="J318" i="41"/>
  <c r="J317" i="41"/>
  <c r="J316" i="41"/>
  <c r="J315" i="41"/>
  <c r="J314" i="41"/>
  <c r="J313" i="41"/>
  <c r="J312" i="41"/>
  <c r="J311" i="41"/>
  <c r="J310" i="41"/>
  <c r="J309" i="41"/>
  <c r="J308" i="41"/>
  <c r="J307" i="41"/>
  <c r="J306" i="41"/>
  <c r="J305" i="41"/>
  <c r="J304" i="41"/>
  <c r="J303" i="41"/>
  <c r="J302" i="41"/>
  <c r="J301" i="41"/>
  <c r="J300" i="41"/>
  <c r="J299" i="41"/>
  <c r="J298" i="41"/>
  <c r="J297" i="41"/>
  <c r="J296" i="41"/>
  <c r="J295" i="41"/>
  <c r="J294" i="41"/>
  <c r="J293" i="41"/>
  <c r="J292" i="41"/>
  <c r="J291" i="41"/>
  <c r="J290" i="41"/>
  <c r="J289" i="41"/>
  <c r="J288" i="41"/>
  <c r="J287" i="41"/>
  <c r="J286" i="41"/>
  <c r="J285" i="41"/>
  <c r="J284" i="41"/>
  <c r="J283" i="41"/>
  <c r="J282" i="41"/>
  <c r="J281" i="41"/>
  <c r="J280" i="41"/>
  <c r="J279" i="41"/>
  <c r="J278" i="41"/>
  <c r="J277" i="41"/>
  <c r="J276" i="41"/>
  <c r="J275" i="41"/>
  <c r="J274" i="41"/>
  <c r="J273" i="41"/>
  <c r="J272" i="41"/>
  <c r="J271" i="41"/>
  <c r="J270" i="41"/>
  <c r="J269" i="41"/>
  <c r="J268" i="41"/>
  <c r="J267" i="41"/>
  <c r="J266" i="41"/>
  <c r="J265" i="41"/>
  <c r="J264" i="41"/>
  <c r="J263" i="41"/>
  <c r="J262" i="41"/>
  <c r="J261" i="41"/>
  <c r="J260" i="41"/>
  <c r="J259" i="41"/>
  <c r="J258" i="41"/>
  <c r="J257" i="41"/>
  <c r="J256" i="41"/>
  <c r="J255" i="41"/>
  <c r="J254" i="41"/>
  <c r="J253" i="41"/>
  <c r="J252" i="41"/>
  <c r="J251" i="41"/>
  <c r="J250" i="41"/>
  <c r="J249" i="41"/>
  <c r="J248" i="41"/>
  <c r="J247" i="41"/>
  <c r="J246" i="41"/>
  <c r="J245" i="41"/>
  <c r="J244" i="41"/>
  <c r="J243" i="41"/>
  <c r="J242" i="41"/>
  <c r="J241" i="41"/>
  <c r="J240" i="41"/>
  <c r="J239" i="41"/>
  <c r="J238" i="41"/>
  <c r="J237" i="41"/>
  <c r="J236" i="41"/>
  <c r="J235" i="41"/>
  <c r="J234" i="41"/>
  <c r="J233" i="41"/>
  <c r="J232" i="41"/>
  <c r="J231" i="41"/>
  <c r="J230" i="41"/>
  <c r="J229" i="41"/>
  <c r="J228" i="41"/>
  <c r="J227" i="41"/>
  <c r="J226" i="41"/>
  <c r="J225" i="41"/>
  <c r="J224" i="41"/>
  <c r="J223" i="41"/>
  <c r="J222" i="41"/>
  <c r="J221" i="41"/>
  <c r="J220" i="41"/>
  <c r="J219" i="41"/>
  <c r="J218" i="41"/>
  <c r="J217" i="41"/>
  <c r="J216" i="41"/>
  <c r="J215" i="41"/>
  <c r="J214" i="41"/>
  <c r="J213" i="41"/>
  <c r="J212" i="41"/>
  <c r="J211" i="41"/>
  <c r="J210" i="41"/>
  <c r="J209" i="41"/>
  <c r="J208" i="41"/>
  <c r="J207" i="41"/>
  <c r="J206" i="41"/>
  <c r="J205" i="41"/>
  <c r="J204" i="41"/>
  <c r="J203" i="41"/>
  <c r="J202" i="41"/>
  <c r="J201" i="41"/>
  <c r="J200" i="41"/>
  <c r="J199" i="41"/>
  <c r="J198" i="41"/>
  <c r="J197" i="41"/>
  <c r="J196" i="41"/>
  <c r="J195" i="41"/>
  <c r="J194" i="41"/>
  <c r="J193" i="41"/>
  <c r="J192" i="41"/>
  <c r="J191" i="41"/>
  <c r="J190" i="41"/>
  <c r="J189" i="41"/>
  <c r="J188" i="41"/>
  <c r="J187" i="41"/>
  <c r="J186" i="41"/>
  <c r="J185" i="41"/>
  <c r="J184" i="41"/>
  <c r="J183" i="41"/>
  <c r="J182" i="41"/>
  <c r="J181" i="41"/>
  <c r="J180" i="41"/>
  <c r="J179" i="41"/>
  <c r="J178" i="41"/>
  <c r="J177" i="41"/>
  <c r="J176" i="41"/>
  <c r="J175" i="41"/>
  <c r="J174" i="41"/>
  <c r="J173" i="41"/>
  <c r="J172" i="41"/>
  <c r="J171" i="41"/>
  <c r="J170" i="41"/>
  <c r="J169" i="41"/>
  <c r="J168" i="41"/>
  <c r="J167" i="41"/>
  <c r="J166" i="41"/>
  <c r="J165" i="41"/>
  <c r="J163" i="41"/>
  <c r="J162" i="41"/>
  <c r="J161" i="41"/>
  <c r="J160" i="41"/>
  <c r="J159" i="41"/>
  <c r="J158" i="41"/>
  <c r="J157" i="41"/>
  <c r="J156" i="41"/>
  <c r="J155" i="41"/>
  <c r="J154" i="41"/>
  <c r="J153" i="41"/>
  <c r="J152" i="41"/>
  <c r="J151" i="41"/>
  <c r="J150" i="41"/>
  <c r="J149" i="41"/>
  <c r="J148" i="41"/>
  <c r="J147" i="41"/>
  <c r="J146" i="41"/>
  <c r="J145" i="41"/>
  <c r="J144" i="41"/>
  <c r="J143" i="41"/>
  <c r="J142" i="41"/>
  <c r="J141" i="41"/>
  <c r="J140" i="41"/>
  <c r="J139" i="41"/>
  <c r="J138" i="41"/>
  <c r="J137" i="41"/>
  <c r="J136" i="41"/>
  <c r="J135" i="41"/>
  <c r="J134" i="41"/>
  <c r="J133" i="41"/>
  <c r="J132" i="41"/>
  <c r="J131" i="41"/>
  <c r="J130" i="41"/>
  <c r="J129" i="41"/>
  <c r="J128" i="41"/>
  <c r="J127" i="41"/>
  <c r="J126" i="41"/>
  <c r="J125" i="41"/>
  <c r="J124" i="41"/>
  <c r="J123" i="41"/>
  <c r="J122" i="41"/>
  <c r="J121" i="41"/>
  <c r="J120" i="41"/>
  <c r="J119" i="41"/>
  <c r="J118" i="41"/>
  <c r="J117" i="41"/>
  <c r="J116" i="41"/>
  <c r="J115" i="41"/>
  <c r="J114" i="41"/>
  <c r="J113" i="41"/>
  <c r="J112" i="41"/>
  <c r="J111" i="41"/>
  <c r="J110" i="41"/>
  <c r="J109" i="41"/>
  <c r="J108" i="41"/>
  <c r="J107" i="41"/>
  <c r="J106" i="41"/>
  <c r="J105" i="41"/>
  <c r="J104" i="41"/>
  <c r="J103" i="41"/>
  <c r="J102" i="41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G16" i="41"/>
  <c r="G5" i="41" s="1"/>
  <c r="F16" i="41"/>
  <c r="E16" i="41"/>
  <c r="E5" i="41" s="1"/>
  <c r="J15" i="41"/>
  <c r="J14" i="41"/>
  <c r="J13" i="41"/>
  <c r="J12" i="41"/>
  <c r="J11" i="41"/>
  <c r="J10" i="41"/>
  <c r="J9" i="41"/>
  <c r="J8" i="41"/>
  <c r="J7" i="41"/>
  <c r="J6" i="41"/>
  <c r="I562" i="40"/>
  <c r="I561" i="40"/>
  <c r="I560" i="40"/>
  <c r="I559" i="40"/>
  <c r="I558" i="40"/>
  <c r="I557" i="40"/>
  <c r="I556" i="40"/>
  <c r="I555" i="40"/>
  <c r="I554" i="40"/>
  <c r="I553" i="40"/>
  <c r="I552" i="40"/>
  <c r="I551" i="40"/>
  <c r="I550" i="40"/>
  <c r="I549" i="40"/>
  <c r="I548" i="40"/>
  <c r="I547" i="40"/>
  <c r="I546" i="40"/>
  <c r="I545" i="40"/>
  <c r="I544" i="40"/>
  <c r="I543" i="40"/>
  <c r="I542" i="40"/>
  <c r="I541" i="40"/>
  <c r="I540" i="40"/>
  <c r="I539" i="40"/>
  <c r="I538" i="40"/>
  <c r="I537" i="40"/>
  <c r="I536" i="40"/>
  <c r="I535" i="40"/>
  <c r="I534" i="40"/>
  <c r="I533" i="40"/>
  <c r="I532" i="40"/>
  <c r="I531" i="40"/>
  <c r="I528" i="40"/>
  <c r="I527" i="40"/>
  <c r="I525" i="40"/>
  <c r="I524" i="40"/>
  <c r="I523" i="40"/>
  <c r="I522" i="40"/>
  <c r="I520" i="40"/>
  <c r="I519" i="40"/>
  <c r="I518" i="40"/>
  <c r="I517" i="40"/>
  <c r="I516" i="40"/>
  <c r="I515" i="40"/>
  <c r="I513" i="40"/>
  <c r="I511" i="40"/>
  <c r="I510" i="40"/>
  <c r="I508" i="40"/>
  <c r="I507" i="40"/>
  <c r="I506" i="40"/>
  <c r="I505" i="40"/>
  <c r="I504" i="40"/>
  <c r="I503" i="40"/>
  <c r="I502" i="40"/>
  <c r="I501" i="40"/>
  <c r="I500" i="40"/>
  <c r="I499" i="40"/>
  <c r="I498" i="40"/>
  <c r="I497" i="40"/>
  <c r="I496" i="40"/>
  <c r="I495" i="40"/>
  <c r="I494" i="40"/>
  <c r="I493" i="40"/>
  <c r="I492" i="40"/>
  <c r="I491" i="40"/>
  <c r="I490" i="40"/>
  <c r="I488" i="40"/>
  <c r="I487" i="40"/>
  <c r="I485" i="40"/>
  <c r="I478" i="40"/>
  <c r="I477" i="40"/>
  <c r="I476" i="40"/>
  <c r="I475" i="40"/>
  <c r="I474" i="40"/>
  <c r="I473" i="40"/>
  <c r="I472" i="40"/>
  <c r="I471" i="40"/>
  <c r="I470" i="40"/>
  <c r="I469" i="40"/>
  <c r="I468" i="40"/>
  <c r="I459" i="40"/>
  <c r="I458" i="40"/>
  <c r="I457" i="40"/>
  <c r="I455" i="40"/>
  <c r="I454" i="40"/>
  <c r="I453" i="40"/>
  <c r="I450" i="40"/>
  <c r="I449" i="40"/>
  <c r="I448" i="40"/>
  <c r="I447" i="40"/>
  <c r="I446" i="40"/>
  <c r="I443" i="40"/>
  <c r="I442" i="40"/>
  <c r="I437" i="40"/>
  <c r="I433" i="40"/>
  <c r="I432" i="40"/>
  <c r="I431" i="40"/>
  <c r="I430" i="40"/>
  <c r="I428" i="40"/>
  <c r="I427" i="40"/>
  <c r="I425" i="40"/>
  <c r="I424" i="40"/>
  <c r="I422" i="40"/>
  <c r="I420" i="40"/>
  <c r="I419" i="40"/>
  <c r="I418" i="40"/>
  <c r="I417" i="40"/>
  <c r="I416" i="40"/>
  <c r="I415" i="40"/>
  <c r="I414" i="40"/>
  <c r="I413" i="40"/>
  <c r="I411" i="40"/>
  <c r="I406" i="40"/>
  <c r="I405" i="40"/>
  <c r="I404" i="40"/>
  <c r="I403" i="40"/>
  <c r="I402" i="40"/>
  <c r="I401" i="40"/>
  <c r="I400" i="40"/>
  <c r="I399" i="40"/>
  <c r="I397" i="40"/>
  <c r="I392" i="40"/>
  <c r="I391" i="40"/>
  <c r="I390" i="40"/>
  <c r="I389" i="40"/>
  <c r="I388" i="40"/>
  <c r="I387" i="40"/>
  <c r="I386" i="40"/>
  <c r="I385" i="40"/>
  <c r="I384" i="40"/>
  <c r="I383" i="40"/>
  <c r="I382" i="40"/>
  <c r="I381" i="40"/>
  <c r="I380" i="40"/>
  <c r="I379" i="40"/>
  <c r="I378" i="40"/>
  <c r="I377" i="40"/>
  <c r="I376" i="40"/>
  <c r="I375" i="40"/>
  <c r="I374" i="40"/>
  <c r="I373" i="40"/>
  <c r="I372" i="40"/>
  <c r="I371" i="40"/>
  <c r="I370" i="40"/>
  <c r="I369" i="40"/>
  <c r="I368" i="40"/>
  <c r="I367" i="40"/>
  <c r="I366" i="40"/>
  <c r="I365" i="40"/>
  <c r="I364" i="40"/>
  <c r="I363" i="40"/>
  <c r="I362" i="40"/>
  <c r="I361" i="40"/>
  <c r="I360" i="40"/>
  <c r="I359" i="40"/>
  <c r="I354" i="40"/>
  <c r="I353" i="40"/>
  <c r="I352" i="40"/>
  <c r="I351" i="40"/>
  <c r="I350" i="40"/>
  <c r="I349" i="40"/>
  <c r="I348" i="40"/>
  <c r="I347" i="40"/>
  <c r="I346" i="40"/>
  <c r="I345" i="40"/>
  <c r="I344" i="40"/>
  <c r="I343" i="40"/>
  <c r="I342" i="40"/>
  <c r="I341" i="40"/>
  <c r="I340" i="40"/>
  <c r="I339" i="40"/>
  <c r="I338" i="40"/>
  <c r="I337" i="40"/>
  <c r="I336" i="40"/>
  <c r="I335" i="40"/>
  <c r="I334" i="40"/>
  <c r="I333" i="40"/>
  <c r="I332" i="40"/>
  <c r="I331" i="40"/>
  <c r="I330" i="40"/>
  <c r="I329" i="40"/>
  <c r="I328" i="40"/>
  <c r="I327" i="40"/>
  <c r="I326" i="40"/>
  <c r="I325" i="40"/>
  <c r="I324" i="40"/>
  <c r="I323" i="40"/>
  <c r="I322" i="40"/>
  <c r="I321" i="40"/>
  <c r="I320" i="40"/>
  <c r="I319" i="40"/>
  <c r="I318" i="40"/>
  <c r="I317" i="40"/>
  <c r="I316" i="40"/>
  <c r="I315" i="40"/>
  <c r="I314" i="40"/>
  <c r="I313" i="40"/>
  <c r="I312" i="40"/>
  <c r="I311" i="40"/>
  <c r="I310" i="40"/>
  <c r="I309" i="40"/>
  <c r="I308" i="40"/>
  <c r="I307" i="40"/>
  <c r="I306" i="40"/>
  <c r="I305" i="40"/>
  <c r="I304" i="40"/>
  <c r="I303" i="40"/>
  <c r="I302" i="40"/>
  <c r="I301" i="40"/>
  <c r="I300" i="40"/>
  <c r="I299" i="40"/>
  <c r="I298" i="40"/>
  <c r="I297" i="40"/>
  <c r="I296" i="40"/>
  <c r="I295" i="40"/>
  <c r="I294" i="40"/>
  <c r="I293" i="40"/>
  <c r="I292" i="40"/>
  <c r="I291" i="40"/>
  <c r="I290" i="40"/>
  <c r="I289" i="40"/>
  <c r="I288" i="40"/>
  <c r="I287" i="40"/>
  <c r="I286" i="40"/>
  <c r="I285" i="40"/>
  <c r="I284" i="40"/>
  <c r="I283" i="40"/>
  <c r="I282" i="40"/>
  <c r="I281" i="40"/>
  <c r="I280" i="40"/>
  <c r="I279" i="40"/>
  <c r="I278" i="40"/>
  <c r="I277" i="40"/>
  <c r="I276" i="40"/>
  <c r="I275" i="40"/>
  <c r="I274" i="40"/>
  <c r="I273" i="40"/>
  <c r="I272" i="40"/>
  <c r="I271" i="40"/>
  <c r="I270" i="40"/>
  <c r="I269" i="40"/>
  <c r="I268" i="40"/>
  <c r="I267" i="40"/>
  <c r="I266" i="40"/>
  <c r="I265" i="40"/>
  <c r="I264" i="40"/>
  <c r="I263" i="40"/>
  <c r="I262" i="40"/>
  <c r="I261" i="40"/>
  <c r="I260" i="40"/>
  <c r="I259" i="40"/>
  <c r="I258" i="40"/>
  <c r="I257" i="40"/>
  <c r="I256" i="40"/>
  <c r="I255" i="40"/>
  <c r="I254" i="40"/>
  <c r="I253" i="40"/>
  <c r="I252" i="40"/>
  <c r="I251" i="40"/>
  <c r="I250" i="40"/>
  <c r="I249" i="40"/>
  <c r="I248" i="40"/>
  <c r="I247" i="40"/>
  <c r="I246" i="40"/>
  <c r="I245" i="40"/>
  <c r="I244" i="40"/>
  <c r="I243" i="40"/>
  <c r="I242" i="40"/>
  <c r="I241" i="40"/>
  <c r="I240" i="40"/>
  <c r="I239" i="40"/>
  <c r="I238" i="40"/>
  <c r="I237" i="40"/>
  <c r="I236" i="40"/>
  <c r="I235" i="40"/>
  <c r="I234" i="40"/>
  <c r="I233" i="40"/>
  <c r="I232" i="40"/>
  <c r="I231" i="40"/>
  <c r="I230" i="40"/>
  <c r="I229" i="40"/>
  <c r="I228" i="40"/>
  <c r="I227" i="40"/>
  <c r="I226" i="40"/>
  <c r="I225" i="40"/>
  <c r="I224" i="40"/>
  <c r="I223" i="40"/>
  <c r="I222" i="40"/>
  <c r="I221" i="40"/>
  <c r="I220" i="40"/>
  <c r="I219" i="40"/>
  <c r="I218" i="40"/>
  <c r="I217" i="40"/>
  <c r="I216" i="40"/>
  <c r="I215" i="40"/>
  <c r="I214" i="40"/>
  <c r="I213" i="40"/>
  <c r="I212" i="40"/>
  <c r="I211" i="40"/>
  <c r="I210" i="40"/>
  <c r="I209" i="40"/>
  <c r="I208" i="40"/>
  <c r="I207" i="40"/>
  <c r="I206" i="40"/>
  <c r="I205" i="40"/>
  <c r="I204" i="40"/>
  <c r="I203" i="40"/>
  <c r="I202" i="40"/>
  <c r="I201" i="40"/>
  <c r="I200" i="40"/>
  <c r="I199" i="40"/>
  <c r="I198" i="40"/>
  <c r="I197" i="40"/>
  <c r="I196" i="40"/>
  <c r="I195" i="40"/>
  <c r="I194" i="40"/>
  <c r="I193" i="40"/>
  <c r="I192" i="40"/>
  <c r="I191" i="40"/>
  <c r="I190" i="40"/>
  <c r="I189" i="40"/>
  <c r="I188" i="40"/>
  <c r="I187" i="40"/>
  <c r="I186" i="40"/>
  <c r="I185" i="40"/>
  <c r="I184" i="40"/>
  <c r="I183" i="40"/>
  <c r="I182" i="40"/>
  <c r="I181" i="40"/>
  <c r="I180" i="40"/>
  <c r="I179" i="40"/>
  <c r="I178" i="40"/>
  <c r="I177" i="40"/>
  <c r="I176" i="40"/>
  <c r="I175" i="40"/>
  <c r="I173" i="40"/>
  <c r="I172" i="40"/>
  <c r="I171" i="40"/>
  <c r="I170" i="40"/>
  <c r="I169" i="40"/>
  <c r="I168" i="40"/>
  <c r="I167" i="40"/>
  <c r="I166" i="40"/>
  <c r="I165" i="40"/>
  <c r="I164" i="40"/>
  <c r="I163" i="40"/>
  <c r="I162" i="40"/>
  <c r="I161" i="40"/>
  <c r="I160" i="40"/>
  <c r="I159" i="40"/>
  <c r="I158" i="40"/>
  <c r="I157" i="40"/>
  <c r="I156" i="40"/>
  <c r="I155" i="40"/>
  <c r="I154" i="40"/>
  <c r="I153" i="40"/>
  <c r="I152" i="40"/>
  <c r="I151" i="40"/>
  <c r="I150" i="40"/>
  <c r="I149" i="40"/>
  <c r="I148" i="40"/>
  <c r="I147" i="40"/>
  <c r="I146" i="40"/>
  <c r="I145" i="40"/>
  <c r="I144" i="40"/>
  <c r="I143" i="40"/>
  <c r="I142" i="40"/>
  <c r="I141" i="40"/>
  <c r="I140" i="40"/>
  <c r="I139" i="40"/>
  <c r="I138" i="40"/>
  <c r="I137" i="40"/>
  <c r="I136" i="40"/>
  <c r="I135" i="40"/>
  <c r="I134" i="40"/>
  <c r="I133" i="40"/>
  <c r="I132" i="40"/>
  <c r="I131" i="40"/>
  <c r="I130" i="40"/>
  <c r="I129" i="40"/>
  <c r="I128" i="40"/>
  <c r="I127" i="40"/>
  <c r="I126" i="40"/>
  <c r="I125" i="40"/>
  <c r="I124" i="40"/>
  <c r="I123" i="40"/>
  <c r="I122" i="40"/>
  <c r="I121" i="40"/>
  <c r="I120" i="40"/>
  <c r="I119" i="40"/>
  <c r="I118" i="40"/>
  <c r="I117" i="40"/>
  <c r="I116" i="40"/>
  <c r="I115" i="40"/>
  <c r="I114" i="40"/>
  <c r="I113" i="40"/>
  <c r="I112" i="40"/>
  <c r="I111" i="40"/>
  <c r="I110" i="40"/>
  <c r="I109" i="40"/>
  <c r="I108" i="40"/>
  <c r="I107" i="40"/>
  <c r="I106" i="40"/>
  <c r="I105" i="40"/>
  <c r="I104" i="40"/>
  <c r="I103" i="40"/>
  <c r="I102" i="40"/>
  <c r="I101" i="40"/>
  <c r="I100" i="40"/>
  <c r="I99" i="40"/>
  <c r="I98" i="40"/>
  <c r="I97" i="40"/>
  <c r="I96" i="40"/>
  <c r="I95" i="40"/>
  <c r="I94" i="40"/>
  <c r="I93" i="40"/>
  <c r="I92" i="40"/>
  <c r="I91" i="40"/>
  <c r="I90" i="40"/>
  <c r="I89" i="40"/>
  <c r="I88" i="40"/>
  <c r="I87" i="40"/>
  <c r="I86" i="40"/>
  <c r="I85" i="40"/>
  <c r="I84" i="40"/>
  <c r="I83" i="40"/>
  <c r="I82" i="40"/>
  <c r="I81" i="40"/>
  <c r="I80" i="40"/>
  <c r="I79" i="40"/>
  <c r="I78" i="40"/>
  <c r="I77" i="40"/>
  <c r="I76" i="40"/>
  <c r="I75" i="40"/>
  <c r="I74" i="40"/>
  <c r="I73" i="40"/>
  <c r="I72" i="40"/>
  <c r="I71" i="40"/>
  <c r="I70" i="40"/>
  <c r="I69" i="40"/>
  <c r="I68" i="40"/>
  <c r="I67" i="40"/>
  <c r="I66" i="40"/>
  <c r="I65" i="40"/>
  <c r="I64" i="40"/>
  <c r="I63" i="40"/>
  <c r="I62" i="40"/>
  <c r="I61" i="40"/>
  <c r="I60" i="40"/>
  <c r="I59" i="40"/>
  <c r="I58" i="40"/>
  <c r="I57" i="40"/>
  <c r="I56" i="40"/>
  <c r="I55" i="40"/>
  <c r="I54" i="40"/>
  <c r="I53" i="40"/>
  <c r="I52" i="40"/>
  <c r="I51" i="40"/>
  <c r="I50" i="40"/>
  <c r="I49" i="40"/>
  <c r="I48" i="40"/>
  <c r="I47" i="40"/>
  <c r="I46" i="40"/>
  <c r="I45" i="40"/>
  <c r="I44" i="40"/>
  <c r="I43" i="40"/>
  <c r="I42" i="40"/>
  <c r="I41" i="40"/>
  <c r="I40" i="40"/>
  <c r="I39" i="40"/>
  <c r="I38" i="40"/>
  <c r="I37" i="40"/>
  <c r="I36" i="40"/>
  <c r="I35" i="40"/>
  <c r="I34" i="40"/>
  <c r="I33" i="40"/>
  <c r="I32" i="40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C13" i="40"/>
  <c r="F9" i="40"/>
  <c r="D9" i="40"/>
  <c r="C8" i="40"/>
  <c r="D83" i="39"/>
  <c r="J129" i="45" l="1"/>
  <c r="J134" i="45"/>
  <c r="J60" i="45"/>
  <c r="J45" i="45"/>
  <c r="J41" i="45"/>
  <c r="J42" i="45"/>
  <c r="J19" i="45"/>
  <c r="J50" i="45"/>
  <c r="J51" i="45"/>
  <c r="J135" i="45"/>
  <c r="J147" i="45"/>
  <c r="J140" i="45"/>
  <c r="J127" i="45"/>
  <c r="J106" i="45"/>
  <c r="J71" i="45"/>
  <c r="J102" i="45"/>
  <c r="J111" i="45"/>
  <c r="J130" i="45"/>
  <c r="J72" i="45"/>
  <c r="J107" i="45"/>
  <c r="J136" i="45"/>
  <c r="J118" i="45"/>
  <c r="J150" i="45"/>
  <c r="J73" i="45"/>
  <c r="J108" i="45"/>
  <c r="J124" i="45"/>
  <c r="J145" i="45"/>
  <c r="J78" i="45"/>
  <c r="J79" i="45"/>
  <c r="H19" i="46"/>
  <c r="H17" i="46"/>
  <c r="J463" i="40"/>
  <c r="T463" i="40" s="1"/>
  <c r="X463" i="40" s="1"/>
  <c r="J506" i="58"/>
  <c r="T506" i="58" s="1"/>
  <c r="V506" i="58" s="1"/>
  <c r="J462" i="40"/>
  <c r="T462" i="40" s="1"/>
  <c r="X462" i="40" s="1"/>
  <c r="J507" i="58"/>
  <c r="T552" i="58"/>
  <c r="X552" i="58" s="1"/>
  <c r="T537" i="58"/>
  <c r="V537" i="58" s="1"/>
  <c r="T513" i="58"/>
  <c r="Z513" i="58" s="1"/>
  <c r="T546" i="58"/>
  <c r="Z546" i="58" s="1"/>
  <c r="T525" i="58"/>
  <c r="Z525" i="58" s="1"/>
  <c r="T522" i="58"/>
  <c r="V522" i="58" s="1"/>
  <c r="T521" i="58"/>
  <c r="Z521" i="58" s="1"/>
  <c r="T538" i="58"/>
  <c r="X538" i="58" s="1"/>
  <c r="V421" i="40"/>
  <c r="Z421" i="40"/>
  <c r="X421" i="40"/>
  <c r="X451" i="40"/>
  <c r="V451" i="40"/>
  <c r="Z451" i="40"/>
  <c r="Z452" i="40"/>
  <c r="X452" i="40"/>
  <c r="V452" i="40"/>
  <c r="J435" i="40"/>
  <c r="T435" i="40" s="1"/>
  <c r="J434" i="40"/>
  <c r="T434" i="40" s="1"/>
  <c r="Z398" i="40"/>
  <c r="X398" i="40"/>
  <c r="V398" i="40"/>
  <c r="V436" i="40"/>
  <c r="X436" i="40"/>
  <c r="Z436" i="40"/>
  <c r="J534" i="58"/>
  <c r="J483" i="40"/>
  <c r="T483" i="40" s="1"/>
  <c r="X479" i="40"/>
  <c r="Z479" i="40"/>
  <c r="V479" i="40"/>
  <c r="J486" i="40"/>
  <c r="J505" i="58"/>
  <c r="T505" i="58" s="1"/>
  <c r="V505" i="58" s="1"/>
  <c r="J461" i="40"/>
  <c r="T461" i="40" s="1"/>
  <c r="X445" i="40"/>
  <c r="V445" i="40"/>
  <c r="Z445" i="40"/>
  <c r="J533" i="58"/>
  <c r="J482" i="40"/>
  <c r="T482" i="40" s="1"/>
  <c r="Z438" i="40"/>
  <c r="X438" i="40"/>
  <c r="V438" i="40"/>
  <c r="Z396" i="40"/>
  <c r="X396" i="40"/>
  <c r="V396" i="40"/>
  <c r="J530" i="58"/>
  <c r="J481" i="40"/>
  <c r="T481" i="40" s="1"/>
  <c r="Z460" i="40"/>
  <c r="V460" i="40"/>
  <c r="X460" i="40"/>
  <c r="X410" i="40"/>
  <c r="Z410" i="40"/>
  <c r="V410" i="40"/>
  <c r="J540" i="58"/>
  <c r="J489" i="40"/>
  <c r="T489" i="40" s="1"/>
  <c r="V441" i="40"/>
  <c r="X441" i="40"/>
  <c r="Z441" i="40"/>
  <c r="X409" i="40"/>
  <c r="Z409" i="40"/>
  <c r="V409" i="40"/>
  <c r="V393" i="40"/>
  <c r="Z393" i="40"/>
  <c r="X393" i="40"/>
  <c r="J508" i="58"/>
  <c r="T508" i="58" s="1"/>
  <c r="X508" i="58" s="1"/>
  <c r="J466" i="40"/>
  <c r="T466" i="40" s="1"/>
  <c r="J464" i="40"/>
  <c r="T464" i="40" s="1"/>
  <c r="Z426" i="40"/>
  <c r="X426" i="40"/>
  <c r="V426" i="40"/>
  <c r="X456" i="40"/>
  <c r="V456" i="40"/>
  <c r="Z456" i="40"/>
  <c r="V440" i="40"/>
  <c r="Z440" i="40"/>
  <c r="X440" i="40"/>
  <c r="Z408" i="40"/>
  <c r="V408" i="40"/>
  <c r="X408" i="40"/>
  <c r="J535" i="58"/>
  <c r="J484" i="40"/>
  <c r="T484" i="40" s="1"/>
  <c r="J509" i="58"/>
  <c r="T509" i="58" s="1"/>
  <c r="X509" i="58" s="1"/>
  <c r="J465" i="40"/>
  <c r="T465" i="40" s="1"/>
  <c r="J467" i="40"/>
  <c r="T467" i="40" s="1"/>
  <c r="J529" i="58"/>
  <c r="J480" i="40"/>
  <c r="T480" i="40" s="1"/>
  <c r="V444" i="40"/>
  <c r="X444" i="40"/>
  <c r="Z444" i="40"/>
  <c r="Z395" i="40"/>
  <c r="X395" i="40"/>
  <c r="V395" i="40"/>
  <c r="X394" i="40"/>
  <c r="Z394" i="40"/>
  <c r="V394" i="40"/>
  <c r="Z439" i="40"/>
  <c r="X439" i="40"/>
  <c r="V439" i="40"/>
  <c r="V423" i="40"/>
  <c r="Z423" i="40"/>
  <c r="X423" i="40"/>
  <c r="V407" i="40"/>
  <c r="Z407" i="40"/>
  <c r="X407" i="40"/>
  <c r="J526" i="40"/>
  <c r="J528" i="58"/>
  <c r="F101" i="42"/>
  <c r="F128" i="47"/>
  <c r="F19" i="46"/>
  <c r="F17" i="46"/>
  <c r="G19" i="46"/>
  <c r="G17" i="46"/>
  <c r="P22" i="52"/>
  <c r="Q22" i="52" s="1"/>
  <c r="O18" i="47"/>
  <c r="P18" i="47" s="1"/>
  <c r="M20" i="41"/>
  <c r="P23" i="52"/>
  <c r="Q23" i="52" s="1"/>
  <c r="O19" i="47"/>
  <c r="P19" i="47" s="1"/>
  <c r="J42" i="47"/>
  <c r="J79" i="47"/>
  <c r="S450" i="40" s="1"/>
  <c r="J171" i="47"/>
  <c r="J66" i="47"/>
  <c r="S437" i="40" s="1"/>
  <c r="J30" i="47"/>
  <c r="S401" i="40" s="1"/>
  <c r="J157" i="47"/>
  <c r="J76" i="47"/>
  <c r="S447" i="40" s="1"/>
  <c r="J163" i="47"/>
  <c r="J44" i="47"/>
  <c r="J125" i="47"/>
  <c r="S496" i="40" s="1"/>
  <c r="J174" i="47"/>
  <c r="J46" i="47"/>
  <c r="S417" i="40" s="1"/>
  <c r="J86" i="47"/>
  <c r="S457" i="40" s="1"/>
  <c r="J176" i="47"/>
  <c r="J115" i="47"/>
  <c r="S488" i="58" s="1"/>
  <c r="J72" i="47"/>
  <c r="S443" i="40" s="1"/>
  <c r="J142" i="47"/>
  <c r="J32" i="47"/>
  <c r="S400" i="58" s="1"/>
  <c r="J117" i="47"/>
  <c r="S488" i="40" s="1"/>
  <c r="J41" i="47"/>
  <c r="S414" i="58" s="1"/>
  <c r="J43" i="47"/>
  <c r="S414" i="40" s="1"/>
  <c r="J51" i="47"/>
  <c r="J137" i="47"/>
  <c r="J56" i="47"/>
  <c r="J145" i="47"/>
  <c r="J31" i="47"/>
  <c r="S402" i="40" s="1"/>
  <c r="J160" i="47"/>
  <c r="J35" i="47"/>
  <c r="S406" i="40" s="1"/>
  <c r="J166" i="47"/>
  <c r="J78" i="47"/>
  <c r="S449" i="40" s="1"/>
  <c r="J169" i="47"/>
  <c r="J45" i="47"/>
  <c r="S416" i="40" s="1"/>
  <c r="J84" i="47"/>
  <c r="J126" i="47"/>
  <c r="J175" i="47"/>
  <c r="J47" i="47"/>
  <c r="S418" i="40" s="1"/>
  <c r="J177" i="47"/>
  <c r="J139" i="47"/>
  <c r="J182" i="47"/>
  <c r="S553" i="40" s="1"/>
  <c r="J54" i="47"/>
  <c r="S425" i="40" s="1"/>
  <c r="J144" i="47"/>
  <c r="J58" i="47"/>
  <c r="J146" i="47"/>
  <c r="J114" i="47"/>
  <c r="S485" i="40" s="1"/>
  <c r="J82" i="47"/>
  <c r="S453" i="40" s="1"/>
  <c r="J83" i="47"/>
  <c r="S454" i="40" s="1"/>
  <c r="J129" i="47"/>
  <c r="S500" i="40" s="1"/>
  <c r="J59" i="47"/>
  <c r="S430" i="40" s="1"/>
  <c r="J34" i="47"/>
  <c r="S405" i="40" s="1"/>
  <c r="J123" i="47"/>
  <c r="S494" i="40" s="1"/>
  <c r="J26" i="47"/>
  <c r="S397" i="40" s="1"/>
  <c r="J60" i="47"/>
  <c r="S431" i="40" s="1"/>
  <c r="J155" i="47"/>
  <c r="S528" i="58" s="1"/>
  <c r="J161" i="47"/>
  <c r="J75" i="47"/>
  <c r="S446" i="40" s="1"/>
  <c r="J97" i="47"/>
  <c r="S468" i="40" s="1"/>
  <c r="J181" i="47"/>
  <c r="S552" i="40" s="1"/>
  <c r="J28" i="47"/>
  <c r="S399" i="40" s="1"/>
  <c r="J61" i="47"/>
  <c r="S434" i="58" s="1"/>
  <c r="J153" i="47"/>
  <c r="J71" i="47"/>
  <c r="S423" i="58" s="1"/>
  <c r="J33" i="47"/>
  <c r="S404" i="40" s="1"/>
  <c r="J162" i="47"/>
  <c r="J77" i="47"/>
  <c r="S448" i="40" s="1"/>
  <c r="J172" i="47"/>
  <c r="J48" i="47"/>
  <c r="S411" i="58" s="1"/>
  <c r="J178" i="47"/>
  <c r="J147" i="47"/>
  <c r="J29" i="47"/>
  <c r="S400" i="40" s="1"/>
  <c r="J62" i="47"/>
  <c r="S433" i="40" s="1"/>
  <c r="J156" i="47"/>
  <c r="J127" i="47"/>
  <c r="S498" i="40" s="1"/>
  <c r="Y100" i="66"/>
  <c r="Z100" i="66" s="1"/>
  <c r="Y87" i="66"/>
  <c r="Z87" i="66" s="1"/>
  <c r="Y86" i="66"/>
  <c r="Z86" i="66" s="1"/>
  <c r="Y85" i="66"/>
  <c r="Z85" i="66" s="1"/>
  <c r="Y90" i="66"/>
  <c r="Z90" i="66" s="1"/>
  <c r="Y70" i="66"/>
  <c r="Z70" i="66" s="1"/>
  <c r="Y38" i="66"/>
  <c r="Z38" i="66" s="1"/>
  <c r="Y39" i="66"/>
  <c r="Z39" i="66" s="1"/>
  <c r="Y89" i="66"/>
  <c r="Z89" i="66" s="1"/>
  <c r="Y69" i="66"/>
  <c r="Z69" i="66" s="1"/>
  <c r="Y37" i="66"/>
  <c r="Z37" i="66" s="1"/>
  <c r="Y68" i="66"/>
  <c r="Z68" i="66" s="1"/>
  <c r="Y22" i="66"/>
  <c r="Z22" i="66" s="1"/>
  <c r="Y67" i="66"/>
  <c r="Z67" i="66" s="1"/>
  <c r="Y66" i="66"/>
  <c r="Z66" i="66" s="1"/>
  <c r="Y88" i="66"/>
  <c r="Z88" i="66" s="1"/>
  <c r="Y20" i="66"/>
  <c r="Z20" i="66" s="1"/>
  <c r="Y71" i="66"/>
  <c r="Z71" i="66" s="1"/>
  <c r="Y32" i="42"/>
  <c r="Y30" i="66"/>
  <c r="Z30" i="66" s="1"/>
  <c r="Y95" i="42"/>
  <c r="Y93" i="66"/>
  <c r="Z93" i="66" s="1"/>
  <c r="Y80" i="42"/>
  <c r="Y78" i="66"/>
  <c r="Z78" i="66" s="1"/>
  <c r="Y60" i="42"/>
  <c r="Y58" i="66"/>
  <c r="Z58" i="66" s="1"/>
  <c r="Y52" i="42"/>
  <c r="Y50" i="66"/>
  <c r="Z50" i="66" s="1"/>
  <c r="Y44" i="42"/>
  <c r="Z44" i="42" s="1"/>
  <c r="Y42" i="66"/>
  <c r="Z42" i="66" s="1"/>
  <c r="Y36" i="42"/>
  <c r="Y34" i="66"/>
  <c r="Y21" i="42"/>
  <c r="Y19" i="66"/>
  <c r="Z19" i="66" s="1"/>
  <c r="Y79" i="42"/>
  <c r="Y77" i="66"/>
  <c r="Z77" i="66" s="1"/>
  <c r="Y67" i="42"/>
  <c r="Y65" i="66"/>
  <c r="Z65" i="66" s="1"/>
  <c r="Y59" i="42"/>
  <c r="Y57" i="66"/>
  <c r="Z57" i="66" s="1"/>
  <c r="Y51" i="42"/>
  <c r="Y49" i="66"/>
  <c r="Z49" i="66" s="1"/>
  <c r="Y43" i="42"/>
  <c r="Z43" i="42" s="1"/>
  <c r="Y41" i="66"/>
  <c r="Z41" i="66" s="1"/>
  <c r="Y35" i="42"/>
  <c r="Y33" i="66"/>
  <c r="Z33" i="66" s="1"/>
  <c r="Y29" i="42"/>
  <c r="Y27" i="66"/>
  <c r="Z27" i="66" s="1"/>
  <c r="Y22" i="42"/>
  <c r="Y21" i="66"/>
  <c r="Z21" i="66" s="1"/>
  <c r="Y66" i="42"/>
  <c r="Y64" i="66"/>
  <c r="Z64" i="66" s="1"/>
  <c r="Y58" i="42"/>
  <c r="Y56" i="66"/>
  <c r="Z56" i="66" s="1"/>
  <c r="Y50" i="42"/>
  <c r="Y48" i="66"/>
  <c r="Z48" i="66" s="1"/>
  <c r="Y42" i="42"/>
  <c r="Z42" i="42" s="1"/>
  <c r="Y40" i="66"/>
  <c r="Z40" i="66" s="1"/>
  <c r="Y34" i="42"/>
  <c r="Y32" i="66"/>
  <c r="Z32" i="66" s="1"/>
  <c r="Y28" i="42"/>
  <c r="Z28" i="42" s="1"/>
  <c r="Y26" i="66"/>
  <c r="Z26" i="66" s="1"/>
  <c r="Y97" i="42"/>
  <c r="Z97" i="42" s="1"/>
  <c r="Y95" i="66"/>
  <c r="Z95" i="66" s="1"/>
  <c r="Y82" i="42"/>
  <c r="Y80" i="66"/>
  <c r="Z80" i="66" s="1"/>
  <c r="Y54" i="42"/>
  <c r="Y52" i="66"/>
  <c r="Z52" i="66" s="1"/>
  <c r="Y31" i="42"/>
  <c r="Y29" i="66"/>
  <c r="Z29" i="66" s="1"/>
  <c r="Y100" i="42"/>
  <c r="Z100" i="42" s="1"/>
  <c r="Y98" i="66"/>
  <c r="Z98" i="66" s="1"/>
  <c r="Y94" i="42"/>
  <c r="Y92" i="66"/>
  <c r="Z92" i="66" s="1"/>
  <c r="Y86" i="42"/>
  <c r="Y84" i="66"/>
  <c r="Z84" i="66" s="1"/>
  <c r="Y78" i="42"/>
  <c r="Y76" i="66"/>
  <c r="Z76" i="66" s="1"/>
  <c r="Y93" i="42"/>
  <c r="Y91" i="66"/>
  <c r="Z91" i="66" s="1"/>
  <c r="Y85" i="42"/>
  <c r="Y83" i="66"/>
  <c r="Z83" i="66" s="1"/>
  <c r="Y77" i="42"/>
  <c r="Y75" i="66"/>
  <c r="Z75" i="66" s="1"/>
  <c r="Y65" i="42"/>
  <c r="Y63" i="66"/>
  <c r="Z63" i="66" s="1"/>
  <c r="Y57" i="42"/>
  <c r="Y55" i="66"/>
  <c r="Z55" i="66" s="1"/>
  <c r="Y49" i="42"/>
  <c r="Y47" i="66"/>
  <c r="Z47" i="66" s="1"/>
  <c r="Y27" i="42"/>
  <c r="Y25" i="66"/>
  <c r="Z25" i="66" s="1"/>
  <c r="Y101" i="42"/>
  <c r="Z99" i="66"/>
  <c r="Y99" i="42"/>
  <c r="Y97" i="66"/>
  <c r="Z97" i="66" s="1"/>
  <c r="Y84" i="42"/>
  <c r="Y82" i="66"/>
  <c r="Z82" i="66" s="1"/>
  <c r="Y76" i="42"/>
  <c r="Y74" i="66"/>
  <c r="Z74" i="66" s="1"/>
  <c r="Y64" i="42"/>
  <c r="Y62" i="66"/>
  <c r="Z62" i="66" s="1"/>
  <c r="Y56" i="42"/>
  <c r="Y54" i="66"/>
  <c r="Z54" i="66" s="1"/>
  <c r="Y48" i="42"/>
  <c r="Y46" i="66"/>
  <c r="Z46" i="66" s="1"/>
  <c r="Y33" i="42"/>
  <c r="Y31" i="66"/>
  <c r="Z31" i="66" s="1"/>
  <c r="Y26" i="42"/>
  <c r="Z26" i="42" s="1"/>
  <c r="Y24" i="66"/>
  <c r="Z24" i="66" s="1"/>
  <c r="Y25" i="42"/>
  <c r="Y23" i="66"/>
  <c r="Z23" i="66" s="1"/>
  <c r="Y98" i="42"/>
  <c r="Z98" i="42" s="1"/>
  <c r="Y96" i="66"/>
  <c r="Z96" i="66" s="1"/>
  <c r="Y83" i="42"/>
  <c r="Y81" i="66"/>
  <c r="Z81" i="66" s="1"/>
  <c r="Y75" i="42"/>
  <c r="Y73" i="66"/>
  <c r="Z73" i="66" s="1"/>
  <c r="Y63" i="42"/>
  <c r="Y61" i="66"/>
  <c r="Z61" i="66" s="1"/>
  <c r="Y55" i="42"/>
  <c r="Y53" i="66"/>
  <c r="Z53" i="66" s="1"/>
  <c r="Y47" i="42"/>
  <c r="Y45" i="66"/>
  <c r="Z45" i="66" s="1"/>
  <c r="Y74" i="42"/>
  <c r="Y72" i="66"/>
  <c r="Z72" i="66" s="1"/>
  <c r="Y62" i="42"/>
  <c r="Y60" i="66"/>
  <c r="Z60" i="66" s="1"/>
  <c r="Y46" i="42"/>
  <c r="Y44" i="66"/>
  <c r="Z44" i="66" s="1"/>
  <c r="Y38" i="42"/>
  <c r="Y36" i="66"/>
  <c r="Z36" i="66" s="1"/>
  <c r="Y96" i="42"/>
  <c r="Z96" i="42" s="1"/>
  <c r="Y94" i="66"/>
  <c r="Z94" i="66" s="1"/>
  <c r="Y81" i="42"/>
  <c r="Y79" i="66"/>
  <c r="Z79" i="66" s="1"/>
  <c r="Y61" i="42"/>
  <c r="Y59" i="66"/>
  <c r="Z59" i="66" s="1"/>
  <c r="Y53" i="42"/>
  <c r="Y51" i="66"/>
  <c r="Z51" i="66" s="1"/>
  <c r="Y45" i="42"/>
  <c r="Y43" i="66"/>
  <c r="Z43" i="66" s="1"/>
  <c r="Y37" i="42"/>
  <c r="Y35" i="66"/>
  <c r="Z35" i="66" s="1"/>
  <c r="Y30" i="42"/>
  <c r="Y28" i="66"/>
  <c r="Z28" i="66" s="1"/>
  <c r="Y73" i="42"/>
  <c r="T70" i="51"/>
  <c r="U70" i="51" s="1"/>
  <c r="Y72" i="42"/>
  <c r="T69" i="51"/>
  <c r="U69" i="51" s="1"/>
  <c r="Y69" i="42"/>
  <c r="T66" i="51"/>
  <c r="U66" i="51" s="1"/>
  <c r="Y71" i="42"/>
  <c r="T68" i="51"/>
  <c r="U68" i="51" s="1"/>
  <c r="Y70" i="42"/>
  <c r="T67" i="51"/>
  <c r="U67" i="51" s="1"/>
  <c r="Y68" i="42"/>
  <c r="T65" i="51"/>
  <c r="U65" i="51" s="1"/>
  <c r="P15" i="52"/>
  <c r="Q15" i="52" s="1"/>
  <c r="Y104" i="42"/>
  <c r="Y41" i="42"/>
  <c r="Y92" i="42"/>
  <c r="Z92" i="42" s="1"/>
  <c r="Y40" i="42"/>
  <c r="P13" i="52"/>
  <c r="Q13" i="52" s="1"/>
  <c r="Y103" i="42"/>
  <c r="Y91" i="42"/>
  <c r="Z91" i="42" s="1"/>
  <c r="Y39" i="42"/>
  <c r="Y24" i="42"/>
  <c r="Y90" i="42"/>
  <c r="Y89" i="42"/>
  <c r="Y87" i="42"/>
  <c r="Y88" i="42"/>
  <c r="L16" i="43"/>
  <c r="K16" i="43"/>
  <c r="M14" i="43"/>
  <c r="J16" i="43"/>
  <c r="K15" i="43"/>
  <c r="K14" i="43"/>
  <c r="H16" i="43"/>
  <c r="J14" i="43"/>
  <c r="J15" i="43"/>
  <c r="I16" i="43"/>
  <c r="H14" i="43"/>
  <c r="G15" i="43"/>
  <c r="H15" i="43"/>
  <c r="G14" i="43"/>
  <c r="I14" i="43"/>
  <c r="G16" i="43"/>
  <c r="F14" i="43"/>
  <c r="F16" i="43"/>
  <c r="F13" i="44"/>
  <c r="G13" i="44"/>
  <c r="F14" i="44"/>
  <c r="F17" i="44"/>
  <c r="G14" i="44"/>
  <c r="G17" i="44"/>
  <c r="T122" i="51"/>
  <c r="U122" i="51" s="1"/>
  <c r="T87" i="51"/>
  <c r="U87" i="51" s="1"/>
  <c r="T73" i="51"/>
  <c r="U73" i="51" s="1"/>
  <c r="T53" i="51"/>
  <c r="U53" i="51" s="1"/>
  <c r="T41" i="51"/>
  <c r="U41" i="51" s="1"/>
  <c r="T32" i="51"/>
  <c r="U32" i="51" s="1"/>
  <c r="T86" i="51"/>
  <c r="U86" i="51" s="1"/>
  <c r="T72" i="51"/>
  <c r="U72" i="51" s="1"/>
  <c r="T52" i="51"/>
  <c r="U52" i="51" s="1"/>
  <c r="T40" i="51"/>
  <c r="U40" i="51" s="1"/>
  <c r="T31" i="51"/>
  <c r="U31" i="51" s="1"/>
  <c r="T21" i="51"/>
  <c r="U21" i="51" s="1"/>
  <c r="T97" i="51"/>
  <c r="U97" i="51" s="1"/>
  <c r="T85" i="51"/>
  <c r="U85" i="51" s="1"/>
  <c r="T83" i="51"/>
  <c r="U83" i="51" s="1"/>
  <c r="T71" i="51"/>
  <c r="U71" i="51" s="1"/>
  <c r="T63" i="51"/>
  <c r="U63" i="51" s="1"/>
  <c r="T51" i="51"/>
  <c r="U51" i="51" s="1"/>
  <c r="T39" i="51"/>
  <c r="U39" i="51" s="1"/>
  <c r="T30" i="51"/>
  <c r="U30" i="51" s="1"/>
  <c r="T20" i="51"/>
  <c r="U20" i="51" s="1"/>
  <c r="T96" i="51"/>
  <c r="U96" i="51" s="1"/>
  <c r="T84" i="51"/>
  <c r="U84" i="51" s="1"/>
  <c r="T82" i="51"/>
  <c r="U82" i="51" s="1"/>
  <c r="T62" i="51"/>
  <c r="U62" i="51" s="1"/>
  <c r="T50" i="51"/>
  <c r="U50" i="51" s="1"/>
  <c r="T29" i="51"/>
  <c r="U29" i="51" s="1"/>
  <c r="T19" i="51"/>
  <c r="U19" i="51" s="1"/>
  <c r="T95" i="51"/>
  <c r="U95" i="51" s="1"/>
  <c r="T81" i="51"/>
  <c r="U81" i="51" s="1"/>
  <c r="T61" i="51"/>
  <c r="U61" i="51" s="1"/>
  <c r="T49" i="51"/>
  <c r="U49" i="51" s="1"/>
  <c r="T28" i="51"/>
  <c r="U28" i="51" s="1"/>
  <c r="T18" i="51"/>
  <c r="U18" i="51" s="1"/>
  <c r="T94" i="51"/>
  <c r="U94" i="51" s="1"/>
  <c r="T80" i="51"/>
  <c r="U80" i="51" s="1"/>
  <c r="T60" i="51"/>
  <c r="U60" i="51" s="1"/>
  <c r="T48" i="51"/>
  <c r="U48" i="51" s="1"/>
  <c r="T27" i="51"/>
  <c r="U27" i="51" s="1"/>
  <c r="T17" i="51"/>
  <c r="U17" i="51" s="1"/>
  <c r="T92" i="51"/>
  <c r="U92" i="51" s="1"/>
  <c r="T78" i="51"/>
  <c r="U78" i="51" s="1"/>
  <c r="T58" i="51"/>
  <c r="U58" i="51" s="1"/>
  <c r="T46" i="51"/>
  <c r="U46" i="51" s="1"/>
  <c r="T37" i="51"/>
  <c r="U37" i="51" s="1"/>
  <c r="T59" i="51"/>
  <c r="U59" i="51" s="1"/>
  <c r="T38" i="51"/>
  <c r="U38" i="51" s="1"/>
  <c r="T16" i="51"/>
  <c r="U16" i="51" s="1"/>
  <c r="T91" i="51"/>
  <c r="U91" i="51" s="1"/>
  <c r="T77" i="51"/>
  <c r="U77" i="51" s="1"/>
  <c r="T57" i="51"/>
  <c r="U57" i="51" s="1"/>
  <c r="T45" i="51"/>
  <c r="U45" i="51" s="1"/>
  <c r="T36" i="51"/>
  <c r="U36" i="51" s="1"/>
  <c r="T25" i="51"/>
  <c r="U25" i="51" s="1"/>
  <c r="T15" i="51"/>
  <c r="U15" i="51" s="1"/>
  <c r="T64" i="51"/>
  <c r="U64" i="51" s="1"/>
  <c r="T13" i="51"/>
  <c r="U13" i="51" s="1"/>
  <c r="T90" i="51"/>
  <c r="U90" i="51" s="1"/>
  <c r="T76" i="51"/>
  <c r="U76" i="51" s="1"/>
  <c r="T56" i="51"/>
  <c r="U56" i="51" s="1"/>
  <c r="T44" i="51"/>
  <c r="U44" i="51" s="1"/>
  <c r="T35" i="51"/>
  <c r="U35" i="51" s="1"/>
  <c r="T24" i="51"/>
  <c r="U24" i="51" s="1"/>
  <c r="T14" i="51"/>
  <c r="U14" i="51" s="1"/>
  <c r="T93" i="51"/>
  <c r="U93" i="51" s="1"/>
  <c r="T79" i="51"/>
  <c r="U79" i="51" s="1"/>
  <c r="T47" i="51"/>
  <c r="U47" i="51" s="1"/>
  <c r="T26" i="51"/>
  <c r="U26" i="51" s="1"/>
  <c r="T89" i="51"/>
  <c r="U89" i="51" s="1"/>
  <c r="T75" i="51"/>
  <c r="U75" i="51" s="1"/>
  <c r="T55" i="51"/>
  <c r="U55" i="51" s="1"/>
  <c r="T43" i="51"/>
  <c r="U43" i="51" s="1"/>
  <c r="T34" i="51"/>
  <c r="U34" i="51" s="1"/>
  <c r="T23" i="51"/>
  <c r="U23" i="51" s="1"/>
  <c r="T123" i="51"/>
  <c r="U123" i="51" s="1"/>
  <c r="T88" i="51"/>
  <c r="U88" i="51" s="1"/>
  <c r="T74" i="51"/>
  <c r="U74" i="51" s="1"/>
  <c r="T54" i="51"/>
  <c r="U54" i="51" s="1"/>
  <c r="T42" i="51"/>
  <c r="U42" i="51" s="1"/>
  <c r="T33" i="51"/>
  <c r="U33" i="51" s="1"/>
  <c r="T22" i="51"/>
  <c r="U22" i="51" s="1"/>
  <c r="J167" i="58"/>
  <c r="J19" i="57"/>
  <c r="J166" i="58"/>
  <c r="J18" i="57"/>
  <c r="Y19" i="57"/>
  <c r="Y167" i="58"/>
  <c r="Y18" i="57"/>
  <c r="Y166" i="58"/>
  <c r="O487" i="41"/>
  <c r="O267" i="41"/>
  <c r="O379" i="41"/>
  <c r="O38" i="41"/>
  <c r="O415" i="41"/>
  <c r="O315" i="41"/>
  <c r="O291" i="41"/>
  <c r="O243" i="41"/>
  <c r="O171" i="41"/>
  <c r="O146" i="41"/>
  <c r="O98" i="41"/>
  <c r="O74" i="41"/>
  <c r="O355" i="41"/>
  <c r="O86" i="41"/>
  <c r="M298" i="41"/>
  <c r="M373" i="41"/>
  <c r="M7" i="41"/>
  <c r="M110" i="41"/>
  <c r="M62" i="41"/>
  <c r="M13" i="41"/>
  <c r="M38" i="41"/>
  <c r="M74" i="41"/>
  <c r="O62" i="41"/>
  <c r="R189" i="58"/>
  <c r="R191" i="40"/>
  <c r="R193" i="58"/>
  <c r="R217" i="40"/>
  <c r="R219" i="58"/>
  <c r="R230" i="40"/>
  <c r="R232" i="58"/>
  <c r="R236" i="58"/>
  <c r="R243" i="40"/>
  <c r="R245" i="58"/>
  <c r="R247" i="40"/>
  <c r="R249" i="58"/>
  <c r="R253" i="58"/>
  <c r="R316" i="58"/>
  <c r="S471" i="40"/>
  <c r="S491" i="40"/>
  <c r="S523" i="40"/>
  <c r="S479" i="58"/>
  <c r="P550" i="41"/>
  <c r="Q550" i="41" s="1"/>
  <c r="Y562" i="58"/>
  <c r="P489" i="41"/>
  <c r="Q489" i="41" s="1"/>
  <c r="Y501" i="58"/>
  <c r="P477" i="41"/>
  <c r="Q477" i="41" s="1"/>
  <c r="Y489" i="58"/>
  <c r="P465" i="41"/>
  <c r="Y477" i="58"/>
  <c r="P453" i="41"/>
  <c r="Y465" i="58"/>
  <c r="P441" i="41"/>
  <c r="Q441" i="41" s="1"/>
  <c r="Y453" i="58"/>
  <c r="P429" i="41"/>
  <c r="Q429" i="41" s="1"/>
  <c r="Y441" i="58"/>
  <c r="P417" i="41"/>
  <c r="Q417" i="41" s="1"/>
  <c r="Y429" i="58"/>
  <c r="P405" i="41"/>
  <c r="Q405" i="41" s="1"/>
  <c r="Y417" i="58"/>
  <c r="P393" i="41"/>
  <c r="Q393" i="41" s="1"/>
  <c r="Y405" i="58"/>
  <c r="P381" i="41"/>
  <c r="Q381" i="41" s="1"/>
  <c r="Y393" i="58"/>
  <c r="P369" i="41"/>
  <c r="Q369" i="41" s="1"/>
  <c r="Y381" i="58"/>
  <c r="P357" i="41"/>
  <c r="Q357" i="41" s="1"/>
  <c r="Y369" i="58"/>
  <c r="P341" i="41"/>
  <c r="Y353" i="58"/>
  <c r="P329" i="41"/>
  <c r="Y341" i="58"/>
  <c r="P317" i="41"/>
  <c r="Q317" i="41" s="1"/>
  <c r="Y329" i="58"/>
  <c r="Y315" i="40"/>
  <c r="Y317" i="58"/>
  <c r="Y303" i="40"/>
  <c r="Y305" i="58"/>
  <c r="Y291" i="40"/>
  <c r="Y293" i="58"/>
  <c r="Y279" i="40"/>
  <c r="Y281" i="58"/>
  <c r="Y267" i="40"/>
  <c r="Y269" i="58"/>
  <c r="Y255" i="40"/>
  <c r="Y257" i="58"/>
  <c r="Y243" i="40"/>
  <c r="Y245" i="58"/>
  <c r="Y231" i="40"/>
  <c r="Y233" i="58"/>
  <c r="Y219" i="40"/>
  <c r="Y221" i="58"/>
  <c r="Y207" i="40"/>
  <c r="Y209" i="58"/>
  <c r="Y195" i="40"/>
  <c r="Y197" i="58"/>
  <c r="Y183" i="40"/>
  <c r="Y185" i="58"/>
  <c r="Y154" i="40"/>
  <c r="Y154" i="58"/>
  <c r="P125" i="41"/>
  <c r="Q125" i="41" s="1"/>
  <c r="Y137" i="58"/>
  <c r="P113" i="41"/>
  <c r="Q113" i="41" s="1"/>
  <c r="Y125" i="58"/>
  <c r="P101" i="41"/>
  <c r="Q101" i="41" s="1"/>
  <c r="Y113" i="58"/>
  <c r="Y101" i="58"/>
  <c r="V33" i="43"/>
  <c r="Y89" i="58"/>
  <c r="P65" i="41"/>
  <c r="Q65" i="41" s="1"/>
  <c r="Y77" i="58"/>
  <c r="Y65" i="58"/>
  <c r="Y53" i="58"/>
  <c r="P29" i="41"/>
  <c r="Q29" i="41" s="1"/>
  <c r="Y41" i="58"/>
  <c r="Y29" i="58"/>
  <c r="K25" i="58"/>
  <c r="R192" i="40"/>
  <c r="R194" i="58"/>
  <c r="R199" i="58"/>
  <c r="R201" i="40"/>
  <c r="R203" i="58"/>
  <c r="R205" i="40"/>
  <c r="R207" i="58"/>
  <c r="R211" i="58"/>
  <c r="R213" i="40"/>
  <c r="R215" i="58"/>
  <c r="R218" i="40"/>
  <c r="R220" i="58"/>
  <c r="T58" i="45"/>
  <c r="R224" i="58"/>
  <c r="R264" i="40"/>
  <c r="R266" i="58"/>
  <c r="R270" i="58"/>
  <c r="R272" i="40"/>
  <c r="R274" i="58"/>
  <c r="R277" i="40"/>
  <c r="R279" i="58"/>
  <c r="V117" i="45"/>
  <c r="R283" i="58"/>
  <c r="R285" i="40"/>
  <c r="R287" i="58"/>
  <c r="R289" i="40"/>
  <c r="R291" i="58"/>
  <c r="R293" i="40"/>
  <c r="R295" i="58"/>
  <c r="R297" i="40"/>
  <c r="R299" i="58"/>
  <c r="S473" i="40"/>
  <c r="S441" i="58"/>
  <c r="S493" i="40"/>
  <c r="S453" i="58"/>
  <c r="S519" i="40"/>
  <c r="S476" i="58"/>
  <c r="P548" i="41"/>
  <c r="Q548" i="41" s="1"/>
  <c r="Y560" i="58"/>
  <c r="P487" i="41"/>
  <c r="Q487" i="41" s="1"/>
  <c r="Y499" i="58"/>
  <c r="P475" i="41"/>
  <c r="Q475" i="41" s="1"/>
  <c r="Y487" i="58"/>
  <c r="P463" i="41"/>
  <c r="Y475" i="58"/>
  <c r="P451" i="41"/>
  <c r="Y463" i="58"/>
  <c r="P439" i="41"/>
  <c r="Q439" i="41" s="1"/>
  <c r="Y451" i="58"/>
  <c r="P427" i="41"/>
  <c r="Q427" i="41" s="1"/>
  <c r="Y439" i="58"/>
  <c r="P415" i="41"/>
  <c r="Q415" i="41" s="1"/>
  <c r="Y427" i="58"/>
  <c r="P403" i="41"/>
  <c r="Q403" i="41" s="1"/>
  <c r="Y415" i="58"/>
  <c r="P391" i="41"/>
  <c r="Q391" i="41" s="1"/>
  <c r="Y403" i="58"/>
  <c r="P379" i="41"/>
  <c r="Q379" i="41" s="1"/>
  <c r="Y391" i="58"/>
  <c r="P367" i="41"/>
  <c r="Y379" i="58"/>
  <c r="P355" i="41"/>
  <c r="Q355" i="41" s="1"/>
  <c r="Y367" i="58"/>
  <c r="P339" i="41"/>
  <c r="Q339" i="41" s="1"/>
  <c r="Y351" i="58"/>
  <c r="P327" i="41"/>
  <c r="Q327" i="41" s="1"/>
  <c r="Y339" i="58"/>
  <c r="P315" i="41"/>
  <c r="Q315" i="41" s="1"/>
  <c r="Y327" i="58"/>
  <c r="Y313" i="40"/>
  <c r="Y315" i="58"/>
  <c r="Y301" i="40"/>
  <c r="Y303" i="58"/>
  <c r="Y289" i="40"/>
  <c r="Y291" i="58"/>
  <c r="Y277" i="40"/>
  <c r="Y279" i="58"/>
  <c r="Y265" i="40"/>
  <c r="Y267" i="58"/>
  <c r="Y253" i="40"/>
  <c r="Y255" i="58"/>
  <c r="Y241" i="40"/>
  <c r="Y243" i="58"/>
  <c r="Y229" i="40"/>
  <c r="Y231" i="58"/>
  <c r="Y217" i="40"/>
  <c r="Y219" i="58"/>
  <c r="Y205" i="40"/>
  <c r="Y207" i="58"/>
  <c r="Y193" i="40"/>
  <c r="Y195" i="58"/>
  <c r="Y181" i="40"/>
  <c r="Y183" i="58"/>
  <c r="P152" i="41"/>
  <c r="Y164" i="58"/>
  <c r="P135" i="41"/>
  <c r="Q135" i="41" s="1"/>
  <c r="Y147" i="58"/>
  <c r="P123" i="41"/>
  <c r="Q123" i="41" s="1"/>
  <c r="Y135" i="58"/>
  <c r="Y123" i="40"/>
  <c r="Y123" i="58"/>
  <c r="P99" i="41"/>
  <c r="Q99" i="41" s="1"/>
  <c r="Y111" i="58"/>
  <c r="Y99" i="40"/>
  <c r="Y99" i="58"/>
  <c r="Y87" i="40"/>
  <c r="Y87" i="58"/>
  <c r="Y75" i="40"/>
  <c r="Y75" i="58"/>
  <c r="Y63" i="40"/>
  <c r="Y63" i="58"/>
  <c r="Y51" i="40"/>
  <c r="Y51" i="58"/>
  <c r="Y39" i="40"/>
  <c r="Y39" i="58"/>
  <c r="Y27" i="40"/>
  <c r="Y27" i="58"/>
  <c r="S472" i="40"/>
  <c r="S440" i="58"/>
  <c r="S550" i="40"/>
  <c r="S503" i="58"/>
  <c r="S520" i="40"/>
  <c r="S477" i="58"/>
  <c r="P356" i="41"/>
  <c r="Q356" i="41" s="1"/>
  <c r="Y368" i="58"/>
  <c r="S511" i="40"/>
  <c r="P486" i="41"/>
  <c r="Y498" i="58"/>
  <c r="P474" i="41"/>
  <c r="Q474" i="41" s="1"/>
  <c r="Y486" i="58"/>
  <c r="P462" i="41"/>
  <c r="Q462" i="41" s="1"/>
  <c r="Y474" i="58"/>
  <c r="P450" i="41"/>
  <c r="Q450" i="41" s="1"/>
  <c r="Y462" i="58"/>
  <c r="P438" i="41"/>
  <c r="Q438" i="41" s="1"/>
  <c r="Y450" i="58"/>
  <c r="P426" i="41"/>
  <c r="Q426" i="41" s="1"/>
  <c r="Y438" i="58"/>
  <c r="P414" i="41"/>
  <c r="Y426" i="58"/>
  <c r="P402" i="41"/>
  <c r="Q402" i="41" s="1"/>
  <c r="Y414" i="58"/>
  <c r="P390" i="41"/>
  <c r="Q390" i="41" s="1"/>
  <c r="Y402" i="58"/>
  <c r="P378" i="41"/>
  <c r="Q378" i="41" s="1"/>
  <c r="Y390" i="58"/>
  <c r="P366" i="41"/>
  <c r="Q366" i="41" s="1"/>
  <c r="Y378" i="58"/>
  <c r="P354" i="41"/>
  <c r="Q354" i="41" s="1"/>
  <c r="Y366" i="58"/>
  <c r="P338" i="41"/>
  <c r="Q338" i="41" s="1"/>
  <c r="Y350" i="58"/>
  <c r="P326" i="41"/>
  <c r="Q326" i="41" s="1"/>
  <c r="Y338" i="58"/>
  <c r="P314" i="41"/>
  <c r="Q314" i="41" s="1"/>
  <c r="Y326" i="58"/>
  <c r="Y312" i="40"/>
  <c r="Y314" i="58"/>
  <c r="Y288" i="40"/>
  <c r="Y290" i="58"/>
  <c r="Y276" i="40"/>
  <c r="Y278" i="58"/>
  <c r="Y264" i="40"/>
  <c r="Y266" i="58"/>
  <c r="Y252" i="40"/>
  <c r="Y254" i="58"/>
  <c r="Y240" i="40"/>
  <c r="Y242" i="58"/>
  <c r="Y228" i="40"/>
  <c r="Y230" i="58"/>
  <c r="Y216" i="40"/>
  <c r="Y218" i="58"/>
  <c r="Y204" i="40"/>
  <c r="Y206" i="58"/>
  <c r="Y192" i="40"/>
  <c r="Y194" i="58"/>
  <c r="Y180" i="40"/>
  <c r="Y182" i="58"/>
  <c r="Y163" i="40"/>
  <c r="Y163" i="58"/>
  <c r="P134" i="41"/>
  <c r="Q134" i="41" s="1"/>
  <c r="Y146" i="58"/>
  <c r="P122" i="41"/>
  <c r="Q122" i="41" s="1"/>
  <c r="Y134" i="58"/>
  <c r="P110" i="41"/>
  <c r="Q110" i="41" s="1"/>
  <c r="Y122" i="58"/>
  <c r="Y98" i="40"/>
  <c r="Y98" i="58"/>
  <c r="Y62" i="40"/>
  <c r="Y62" i="58"/>
  <c r="Y26" i="40"/>
  <c r="Y26" i="58"/>
  <c r="Y74" i="40"/>
  <c r="Y74" i="58"/>
  <c r="R257" i="40"/>
  <c r="R259" i="58"/>
  <c r="R261" i="40"/>
  <c r="R263" i="58"/>
  <c r="R275" i="58"/>
  <c r="P497" i="41"/>
  <c r="Q497" i="41" s="1"/>
  <c r="Y558" i="58"/>
  <c r="P461" i="41"/>
  <c r="Q461" i="41" s="1"/>
  <c r="Y473" i="58"/>
  <c r="P425" i="41"/>
  <c r="Q425" i="41" s="1"/>
  <c r="Y437" i="58"/>
  <c r="P389" i="41"/>
  <c r="Q389" i="41" s="1"/>
  <c r="Y401" i="58"/>
  <c r="P365" i="41"/>
  <c r="Y377" i="58"/>
  <c r="P325" i="41"/>
  <c r="Q325" i="41" s="1"/>
  <c r="Y337" i="58"/>
  <c r="Y299" i="40"/>
  <c r="Y301" i="58"/>
  <c r="Y251" i="40"/>
  <c r="Y253" i="58"/>
  <c r="Y203" i="40"/>
  <c r="Y205" i="58"/>
  <c r="Y162" i="40"/>
  <c r="Y162" i="58"/>
  <c r="P121" i="41"/>
  <c r="Q121" i="41" s="1"/>
  <c r="Y133" i="58"/>
  <c r="Y97" i="40"/>
  <c r="Y97" i="58"/>
  <c r="P61" i="41"/>
  <c r="Y73" i="58"/>
  <c r="P37" i="41"/>
  <c r="Q37" i="41" s="1"/>
  <c r="Y49" i="58"/>
  <c r="R198" i="40"/>
  <c r="R200" i="58"/>
  <c r="R221" i="58"/>
  <c r="R280" i="58"/>
  <c r="S392" i="40"/>
  <c r="S394" i="58"/>
  <c r="S556" i="40"/>
  <c r="S558" i="58"/>
  <c r="S506" i="40"/>
  <c r="S466" i="58"/>
  <c r="P496" i="41"/>
  <c r="Q496" i="41" s="1"/>
  <c r="Y557" i="58"/>
  <c r="P484" i="41"/>
  <c r="Q484" i="41" s="1"/>
  <c r="Y496" i="58"/>
  <c r="P472" i="41"/>
  <c r="Q472" i="41" s="1"/>
  <c r="Y484" i="58"/>
  <c r="P460" i="41"/>
  <c r="Q460" i="41" s="1"/>
  <c r="Y472" i="58"/>
  <c r="P448" i="41"/>
  <c r="Q448" i="41" s="1"/>
  <c r="Y460" i="58"/>
  <c r="P436" i="41"/>
  <c r="Q436" i="41" s="1"/>
  <c r="Y448" i="58"/>
  <c r="P424" i="41"/>
  <c r="Q424" i="41" s="1"/>
  <c r="Y436" i="58"/>
  <c r="P412" i="41"/>
  <c r="Q412" i="41" s="1"/>
  <c r="Y424" i="58"/>
  <c r="P400" i="41"/>
  <c r="Q400" i="41" s="1"/>
  <c r="Y412" i="58"/>
  <c r="P388" i="41"/>
  <c r="Q388" i="41" s="1"/>
  <c r="Y400" i="58"/>
  <c r="P376" i="41"/>
  <c r="Q376" i="41" s="1"/>
  <c r="Y388" i="58"/>
  <c r="P364" i="41"/>
  <c r="Q364" i="41" s="1"/>
  <c r="Y376" i="58"/>
  <c r="P352" i="41"/>
  <c r="Q352" i="41" s="1"/>
  <c r="Y364" i="58"/>
  <c r="P336" i="41"/>
  <c r="Q336" i="41" s="1"/>
  <c r="Y348" i="58"/>
  <c r="P324" i="41"/>
  <c r="Q324" i="41" s="1"/>
  <c r="Y336" i="58"/>
  <c r="P312" i="41"/>
  <c r="Q312" i="41" s="1"/>
  <c r="Y324" i="58"/>
  <c r="Y310" i="40"/>
  <c r="Y312" i="58"/>
  <c r="Y298" i="40"/>
  <c r="Y300" i="58"/>
  <c r="Y286" i="40"/>
  <c r="Y288" i="58"/>
  <c r="Y274" i="40"/>
  <c r="Y276" i="58"/>
  <c r="Y262" i="40"/>
  <c r="Y264" i="58"/>
  <c r="Y250" i="40"/>
  <c r="Y252" i="58"/>
  <c r="Y238" i="40"/>
  <c r="Y240" i="58"/>
  <c r="Y226" i="40"/>
  <c r="Y228" i="58"/>
  <c r="Y214" i="40"/>
  <c r="Y216" i="58"/>
  <c r="Y202" i="40"/>
  <c r="Y204" i="58"/>
  <c r="Y190" i="40"/>
  <c r="Y192" i="58"/>
  <c r="Y178" i="40"/>
  <c r="Y180" i="58"/>
  <c r="P18" i="44"/>
  <c r="Y161" i="58"/>
  <c r="Y120" i="40"/>
  <c r="Y120" i="58"/>
  <c r="Y84" i="40"/>
  <c r="Y84" i="58"/>
  <c r="Y72" i="40"/>
  <c r="Y72" i="58"/>
  <c r="Y60" i="40"/>
  <c r="Y60" i="58"/>
  <c r="Y48" i="40"/>
  <c r="Y48" i="58"/>
  <c r="Y36" i="40"/>
  <c r="Y36" i="58"/>
  <c r="Y24" i="40"/>
  <c r="Y24" i="58"/>
  <c r="K27" i="58"/>
  <c r="R231" i="40"/>
  <c r="R233" i="58"/>
  <c r="R315" i="40"/>
  <c r="R317" i="58"/>
  <c r="S391" i="40"/>
  <c r="S393" i="58"/>
  <c r="Y50" i="40"/>
  <c r="Y50" i="58"/>
  <c r="K118" i="58"/>
  <c r="R307" i="40"/>
  <c r="R309" i="58"/>
  <c r="S475" i="40"/>
  <c r="S443" i="58"/>
  <c r="S507" i="40"/>
  <c r="S467" i="58"/>
  <c r="P473" i="41"/>
  <c r="Q473" i="41" s="1"/>
  <c r="Y485" i="58"/>
  <c r="P437" i="41"/>
  <c r="Q437" i="41" s="1"/>
  <c r="Y449" i="58"/>
  <c r="P401" i="41"/>
  <c r="Q401" i="41" s="1"/>
  <c r="Y413" i="58"/>
  <c r="P353" i="41"/>
  <c r="Q353" i="41" s="1"/>
  <c r="Y365" i="58"/>
  <c r="P313" i="41"/>
  <c r="Q313" i="41" s="1"/>
  <c r="Y325" i="58"/>
  <c r="P277" i="41"/>
  <c r="Q277" i="41" s="1"/>
  <c r="Y289" i="58"/>
  <c r="Y275" i="40"/>
  <c r="Y277" i="58"/>
  <c r="Y239" i="40"/>
  <c r="Y241" i="58"/>
  <c r="Y227" i="40"/>
  <c r="Y229" i="58"/>
  <c r="Y179" i="40"/>
  <c r="Y181" i="58"/>
  <c r="P97" i="41"/>
  <c r="Q97" i="41" s="1"/>
  <c r="Y109" i="58"/>
  <c r="Y37" i="40"/>
  <c r="Y37" i="58"/>
  <c r="K119" i="58"/>
  <c r="R206" i="40"/>
  <c r="R208" i="58"/>
  <c r="R265" i="40"/>
  <c r="R267" i="58"/>
  <c r="R288" i="58"/>
  <c r="S476" i="40"/>
  <c r="P132" i="41"/>
  <c r="Q132" i="41" s="1"/>
  <c r="Y144" i="58"/>
  <c r="K120" i="58"/>
  <c r="R228" i="40"/>
  <c r="R230" i="58"/>
  <c r="R236" i="40"/>
  <c r="R238" i="58"/>
  <c r="R247" i="58"/>
  <c r="R253" i="40"/>
  <c r="R255" i="58"/>
  <c r="R314" i="58"/>
  <c r="P483" i="41"/>
  <c r="Q483" i="41" s="1"/>
  <c r="Y495" i="58"/>
  <c r="W97" i="45"/>
  <c r="X97" i="45" s="1"/>
  <c r="Y263" i="58"/>
  <c r="R183" i="40"/>
  <c r="R185" i="58"/>
  <c r="R226" i="40"/>
  <c r="R228" i="58"/>
  <c r="R239" i="40"/>
  <c r="R241" i="58"/>
  <c r="R256" i="40"/>
  <c r="R258" i="58"/>
  <c r="R262" i="58"/>
  <c r="R301" i="40"/>
  <c r="R303" i="58"/>
  <c r="R306" i="40"/>
  <c r="R308" i="58"/>
  <c r="R310" i="40"/>
  <c r="R312" i="58"/>
  <c r="S492" i="40"/>
  <c r="P549" i="41"/>
  <c r="Q549" i="41" s="1"/>
  <c r="Y561" i="58"/>
  <c r="P488" i="41"/>
  <c r="Q488" i="41" s="1"/>
  <c r="Y500" i="58"/>
  <c r="P476" i="41"/>
  <c r="Q476" i="41" s="1"/>
  <c r="Y488" i="58"/>
  <c r="P464" i="41"/>
  <c r="Q464" i="41" s="1"/>
  <c r="Y476" i="58"/>
  <c r="P452" i="41"/>
  <c r="Q452" i="41" s="1"/>
  <c r="Y464" i="58"/>
  <c r="P440" i="41"/>
  <c r="Q440" i="41" s="1"/>
  <c r="Y452" i="58"/>
  <c r="P428" i="41"/>
  <c r="Q428" i="41" s="1"/>
  <c r="Y440" i="58"/>
  <c r="P416" i="41"/>
  <c r="Q416" i="41" s="1"/>
  <c r="Y428" i="58"/>
  <c r="P404" i="41"/>
  <c r="Q404" i="41" s="1"/>
  <c r="Y416" i="58"/>
  <c r="P392" i="41"/>
  <c r="Q392" i="41" s="1"/>
  <c r="Y404" i="58"/>
  <c r="P380" i="41"/>
  <c r="Q380" i="41" s="1"/>
  <c r="Y392" i="58"/>
  <c r="P368" i="41"/>
  <c r="Q368" i="41" s="1"/>
  <c r="Y380" i="58"/>
  <c r="P340" i="41"/>
  <c r="Q340" i="41" s="1"/>
  <c r="Y352" i="58"/>
  <c r="P328" i="41"/>
  <c r="Q328" i="41" s="1"/>
  <c r="Y340" i="58"/>
  <c r="Y326" i="40"/>
  <c r="Y328" i="58"/>
  <c r="Y314" i="40"/>
  <c r="Y316" i="58"/>
  <c r="Y302" i="40"/>
  <c r="Y304" i="58"/>
  <c r="Y290" i="40"/>
  <c r="Y292" i="58"/>
  <c r="Y278" i="40"/>
  <c r="Y280" i="58"/>
  <c r="Y266" i="40"/>
  <c r="Y268" i="58"/>
  <c r="Y254" i="40"/>
  <c r="Y256" i="58"/>
  <c r="Y242" i="40"/>
  <c r="Y244" i="58"/>
  <c r="Y230" i="40"/>
  <c r="Y232" i="58"/>
  <c r="Y218" i="40"/>
  <c r="Y220" i="58"/>
  <c r="Y206" i="40"/>
  <c r="Y208" i="58"/>
  <c r="Y194" i="40"/>
  <c r="Y196" i="58"/>
  <c r="Y182" i="40"/>
  <c r="Y184" i="58"/>
  <c r="P153" i="41"/>
  <c r="Q153" i="41" s="1"/>
  <c r="Y165" i="58"/>
  <c r="Y153" i="40"/>
  <c r="Y153" i="58"/>
  <c r="P124" i="41"/>
  <c r="Q124" i="41" s="1"/>
  <c r="Y136" i="58"/>
  <c r="P112" i="41"/>
  <c r="Q112" i="41" s="1"/>
  <c r="Y124" i="58"/>
  <c r="P100" i="41"/>
  <c r="Q100" i="41" s="1"/>
  <c r="Y112" i="58"/>
  <c r="Y100" i="40"/>
  <c r="Y100" i="58"/>
  <c r="Y88" i="40"/>
  <c r="Y88" i="58"/>
  <c r="Y76" i="40"/>
  <c r="Y76" i="58"/>
  <c r="Y64" i="40"/>
  <c r="Y64" i="58"/>
  <c r="Y52" i="40"/>
  <c r="Y52" i="58"/>
  <c r="P28" i="41"/>
  <c r="Q28" i="41" s="1"/>
  <c r="Y40" i="58"/>
  <c r="P16" i="41"/>
  <c r="Y28" i="58"/>
  <c r="R235" i="40"/>
  <c r="R237" i="58"/>
  <c r="R252" i="40"/>
  <c r="R254" i="58"/>
  <c r="P547" i="41"/>
  <c r="Q547" i="41" s="1"/>
  <c r="Y559" i="58"/>
  <c r="Y86" i="40"/>
  <c r="Y86" i="58"/>
  <c r="R214" i="40"/>
  <c r="R216" i="58"/>
  <c r="R282" i="40"/>
  <c r="R284" i="58"/>
  <c r="P96" i="41"/>
  <c r="Q96" i="41" s="1"/>
  <c r="Y108" i="58"/>
  <c r="M86" i="41"/>
  <c r="R191" i="58"/>
  <c r="R232" i="40"/>
  <c r="R234" i="58"/>
  <c r="R249" i="40"/>
  <c r="R251" i="58"/>
  <c r="R274" i="40"/>
  <c r="R276" i="58"/>
  <c r="R316" i="40"/>
  <c r="R318" i="58"/>
  <c r="S477" i="40"/>
  <c r="S504" i="40"/>
  <c r="S464" i="58"/>
  <c r="P495" i="41"/>
  <c r="Q495" i="41" s="1"/>
  <c r="Y556" i="58"/>
  <c r="P471" i="41"/>
  <c r="Q471" i="41" s="1"/>
  <c r="Y483" i="58"/>
  <c r="P459" i="41"/>
  <c r="Q459" i="41" s="1"/>
  <c r="Y471" i="58"/>
  <c r="P447" i="41"/>
  <c r="Q447" i="41" s="1"/>
  <c r="Y459" i="58"/>
  <c r="P435" i="41"/>
  <c r="Q435" i="41" s="1"/>
  <c r="Y447" i="58"/>
  <c r="P423" i="41"/>
  <c r="Q423" i="41" s="1"/>
  <c r="Y435" i="58"/>
  <c r="P411" i="41"/>
  <c r="Q411" i="41" s="1"/>
  <c r="Y423" i="58"/>
  <c r="P399" i="41"/>
  <c r="Q399" i="41" s="1"/>
  <c r="Y411" i="58"/>
  <c r="P387" i="41"/>
  <c r="Q387" i="41" s="1"/>
  <c r="Y399" i="58"/>
  <c r="P375" i="41"/>
  <c r="Q375" i="41" s="1"/>
  <c r="Y387" i="58"/>
  <c r="P363" i="41"/>
  <c r="Q363" i="41" s="1"/>
  <c r="Y375" i="58"/>
  <c r="P351" i="41"/>
  <c r="Q351" i="41" s="1"/>
  <c r="Y363" i="58"/>
  <c r="P335" i="41"/>
  <c r="Q335" i="41" s="1"/>
  <c r="Y347" i="58"/>
  <c r="P323" i="41"/>
  <c r="Q323" i="41" s="1"/>
  <c r="Y335" i="58"/>
  <c r="P311" i="41"/>
  <c r="Q311" i="41" s="1"/>
  <c r="Y323" i="58"/>
  <c r="W145" i="45"/>
  <c r="X145" i="45" s="1"/>
  <c r="Y311" i="58"/>
  <c r="W133" i="45"/>
  <c r="X133" i="45" s="1"/>
  <c r="Y299" i="58"/>
  <c r="W121" i="45"/>
  <c r="X121" i="45" s="1"/>
  <c r="Y287" i="58"/>
  <c r="W109" i="45"/>
  <c r="X109" i="45" s="1"/>
  <c r="Y275" i="58"/>
  <c r="W85" i="45"/>
  <c r="X85" i="45" s="1"/>
  <c r="Y251" i="58"/>
  <c r="W73" i="45"/>
  <c r="X73" i="45" s="1"/>
  <c r="Y239" i="58"/>
  <c r="W61" i="45"/>
  <c r="X61" i="45" s="1"/>
  <c r="Y227" i="58"/>
  <c r="W49" i="45"/>
  <c r="X49" i="45" s="1"/>
  <c r="Y215" i="58"/>
  <c r="W37" i="45"/>
  <c r="X37" i="45" s="1"/>
  <c r="Y203" i="58"/>
  <c r="W25" i="45"/>
  <c r="X25" i="45" s="1"/>
  <c r="Y191" i="58"/>
  <c r="P160" i="41"/>
  <c r="Q160" i="41" s="1"/>
  <c r="Y172" i="58"/>
  <c r="Y24" i="57"/>
  <c r="P17" i="44"/>
  <c r="Y160" i="58"/>
  <c r="P131" i="41"/>
  <c r="Q131" i="41" s="1"/>
  <c r="Y143" i="58"/>
  <c r="P119" i="41"/>
  <c r="Q119" i="41" s="1"/>
  <c r="Y131" i="58"/>
  <c r="P107" i="41"/>
  <c r="Q107" i="41" s="1"/>
  <c r="Y119" i="58"/>
  <c r="P95" i="41"/>
  <c r="Q95" i="41" s="1"/>
  <c r="Y107" i="58"/>
  <c r="Y95" i="58"/>
  <c r="Y83" i="58"/>
  <c r="P59" i="41"/>
  <c r="Q59" i="41" s="1"/>
  <c r="Y71" i="58"/>
  <c r="P47" i="41"/>
  <c r="Q47" i="41" s="1"/>
  <c r="Y59" i="58"/>
  <c r="P35" i="41"/>
  <c r="Q35" i="41" s="1"/>
  <c r="Y47" i="58"/>
  <c r="Y35" i="58"/>
  <c r="P11" i="41"/>
  <c r="Q11" i="41" s="1"/>
  <c r="Y23" i="58"/>
  <c r="K51" i="58"/>
  <c r="R308" i="40"/>
  <c r="R310" i="58"/>
  <c r="S554" i="40"/>
  <c r="S556" i="58"/>
  <c r="P494" i="41"/>
  <c r="Q494" i="41" s="1"/>
  <c r="Y555" i="58"/>
  <c r="P458" i="41"/>
  <c r="Q458" i="41" s="1"/>
  <c r="Y470" i="58"/>
  <c r="P434" i="41"/>
  <c r="Q434" i="41" s="1"/>
  <c r="Y446" i="58"/>
  <c r="P386" i="41"/>
  <c r="Q386" i="41" s="1"/>
  <c r="Y398" i="58"/>
  <c r="P362" i="41"/>
  <c r="Q362" i="41" s="1"/>
  <c r="Y374" i="58"/>
  <c r="P334" i="41"/>
  <c r="Q334" i="41" s="1"/>
  <c r="Y346" i="58"/>
  <c r="P310" i="41"/>
  <c r="Q310" i="41" s="1"/>
  <c r="Y322" i="58"/>
  <c r="Y296" i="40"/>
  <c r="Y298" i="58"/>
  <c r="Y260" i="40"/>
  <c r="Y262" i="58"/>
  <c r="Y236" i="40"/>
  <c r="Y238" i="58"/>
  <c r="Y200" i="40"/>
  <c r="Y202" i="58"/>
  <c r="P159" i="41"/>
  <c r="Q159" i="41" s="1"/>
  <c r="Y171" i="58"/>
  <c r="Y23" i="57"/>
  <c r="Y159" i="40"/>
  <c r="Y159" i="58"/>
  <c r="P118" i="41"/>
  <c r="Q118" i="41" s="1"/>
  <c r="Y130" i="58"/>
  <c r="Y118" i="40"/>
  <c r="Y118" i="58"/>
  <c r="P94" i="41"/>
  <c r="Q94" i="41" s="1"/>
  <c r="Y106" i="58"/>
  <c r="Y94" i="40"/>
  <c r="Y94" i="58"/>
  <c r="Y82" i="40"/>
  <c r="Y82" i="58"/>
  <c r="Y70" i="40"/>
  <c r="Y70" i="58"/>
  <c r="Y58" i="40"/>
  <c r="Y58" i="58"/>
  <c r="P34" i="41"/>
  <c r="Q34" i="41" s="1"/>
  <c r="Y46" i="58"/>
  <c r="Y22" i="40"/>
  <c r="Y22" i="58"/>
  <c r="R242" i="58"/>
  <c r="R250" i="58"/>
  <c r="R304" i="58"/>
  <c r="S474" i="40"/>
  <c r="S442" i="58"/>
  <c r="Y38" i="40"/>
  <c r="Y38" i="58"/>
  <c r="K29" i="58"/>
  <c r="R184" i="40"/>
  <c r="R186" i="58"/>
  <c r="R311" i="40"/>
  <c r="R313" i="58"/>
  <c r="S557" i="40"/>
  <c r="S559" i="58"/>
  <c r="P485" i="41"/>
  <c r="Q485" i="41" s="1"/>
  <c r="Y497" i="58"/>
  <c r="P449" i="41"/>
  <c r="Q449" i="41" s="1"/>
  <c r="Y461" i="58"/>
  <c r="P413" i="41"/>
  <c r="Q413" i="41" s="1"/>
  <c r="Y425" i="58"/>
  <c r="P377" i="41"/>
  <c r="Q377" i="41" s="1"/>
  <c r="Y389" i="58"/>
  <c r="P337" i="41"/>
  <c r="Q337" i="41" s="1"/>
  <c r="Y349" i="58"/>
  <c r="Y311" i="40"/>
  <c r="Y313" i="58"/>
  <c r="Y263" i="40"/>
  <c r="Y265" i="58"/>
  <c r="Y215" i="40"/>
  <c r="Y217" i="58"/>
  <c r="Y191" i="40"/>
  <c r="Y193" i="58"/>
  <c r="P133" i="41"/>
  <c r="Q133" i="41" s="1"/>
  <c r="Y145" i="58"/>
  <c r="Y121" i="40"/>
  <c r="Y121" i="58"/>
  <c r="Y85" i="40"/>
  <c r="Y85" i="58"/>
  <c r="P49" i="41"/>
  <c r="Q49" i="41" s="1"/>
  <c r="Y61" i="58"/>
  <c r="Y25" i="40"/>
  <c r="Y25" i="58"/>
  <c r="K38" i="58"/>
  <c r="R202" i="40"/>
  <c r="R204" i="58"/>
  <c r="R225" i="58"/>
  <c r="R271" i="58"/>
  <c r="R296" i="58"/>
  <c r="P120" i="41"/>
  <c r="Q120" i="41" s="1"/>
  <c r="Y132" i="58"/>
  <c r="R185" i="40"/>
  <c r="R187" i="58"/>
  <c r="R196" i="58"/>
  <c r="R260" i="58"/>
  <c r="S478" i="40"/>
  <c r="S446" i="58"/>
  <c r="P410" i="41"/>
  <c r="Q410" i="41" s="1"/>
  <c r="Y422" i="58"/>
  <c r="K123" i="58"/>
  <c r="R207" i="40"/>
  <c r="R209" i="58"/>
  <c r="T90" i="45"/>
  <c r="R256" i="58"/>
  <c r="R266" i="40"/>
  <c r="R268" i="58"/>
  <c r="R270" i="40"/>
  <c r="R272" i="58"/>
  <c r="R281" i="58"/>
  <c r="R287" i="40"/>
  <c r="R289" i="58"/>
  <c r="R299" i="40"/>
  <c r="R301" i="58"/>
  <c r="S544" i="40"/>
  <c r="P493" i="41"/>
  <c r="Q493" i="41" s="1"/>
  <c r="Y554" i="58"/>
  <c r="P469" i="41"/>
  <c r="Q469" i="41" s="1"/>
  <c r="Y481" i="58"/>
  <c r="P445" i="41"/>
  <c r="Q445" i="41" s="1"/>
  <c r="Y457" i="58"/>
  <c r="P421" i="41"/>
  <c r="Q421" i="41" s="1"/>
  <c r="Y433" i="58"/>
  <c r="P385" i="41"/>
  <c r="Q385" i="41" s="1"/>
  <c r="Y397" i="58"/>
  <c r="P361" i="41"/>
  <c r="Q361" i="41" s="1"/>
  <c r="Y373" i="58"/>
  <c r="P333" i="41"/>
  <c r="Q333" i="41" s="1"/>
  <c r="Y345" i="58"/>
  <c r="P309" i="41"/>
  <c r="Q309" i="41" s="1"/>
  <c r="Y321" i="58"/>
  <c r="Y295" i="40"/>
  <c r="Y297" i="58"/>
  <c r="Y271" i="40"/>
  <c r="Y273" i="58"/>
  <c r="Y247" i="40"/>
  <c r="Y249" i="58"/>
  <c r="Y223" i="40"/>
  <c r="Y225" i="58"/>
  <c r="Y199" i="40"/>
  <c r="Y201" i="58"/>
  <c r="P158" i="41"/>
  <c r="Q158" i="41" s="1"/>
  <c r="Y22" i="57"/>
  <c r="Y170" i="58"/>
  <c r="P129" i="41"/>
  <c r="Q129" i="41" s="1"/>
  <c r="Y141" i="58"/>
  <c r="Y117" i="40"/>
  <c r="Y117" i="58"/>
  <c r="Y93" i="40"/>
  <c r="Y93" i="58"/>
  <c r="Y57" i="40"/>
  <c r="Y57" i="58"/>
  <c r="Y21" i="40"/>
  <c r="Y21" i="58"/>
  <c r="R193" i="40"/>
  <c r="R195" i="58"/>
  <c r="R210" i="40"/>
  <c r="R212" i="58"/>
  <c r="R290" i="40"/>
  <c r="R292" i="58"/>
  <c r="R298" i="40"/>
  <c r="R300" i="58"/>
  <c r="R303" i="40"/>
  <c r="R305" i="58"/>
  <c r="Y96" i="40"/>
  <c r="Y96" i="58"/>
  <c r="K39" i="58"/>
  <c r="R241" i="40"/>
  <c r="R243" i="58"/>
  <c r="S555" i="40"/>
  <c r="S557" i="58"/>
  <c r="K52" i="58"/>
  <c r="R201" i="58"/>
  <c r="R203" i="40"/>
  <c r="R205" i="58"/>
  <c r="R211" i="40"/>
  <c r="R213" i="58"/>
  <c r="R215" i="40"/>
  <c r="R217" i="58"/>
  <c r="V56" i="45"/>
  <c r="R222" i="58"/>
  <c r="R224" i="40"/>
  <c r="R226" i="58"/>
  <c r="R283" i="40"/>
  <c r="R285" i="58"/>
  <c r="R291" i="40"/>
  <c r="R293" i="58"/>
  <c r="R297" i="58"/>
  <c r="R306" i="58"/>
  <c r="S459" i="40"/>
  <c r="S501" i="40"/>
  <c r="S461" i="58"/>
  <c r="P481" i="41"/>
  <c r="Q481" i="41" s="1"/>
  <c r="Y493" i="58"/>
  <c r="P457" i="41"/>
  <c r="Q457" i="41" s="1"/>
  <c r="Y469" i="58"/>
  <c r="P433" i="41"/>
  <c r="Q433" i="41" s="1"/>
  <c r="Y445" i="58"/>
  <c r="P409" i="41"/>
  <c r="Q409" i="41" s="1"/>
  <c r="Y421" i="58"/>
  <c r="P397" i="41"/>
  <c r="Q397" i="41" s="1"/>
  <c r="Y409" i="58"/>
  <c r="P373" i="41"/>
  <c r="Q373" i="41" s="1"/>
  <c r="Y385" i="58"/>
  <c r="P349" i="41"/>
  <c r="Q349" i="41" s="1"/>
  <c r="Y361" i="58"/>
  <c r="P321" i="41"/>
  <c r="Q321" i="41" s="1"/>
  <c r="Y333" i="58"/>
  <c r="Y307" i="40"/>
  <c r="Y309" i="58"/>
  <c r="Y283" i="40"/>
  <c r="Y285" i="58"/>
  <c r="Y259" i="40"/>
  <c r="Y261" i="58"/>
  <c r="Y235" i="40"/>
  <c r="Y237" i="58"/>
  <c r="Y211" i="40"/>
  <c r="Y213" i="58"/>
  <c r="Y187" i="40"/>
  <c r="Y189" i="58"/>
  <c r="Y158" i="40"/>
  <c r="Y158" i="58"/>
  <c r="P117" i="41"/>
  <c r="Q117" i="41" s="1"/>
  <c r="Y129" i="58"/>
  <c r="P93" i="41"/>
  <c r="Q93" i="41" s="1"/>
  <c r="Y105" i="58"/>
  <c r="Y81" i="40"/>
  <c r="Y81" i="58"/>
  <c r="Y69" i="40"/>
  <c r="Y69" i="58"/>
  <c r="P33" i="41"/>
  <c r="Q33" i="41" s="1"/>
  <c r="Y45" i="58"/>
  <c r="Y33" i="40"/>
  <c r="Y33" i="58"/>
  <c r="K53" i="58"/>
  <c r="R190" i="40"/>
  <c r="R192" i="58"/>
  <c r="R229" i="40"/>
  <c r="R231" i="58"/>
  <c r="R237" i="40"/>
  <c r="R239" i="58"/>
  <c r="R248" i="58"/>
  <c r="R250" i="40"/>
  <c r="R252" i="58"/>
  <c r="R313" i="40"/>
  <c r="R315" i="58"/>
  <c r="S420" i="40"/>
  <c r="S412" i="58"/>
  <c r="Y222" i="40"/>
  <c r="Y224" i="58"/>
  <c r="P98" i="41"/>
  <c r="Q98" i="41" s="1"/>
  <c r="Y110" i="58"/>
  <c r="R227" i="40"/>
  <c r="R229" i="58"/>
  <c r="K121" i="58"/>
  <c r="R262" i="40"/>
  <c r="R264" i="58"/>
  <c r="S458" i="40"/>
  <c r="S503" i="40"/>
  <c r="S463" i="58"/>
  <c r="P482" i="41"/>
  <c r="Q482" i="41" s="1"/>
  <c r="Y494" i="58"/>
  <c r="P470" i="41"/>
  <c r="Q470" i="41" s="1"/>
  <c r="Y482" i="58"/>
  <c r="P446" i="41"/>
  <c r="Q446" i="41" s="1"/>
  <c r="Y458" i="58"/>
  <c r="P422" i="41"/>
  <c r="Q422" i="41" s="1"/>
  <c r="Y434" i="58"/>
  <c r="P398" i="41"/>
  <c r="Q398" i="41" s="1"/>
  <c r="Y410" i="58"/>
  <c r="P374" i="41"/>
  <c r="Q374" i="41" s="1"/>
  <c r="Y386" i="58"/>
  <c r="P350" i="41"/>
  <c r="Q350" i="41" s="1"/>
  <c r="Y362" i="58"/>
  <c r="P322" i="41"/>
  <c r="Q322" i="41" s="1"/>
  <c r="Y334" i="58"/>
  <c r="Y308" i="40"/>
  <c r="Y310" i="58"/>
  <c r="Y284" i="40"/>
  <c r="Y286" i="58"/>
  <c r="Y272" i="40"/>
  <c r="Y274" i="58"/>
  <c r="Y248" i="40"/>
  <c r="Y250" i="58"/>
  <c r="Y224" i="40"/>
  <c r="Y226" i="58"/>
  <c r="Y212" i="40"/>
  <c r="Y214" i="58"/>
  <c r="Y188" i="40"/>
  <c r="Y190" i="58"/>
  <c r="P130" i="41"/>
  <c r="Q130" i="41" s="1"/>
  <c r="Y142" i="58"/>
  <c r="P22" i="41"/>
  <c r="Q22" i="41" s="1"/>
  <c r="Y34" i="58"/>
  <c r="R197" i="58"/>
  <c r="R235" i="58"/>
  <c r="R244" i="58"/>
  <c r="R275" i="40"/>
  <c r="R277" i="58"/>
  <c r="R317" i="40"/>
  <c r="R319" i="58"/>
  <c r="S536" i="40"/>
  <c r="S489" i="58"/>
  <c r="Y18" i="40"/>
  <c r="Y18" i="58"/>
  <c r="P492" i="41"/>
  <c r="Q492" i="41" s="1"/>
  <c r="Y504" i="58"/>
  <c r="P480" i="41"/>
  <c r="Q480" i="41" s="1"/>
  <c r="Y492" i="58"/>
  <c r="P468" i="41"/>
  <c r="Q468" i="41" s="1"/>
  <c r="Y480" i="58"/>
  <c r="P456" i="41"/>
  <c r="Q456" i="41" s="1"/>
  <c r="Y468" i="58"/>
  <c r="P444" i="41"/>
  <c r="Q444" i="41" s="1"/>
  <c r="Y456" i="58"/>
  <c r="P432" i="41"/>
  <c r="Q432" i="41" s="1"/>
  <c r="Y444" i="58"/>
  <c r="P420" i="41"/>
  <c r="Q420" i="41" s="1"/>
  <c r="Y432" i="58"/>
  <c r="P408" i="41"/>
  <c r="Q408" i="41" s="1"/>
  <c r="Y420" i="58"/>
  <c r="P396" i="41"/>
  <c r="Q396" i="41" s="1"/>
  <c r="Y408" i="58"/>
  <c r="P384" i="41"/>
  <c r="Q384" i="41" s="1"/>
  <c r="Y396" i="58"/>
  <c r="P372" i="41"/>
  <c r="Q372" i="41" s="1"/>
  <c r="Y384" i="58"/>
  <c r="P360" i="41"/>
  <c r="Q360" i="41" s="1"/>
  <c r="Y372" i="58"/>
  <c r="P344" i="41"/>
  <c r="Q344" i="41" s="1"/>
  <c r="Y356" i="58"/>
  <c r="P332" i="41"/>
  <c r="Q332" i="41" s="1"/>
  <c r="Y344" i="58"/>
  <c r="P320" i="41"/>
  <c r="Q320" i="41" s="1"/>
  <c r="Y332" i="58"/>
  <c r="P308" i="41"/>
  <c r="Q308" i="41" s="1"/>
  <c r="Y320" i="58"/>
  <c r="Y306" i="40"/>
  <c r="Y308" i="58"/>
  <c r="Y294" i="40"/>
  <c r="Y296" i="58"/>
  <c r="Y282" i="40"/>
  <c r="Y284" i="58"/>
  <c r="Y270" i="40"/>
  <c r="Y272" i="58"/>
  <c r="Y258" i="40"/>
  <c r="Y260" i="58"/>
  <c r="Y246" i="40"/>
  <c r="Y248" i="58"/>
  <c r="Y234" i="40"/>
  <c r="Y236" i="58"/>
  <c r="Y210" i="40"/>
  <c r="Y212" i="58"/>
  <c r="Y198" i="40"/>
  <c r="Y200" i="58"/>
  <c r="Y186" i="40"/>
  <c r="Y188" i="58"/>
  <c r="P157" i="41"/>
  <c r="Q157" i="41" s="1"/>
  <c r="Y169" i="58"/>
  <c r="Y21" i="57"/>
  <c r="Y157" i="40"/>
  <c r="Y157" i="58"/>
  <c r="P128" i="41"/>
  <c r="Q128" i="41" s="1"/>
  <c r="Y140" i="58"/>
  <c r="P116" i="41"/>
  <c r="Q116" i="41" s="1"/>
  <c r="Y128" i="58"/>
  <c r="P104" i="41"/>
  <c r="Q104" i="41" s="1"/>
  <c r="Y116" i="58"/>
  <c r="P92" i="41"/>
  <c r="Q92" i="41" s="1"/>
  <c r="Y104" i="58"/>
  <c r="Y92" i="40"/>
  <c r="Y92" i="58"/>
  <c r="P68" i="41"/>
  <c r="Y80" i="58"/>
  <c r="Y68" i="40"/>
  <c r="Y68" i="58"/>
  <c r="Y56" i="40"/>
  <c r="Y56" i="58"/>
  <c r="P32" i="41"/>
  <c r="Q32" i="41" s="1"/>
  <c r="Y44" i="58"/>
  <c r="Y32" i="40"/>
  <c r="Y32" i="58"/>
  <c r="Y20" i="40"/>
  <c r="Y20" i="58"/>
  <c r="R188" i="58"/>
  <c r="R216" i="40"/>
  <c r="R218" i="58"/>
  <c r="R255" i="40"/>
  <c r="R257" i="58"/>
  <c r="R259" i="40"/>
  <c r="R261" i="58"/>
  <c r="R263" i="40"/>
  <c r="R265" i="58"/>
  <c r="R307" i="58"/>
  <c r="R309" i="40"/>
  <c r="R311" i="58"/>
  <c r="S469" i="40"/>
  <c r="S437" i="58"/>
  <c r="S535" i="40"/>
  <c r="P552" i="41"/>
  <c r="Q552" i="41" s="1"/>
  <c r="Y564" i="58"/>
  <c r="P491" i="41"/>
  <c r="Q491" i="41" s="1"/>
  <c r="Y503" i="58"/>
  <c r="P479" i="41"/>
  <c r="Q479" i="41" s="1"/>
  <c r="Y491" i="58"/>
  <c r="P467" i="41"/>
  <c r="Q467" i="41" s="1"/>
  <c r="Y479" i="58"/>
  <c r="P455" i="41"/>
  <c r="Q455" i="41" s="1"/>
  <c r="Y467" i="58"/>
  <c r="P443" i="41"/>
  <c r="Q443" i="41" s="1"/>
  <c r="Y455" i="58"/>
  <c r="P431" i="41"/>
  <c r="Q431" i="41" s="1"/>
  <c r="Y443" i="58"/>
  <c r="P419" i="41"/>
  <c r="Q419" i="41" s="1"/>
  <c r="Y431" i="58"/>
  <c r="P407" i="41"/>
  <c r="Q407" i="41" s="1"/>
  <c r="Y419" i="58"/>
  <c r="P395" i="41"/>
  <c r="Q395" i="41" s="1"/>
  <c r="Y407" i="58"/>
  <c r="P383" i="41"/>
  <c r="Q383" i="41" s="1"/>
  <c r="Y395" i="58"/>
  <c r="P371" i="41"/>
  <c r="Q371" i="41" s="1"/>
  <c r="Y383" i="58"/>
  <c r="P359" i="41"/>
  <c r="Q359" i="41" s="1"/>
  <c r="Y371" i="58"/>
  <c r="P343" i="41"/>
  <c r="Q343" i="41" s="1"/>
  <c r="Y355" i="58"/>
  <c r="P331" i="41"/>
  <c r="Q331" i="41" s="1"/>
  <c r="Y343" i="58"/>
  <c r="P319" i="41"/>
  <c r="Q319" i="41" s="1"/>
  <c r="Y331" i="58"/>
  <c r="Y317" i="40"/>
  <c r="Y319" i="58"/>
  <c r="Y305" i="40"/>
  <c r="Y307" i="58"/>
  <c r="Y293" i="40"/>
  <c r="Y295" i="58"/>
  <c r="Y281" i="40"/>
  <c r="Y283" i="58"/>
  <c r="Y269" i="40"/>
  <c r="Y271" i="58"/>
  <c r="Y257" i="40"/>
  <c r="Y259" i="58"/>
  <c r="Y245" i="40"/>
  <c r="Y247" i="58"/>
  <c r="Y233" i="40"/>
  <c r="Y235" i="58"/>
  <c r="Y221" i="40"/>
  <c r="Y223" i="58"/>
  <c r="Y209" i="40"/>
  <c r="Y211" i="58"/>
  <c r="Y197" i="40"/>
  <c r="Y199" i="58"/>
  <c r="Y185" i="40"/>
  <c r="Y187" i="58"/>
  <c r="Y166" i="40"/>
  <c r="Y168" i="58"/>
  <c r="Y20" i="57"/>
  <c r="Y156" i="40"/>
  <c r="Y156" i="58"/>
  <c r="P127" i="41"/>
  <c r="Q127" i="41" s="1"/>
  <c r="Y139" i="58"/>
  <c r="P115" i="41"/>
  <c r="Q115" i="41" s="1"/>
  <c r="Y127" i="58"/>
  <c r="Y115" i="40"/>
  <c r="Y115" i="58"/>
  <c r="Y103" i="40"/>
  <c r="Y103" i="58"/>
  <c r="Y91" i="40"/>
  <c r="Y91" i="58"/>
  <c r="P67" i="41"/>
  <c r="Q67" i="41" s="1"/>
  <c r="Y79" i="58"/>
  <c r="Y67" i="40"/>
  <c r="Y67" i="58"/>
  <c r="Y55" i="40"/>
  <c r="Y55" i="58"/>
  <c r="P31" i="41"/>
  <c r="Q31" i="41" s="1"/>
  <c r="Y43" i="58"/>
  <c r="Y31" i="40"/>
  <c r="Y31" i="58"/>
  <c r="P7" i="41"/>
  <c r="Q7" i="41" s="1"/>
  <c r="Y19" i="58"/>
  <c r="R188" i="40"/>
  <c r="R190" i="58"/>
  <c r="V80" i="45"/>
  <c r="R246" i="58"/>
  <c r="Y300" i="40"/>
  <c r="Y302" i="58"/>
  <c r="V32" i="45"/>
  <c r="R198" i="58"/>
  <c r="V36" i="45"/>
  <c r="R202" i="58"/>
  <c r="R204" i="40"/>
  <c r="R206" i="58"/>
  <c r="R208" i="40"/>
  <c r="R210" i="58"/>
  <c r="T48" i="45"/>
  <c r="R214" i="58"/>
  <c r="R221" i="40"/>
  <c r="R223" i="58"/>
  <c r="V61" i="45"/>
  <c r="R227" i="58"/>
  <c r="R240" i="58"/>
  <c r="R269" i="58"/>
  <c r="R271" i="40"/>
  <c r="R273" i="58"/>
  <c r="R276" i="40"/>
  <c r="R278" i="58"/>
  <c r="R282" i="58"/>
  <c r="R284" i="40"/>
  <c r="R286" i="58"/>
  <c r="R290" i="58"/>
  <c r="R292" i="40"/>
  <c r="R294" i="58"/>
  <c r="R298" i="58"/>
  <c r="R300" i="40"/>
  <c r="R302" i="58"/>
  <c r="S424" i="40"/>
  <c r="S470" i="40"/>
  <c r="S438" i="58"/>
  <c r="S490" i="40"/>
  <c r="S481" i="58"/>
  <c r="P551" i="41"/>
  <c r="Q551" i="41" s="1"/>
  <c r="Y563" i="58"/>
  <c r="P490" i="41"/>
  <c r="Q490" i="41" s="1"/>
  <c r="Y502" i="58"/>
  <c r="P478" i="41"/>
  <c r="Q478" i="41" s="1"/>
  <c r="Y490" i="58"/>
  <c r="P466" i="41"/>
  <c r="Q466" i="41" s="1"/>
  <c r="Y478" i="58"/>
  <c r="P454" i="41"/>
  <c r="Q454" i="41" s="1"/>
  <c r="Y466" i="58"/>
  <c r="P442" i="41"/>
  <c r="Q442" i="41" s="1"/>
  <c r="Y454" i="58"/>
  <c r="P430" i="41"/>
  <c r="Q430" i="41" s="1"/>
  <c r="Y442" i="58"/>
  <c r="P418" i="41"/>
  <c r="Q418" i="41" s="1"/>
  <c r="Y430" i="58"/>
  <c r="P406" i="41"/>
  <c r="Q406" i="41" s="1"/>
  <c r="Y418" i="58"/>
  <c r="P394" i="41"/>
  <c r="Q394" i="41" s="1"/>
  <c r="Y406" i="58"/>
  <c r="P382" i="41"/>
  <c r="Q382" i="41" s="1"/>
  <c r="Y394" i="58"/>
  <c r="P370" i="41"/>
  <c r="Q370" i="41" s="1"/>
  <c r="Y382" i="58"/>
  <c r="P358" i="41"/>
  <c r="Q358" i="41" s="1"/>
  <c r="Y370" i="58"/>
  <c r="P342" i="41"/>
  <c r="Q342" i="41" s="1"/>
  <c r="Y354" i="58"/>
  <c r="P330" i="41"/>
  <c r="Q330" i="41" s="1"/>
  <c r="Y342" i="58"/>
  <c r="P318" i="41"/>
  <c r="Q318" i="41" s="1"/>
  <c r="Y330" i="58"/>
  <c r="W152" i="45"/>
  <c r="X152" i="45" s="1"/>
  <c r="Y318" i="58"/>
  <c r="W140" i="45"/>
  <c r="X140" i="45" s="1"/>
  <c r="Y306" i="58"/>
  <c r="W128" i="45"/>
  <c r="X128" i="45" s="1"/>
  <c r="Y294" i="58"/>
  <c r="W116" i="45"/>
  <c r="X116" i="45" s="1"/>
  <c r="Y282" i="58"/>
  <c r="W104" i="45"/>
  <c r="X104" i="45" s="1"/>
  <c r="Y270" i="58"/>
  <c r="W92" i="45"/>
  <c r="X92" i="45" s="1"/>
  <c r="Y258" i="58"/>
  <c r="W80" i="45"/>
  <c r="X80" i="45" s="1"/>
  <c r="Y246" i="58"/>
  <c r="W68" i="45"/>
  <c r="X68" i="45" s="1"/>
  <c r="Y234" i="58"/>
  <c r="W56" i="45"/>
  <c r="X56" i="45" s="1"/>
  <c r="Y222" i="58"/>
  <c r="W44" i="45"/>
  <c r="X44" i="45" s="1"/>
  <c r="Y210" i="58"/>
  <c r="W32" i="45"/>
  <c r="Y198" i="58"/>
  <c r="W20" i="45"/>
  <c r="X20" i="45" s="1"/>
  <c r="Y186" i="58"/>
  <c r="Y155" i="40"/>
  <c r="Y155" i="58"/>
  <c r="P126" i="41"/>
  <c r="Q126" i="41" s="1"/>
  <c r="Y138" i="58"/>
  <c r="P114" i="41"/>
  <c r="Q114" i="41" s="1"/>
  <c r="Y126" i="58"/>
  <c r="Y114" i="40"/>
  <c r="Y114" i="58"/>
  <c r="Y102" i="40"/>
  <c r="Y102" i="58"/>
  <c r="Y90" i="40"/>
  <c r="Y90" i="58"/>
  <c r="P66" i="41"/>
  <c r="Q66" i="41" s="1"/>
  <c r="Y78" i="58"/>
  <c r="Y66" i="40"/>
  <c r="Y66" i="58"/>
  <c r="Y54" i="40"/>
  <c r="Y54" i="58"/>
  <c r="P30" i="41"/>
  <c r="Q30" i="41" s="1"/>
  <c r="Y42" i="58"/>
  <c r="Y30" i="40"/>
  <c r="Y30" i="58"/>
  <c r="J560" i="40"/>
  <c r="J562" i="58"/>
  <c r="T562" i="58" s="1"/>
  <c r="J548" i="40"/>
  <c r="J501" i="58"/>
  <c r="J536" i="40"/>
  <c r="J489" i="58"/>
  <c r="J520" i="40"/>
  <c r="J477" i="58"/>
  <c r="J505" i="40"/>
  <c r="J465" i="58"/>
  <c r="J493" i="40"/>
  <c r="J453" i="58"/>
  <c r="J473" i="40"/>
  <c r="J441" i="58"/>
  <c r="J450" i="40"/>
  <c r="J429" i="58"/>
  <c r="J428" i="40"/>
  <c r="J417" i="58"/>
  <c r="J413" i="40"/>
  <c r="J405" i="58"/>
  <c r="J391" i="40"/>
  <c r="J393" i="58"/>
  <c r="J379" i="40"/>
  <c r="J381" i="58"/>
  <c r="T381" i="58" s="1"/>
  <c r="J367" i="40"/>
  <c r="J369" i="58"/>
  <c r="T369" i="58" s="1"/>
  <c r="J351" i="40"/>
  <c r="J353" i="58"/>
  <c r="T353" i="58" s="1"/>
  <c r="J339" i="40"/>
  <c r="J341" i="58"/>
  <c r="T341" i="58" s="1"/>
  <c r="J327" i="40"/>
  <c r="J329" i="58"/>
  <c r="T329" i="58" s="1"/>
  <c r="J315" i="40"/>
  <c r="J317" i="58"/>
  <c r="J303" i="40"/>
  <c r="J305" i="58"/>
  <c r="J291" i="40"/>
  <c r="J293" i="58"/>
  <c r="J279" i="40"/>
  <c r="J281" i="58"/>
  <c r="J267" i="40"/>
  <c r="J269" i="58"/>
  <c r="J255" i="40"/>
  <c r="J257" i="58"/>
  <c r="J243" i="40"/>
  <c r="J245" i="58"/>
  <c r="J231" i="40"/>
  <c r="J233" i="58"/>
  <c r="J219" i="40"/>
  <c r="J221" i="58"/>
  <c r="J207" i="40"/>
  <c r="J209" i="58"/>
  <c r="J195" i="40"/>
  <c r="J197" i="58"/>
  <c r="J183" i="40"/>
  <c r="J185" i="58"/>
  <c r="J170" i="40"/>
  <c r="J172" i="58"/>
  <c r="T172" i="58" s="1"/>
  <c r="T24" i="57"/>
  <c r="J160" i="40"/>
  <c r="J160" i="58"/>
  <c r="J148" i="40"/>
  <c r="J148" i="58"/>
  <c r="J136" i="40"/>
  <c r="J136" i="58"/>
  <c r="T136" i="58" s="1"/>
  <c r="J124" i="40"/>
  <c r="J124" i="58"/>
  <c r="T124" i="58" s="1"/>
  <c r="J112" i="40"/>
  <c r="J112" i="58"/>
  <c r="T112" i="58" s="1"/>
  <c r="J100" i="40"/>
  <c r="J100" i="58"/>
  <c r="J88" i="40"/>
  <c r="J88" i="58"/>
  <c r="J76" i="40"/>
  <c r="J76" i="58"/>
  <c r="J64" i="40"/>
  <c r="J64" i="58"/>
  <c r="J52" i="40"/>
  <c r="J52" i="58"/>
  <c r="J40" i="40"/>
  <c r="J40" i="58"/>
  <c r="T40" i="58" s="1"/>
  <c r="J27" i="58"/>
  <c r="J561" i="40"/>
  <c r="J563" i="58"/>
  <c r="T563" i="58" s="1"/>
  <c r="J549" i="40"/>
  <c r="J502" i="58"/>
  <c r="J537" i="40"/>
  <c r="J490" i="58"/>
  <c r="J522" i="40"/>
  <c r="J478" i="58"/>
  <c r="J506" i="40"/>
  <c r="J466" i="58"/>
  <c r="J474" i="40"/>
  <c r="J442" i="58"/>
  <c r="J453" i="40"/>
  <c r="J430" i="58"/>
  <c r="J430" i="40"/>
  <c r="J418" i="58"/>
  <c r="J414" i="40"/>
  <c r="J406" i="58"/>
  <c r="J392" i="40"/>
  <c r="J394" i="58"/>
  <c r="J380" i="40"/>
  <c r="J382" i="58"/>
  <c r="T382" i="58" s="1"/>
  <c r="J370" i="58"/>
  <c r="T370" i="58" s="1"/>
  <c r="J352" i="40"/>
  <c r="J354" i="58"/>
  <c r="T354" i="58" s="1"/>
  <c r="J340" i="40"/>
  <c r="J342" i="58"/>
  <c r="T342" i="58" s="1"/>
  <c r="J330" i="58"/>
  <c r="T330" i="58" s="1"/>
  <c r="J318" i="58"/>
  <c r="J306" i="58"/>
  <c r="J292" i="40"/>
  <c r="J294" i="58"/>
  <c r="J280" i="40"/>
  <c r="J282" i="58"/>
  <c r="J268" i="40"/>
  <c r="J270" i="58"/>
  <c r="J256" i="40"/>
  <c r="J258" i="58"/>
  <c r="J246" i="58"/>
  <c r="J234" i="58"/>
  <c r="J220" i="40"/>
  <c r="J222" i="58"/>
  <c r="J208" i="40"/>
  <c r="J210" i="58"/>
  <c r="J198" i="58"/>
  <c r="J186" i="58"/>
  <c r="J173" i="58"/>
  <c r="J161" i="58"/>
  <c r="J149" i="58"/>
  <c r="T149" i="58" s="1"/>
  <c r="J137" i="40"/>
  <c r="J137" i="58"/>
  <c r="T137" i="58" s="1"/>
  <c r="J125" i="58"/>
  <c r="T125" i="58" s="1"/>
  <c r="J113" i="58"/>
  <c r="T113" i="58" s="1"/>
  <c r="J101" i="40"/>
  <c r="J101" i="58"/>
  <c r="J89" i="40"/>
  <c r="J89" i="58"/>
  <c r="J77" i="40"/>
  <c r="J77" i="58"/>
  <c r="T77" i="58" s="1"/>
  <c r="J65" i="40"/>
  <c r="J65" i="58"/>
  <c r="J53" i="40"/>
  <c r="J53" i="58"/>
  <c r="J41" i="40"/>
  <c r="J41" i="58"/>
  <c r="T41" i="58" s="1"/>
  <c r="J29" i="40"/>
  <c r="J29" i="58"/>
  <c r="J561" i="58"/>
  <c r="T561" i="58" s="1"/>
  <c r="J500" i="58"/>
  <c r="J535" i="40"/>
  <c r="J488" i="58"/>
  <c r="J519" i="40"/>
  <c r="J476" i="58"/>
  <c r="J464" i="58"/>
  <c r="J452" i="58"/>
  <c r="J472" i="40"/>
  <c r="J440" i="58"/>
  <c r="J449" i="40"/>
  <c r="J428" i="58"/>
  <c r="J416" i="58"/>
  <c r="J404" i="58"/>
  <c r="J390" i="40"/>
  <c r="J392" i="58"/>
  <c r="T392" i="58" s="1"/>
  <c r="J380" i="58"/>
  <c r="T380" i="58" s="1"/>
  <c r="J368" i="58"/>
  <c r="T368" i="58" s="1"/>
  <c r="J350" i="40"/>
  <c r="J352" i="58"/>
  <c r="T352" i="58" s="1"/>
  <c r="J338" i="40"/>
  <c r="J340" i="58"/>
  <c r="T340" i="58" s="1"/>
  <c r="J328" i="58"/>
  <c r="J316" i="58"/>
  <c r="J304" i="58"/>
  <c r="J292" i="58"/>
  <c r="J280" i="58"/>
  <c r="J266" i="40"/>
  <c r="J268" i="58"/>
  <c r="J256" i="58"/>
  <c r="J244" i="58"/>
  <c r="J232" i="58"/>
  <c r="J220" i="58"/>
  <c r="J208" i="58"/>
  <c r="J196" i="58"/>
  <c r="J182" i="40"/>
  <c r="J184" i="58"/>
  <c r="J169" i="40"/>
  <c r="J171" i="58"/>
  <c r="T171" i="58" s="1"/>
  <c r="T23" i="57"/>
  <c r="J159" i="40"/>
  <c r="J159" i="58"/>
  <c r="J147" i="40"/>
  <c r="J147" i="58"/>
  <c r="T147" i="58" s="1"/>
  <c r="J135" i="40"/>
  <c r="J135" i="58"/>
  <c r="T135" i="58" s="1"/>
  <c r="J123" i="40"/>
  <c r="J123" i="58"/>
  <c r="J111" i="40"/>
  <c r="J111" i="58"/>
  <c r="T111" i="58" s="1"/>
  <c r="J99" i="40"/>
  <c r="J99" i="58"/>
  <c r="J87" i="58"/>
  <c r="J75" i="58"/>
  <c r="J63" i="40"/>
  <c r="J63" i="58"/>
  <c r="J51" i="40"/>
  <c r="J51" i="58"/>
  <c r="J39" i="40"/>
  <c r="J39" i="58"/>
  <c r="J26" i="40"/>
  <c r="J26" i="58"/>
  <c r="M391" i="41"/>
  <c r="M279" i="41"/>
  <c r="M98" i="41"/>
  <c r="J558" i="40"/>
  <c r="J560" i="58"/>
  <c r="T560" i="58" s="1"/>
  <c r="J546" i="40"/>
  <c r="J499" i="58"/>
  <c r="J534" i="40"/>
  <c r="J487" i="58"/>
  <c r="J518" i="40"/>
  <c r="J475" i="58"/>
  <c r="J503" i="40"/>
  <c r="J463" i="58"/>
  <c r="J491" i="40"/>
  <c r="J451" i="58"/>
  <c r="J471" i="40"/>
  <c r="J439" i="58"/>
  <c r="J448" i="40"/>
  <c r="J427" i="58"/>
  <c r="J425" i="40"/>
  <c r="J415" i="58"/>
  <c r="J406" i="40"/>
  <c r="J403" i="58"/>
  <c r="J389" i="40"/>
  <c r="J391" i="58"/>
  <c r="T391" i="58" s="1"/>
  <c r="J377" i="40"/>
  <c r="J379" i="58"/>
  <c r="T379" i="58" s="1"/>
  <c r="J365" i="40"/>
  <c r="J367" i="58"/>
  <c r="T367" i="58" s="1"/>
  <c r="J349" i="40"/>
  <c r="J351" i="58"/>
  <c r="T351" i="58" s="1"/>
  <c r="J337" i="40"/>
  <c r="J339" i="58"/>
  <c r="T339" i="58" s="1"/>
  <c r="J325" i="40"/>
  <c r="J327" i="58"/>
  <c r="T327" i="58" s="1"/>
  <c r="J313" i="40"/>
  <c r="J315" i="58"/>
  <c r="J301" i="40"/>
  <c r="J303" i="58"/>
  <c r="J289" i="40"/>
  <c r="J291" i="58"/>
  <c r="J277" i="40"/>
  <c r="J279" i="58"/>
  <c r="J265" i="40"/>
  <c r="J267" i="58"/>
  <c r="J253" i="40"/>
  <c r="J255" i="58"/>
  <c r="J241" i="40"/>
  <c r="J243" i="58"/>
  <c r="J229" i="40"/>
  <c r="J231" i="58"/>
  <c r="J217" i="40"/>
  <c r="J219" i="58"/>
  <c r="J205" i="40"/>
  <c r="J207" i="58"/>
  <c r="J193" i="40"/>
  <c r="J195" i="58"/>
  <c r="J181" i="40"/>
  <c r="J183" i="58"/>
  <c r="J168" i="40"/>
  <c r="J170" i="58"/>
  <c r="T170" i="58" s="1"/>
  <c r="T22" i="57"/>
  <c r="J158" i="40"/>
  <c r="J158" i="58"/>
  <c r="J146" i="40"/>
  <c r="J146" i="58"/>
  <c r="T146" i="58" s="1"/>
  <c r="J134" i="40"/>
  <c r="J134" i="58"/>
  <c r="T134" i="58" s="1"/>
  <c r="J122" i="40"/>
  <c r="J122" i="58"/>
  <c r="T122" i="58" s="1"/>
  <c r="J110" i="40"/>
  <c r="J110" i="58"/>
  <c r="T110" i="58" s="1"/>
  <c r="J98" i="40"/>
  <c r="J98" i="58"/>
  <c r="J86" i="40"/>
  <c r="J86" i="58"/>
  <c r="J74" i="40"/>
  <c r="J74" i="58"/>
  <c r="J62" i="40"/>
  <c r="J62" i="58"/>
  <c r="J50" i="40"/>
  <c r="J50" i="58"/>
  <c r="J38" i="40"/>
  <c r="J38" i="58"/>
  <c r="J25" i="40"/>
  <c r="J25" i="58"/>
  <c r="J557" i="40"/>
  <c r="J559" i="58"/>
  <c r="J545" i="40"/>
  <c r="J498" i="58"/>
  <c r="J533" i="40"/>
  <c r="J486" i="58"/>
  <c r="J517" i="40"/>
  <c r="J474" i="58"/>
  <c r="J502" i="40"/>
  <c r="J462" i="58"/>
  <c r="J490" i="40"/>
  <c r="J450" i="58"/>
  <c r="J470" i="40"/>
  <c r="J438" i="58"/>
  <c r="J447" i="40"/>
  <c r="J426" i="58"/>
  <c r="J424" i="40"/>
  <c r="J414" i="58"/>
  <c r="J405" i="40"/>
  <c r="J402" i="58"/>
  <c r="J388" i="40"/>
  <c r="J390" i="58"/>
  <c r="T390" i="58" s="1"/>
  <c r="J376" i="40"/>
  <c r="J378" i="58"/>
  <c r="T378" i="58" s="1"/>
  <c r="J364" i="40"/>
  <c r="J366" i="58"/>
  <c r="T366" i="58" s="1"/>
  <c r="J348" i="40"/>
  <c r="J350" i="58"/>
  <c r="T350" i="58" s="1"/>
  <c r="J336" i="40"/>
  <c r="J338" i="58"/>
  <c r="T338" i="58" s="1"/>
  <c r="J324" i="40"/>
  <c r="J326" i="58"/>
  <c r="T326" i="58" s="1"/>
  <c r="J312" i="40"/>
  <c r="J314" i="58"/>
  <c r="J300" i="40"/>
  <c r="J302" i="58"/>
  <c r="J288" i="40"/>
  <c r="J290" i="58"/>
  <c r="J276" i="40"/>
  <c r="J278" i="58"/>
  <c r="J264" i="40"/>
  <c r="J266" i="58"/>
  <c r="J252" i="40"/>
  <c r="J254" i="58"/>
  <c r="J240" i="40"/>
  <c r="J242" i="58"/>
  <c r="J228" i="40"/>
  <c r="J230" i="58"/>
  <c r="J216" i="40"/>
  <c r="J218" i="58"/>
  <c r="J204" i="40"/>
  <c r="J206" i="58"/>
  <c r="J192" i="40"/>
  <c r="J194" i="58"/>
  <c r="J180" i="40"/>
  <c r="J182" i="58"/>
  <c r="J167" i="40"/>
  <c r="J169" i="58"/>
  <c r="T169" i="58" s="1"/>
  <c r="T21" i="57"/>
  <c r="J157" i="40"/>
  <c r="J157" i="58"/>
  <c r="J145" i="40"/>
  <c r="J145" i="58"/>
  <c r="T145" i="58" s="1"/>
  <c r="J133" i="40"/>
  <c r="J133" i="58"/>
  <c r="T133" i="58" s="1"/>
  <c r="J121" i="40"/>
  <c r="J121" i="58"/>
  <c r="J109" i="40"/>
  <c r="J109" i="58"/>
  <c r="T109" i="58" s="1"/>
  <c r="J97" i="40"/>
  <c r="J97" i="58"/>
  <c r="J85" i="40"/>
  <c r="J85" i="58"/>
  <c r="J73" i="40"/>
  <c r="J73" i="58"/>
  <c r="J61" i="40"/>
  <c r="J61" i="58"/>
  <c r="J49" i="40"/>
  <c r="J49" i="58"/>
  <c r="J37" i="40"/>
  <c r="J37" i="58"/>
  <c r="J24" i="40"/>
  <c r="J24" i="58"/>
  <c r="J42" i="40"/>
  <c r="J42" i="58"/>
  <c r="T42" i="58" s="1"/>
  <c r="J556" i="40"/>
  <c r="J558" i="58"/>
  <c r="J544" i="40"/>
  <c r="J497" i="58"/>
  <c r="J532" i="40"/>
  <c r="J485" i="58"/>
  <c r="J516" i="40"/>
  <c r="J473" i="58"/>
  <c r="J501" i="40"/>
  <c r="J461" i="58"/>
  <c r="J488" i="40"/>
  <c r="J449" i="58"/>
  <c r="J469" i="40"/>
  <c r="J437" i="58"/>
  <c r="J446" i="40"/>
  <c r="J425" i="58"/>
  <c r="J422" i="40"/>
  <c r="J413" i="58"/>
  <c r="J404" i="40"/>
  <c r="J401" i="58"/>
  <c r="J387" i="40"/>
  <c r="J389" i="58"/>
  <c r="T389" i="58" s="1"/>
  <c r="J375" i="40"/>
  <c r="J377" i="58"/>
  <c r="T377" i="58" s="1"/>
  <c r="J363" i="40"/>
  <c r="J365" i="58"/>
  <c r="T365" i="58" s="1"/>
  <c r="J347" i="40"/>
  <c r="J349" i="58"/>
  <c r="T349" i="58" s="1"/>
  <c r="J335" i="40"/>
  <c r="J337" i="58"/>
  <c r="T337" i="58" s="1"/>
  <c r="J323" i="40"/>
  <c r="J325" i="58"/>
  <c r="T325" i="58" s="1"/>
  <c r="J311" i="40"/>
  <c r="J313" i="58"/>
  <c r="J299" i="40"/>
  <c r="J301" i="58"/>
  <c r="J287" i="40"/>
  <c r="J289" i="58"/>
  <c r="J275" i="40"/>
  <c r="J277" i="58"/>
  <c r="J263" i="40"/>
  <c r="J265" i="58"/>
  <c r="J251" i="40"/>
  <c r="J253" i="58"/>
  <c r="J239" i="40"/>
  <c r="J241" i="58"/>
  <c r="J227" i="40"/>
  <c r="J229" i="58"/>
  <c r="J215" i="40"/>
  <c r="J217" i="58"/>
  <c r="J203" i="40"/>
  <c r="J205" i="58"/>
  <c r="J191" i="40"/>
  <c r="J193" i="58"/>
  <c r="J179" i="40"/>
  <c r="J181" i="58"/>
  <c r="J166" i="40"/>
  <c r="J168" i="58"/>
  <c r="J156" i="40"/>
  <c r="J156" i="58"/>
  <c r="J144" i="40"/>
  <c r="J144" i="58"/>
  <c r="T144" i="58" s="1"/>
  <c r="J132" i="40"/>
  <c r="J132" i="58"/>
  <c r="T132" i="58" s="1"/>
  <c r="J120" i="40"/>
  <c r="J120" i="58"/>
  <c r="J108" i="40"/>
  <c r="J108" i="58"/>
  <c r="T108" i="58" s="1"/>
  <c r="J96" i="40"/>
  <c r="J96" i="58"/>
  <c r="J84" i="40"/>
  <c r="J84" i="58"/>
  <c r="J72" i="40"/>
  <c r="J72" i="58"/>
  <c r="J60" i="40"/>
  <c r="J60" i="58"/>
  <c r="J48" i="40"/>
  <c r="J48" i="58"/>
  <c r="J36" i="40"/>
  <c r="J36" i="58"/>
  <c r="J23" i="40"/>
  <c r="J23" i="58"/>
  <c r="T23" i="58" s="1"/>
  <c r="J555" i="40"/>
  <c r="J557" i="58"/>
  <c r="J543" i="40"/>
  <c r="J496" i="58"/>
  <c r="J531" i="40"/>
  <c r="J484" i="58"/>
  <c r="J515" i="40"/>
  <c r="J472" i="58"/>
  <c r="J500" i="40"/>
  <c r="J460" i="58"/>
  <c r="J487" i="40"/>
  <c r="J448" i="58"/>
  <c r="J468" i="40"/>
  <c r="J436" i="58"/>
  <c r="J424" i="58"/>
  <c r="J420" i="40"/>
  <c r="J412" i="58"/>
  <c r="J403" i="40"/>
  <c r="J400" i="58"/>
  <c r="J386" i="40"/>
  <c r="J388" i="58"/>
  <c r="T388" i="58" s="1"/>
  <c r="J374" i="40"/>
  <c r="J376" i="58"/>
  <c r="T376" i="58" s="1"/>
  <c r="J362" i="40"/>
  <c r="J364" i="58"/>
  <c r="T364" i="58" s="1"/>
  <c r="J346" i="40"/>
  <c r="J348" i="58"/>
  <c r="T348" i="58" s="1"/>
  <c r="J334" i="40"/>
  <c r="J336" i="58"/>
  <c r="T336" i="58" s="1"/>
  <c r="J322" i="40"/>
  <c r="J324" i="58"/>
  <c r="T324" i="58" s="1"/>
  <c r="J310" i="40"/>
  <c r="J312" i="58"/>
  <c r="J298" i="40"/>
  <c r="J300" i="58"/>
  <c r="J286" i="40"/>
  <c r="J288" i="58"/>
  <c r="J274" i="40"/>
  <c r="J276" i="58"/>
  <c r="J262" i="40"/>
  <c r="J264" i="58"/>
  <c r="J250" i="40"/>
  <c r="J252" i="58"/>
  <c r="J238" i="40"/>
  <c r="J240" i="58"/>
  <c r="J226" i="40"/>
  <c r="J228" i="58"/>
  <c r="J214" i="40"/>
  <c r="J216" i="58"/>
  <c r="J202" i="40"/>
  <c r="J204" i="58"/>
  <c r="J190" i="40"/>
  <c r="J192" i="58"/>
  <c r="J178" i="40"/>
  <c r="J180" i="58"/>
  <c r="J155" i="40"/>
  <c r="J155" i="58"/>
  <c r="J143" i="40"/>
  <c r="J143" i="58"/>
  <c r="T143" i="58" s="1"/>
  <c r="J131" i="40"/>
  <c r="J131" i="58"/>
  <c r="T131" i="58" s="1"/>
  <c r="J119" i="40"/>
  <c r="J119" i="58"/>
  <c r="J107" i="40"/>
  <c r="J107" i="58"/>
  <c r="T107" i="58" s="1"/>
  <c r="J95" i="40"/>
  <c r="J95" i="58"/>
  <c r="J83" i="40"/>
  <c r="J83" i="58"/>
  <c r="J71" i="40"/>
  <c r="J71" i="58"/>
  <c r="J59" i="40"/>
  <c r="J59" i="58"/>
  <c r="J47" i="40"/>
  <c r="J47" i="58"/>
  <c r="T47" i="58" s="1"/>
  <c r="J35" i="40"/>
  <c r="J35" i="58"/>
  <c r="J22" i="40"/>
  <c r="J22" i="58"/>
  <c r="J554" i="40"/>
  <c r="J556" i="58"/>
  <c r="J542" i="40"/>
  <c r="J495" i="58"/>
  <c r="J528" i="40"/>
  <c r="J483" i="58"/>
  <c r="J513" i="40"/>
  <c r="J471" i="58"/>
  <c r="J499" i="40"/>
  <c r="J459" i="58"/>
  <c r="J485" i="40"/>
  <c r="J447" i="58"/>
  <c r="J459" i="40"/>
  <c r="J435" i="58"/>
  <c r="J442" i="40"/>
  <c r="J423" i="58"/>
  <c r="J419" i="40"/>
  <c r="J411" i="58"/>
  <c r="J402" i="40"/>
  <c r="J399" i="58"/>
  <c r="J385" i="40"/>
  <c r="J387" i="58"/>
  <c r="T387" i="58" s="1"/>
  <c r="J375" i="58"/>
  <c r="T375" i="58" s="1"/>
  <c r="J361" i="40"/>
  <c r="J363" i="58"/>
  <c r="T363" i="58" s="1"/>
  <c r="J345" i="40"/>
  <c r="J347" i="58"/>
  <c r="T347" i="58" s="1"/>
  <c r="J333" i="40"/>
  <c r="J335" i="58"/>
  <c r="T335" i="58" s="1"/>
  <c r="J321" i="40"/>
  <c r="J323" i="58"/>
  <c r="J309" i="40"/>
  <c r="J311" i="58"/>
  <c r="J297" i="40"/>
  <c r="J299" i="58"/>
  <c r="J285" i="40"/>
  <c r="J287" i="58"/>
  <c r="J273" i="40"/>
  <c r="J275" i="58"/>
  <c r="J261" i="40"/>
  <c r="J263" i="58"/>
  <c r="J249" i="40"/>
  <c r="J251" i="58"/>
  <c r="J237" i="40"/>
  <c r="J239" i="58"/>
  <c r="J225" i="40"/>
  <c r="J227" i="58"/>
  <c r="J213" i="40"/>
  <c r="J215" i="58"/>
  <c r="J201" i="40"/>
  <c r="J203" i="58"/>
  <c r="J189" i="40"/>
  <c r="J191" i="58"/>
  <c r="J177" i="40"/>
  <c r="J179" i="58"/>
  <c r="J154" i="40"/>
  <c r="J154" i="58"/>
  <c r="J142" i="40"/>
  <c r="J142" i="58"/>
  <c r="T142" i="58" s="1"/>
  <c r="J130" i="40"/>
  <c r="J130" i="58"/>
  <c r="T130" i="58" s="1"/>
  <c r="J118" i="40"/>
  <c r="J118" i="58"/>
  <c r="J106" i="40"/>
  <c r="J106" i="58"/>
  <c r="T106" i="58" s="1"/>
  <c r="J94" i="40"/>
  <c r="J94" i="58"/>
  <c r="J82" i="40"/>
  <c r="J82" i="58"/>
  <c r="J70" i="40"/>
  <c r="J70" i="58"/>
  <c r="J58" i="40"/>
  <c r="J58" i="58"/>
  <c r="J46" i="40"/>
  <c r="J46" i="58"/>
  <c r="T46" i="58" s="1"/>
  <c r="J34" i="40"/>
  <c r="J34" i="58"/>
  <c r="T34" i="58" s="1"/>
  <c r="J21" i="40"/>
  <c r="J21" i="58"/>
  <c r="J507" i="40"/>
  <c r="J467" i="58"/>
  <c r="J54" i="40"/>
  <c r="J54" i="58"/>
  <c r="J553" i="40"/>
  <c r="J555" i="58"/>
  <c r="J541" i="40"/>
  <c r="J494" i="58"/>
  <c r="J527" i="40"/>
  <c r="J482" i="58"/>
  <c r="J511" i="40"/>
  <c r="J470" i="58"/>
  <c r="J498" i="40"/>
  <c r="J458" i="58"/>
  <c r="J478" i="40"/>
  <c r="J446" i="58"/>
  <c r="J458" i="40"/>
  <c r="J434" i="58"/>
  <c r="J437" i="40"/>
  <c r="J422" i="58"/>
  <c r="J418" i="40"/>
  <c r="J410" i="58"/>
  <c r="J401" i="40"/>
  <c r="J398" i="58"/>
  <c r="J384" i="40"/>
  <c r="J386" i="58"/>
  <c r="T386" i="58" s="1"/>
  <c r="J372" i="40"/>
  <c r="J374" i="58"/>
  <c r="T374" i="58" s="1"/>
  <c r="J362" i="58"/>
  <c r="T362" i="58" s="1"/>
  <c r="J344" i="40"/>
  <c r="J346" i="58"/>
  <c r="T346" i="58" s="1"/>
  <c r="J332" i="40"/>
  <c r="J334" i="58"/>
  <c r="T334" i="58" s="1"/>
  <c r="J320" i="40"/>
  <c r="J322" i="58"/>
  <c r="T322" i="58" s="1"/>
  <c r="J308" i="40"/>
  <c r="J310" i="58"/>
  <c r="J296" i="40"/>
  <c r="J298" i="58"/>
  <c r="J284" i="40"/>
  <c r="J286" i="58"/>
  <c r="J272" i="40"/>
  <c r="J274" i="58"/>
  <c r="J260" i="40"/>
  <c r="J262" i="58"/>
  <c r="J248" i="40"/>
  <c r="J250" i="58"/>
  <c r="J236" i="40"/>
  <c r="J238" i="58"/>
  <c r="J224" i="40"/>
  <c r="J226" i="58"/>
  <c r="J212" i="40"/>
  <c r="J214" i="58"/>
  <c r="J200" i="40"/>
  <c r="J202" i="58"/>
  <c r="J188" i="40"/>
  <c r="J190" i="58"/>
  <c r="J176" i="40"/>
  <c r="J178" i="58"/>
  <c r="J165" i="40"/>
  <c r="J165" i="58"/>
  <c r="T165" i="58" s="1"/>
  <c r="J153" i="40"/>
  <c r="J153" i="58"/>
  <c r="J141" i="40"/>
  <c r="J141" i="58"/>
  <c r="T141" i="58" s="1"/>
  <c r="J129" i="40"/>
  <c r="J129" i="58"/>
  <c r="T129" i="58" s="1"/>
  <c r="J117" i="40"/>
  <c r="J117" i="58"/>
  <c r="J105" i="40"/>
  <c r="J105" i="58"/>
  <c r="T105" i="58" s="1"/>
  <c r="J93" i="40"/>
  <c r="J93" i="58"/>
  <c r="J81" i="40"/>
  <c r="J81" i="58"/>
  <c r="J69" i="40"/>
  <c r="J69" i="58"/>
  <c r="J57" i="40"/>
  <c r="J57" i="58"/>
  <c r="J45" i="40"/>
  <c r="J45" i="58"/>
  <c r="T45" i="58" s="1"/>
  <c r="J33" i="40"/>
  <c r="J33" i="58"/>
  <c r="J20" i="40"/>
  <c r="J20" i="58"/>
  <c r="J552" i="40"/>
  <c r="J554" i="58"/>
  <c r="J540" i="40"/>
  <c r="J493" i="58"/>
  <c r="J525" i="40"/>
  <c r="J481" i="58"/>
  <c r="J510" i="40"/>
  <c r="J469" i="58"/>
  <c r="J497" i="40"/>
  <c r="J457" i="58"/>
  <c r="J477" i="40"/>
  <c r="J445" i="58"/>
  <c r="J457" i="40"/>
  <c r="J433" i="58"/>
  <c r="J433" i="40"/>
  <c r="J421" i="58"/>
  <c r="J417" i="40"/>
  <c r="J409" i="58"/>
  <c r="J400" i="40"/>
  <c r="J397" i="58"/>
  <c r="J383" i="40"/>
  <c r="J385" i="58"/>
  <c r="T385" i="58" s="1"/>
  <c r="J371" i="40"/>
  <c r="J373" i="58"/>
  <c r="T373" i="58" s="1"/>
  <c r="J359" i="40"/>
  <c r="J361" i="58"/>
  <c r="T361" i="58" s="1"/>
  <c r="J343" i="40"/>
  <c r="J345" i="58"/>
  <c r="T345" i="58" s="1"/>
  <c r="J331" i="40"/>
  <c r="J333" i="58"/>
  <c r="T333" i="58" s="1"/>
  <c r="J319" i="40"/>
  <c r="J321" i="58"/>
  <c r="T321" i="58" s="1"/>
  <c r="J307" i="40"/>
  <c r="J309" i="58"/>
  <c r="J295" i="40"/>
  <c r="J297" i="58"/>
  <c r="J283" i="40"/>
  <c r="J285" i="58"/>
  <c r="J271" i="40"/>
  <c r="J273" i="58"/>
  <c r="J259" i="40"/>
  <c r="J261" i="58"/>
  <c r="J247" i="40"/>
  <c r="J249" i="58"/>
  <c r="J235" i="40"/>
  <c r="J237" i="58"/>
  <c r="J223" i="40"/>
  <c r="J225" i="58"/>
  <c r="J211" i="40"/>
  <c r="J213" i="58"/>
  <c r="J199" i="40"/>
  <c r="J201" i="58"/>
  <c r="J187" i="40"/>
  <c r="J189" i="58"/>
  <c r="J175" i="40"/>
  <c r="J177" i="58"/>
  <c r="J164" i="40"/>
  <c r="J164" i="58"/>
  <c r="T164" i="58" s="1"/>
  <c r="J152" i="40"/>
  <c r="J152" i="58"/>
  <c r="T152" i="58" s="1"/>
  <c r="J140" i="40"/>
  <c r="J140" i="58"/>
  <c r="T140" i="58" s="1"/>
  <c r="J128" i="40"/>
  <c r="J128" i="58"/>
  <c r="T128" i="58" s="1"/>
  <c r="J116" i="40"/>
  <c r="J116" i="58"/>
  <c r="T116" i="58" s="1"/>
  <c r="J104" i="40"/>
  <c r="J104" i="58"/>
  <c r="T104" i="58" s="1"/>
  <c r="J92" i="40"/>
  <c r="J92" i="58"/>
  <c r="J80" i="40"/>
  <c r="J80" i="58"/>
  <c r="T80" i="58" s="1"/>
  <c r="J68" i="40"/>
  <c r="J68" i="58"/>
  <c r="J56" i="40"/>
  <c r="J56" i="58"/>
  <c r="J44" i="40"/>
  <c r="J44" i="58"/>
  <c r="T44" i="58" s="1"/>
  <c r="J32" i="40"/>
  <c r="J32" i="58"/>
  <c r="J19" i="40"/>
  <c r="J19" i="58"/>
  <c r="T19" i="58" s="1"/>
  <c r="J562" i="40"/>
  <c r="J564" i="58"/>
  <c r="T564" i="58" s="1"/>
  <c r="J550" i="40"/>
  <c r="J503" i="58"/>
  <c r="J538" i="40"/>
  <c r="J491" i="58"/>
  <c r="J523" i="40"/>
  <c r="J479" i="58"/>
  <c r="J455" i="58"/>
  <c r="J475" i="40"/>
  <c r="J443" i="58"/>
  <c r="J431" i="58"/>
  <c r="J431" i="40"/>
  <c r="J419" i="58"/>
  <c r="J415" i="40"/>
  <c r="J407" i="58"/>
  <c r="J397" i="40"/>
  <c r="J395" i="58"/>
  <c r="J381" i="40"/>
  <c r="J383" i="58"/>
  <c r="T383" i="58" s="1"/>
  <c r="J369" i="40"/>
  <c r="J371" i="58"/>
  <c r="T371" i="58" s="1"/>
  <c r="J353" i="40"/>
  <c r="J355" i="58"/>
  <c r="T355" i="58" s="1"/>
  <c r="J341" i="40"/>
  <c r="J343" i="58"/>
  <c r="T343" i="58" s="1"/>
  <c r="J329" i="40"/>
  <c r="J331" i="58"/>
  <c r="T331" i="58" s="1"/>
  <c r="J317" i="40"/>
  <c r="J319" i="58"/>
  <c r="J305" i="40"/>
  <c r="J307" i="58"/>
  <c r="J293" i="40"/>
  <c r="J295" i="58"/>
  <c r="J281" i="40"/>
  <c r="J283" i="58"/>
  <c r="J269" i="40"/>
  <c r="J271" i="58"/>
  <c r="J257" i="40"/>
  <c r="J259" i="58"/>
  <c r="J245" i="40"/>
  <c r="J247" i="58"/>
  <c r="J233" i="40"/>
  <c r="J235" i="58"/>
  <c r="J221" i="40"/>
  <c r="J223" i="58"/>
  <c r="J209" i="40"/>
  <c r="J211" i="58"/>
  <c r="J197" i="40"/>
  <c r="J199" i="58"/>
  <c r="T199" i="58" s="1"/>
  <c r="J185" i="40"/>
  <c r="J187" i="58"/>
  <c r="J172" i="40"/>
  <c r="J174" i="58"/>
  <c r="J162" i="40"/>
  <c r="J162" i="58"/>
  <c r="J150" i="40"/>
  <c r="J150" i="58"/>
  <c r="J138" i="40"/>
  <c r="J138" i="58"/>
  <c r="T138" i="58" s="1"/>
  <c r="J126" i="40"/>
  <c r="J126" i="58"/>
  <c r="T126" i="58" s="1"/>
  <c r="J114" i="40"/>
  <c r="J114" i="58"/>
  <c r="J102" i="40"/>
  <c r="J102" i="58"/>
  <c r="J90" i="40"/>
  <c r="J90" i="58"/>
  <c r="J78" i="40"/>
  <c r="J78" i="58"/>
  <c r="T78" i="58" s="1"/>
  <c r="J66" i="40"/>
  <c r="J66" i="58"/>
  <c r="J30" i="40"/>
  <c r="J30" i="58"/>
  <c r="J494" i="40"/>
  <c r="J454" i="58"/>
  <c r="J18" i="40"/>
  <c r="J551" i="40"/>
  <c r="J504" i="58"/>
  <c r="J539" i="40"/>
  <c r="J492" i="58"/>
  <c r="J524" i="40"/>
  <c r="J480" i="58"/>
  <c r="J508" i="40"/>
  <c r="J468" i="58"/>
  <c r="J496" i="40"/>
  <c r="J456" i="58"/>
  <c r="J476" i="40"/>
  <c r="J444" i="58"/>
  <c r="J455" i="40"/>
  <c r="J432" i="58"/>
  <c r="J420" i="58"/>
  <c r="J408" i="58"/>
  <c r="J399" i="40"/>
  <c r="J396" i="58"/>
  <c r="J382" i="40"/>
  <c r="J384" i="58"/>
  <c r="T384" i="58" s="1"/>
  <c r="J370" i="40"/>
  <c r="J372" i="58"/>
  <c r="T372" i="58" s="1"/>
  <c r="J354" i="40"/>
  <c r="J356" i="58"/>
  <c r="T356" i="58" s="1"/>
  <c r="J342" i="40"/>
  <c r="J344" i="58"/>
  <c r="T344" i="58" s="1"/>
  <c r="J330" i="40"/>
  <c r="J332" i="58"/>
  <c r="T332" i="58" s="1"/>
  <c r="J318" i="40"/>
  <c r="J320" i="58"/>
  <c r="T320" i="58" s="1"/>
  <c r="J306" i="40"/>
  <c r="J308" i="58"/>
  <c r="J294" i="40"/>
  <c r="J296" i="58"/>
  <c r="J282" i="40"/>
  <c r="J284" i="58"/>
  <c r="J270" i="40"/>
  <c r="J272" i="58"/>
  <c r="J258" i="40"/>
  <c r="J260" i="58"/>
  <c r="J246" i="40"/>
  <c r="J248" i="58"/>
  <c r="J234" i="40"/>
  <c r="J236" i="58"/>
  <c r="J222" i="40"/>
  <c r="J224" i="58"/>
  <c r="J210" i="40"/>
  <c r="J212" i="58"/>
  <c r="J198" i="40"/>
  <c r="J200" i="58"/>
  <c r="J186" i="40"/>
  <c r="J188" i="58"/>
  <c r="J173" i="40"/>
  <c r="J175" i="58"/>
  <c r="J163" i="40"/>
  <c r="J163" i="58"/>
  <c r="J151" i="40"/>
  <c r="J151" i="58"/>
  <c r="T151" i="58" s="1"/>
  <c r="J139" i="40"/>
  <c r="J139" i="58"/>
  <c r="T139" i="58" s="1"/>
  <c r="J127" i="40"/>
  <c r="J127" i="58"/>
  <c r="T127" i="58" s="1"/>
  <c r="J115" i="40"/>
  <c r="J115" i="58"/>
  <c r="J103" i="40"/>
  <c r="J103" i="58"/>
  <c r="J91" i="40"/>
  <c r="J91" i="58"/>
  <c r="J79" i="40"/>
  <c r="J79" i="58"/>
  <c r="T79" i="58" s="1"/>
  <c r="J67" i="40"/>
  <c r="J67" i="58"/>
  <c r="J55" i="40"/>
  <c r="J55" i="58"/>
  <c r="J43" i="40"/>
  <c r="J43" i="58"/>
  <c r="T43" i="58" s="1"/>
  <c r="J31" i="40"/>
  <c r="J31" i="58"/>
  <c r="V81" i="45"/>
  <c r="T115" i="45"/>
  <c r="V69" i="45"/>
  <c r="M316" i="41"/>
  <c r="O482" i="41"/>
  <c r="T116" i="45"/>
  <c r="O170" i="41"/>
  <c r="M390" i="41"/>
  <c r="M85" i="41"/>
  <c r="O230" i="41"/>
  <c r="O162" i="41"/>
  <c r="O223" i="41"/>
  <c r="O46" i="41"/>
  <c r="M240" i="41"/>
  <c r="M216" i="41"/>
  <c r="M107" i="41"/>
  <c r="M47" i="41"/>
  <c r="O436" i="41"/>
  <c r="O216" i="41"/>
  <c r="O107" i="41"/>
  <c r="O47" i="41"/>
  <c r="M154" i="41"/>
  <c r="T74" i="45"/>
  <c r="O241" i="41"/>
  <c r="M377" i="41"/>
  <c r="O144" i="41"/>
  <c r="M413" i="41"/>
  <c r="M353" i="41"/>
  <c r="M313" i="41"/>
  <c r="M265" i="41"/>
  <c r="M229" i="41"/>
  <c r="M205" i="41"/>
  <c r="M193" i="41"/>
  <c r="M144" i="41"/>
  <c r="O461" i="41"/>
  <c r="O437" i="41"/>
  <c r="O425" i="41"/>
  <c r="O401" i="41"/>
  <c r="O389" i="41"/>
  <c r="O377" i="41"/>
  <c r="O353" i="41"/>
  <c r="O193" i="41"/>
  <c r="O413" i="41"/>
  <c r="O412" i="41"/>
  <c r="O181" i="41"/>
  <c r="O337" i="41"/>
  <c r="O449" i="41"/>
  <c r="M73" i="41"/>
  <c r="O145" i="41"/>
  <c r="O73" i="41"/>
  <c r="M378" i="41"/>
  <c r="O157" i="41"/>
  <c r="M218" i="41"/>
  <c r="O139" i="41"/>
  <c r="M339" i="41"/>
  <c r="M327" i="41"/>
  <c r="M315" i="41"/>
  <c r="M291" i="41"/>
  <c r="M267" i="41"/>
  <c r="M195" i="41"/>
  <c r="M134" i="41"/>
  <c r="M37" i="41"/>
  <c r="M170" i="41"/>
  <c r="T102" i="42"/>
  <c r="O49" i="41"/>
  <c r="O133" i="41"/>
  <c r="O85" i="41"/>
  <c r="M25" i="41"/>
  <c r="O182" i="41"/>
  <c r="M434" i="41"/>
  <c r="M410" i="41"/>
  <c r="M398" i="41"/>
  <c r="M386" i="41"/>
  <c r="M374" i="41"/>
  <c r="M362" i="41"/>
  <c r="M350" i="41"/>
  <c r="M286" i="41"/>
  <c r="M274" i="41"/>
  <c r="M250" i="41"/>
  <c r="M226" i="41"/>
  <c r="M214" i="41"/>
  <c r="M202" i="41"/>
  <c r="M190" i="41"/>
  <c r="M153" i="41"/>
  <c r="M141" i="41"/>
  <c r="M129" i="41"/>
  <c r="O458" i="41"/>
  <c r="O422" i="41"/>
  <c r="O410" i="41"/>
  <c r="O398" i="41"/>
  <c r="O386" i="41"/>
  <c r="O362" i="41"/>
  <c r="O350" i="41"/>
  <c r="O322" i="41"/>
  <c r="O310" i="41"/>
  <c r="O298" i="41"/>
  <c r="O286" i="41"/>
  <c r="O238" i="41"/>
  <c r="O226" i="41"/>
  <c r="O214" i="41"/>
  <c r="O178" i="41"/>
  <c r="O166" i="41"/>
  <c r="O129" i="41"/>
  <c r="M133" i="41"/>
  <c r="M61" i="41"/>
  <c r="M402" i="41"/>
  <c r="O25" i="41"/>
  <c r="O61" i="41"/>
  <c r="M97" i="41"/>
  <c r="M254" i="41"/>
  <c r="Q61" i="41"/>
  <c r="O97" i="41"/>
  <c r="T36" i="42"/>
  <c r="T33" i="42"/>
  <c r="T25" i="42"/>
  <c r="T64" i="42"/>
  <c r="T67" i="42"/>
  <c r="T73" i="42"/>
  <c r="T31" i="42"/>
  <c r="T34" i="42"/>
  <c r="T78" i="42"/>
  <c r="T84" i="42"/>
  <c r="T87" i="42"/>
  <c r="T90" i="42"/>
  <c r="T76" i="42"/>
  <c r="T79" i="42"/>
  <c r="T80" i="42"/>
  <c r="T83" i="42"/>
  <c r="T86" i="42"/>
  <c r="T89" i="42"/>
  <c r="T94" i="42"/>
  <c r="T62" i="42"/>
  <c r="T65" i="42"/>
  <c r="T68" i="42"/>
  <c r="T66" i="42"/>
  <c r="T69" i="42"/>
  <c r="T72" i="42"/>
  <c r="T40" i="42"/>
  <c r="T50" i="42"/>
  <c r="T56" i="42"/>
  <c r="T57" i="42"/>
  <c r="T60" i="42"/>
  <c r="O174" i="41"/>
  <c r="M142" i="41"/>
  <c r="Q167" i="41"/>
  <c r="M9" i="41"/>
  <c r="M118" i="41"/>
  <c r="O191" i="41"/>
  <c r="O34" i="41"/>
  <c r="M239" i="41"/>
  <c r="O142" i="41"/>
  <c r="M203" i="41"/>
  <c r="M46" i="41"/>
  <c r="M162" i="41"/>
  <c r="O179" i="41"/>
  <c r="M411" i="41"/>
  <c r="M22" i="41"/>
  <c r="M106" i="41"/>
  <c r="O22" i="41"/>
  <c r="O106" i="41"/>
  <c r="M191" i="41"/>
  <c r="T36" i="45"/>
  <c r="M407" i="41"/>
  <c r="M383" i="41"/>
  <c r="M371" i="41"/>
  <c r="M343" i="41"/>
  <c r="M283" i="41"/>
  <c r="M259" i="41"/>
  <c r="M235" i="41"/>
  <c r="M223" i="41"/>
  <c r="M211" i="41"/>
  <c r="M199" i="41"/>
  <c r="M126" i="41"/>
  <c r="O491" i="41"/>
  <c r="O479" i="41"/>
  <c r="O455" i="41"/>
  <c r="O419" i="41"/>
  <c r="O407" i="41"/>
  <c r="O395" i="41"/>
  <c r="O383" i="41"/>
  <c r="O371" i="41"/>
  <c r="O343" i="41"/>
  <c r="O319" i="41"/>
  <c r="O295" i="41"/>
  <c r="O283" i="41"/>
  <c r="O271" i="41"/>
  <c r="O259" i="41"/>
  <c r="O247" i="41"/>
  <c r="O235" i="41"/>
  <c r="O211" i="41"/>
  <c r="O199" i="41"/>
  <c r="O126" i="41"/>
  <c r="X37" i="42"/>
  <c r="Q163" i="41"/>
  <c r="M188" i="41"/>
  <c r="M79" i="41"/>
  <c r="O43" i="41"/>
  <c r="O79" i="41"/>
  <c r="O188" i="41"/>
  <c r="O55" i="41"/>
  <c r="M103" i="41"/>
  <c r="O212" i="41"/>
  <c r="O127" i="41"/>
  <c r="M212" i="41"/>
  <c r="M399" i="41"/>
  <c r="M375" i="41"/>
  <c r="M215" i="41"/>
  <c r="M67" i="41"/>
  <c r="M151" i="41"/>
  <c r="M31" i="41"/>
  <c r="O67" i="41"/>
  <c r="M91" i="41"/>
  <c r="O151" i="41"/>
  <c r="M43" i="41"/>
  <c r="O31" i="41"/>
  <c r="O91" i="41"/>
  <c r="O176" i="41"/>
  <c r="M236" i="41"/>
  <c r="M55" i="41"/>
  <c r="M200" i="41"/>
  <c r="O240" i="41"/>
  <c r="O192" i="41"/>
  <c r="O400" i="41"/>
  <c r="O20" i="47"/>
  <c r="P20" i="47" s="1"/>
  <c r="Y551" i="40"/>
  <c r="Y539" i="40"/>
  <c r="Y524" i="40"/>
  <c r="Y508" i="40"/>
  <c r="Y496" i="40"/>
  <c r="Y476" i="40"/>
  <c r="Y455" i="40"/>
  <c r="Y432" i="40"/>
  <c r="Y416" i="40"/>
  <c r="Y399" i="40"/>
  <c r="Y382" i="40"/>
  <c r="Y370" i="40"/>
  <c r="Y354" i="40"/>
  <c r="Y342" i="40"/>
  <c r="Y330" i="40"/>
  <c r="Y318" i="40"/>
  <c r="Y161" i="40"/>
  <c r="Y137" i="40"/>
  <c r="Y125" i="40"/>
  <c r="Y113" i="40"/>
  <c r="Y101" i="40"/>
  <c r="Y89" i="40"/>
  <c r="Y77" i="40"/>
  <c r="Y65" i="40"/>
  <c r="Y53" i="40"/>
  <c r="Y41" i="40"/>
  <c r="Y29" i="40"/>
  <c r="M23" i="41"/>
  <c r="Y562" i="40"/>
  <c r="Y550" i="40"/>
  <c r="Y538" i="40"/>
  <c r="Y523" i="40"/>
  <c r="Y507" i="40"/>
  <c r="Y495" i="40"/>
  <c r="Y475" i="40"/>
  <c r="Y454" i="40"/>
  <c r="Y431" i="40"/>
  <c r="Y415" i="40"/>
  <c r="Y397" i="40"/>
  <c r="Y381" i="40"/>
  <c r="Y369" i="40"/>
  <c r="Y353" i="40"/>
  <c r="Y341" i="40"/>
  <c r="Y329" i="40"/>
  <c r="Y160" i="40"/>
  <c r="Y136" i="40"/>
  <c r="Y124" i="40"/>
  <c r="Y112" i="40"/>
  <c r="Y40" i="40"/>
  <c r="Y28" i="40"/>
  <c r="O131" i="41"/>
  <c r="M252" i="41"/>
  <c r="O23" i="41"/>
  <c r="V37" i="42"/>
  <c r="V66" i="45"/>
  <c r="M476" i="41"/>
  <c r="M428" i="41"/>
  <c r="M220" i="41"/>
  <c r="M159" i="41"/>
  <c r="O380" i="41"/>
  <c r="Y561" i="40"/>
  <c r="Y549" i="40"/>
  <c r="Y537" i="40"/>
  <c r="Y522" i="40"/>
  <c r="Y506" i="40"/>
  <c r="Y494" i="40"/>
  <c r="Y474" i="40"/>
  <c r="Y453" i="40"/>
  <c r="Y430" i="40"/>
  <c r="Y414" i="40"/>
  <c r="Y392" i="40"/>
  <c r="Y380" i="40"/>
  <c r="Y368" i="40"/>
  <c r="Y352" i="40"/>
  <c r="Y340" i="40"/>
  <c r="Y328" i="40"/>
  <c r="Y316" i="40"/>
  <c r="Y304" i="40"/>
  <c r="Y292" i="40"/>
  <c r="Y280" i="40"/>
  <c r="Y268" i="40"/>
  <c r="Y256" i="40"/>
  <c r="Y244" i="40"/>
  <c r="Y232" i="40"/>
  <c r="Y220" i="40"/>
  <c r="Y208" i="40"/>
  <c r="Y196" i="40"/>
  <c r="Y184" i="40"/>
  <c r="Y147" i="40"/>
  <c r="Y135" i="40"/>
  <c r="Y111" i="40"/>
  <c r="O177" i="47"/>
  <c r="P177" i="47" s="1"/>
  <c r="Y560" i="40"/>
  <c r="Y548" i="40"/>
  <c r="Y536" i="40"/>
  <c r="Y520" i="40"/>
  <c r="Y505" i="40"/>
  <c r="Y493" i="40"/>
  <c r="Y473" i="40"/>
  <c r="Y450" i="40"/>
  <c r="Y428" i="40"/>
  <c r="Y413" i="40"/>
  <c r="Y391" i="40"/>
  <c r="Y379" i="40"/>
  <c r="Y367" i="40"/>
  <c r="Y351" i="40"/>
  <c r="Y339" i="40"/>
  <c r="Y327" i="40"/>
  <c r="Y170" i="40"/>
  <c r="Y146" i="40"/>
  <c r="Y134" i="40"/>
  <c r="Y122" i="40"/>
  <c r="Y110" i="40"/>
  <c r="M204" i="41"/>
  <c r="M10" i="41"/>
  <c r="O472" i="41"/>
  <c r="O165" i="47"/>
  <c r="P165" i="47" s="1"/>
  <c r="Y559" i="40"/>
  <c r="Y547" i="40"/>
  <c r="Y535" i="40"/>
  <c r="Y519" i="40"/>
  <c r="Y504" i="40"/>
  <c r="Y492" i="40"/>
  <c r="Y472" i="40"/>
  <c r="Y449" i="40"/>
  <c r="Y427" i="40"/>
  <c r="Y411" i="40"/>
  <c r="Y390" i="40"/>
  <c r="Y378" i="40"/>
  <c r="Y366" i="40"/>
  <c r="Y350" i="40"/>
  <c r="Y338" i="40"/>
  <c r="Y169" i="40"/>
  <c r="Y145" i="40"/>
  <c r="Y133" i="40"/>
  <c r="Y109" i="40"/>
  <c r="Y73" i="40"/>
  <c r="Y61" i="40"/>
  <c r="Y49" i="40"/>
  <c r="O149" i="47"/>
  <c r="P149" i="47" s="1"/>
  <c r="Y558" i="40"/>
  <c r="Y546" i="40"/>
  <c r="Y534" i="40"/>
  <c r="Y518" i="40"/>
  <c r="Y503" i="40"/>
  <c r="Y491" i="40"/>
  <c r="Y471" i="40"/>
  <c r="Y448" i="40"/>
  <c r="Y425" i="40"/>
  <c r="Y406" i="40"/>
  <c r="Y389" i="40"/>
  <c r="Y377" i="40"/>
  <c r="Y365" i="40"/>
  <c r="Y349" i="40"/>
  <c r="Y337" i="40"/>
  <c r="Y325" i="40"/>
  <c r="Y168" i="40"/>
  <c r="Y144" i="40"/>
  <c r="Y132" i="40"/>
  <c r="Y108" i="40"/>
  <c r="O134" i="47"/>
  <c r="Y557" i="40"/>
  <c r="Y545" i="40"/>
  <c r="Y533" i="40"/>
  <c r="Y517" i="40"/>
  <c r="Y502" i="40"/>
  <c r="Y490" i="40"/>
  <c r="Y470" i="40"/>
  <c r="Y447" i="40"/>
  <c r="Y424" i="40"/>
  <c r="Y405" i="40"/>
  <c r="Y388" i="40"/>
  <c r="Y376" i="40"/>
  <c r="Y364" i="40"/>
  <c r="Y348" i="40"/>
  <c r="Y336" i="40"/>
  <c r="Y324" i="40"/>
  <c r="Y167" i="40"/>
  <c r="Y143" i="40"/>
  <c r="Y131" i="40"/>
  <c r="Y119" i="40"/>
  <c r="Y107" i="40"/>
  <c r="Y95" i="40"/>
  <c r="Y83" i="40"/>
  <c r="Y71" i="40"/>
  <c r="Y59" i="40"/>
  <c r="Y47" i="40"/>
  <c r="Y35" i="40"/>
  <c r="Y23" i="40"/>
  <c r="O122" i="47"/>
  <c r="P122" i="47" s="1"/>
  <c r="Y556" i="40"/>
  <c r="Y544" i="40"/>
  <c r="Y532" i="40"/>
  <c r="Y516" i="40"/>
  <c r="Y501" i="40"/>
  <c r="Y488" i="40"/>
  <c r="Y469" i="40"/>
  <c r="Y446" i="40"/>
  <c r="Y422" i="40"/>
  <c r="Y404" i="40"/>
  <c r="Y387" i="40"/>
  <c r="Y375" i="40"/>
  <c r="Y363" i="40"/>
  <c r="Y347" i="40"/>
  <c r="Y335" i="40"/>
  <c r="Y323" i="40"/>
  <c r="Y287" i="40"/>
  <c r="Y142" i="40"/>
  <c r="Y130" i="40"/>
  <c r="Y106" i="40"/>
  <c r="Y46" i="40"/>
  <c r="Y34" i="40"/>
  <c r="O102" i="47"/>
  <c r="P102" i="47" s="1"/>
  <c r="Y555" i="40"/>
  <c r="Y543" i="40"/>
  <c r="Y531" i="40"/>
  <c r="Y515" i="40"/>
  <c r="Y500" i="40"/>
  <c r="Y487" i="40"/>
  <c r="Y468" i="40"/>
  <c r="Y443" i="40"/>
  <c r="Y420" i="40"/>
  <c r="Y403" i="40"/>
  <c r="Y386" i="40"/>
  <c r="Y374" i="40"/>
  <c r="Y362" i="40"/>
  <c r="Y346" i="40"/>
  <c r="Y334" i="40"/>
  <c r="Y322" i="40"/>
  <c r="Y165" i="40"/>
  <c r="Y141" i="40"/>
  <c r="Y129" i="40"/>
  <c r="Y105" i="40"/>
  <c r="Y45" i="40"/>
  <c r="O168" i="41"/>
  <c r="O79" i="47"/>
  <c r="P79" i="47" s="1"/>
  <c r="Y554" i="40"/>
  <c r="Y542" i="40"/>
  <c r="Y528" i="40"/>
  <c r="Y513" i="40"/>
  <c r="Y499" i="40"/>
  <c r="Y485" i="40"/>
  <c r="Y459" i="40"/>
  <c r="Y442" i="40"/>
  <c r="Y419" i="40"/>
  <c r="Y402" i="40"/>
  <c r="Y385" i="40"/>
  <c r="Y373" i="40"/>
  <c r="Y361" i="40"/>
  <c r="Y345" i="40"/>
  <c r="Y333" i="40"/>
  <c r="Y321" i="40"/>
  <c r="Y309" i="40"/>
  <c r="Y297" i="40"/>
  <c r="Y285" i="40"/>
  <c r="Y273" i="40"/>
  <c r="Y261" i="40"/>
  <c r="Y249" i="40"/>
  <c r="Y237" i="40"/>
  <c r="Y225" i="40"/>
  <c r="Y213" i="40"/>
  <c r="Y201" i="40"/>
  <c r="Y189" i="40"/>
  <c r="Y164" i="40"/>
  <c r="Y140" i="40"/>
  <c r="Y128" i="40"/>
  <c r="Y116" i="40"/>
  <c r="Y104" i="40"/>
  <c r="Y80" i="40"/>
  <c r="Y44" i="40"/>
  <c r="O58" i="47"/>
  <c r="P58" i="47" s="1"/>
  <c r="Y553" i="40"/>
  <c r="Y541" i="40"/>
  <c r="Y527" i="40"/>
  <c r="Y511" i="40"/>
  <c r="Y498" i="40"/>
  <c r="Y478" i="40"/>
  <c r="Y458" i="40"/>
  <c r="Y437" i="40"/>
  <c r="Y418" i="40"/>
  <c r="Y401" i="40"/>
  <c r="Y384" i="40"/>
  <c r="Y372" i="40"/>
  <c r="Y360" i="40"/>
  <c r="Y344" i="40"/>
  <c r="Y332" i="40"/>
  <c r="Y320" i="40"/>
  <c r="Y139" i="40"/>
  <c r="Y127" i="40"/>
  <c r="Y79" i="40"/>
  <c r="Y43" i="40"/>
  <c r="Y19" i="40"/>
  <c r="T44" i="45"/>
  <c r="T52" i="45"/>
  <c r="O42" i="47"/>
  <c r="P42" i="47" s="1"/>
  <c r="Y552" i="40"/>
  <c r="Y540" i="40"/>
  <c r="Y525" i="40"/>
  <c r="Y510" i="40"/>
  <c r="Y497" i="40"/>
  <c r="Y477" i="40"/>
  <c r="Y457" i="40"/>
  <c r="Y433" i="40"/>
  <c r="Y417" i="40"/>
  <c r="Y400" i="40"/>
  <c r="Y383" i="40"/>
  <c r="Y371" i="40"/>
  <c r="Y359" i="40"/>
  <c r="Y343" i="40"/>
  <c r="Y331" i="40"/>
  <c r="Y319" i="40"/>
  <c r="Y138" i="40"/>
  <c r="Y126" i="40"/>
  <c r="Y78" i="40"/>
  <c r="Y42" i="40"/>
  <c r="V34" i="45"/>
  <c r="T37" i="45"/>
  <c r="T68" i="45"/>
  <c r="T97" i="45"/>
  <c r="V108" i="45"/>
  <c r="V120" i="45"/>
  <c r="O176" i="47"/>
  <c r="P176" i="47" s="1"/>
  <c r="O164" i="47"/>
  <c r="P164" i="47" s="1"/>
  <c r="O148" i="47"/>
  <c r="P148" i="47" s="1"/>
  <c r="O133" i="47"/>
  <c r="P133" i="47" s="1"/>
  <c r="O121" i="47"/>
  <c r="P121" i="47" s="1"/>
  <c r="O101" i="47"/>
  <c r="P101" i="47" s="1"/>
  <c r="O78" i="47"/>
  <c r="P78" i="47" s="1"/>
  <c r="O56" i="47"/>
  <c r="P56" i="47" s="1"/>
  <c r="O41" i="47"/>
  <c r="P41" i="47" s="1"/>
  <c r="V97" i="45"/>
  <c r="O175" i="47"/>
  <c r="P175" i="47" s="1"/>
  <c r="O163" i="47"/>
  <c r="P163" i="47" s="1"/>
  <c r="O147" i="47"/>
  <c r="P147" i="47" s="1"/>
  <c r="O132" i="47"/>
  <c r="P132" i="47" s="1"/>
  <c r="O120" i="47"/>
  <c r="P120" i="47" s="1"/>
  <c r="O100" i="47"/>
  <c r="P100" i="47" s="1"/>
  <c r="O77" i="47"/>
  <c r="P77" i="47" s="1"/>
  <c r="O54" i="47"/>
  <c r="P54" i="47" s="1"/>
  <c r="O35" i="47"/>
  <c r="P35" i="47" s="1"/>
  <c r="O186" i="47"/>
  <c r="P186" i="47" s="1"/>
  <c r="O174" i="47"/>
  <c r="P174" i="47" s="1"/>
  <c r="O162" i="47"/>
  <c r="P162" i="47" s="1"/>
  <c r="O146" i="47"/>
  <c r="P146" i="47" s="1"/>
  <c r="O131" i="47"/>
  <c r="P131" i="47" s="1"/>
  <c r="O119" i="47"/>
  <c r="P119" i="47" s="1"/>
  <c r="O99" i="47"/>
  <c r="P99" i="47" s="1"/>
  <c r="O76" i="47"/>
  <c r="P76" i="47" s="1"/>
  <c r="O53" i="47"/>
  <c r="P53" i="47" s="1"/>
  <c r="O34" i="47"/>
  <c r="P34" i="47" s="1"/>
  <c r="V151" i="45"/>
  <c r="O185" i="47"/>
  <c r="P185" i="47" s="1"/>
  <c r="O173" i="47"/>
  <c r="P173" i="47" s="1"/>
  <c r="O161" i="47"/>
  <c r="P161" i="47" s="1"/>
  <c r="O145" i="47"/>
  <c r="P145" i="47" s="1"/>
  <c r="O130" i="47"/>
  <c r="P130" i="47" s="1"/>
  <c r="O117" i="47"/>
  <c r="P117" i="47" s="1"/>
  <c r="O98" i="47"/>
  <c r="P98" i="47" s="1"/>
  <c r="O75" i="47"/>
  <c r="P75" i="47" s="1"/>
  <c r="O51" i="47"/>
  <c r="P51" i="47" s="1"/>
  <c r="O33" i="47"/>
  <c r="P33" i="47" s="1"/>
  <c r="O184" i="47"/>
  <c r="P184" i="47" s="1"/>
  <c r="O172" i="47"/>
  <c r="P172" i="47" s="1"/>
  <c r="O160" i="47"/>
  <c r="P160" i="47" s="1"/>
  <c r="O144" i="47"/>
  <c r="P144" i="47" s="1"/>
  <c r="O129" i="47"/>
  <c r="P129" i="47" s="1"/>
  <c r="O115" i="47"/>
  <c r="P115" i="47" s="1"/>
  <c r="O97" i="47"/>
  <c r="P97" i="47" s="1"/>
  <c r="O72" i="47"/>
  <c r="P72" i="47" s="1"/>
  <c r="O49" i="47"/>
  <c r="P49" i="47" s="1"/>
  <c r="O32" i="47"/>
  <c r="P32" i="47" s="1"/>
  <c r="O183" i="47"/>
  <c r="P183" i="47" s="1"/>
  <c r="O171" i="47"/>
  <c r="P171" i="47" s="1"/>
  <c r="O157" i="47"/>
  <c r="P157" i="47" s="1"/>
  <c r="O142" i="47"/>
  <c r="P142" i="47" s="1"/>
  <c r="O128" i="47"/>
  <c r="O114" i="47"/>
  <c r="P114" i="47" s="1"/>
  <c r="O92" i="47"/>
  <c r="P92" i="47" s="1"/>
  <c r="O71" i="47"/>
  <c r="P71" i="47" s="1"/>
  <c r="O48" i="47"/>
  <c r="P48" i="47" s="1"/>
  <c r="O31" i="47"/>
  <c r="P31" i="47" s="1"/>
  <c r="T93" i="42"/>
  <c r="V46" i="45"/>
  <c r="V147" i="45"/>
  <c r="O182" i="47"/>
  <c r="P182" i="47" s="1"/>
  <c r="O170" i="47"/>
  <c r="O156" i="47"/>
  <c r="P156" i="47" s="1"/>
  <c r="O140" i="47"/>
  <c r="P140" i="47" s="1"/>
  <c r="O127" i="47"/>
  <c r="P127" i="47" s="1"/>
  <c r="O107" i="47"/>
  <c r="P107" i="47" s="1"/>
  <c r="O91" i="47"/>
  <c r="P91" i="47" s="1"/>
  <c r="O66" i="47"/>
  <c r="P66" i="47" s="1"/>
  <c r="O47" i="47"/>
  <c r="P47" i="47" s="1"/>
  <c r="O30" i="47"/>
  <c r="P30" i="47" s="1"/>
  <c r="O181" i="47"/>
  <c r="P181" i="47" s="1"/>
  <c r="O169" i="47"/>
  <c r="P169" i="47" s="1"/>
  <c r="O154" i="47"/>
  <c r="P154" i="47" s="1"/>
  <c r="O139" i="47"/>
  <c r="P139" i="47" s="1"/>
  <c r="O126" i="47"/>
  <c r="P126" i="47" s="1"/>
  <c r="O106" i="47"/>
  <c r="P106" i="47" s="1"/>
  <c r="O86" i="47"/>
  <c r="P86" i="47" s="1"/>
  <c r="O62" i="47"/>
  <c r="P62" i="47" s="1"/>
  <c r="O46" i="47"/>
  <c r="P46" i="47" s="1"/>
  <c r="O29" i="47"/>
  <c r="P29" i="47" s="1"/>
  <c r="T119" i="45"/>
  <c r="P53" i="41"/>
  <c r="Q53" i="41" s="1"/>
  <c r="O180" i="47"/>
  <c r="O168" i="47"/>
  <c r="O153" i="47"/>
  <c r="P153" i="47" s="1"/>
  <c r="O137" i="47"/>
  <c r="P137" i="47" s="1"/>
  <c r="O125" i="47"/>
  <c r="P125" i="47" s="1"/>
  <c r="O105" i="47"/>
  <c r="P105" i="47" s="1"/>
  <c r="O84" i="47"/>
  <c r="P84" i="47" s="1"/>
  <c r="O61" i="47"/>
  <c r="P61" i="47" s="1"/>
  <c r="O45" i="47"/>
  <c r="P45" i="47" s="1"/>
  <c r="O28" i="47"/>
  <c r="P28" i="47" s="1"/>
  <c r="O179" i="47"/>
  <c r="P179" i="47" s="1"/>
  <c r="O167" i="47"/>
  <c r="O151" i="47"/>
  <c r="P151" i="47" s="1"/>
  <c r="O136" i="47"/>
  <c r="P136" i="47" s="1"/>
  <c r="O124" i="47"/>
  <c r="O104" i="47"/>
  <c r="P104" i="47" s="1"/>
  <c r="O83" i="47"/>
  <c r="P83" i="47" s="1"/>
  <c r="O60" i="47"/>
  <c r="P60" i="47" s="1"/>
  <c r="O44" i="47"/>
  <c r="P44" i="47" s="1"/>
  <c r="O26" i="47"/>
  <c r="P26" i="47" s="1"/>
  <c r="O178" i="47"/>
  <c r="P178" i="47" s="1"/>
  <c r="O166" i="47"/>
  <c r="P166" i="47" s="1"/>
  <c r="O155" i="47"/>
  <c r="P155" i="47" s="1"/>
  <c r="O135" i="47"/>
  <c r="P135" i="47" s="1"/>
  <c r="O123" i="47"/>
  <c r="P123" i="47" s="1"/>
  <c r="O103" i="47"/>
  <c r="P103" i="47" s="1"/>
  <c r="O82" i="47"/>
  <c r="P82" i="47" s="1"/>
  <c r="O59" i="47"/>
  <c r="P59" i="47" s="1"/>
  <c r="O43" i="47"/>
  <c r="P43" i="47" s="1"/>
  <c r="O21" i="47"/>
  <c r="P21" i="47" s="1"/>
  <c r="O330" i="41"/>
  <c r="O397" i="41"/>
  <c r="M77" i="41"/>
  <c r="O213" i="41"/>
  <c r="L15" i="46"/>
  <c r="P149" i="41"/>
  <c r="Q149" i="41" s="1"/>
  <c r="V39" i="43"/>
  <c r="M333" i="41"/>
  <c r="O349" i="41"/>
  <c r="M32" i="41"/>
  <c r="M116" i="41"/>
  <c r="O333" i="41"/>
  <c r="V27" i="43"/>
  <c r="M273" i="41"/>
  <c r="O32" i="41"/>
  <c r="Q165" i="41"/>
  <c r="O249" i="41"/>
  <c r="O273" i="41"/>
  <c r="O282" i="41"/>
  <c r="O297" i="41"/>
  <c r="K18" i="44"/>
  <c r="V144" i="45"/>
  <c r="M104" i="41"/>
  <c r="O321" i="41"/>
  <c r="O373" i="41"/>
  <c r="T53" i="42"/>
  <c r="V42" i="45"/>
  <c r="V60" i="45"/>
  <c r="V128" i="45"/>
  <c r="Q68" i="41"/>
  <c r="O104" i="41"/>
  <c r="O189" i="41"/>
  <c r="M309" i="41"/>
  <c r="O342" i="41"/>
  <c r="T49" i="45"/>
  <c r="T102" i="45"/>
  <c r="M152" i="41"/>
  <c r="Q152" i="41"/>
  <c r="K16" i="41"/>
  <c r="O237" i="41"/>
  <c r="M261" i="41"/>
  <c r="O285" i="41"/>
  <c r="T52" i="42"/>
  <c r="T88" i="45"/>
  <c r="V129" i="45"/>
  <c r="R17" i="45"/>
  <c r="V153" i="45"/>
  <c r="M65" i="41"/>
  <c r="O128" i="41"/>
  <c r="O225" i="41"/>
  <c r="O409" i="41"/>
  <c r="K11" i="44"/>
  <c r="T34" i="45"/>
  <c r="T66" i="45"/>
  <c r="T112" i="45"/>
  <c r="L12" i="46"/>
  <c r="P12" i="46" s="1"/>
  <c r="V140" i="45"/>
  <c r="R304" i="40"/>
  <c r="T54" i="42"/>
  <c r="T81" i="42"/>
  <c r="R189" i="40"/>
  <c r="R288" i="40"/>
  <c r="T124" i="45"/>
  <c r="W143" i="45"/>
  <c r="X143" i="45" s="1"/>
  <c r="P297" i="41"/>
  <c r="Q297" i="41" s="1"/>
  <c r="W131" i="45"/>
  <c r="X131" i="45" s="1"/>
  <c r="P285" i="41"/>
  <c r="Q285" i="41" s="1"/>
  <c r="W119" i="45"/>
  <c r="X119" i="45" s="1"/>
  <c r="P273" i="41"/>
  <c r="Q273" i="41" s="1"/>
  <c r="W107" i="45"/>
  <c r="X107" i="45" s="1"/>
  <c r="P261" i="41"/>
  <c r="Q261" i="41" s="1"/>
  <c r="W95" i="45"/>
  <c r="X95" i="45" s="1"/>
  <c r="P249" i="41"/>
  <c r="Q249" i="41" s="1"/>
  <c r="W83" i="45"/>
  <c r="X83" i="45" s="1"/>
  <c r="P237" i="41"/>
  <c r="Q237" i="41" s="1"/>
  <c r="W71" i="45"/>
  <c r="X71" i="45" s="1"/>
  <c r="P225" i="41"/>
  <c r="Q225" i="41" s="1"/>
  <c r="W59" i="45"/>
  <c r="X59" i="45" s="1"/>
  <c r="P213" i="41"/>
  <c r="Q213" i="41" s="1"/>
  <c r="W47" i="45"/>
  <c r="X47" i="45" s="1"/>
  <c r="P201" i="41"/>
  <c r="Q201" i="41" s="1"/>
  <c r="W35" i="45"/>
  <c r="X35" i="45" s="1"/>
  <c r="P189" i="41"/>
  <c r="Q189" i="41" s="1"/>
  <c r="W23" i="45"/>
  <c r="X23" i="45" s="1"/>
  <c r="P177" i="41"/>
  <c r="Q177" i="41" s="1"/>
  <c r="P15" i="44"/>
  <c r="P146" i="41"/>
  <c r="Q146" i="41" s="1"/>
  <c r="P105" i="41"/>
  <c r="Q105" i="41" s="1"/>
  <c r="P81" i="41"/>
  <c r="Q81" i="41" s="1"/>
  <c r="V37" i="43"/>
  <c r="P69" i="41"/>
  <c r="Q69" i="41" s="1"/>
  <c r="V25" i="43"/>
  <c r="P57" i="41"/>
  <c r="Q57" i="41" s="1"/>
  <c r="P45" i="41"/>
  <c r="Q45" i="41" s="1"/>
  <c r="P21" i="41"/>
  <c r="Q21" i="41" s="1"/>
  <c r="P9" i="41"/>
  <c r="Q9" i="41" s="1"/>
  <c r="J373" i="40"/>
  <c r="P270" i="41"/>
  <c r="Q270" i="41" s="1"/>
  <c r="P89" i="41"/>
  <c r="Q89" i="41" s="1"/>
  <c r="R186" i="40"/>
  <c r="R194" i="40"/>
  <c r="M381" i="41"/>
  <c r="K15" i="44"/>
  <c r="V29" i="45"/>
  <c r="R248" i="40"/>
  <c r="V84" i="45"/>
  <c r="P6" i="41"/>
  <c r="Q6" i="41" s="1"/>
  <c r="W142" i="45"/>
  <c r="X142" i="45" s="1"/>
  <c r="P296" i="41"/>
  <c r="Q296" i="41" s="1"/>
  <c r="W130" i="45"/>
  <c r="X130" i="45" s="1"/>
  <c r="P284" i="41"/>
  <c r="Q284" i="41" s="1"/>
  <c r="W118" i="45"/>
  <c r="X118" i="45" s="1"/>
  <c r="P272" i="41"/>
  <c r="Q272" i="41" s="1"/>
  <c r="W106" i="45"/>
  <c r="X106" i="45" s="1"/>
  <c r="P260" i="41"/>
  <c r="Q260" i="41" s="1"/>
  <c r="W94" i="45"/>
  <c r="X94" i="45" s="1"/>
  <c r="P248" i="41"/>
  <c r="Q248" i="41" s="1"/>
  <c r="W82" i="45"/>
  <c r="X82" i="45" s="1"/>
  <c r="P236" i="41"/>
  <c r="Q236" i="41" s="1"/>
  <c r="W70" i="45"/>
  <c r="X70" i="45" s="1"/>
  <c r="P224" i="41"/>
  <c r="Q224" i="41" s="1"/>
  <c r="W58" i="45"/>
  <c r="X58" i="45" s="1"/>
  <c r="P212" i="41"/>
  <c r="Q212" i="41" s="1"/>
  <c r="W46" i="45"/>
  <c r="X46" i="45" s="1"/>
  <c r="P200" i="41"/>
  <c r="Q200" i="41" s="1"/>
  <c r="W34" i="45"/>
  <c r="X34" i="45" s="1"/>
  <c r="P188" i="41"/>
  <c r="Q188" i="41" s="1"/>
  <c r="W22" i="45"/>
  <c r="X22" i="45" s="1"/>
  <c r="P176" i="41"/>
  <c r="Q176" i="41" s="1"/>
  <c r="P14" i="44"/>
  <c r="P145" i="41"/>
  <c r="Q145" i="41" s="1"/>
  <c r="P80" i="41"/>
  <c r="Q80" i="41" s="1"/>
  <c r="V36" i="43"/>
  <c r="P56" i="41"/>
  <c r="Q56" i="41" s="1"/>
  <c r="P44" i="41"/>
  <c r="Q44" i="41" s="1"/>
  <c r="P20" i="41"/>
  <c r="Q20" i="41" s="1"/>
  <c r="P8" i="41"/>
  <c r="Q8" i="41" s="1"/>
  <c r="J360" i="40"/>
  <c r="P258" i="41"/>
  <c r="Q258" i="41" s="1"/>
  <c r="P77" i="41"/>
  <c r="Q77" i="41" s="1"/>
  <c r="V78" i="45"/>
  <c r="R242" i="40"/>
  <c r="X26" i="42"/>
  <c r="R268" i="40"/>
  <c r="V104" i="45"/>
  <c r="R314" i="40"/>
  <c r="O6" i="41"/>
  <c r="V96" i="42"/>
  <c r="T60" i="45"/>
  <c r="R245" i="40"/>
  <c r="T84" i="45"/>
  <c r="W153" i="45"/>
  <c r="X153" i="45" s="1"/>
  <c r="P307" i="41"/>
  <c r="Q307" i="41" s="1"/>
  <c r="W141" i="45"/>
  <c r="X141" i="45" s="1"/>
  <c r="P295" i="41"/>
  <c r="Q295" i="41" s="1"/>
  <c r="W129" i="45"/>
  <c r="X129" i="45" s="1"/>
  <c r="P283" i="41"/>
  <c r="Q283" i="41" s="1"/>
  <c r="W117" i="45"/>
  <c r="X117" i="45" s="1"/>
  <c r="P271" i="41"/>
  <c r="Q271" i="41" s="1"/>
  <c r="W105" i="45"/>
  <c r="X105" i="45" s="1"/>
  <c r="P259" i="41"/>
  <c r="Q259" i="41" s="1"/>
  <c r="W93" i="45"/>
  <c r="X93" i="45" s="1"/>
  <c r="P247" i="41"/>
  <c r="Q247" i="41" s="1"/>
  <c r="W81" i="45"/>
  <c r="X81" i="45" s="1"/>
  <c r="P235" i="41"/>
  <c r="Q235" i="41" s="1"/>
  <c r="W69" i="45"/>
  <c r="X69" i="45" s="1"/>
  <c r="P223" i="41"/>
  <c r="Q223" i="41" s="1"/>
  <c r="W57" i="45"/>
  <c r="X57" i="45" s="1"/>
  <c r="P211" i="41"/>
  <c r="Q211" i="41" s="1"/>
  <c r="W45" i="45"/>
  <c r="X45" i="45" s="1"/>
  <c r="P199" i="41"/>
  <c r="Q199" i="41" s="1"/>
  <c r="W33" i="45"/>
  <c r="X33" i="45" s="1"/>
  <c r="P187" i="41"/>
  <c r="Q187" i="41" s="1"/>
  <c r="W21" i="45"/>
  <c r="X21" i="45" s="1"/>
  <c r="P175" i="41"/>
  <c r="Q175" i="41" s="1"/>
  <c r="P156" i="41"/>
  <c r="Q156" i="41" s="1"/>
  <c r="V48" i="43"/>
  <c r="P13" i="44"/>
  <c r="P144" i="41"/>
  <c r="Q144" i="41" s="1"/>
  <c r="P103" i="41"/>
  <c r="Q103" i="41" s="1"/>
  <c r="P91" i="41"/>
  <c r="Q91" i="41" s="1"/>
  <c r="P79" i="41"/>
  <c r="Q79" i="41" s="1"/>
  <c r="V35" i="43"/>
  <c r="P55" i="41"/>
  <c r="Q55" i="41" s="1"/>
  <c r="P43" i="41"/>
  <c r="Q43" i="41" s="1"/>
  <c r="P19" i="41"/>
  <c r="Q19" i="41" s="1"/>
  <c r="P246" i="41"/>
  <c r="Q246" i="41" s="1"/>
  <c r="J432" i="40"/>
  <c r="M408" i="41"/>
  <c r="P234" i="41"/>
  <c r="Q234" i="41" s="1"/>
  <c r="M372" i="41"/>
  <c r="K16" i="44"/>
  <c r="V22" i="45"/>
  <c r="V26" i="45"/>
  <c r="T64" i="45"/>
  <c r="V74" i="45"/>
  <c r="R238" i="40"/>
  <c r="T78" i="45"/>
  <c r="R269" i="40"/>
  <c r="W151" i="45"/>
  <c r="X151" i="45" s="1"/>
  <c r="P305" i="41"/>
  <c r="Q305" i="41" s="1"/>
  <c r="W139" i="45"/>
  <c r="X139" i="45" s="1"/>
  <c r="P293" i="41"/>
  <c r="Q293" i="41" s="1"/>
  <c r="W127" i="45"/>
  <c r="X127" i="45" s="1"/>
  <c r="P281" i="41"/>
  <c r="Q281" i="41" s="1"/>
  <c r="W115" i="45"/>
  <c r="X115" i="45" s="1"/>
  <c r="P269" i="41"/>
  <c r="Q269" i="41" s="1"/>
  <c r="W103" i="45"/>
  <c r="X103" i="45" s="1"/>
  <c r="P257" i="41"/>
  <c r="Q257" i="41" s="1"/>
  <c r="W91" i="45"/>
  <c r="X91" i="45" s="1"/>
  <c r="P245" i="41"/>
  <c r="Q245" i="41" s="1"/>
  <c r="W79" i="45"/>
  <c r="X79" i="45" s="1"/>
  <c r="P233" i="41"/>
  <c r="Q233" i="41" s="1"/>
  <c r="W67" i="45"/>
  <c r="X67" i="45" s="1"/>
  <c r="P221" i="41"/>
  <c r="Q221" i="41" s="1"/>
  <c r="W55" i="45"/>
  <c r="X55" i="45" s="1"/>
  <c r="P209" i="41"/>
  <c r="Q209" i="41" s="1"/>
  <c r="W43" i="45"/>
  <c r="X43" i="45" s="1"/>
  <c r="P197" i="41"/>
  <c r="Q197" i="41" s="1"/>
  <c r="W31" i="45"/>
  <c r="X31" i="45" s="1"/>
  <c r="P185" i="41"/>
  <c r="Q185" i="41" s="1"/>
  <c r="W19" i="45"/>
  <c r="X19" i="45" s="1"/>
  <c r="P173" i="41"/>
  <c r="Q173" i="41" s="1"/>
  <c r="P154" i="41"/>
  <c r="Q154" i="41" s="1"/>
  <c r="P11" i="44"/>
  <c r="P142" i="41"/>
  <c r="Q142" i="41" s="1"/>
  <c r="J495" i="40"/>
  <c r="M443" i="41"/>
  <c r="J454" i="40"/>
  <c r="M419" i="41"/>
  <c r="P222" i="41"/>
  <c r="Q222" i="41" s="1"/>
  <c r="P41" i="41"/>
  <c r="Q41" i="41" s="1"/>
  <c r="T35" i="42"/>
  <c r="R195" i="40"/>
  <c r="R222" i="40"/>
  <c r="V58" i="45"/>
  <c r="R273" i="40"/>
  <c r="V116" i="45"/>
  <c r="R280" i="40"/>
  <c r="P316" i="41"/>
  <c r="Q316" i="41" s="1"/>
  <c r="V50" i="43"/>
  <c r="W150" i="45"/>
  <c r="X150" i="45" s="1"/>
  <c r="P304" i="41"/>
  <c r="Q304" i="41" s="1"/>
  <c r="W138" i="45"/>
  <c r="X138" i="45" s="1"/>
  <c r="P292" i="41"/>
  <c r="Q292" i="41" s="1"/>
  <c r="W126" i="45"/>
  <c r="X126" i="45" s="1"/>
  <c r="P280" i="41"/>
  <c r="Q280" i="41" s="1"/>
  <c r="W114" i="45"/>
  <c r="X114" i="45" s="1"/>
  <c r="P268" i="41"/>
  <c r="Q268" i="41" s="1"/>
  <c r="W102" i="45"/>
  <c r="X102" i="45" s="1"/>
  <c r="P256" i="41"/>
  <c r="Q256" i="41" s="1"/>
  <c r="W90" i="45"/>
  <c r="X90" i="45" s="1"/>
  <c r="P244" i="41"/>
  <c r="Q244" i="41" s="1"/>
  <c r="W78" i="45"/>
  <c r="X78" i="45" s="1"/>
  <c r="P232" i="41"/>
  <c r="Q232" i="41" s="1"/>
  <c r="W66" i="45"/>
  <c r="X66" i="45" s="1"/>
  <c r="P220" i="41"/>
  <c r="Q220" i="41" s="1"/>
  <c r="W54" i="45"/>
  <c r="X54" i="45" s="1"/>
  <c r="P208" i="41"/>
  <c r="Q208" i="41" s="1"/>
  <c r="W42" i="45"/>
  <c r="X42" i="45" s="1"/>
  <c r="P196" i="41"/>
  <c r="Q196" i="41" s="1"/>
  <c r="W30" i="45"/>
  <c r="X30" i="45" s="1"/>
  <c r="P184" i="41"/>
  <c r="Q184" i="41" s="1"/>
  <c r="Q21" i="46"/>
  <c r="P172" i="41"/>
  <c r="Q172" i="41" s="1"/>
  <c r="P10" i="44"/>
  <c r="P141" i="41"/>
  <c r="Q141" i="41" s="1"/>
  <c r="P88" i="41"/>
  <c r="Q88" i="41" s="1"/>
  <c r="V32" i="43"/>
  <c r="P76" i="41"/>
  <c r="Q76" i="41" s="1"/>
  <c r="P64" i="41"/>
  <c r="Q64" i="41" s="1"/>
  <c r="P52" i="41"/>
  <c r="Q52" i="41" s="1"/>
  <c r="P40" i="41"/>
  <c r="Q40" i="41" s="1"/>
  <c r="O358" i="41"/>
  <c r="J368" i="40"/>
  <c r="O318" i="41"/>
  <c r="J328" i="40"/>
  <c r="O306" i="41"/>
  <c r="J316" i="40"/>
  <c r="O294" i="41"/>
  <c r="J304" i="40"/>
  <c r="M234" i="41"/>
  <c r="J244" i="40"/>
  <c r="O222" i="41"/>
  <c r="J232" i="40"/>
  <c r="O186" i="41"/>
  <c r="J196" i="40"/>
  <c r="J184" i="40"/>
  <c r="M161" i="41"/>
  <c r="J171" i="40"/>
  <c r="O149" i="41"/>
  <c r="J161" i="40"/>
  <c r="Q137" i="41"/>
  <c r="J149" i="40"/>
  <c r="O113" i="41"/>
  <c r="J125" i="40"/>
  <c r="M101" i="41"/>
  <c r="J113" i="40"/>
  <c r="P210" i="41"/>
  <c r="Q210" i="41" s="1"/>
  <c r="V132" i="45"/>
  <c r="R296" i="40"/>
  <c r="M257" i="41"/>
  <c r="M221" i="41"/>
  <c r="M197" i="41"/>
  <c r="O160" i="41"/>
  <c r="O124" i="41"/>
  <c r="O52" i="41"/>
  <c r="O40" i="41"/>
  <c r="P198" i="41"/>
  <c r="Q198" i="41" s="1"/>
  <c r="P17" i="41"/>
  <c r="Q17" i="41" s="1"/>
  <c r="V70" i="45"/>
  <c r="R234" i="40"/>
  <c r="V82" i="45"/>
  <c r="R246" i="40"/>
  <c r="R286" i="40"/>
  <c r="W149" i="45"/>
  <c r="X149" i="45" s="1"/>
  <c r="P303" i="41"/>
  <c r="Q303" i="41" s="1"/>
  <c r="W137" i="45"/>
  <c r="X137" i="45" s="1"/>
  <c r="P291" i="41"/>
  <c r="Q291" i="41" s="1"/>
  <c r="W125" i="45"/>
  <c r="X125" i="45" s="1"/>
  <c r="P279" i="41"/>
  <c r="Q279" i="41" s="1"/>
  <c r="P267" i="41"/>
  <c r="Q267" i="41" s="1"/>
  <c r="W113" i="45"/>
  <c r="X113" i="45" s="1"/>
  <c r="W101" i="45"/>
  <c r="X101" i="45" s="1"/>
  <c r="P255" i="41"/>
  <c r="Q255" i="41" s="1"/>
  <c r="W89" i="45"/>
  <c r="X89" i="45" s="1"/>
  <c r="P243" i="41"/>
  <c r="Q243" i="41" s="1"/>
  <c r="W77" i="45"/>
  <c r="X77" i="45" s="1"/>
  <c r="P231" i="41"/>
  <c r="Q231" i="41" s="1"/>
  <c r="W65" i="45"/>
  <c r="X65" i="45" s="1"/>
  <c r="P219" i="41"/>
  <c r="Q219" i="41" s="1"/>
  <c r="W53" i="45"/>
  <c r="X53" i="45" s="1"/>
  <c r="P207" i="41"/>
  <c r="Q207" i="41" s="1"/>
  <c r="W41" i="45"/>
  <c r="X41" i="45" s="1"/>
  <c r="P195" i="41"/>
  <c r="Q195" i="41" s="1"/>
  <c r="W29" i="45"/>
  <c r="X29" i="45" s="1"/>
  <c r="P183" i="41"/>
  <c r="Q183" i="41" s="1"/>
  <c r="P171" i="41"/>
  <c r="Q171" i="41" s="1"/>
  <c r="V43" i="43"/>
  <c r="P87" i="41"/>
  <c r="Q87" i="41" s="1"/>
  <c r="V31" i="43"/>
  <c r="P75" i="41"/>
  <c r="Q75" i="41" s="1"/>
  <c r="P63" i="41"/>
  <c r="Q63" i="41" s="1"/>
  <c r="P51" i="41"/>
  <c r="Q51" i="41" s="1"/>
  <c r="P39" i="41"/>
  <c r="Q39" i="41" s="1"/>
  <c r="Z38" i="42"/>
  <c r="P27" i="41"/>
  <c r="Q27" i="41" s="1"/>
  <c r="P15" i="41"/>
  <c r="Q15" i="41" s="1"/>
  <c r="V92" i="45"/>
  <c r="W148" i="45"/>
  <c r="X148" i="45" s="1"/>
  <c r="P302" i="41"/>
  <c r="Q302" i="41" s="1"/>
  <c r="W136" i="45"/>
  <c r="X136" i="45" s="1"/>
  <c r="P290" i="41"/>
  <c r="Q290" i="41" s="1"/>
  <c r="P278" i="41"/>
  <c r="Q278" i="41" s="1"/>
  <c r="W124" i="45"/>
  <c r="X124" i="45" s="1"/>
  <c r="P266" i="41"/>
  <c r="Q266" i="41" s="1"/>
  <c r="W112" i="45"/>
  <c r="X112" i="45" s="1"/>
  <c r="W100" i="45"/>
  <c r="X100" i="45" s="1"/>
  <c r="P254" i="41"/>
  <c r="Q254" i="41" s="1"/>
  <c r="W88" i="45"/>
  <c r="X88" i="45" s="1"/>
  <c r="P242" i="41"/>
  <c r="Q242" i="41" s="1"/>
  <c r="W76" i="45"/>
  <c r="X76" i="45" s="1"/>
  <c r="P230" i="41"/>
  <c r="Q230" i="41" s="1"/>
  <c r="W64" i="45"/>
  <c r="X64" i="45" s="1"/>
  <c r="P218" i="41"/>
  <c r="Q218" i="41" s="1"/>
  <c r="W52" i="45"/>
  <c r="X52" i="45" s="1"/>
  <c r="P206" i="41"/>
  <c r="Q206" i="41" s="1"/>
  <c r="W40" i="45"/>
  <c r="X40" i="45" s="1"/>
  <c r="P194" i="41"/>
  <c r="Q194" i="41" s="1"/>
  <c r="W28" i="45"/>
  <c r="X28" i="45" s="1"/>
  <c r="P182" i="41"/>
  <c r="Q182" i="41" s="1"/>
  <c r="P170" i="41"/>
  <c r="Q170" i="41" s="1"/>
  <c r="P151" i="41"/>
  <c r="Q151" i="41" s="1"/>
  <c r="P19" i="44"/>
  <c r="V42" i="43"/>
  <c r="P86" i="41"/>
  <c r="Q86" i="41" s="1"/>
  <c r="V30" i="43"/>
  <c r="P74" i="41"/>
  <c r="Q74" i="41" s="1"/>
  <c r="P62" i="41"/>
  <c r="Q62" i="41" s="1"/>
  <c r="P50" i="41"/>
  <c r="Q50" i="41" s="1"/>
  <c r="P38" i="41"/>
  <c r="Q38" i="41" s="1"/>
  <c r="Z37" i="42"/>
  <c r="P26" i="41"/>
  <c r="Q26" i="41" s="1"/>
  <c r="P14" i="41"/>
  <c r="Q14" i="41" s="1"/>
  <c r="J559" i="40"/>
  <c r="J547" i="40"/>
  <c r="O452" i="41"/>
  <c r="J504" i="40"/>
  <c r="M440" i="41"/>
  <c r="J492" i="40"/>
  <c r="O404" i="41"/>
  <c r="J427" i="40"/>
  <c r="O392" i="41"/>
  <c r="J411" i="40"/>
  <c r="M368" i="41"/>
  <c r="J378" i="40"/>
  <c r="M356" i="41"/>
  <c r="J366" i="40"/>
  <c r="J326" i="40"/>
  <c r="J314" i="40"/>
  <c r="M292" i="41"/>
  <c r="J302" i="40"/>
  <c r="M280" i="41"/>
  <c r="J290" i="40"/>
  <c r="M268" i="41"/>
  <c r="J278" i="40"/>
  <c r="J254" i="40"/>
  <c r="M232" i="41"/>
  <c r="J242" i="40"/>
  <c r="O220" i="41"/>
  <c r="J230" i="40"/>
  <c r="J218" i="40"/>
  <c r="J206" i="40"/>
  <c r="O184" i="41"/>
  <c r="J194" i="40"/>
  <c r="P186" i="41"/>
  <c r="Q186" i="41" s="1"/>
  <c r="T151" i="45"/>
  <c r="T127" i="45"/>
  <c r="V96" i="45"/>
  <c r="R260" i="40"/>
  <c r="W147" i="45"/>
  <c r="X147" i="45" s="1"/>
  <c r="P301" i="41"/>
  <c r="Q301" i="41" s="1"/>
  <c r="W135" i="45"/>
  <c r="X135" i="45" s="1"/>
  <c r="P289" i="41"/>
  <c r="Q289" i="41" s="1"/>
  <c r="W111" i="45"/>
  <c r="X111" i="45" s="1"/>
  <c r="P265" i="41"/>
  <c r="Q265" i="41" s="1"/>
  <c r="W99" i="45"/>
  <c r="X99" i="45" s="1"/>
  <c r="P253" i="41"/>
  <c r="Q253" i="41" s="1"/>
  <c r="W87" i="45"/>
  <c r="X87" i="45" s="1"/>
  <c r="P241" i="41"/>
  <c r="Q241" i="41" s="1"/>
  <c r="W75" i="45"/>
  <c r="X75" i="45" s="1"/>
  <c r="P229" i="41"/>
  <c r="Q229" i="41" s="1"/>
  <c r="W63" i="45"/>
  <c r="X63" i="45" s="1"/>
  <c r="P217" i="41"/>
  <c r="Q217" i="41" s="1"/>
  <c r="W51" i="45"/>
  <c r="X51" i="45" s="1"/>
  <c r="P205" i="41"/>
  <c r="Q205" i="41" s="1"/>
  <c r="W39" i="45"/>
  <c r="X39" i="45" s="1"/>
  <c r="P193" i="41"/>
  <c r="Q193" i="41" s="1"/>
  <c r="W27" i="45"/>
  <c r="X27" i="45" s="1"/>
  <c r="P181" i="41"/>
  <c r="Q181" i="41" s="1"/>
  <c r="P169" i="41"/>
  <c r="Q169" i="41" s="1"/>
  <c r="V46" i="43"/>
  <c r="P150" i="41"/>
  <c r="Q150" i="41" s="1"/>
  <c r="P109" i="41"/>
  <c r="Q109" i="41" s="1"/>
  <c r="Z99" i="42"/>
  <c r="V41" i="43"/>
  <c r="P85" i="41"/>
  <c r="Q85" i="41" s="1"/>
  <c r="V29" i="43"/>
  <c r="P73" i="41"/>
  <c r="Q73" i="41" s="1"/>
  <c r="P25" i="41"/>
  <c r="Q25" i="41" s="1"/>
  <c r="P13" i="41"/>
  <c r="Q13" i="41" s="1"/>
  <c r="P174" i="41"/>
  <c r="Q174" i="41" s="1"/>
  <c r="P155" i="41"/>
  <c r="Q155" i="41" s="1"/>
  <c r="V47" i="43"/>
  <c r="P12" i="44"/>
  <c r="P143" i="41"/>
  <c r="Q143" i="41" s="1"/>
  <c r="P102" i="41"/>
  <c r="Q102" i="41" s="1"/>
  <c r="R187" i="40"/>
  <c r="T30" i="42"/>
  <c r="V100" i="42"/>
  <c r="R199" i="40"/>
  <c r="R294" i="40"/>
  <c r="T133" i="45"/>
  <c r="T45" i="45"/>
  <c r="R209" i="40"/>
  <c r="W146" i="45"/>
  <c r="X146" i="45" s="1"/>
  <c r="P300" i="41"/>
  <c r="Q300" i="41" s="1"/>
  <c r="W134" i="45"/>
  <c r="X134" i="45" s="1"/>
  <c r="P288" i="41"/>
  <c r="Q288" i="41" s="1"/>
  <c r="W122" i="45"/>
  <c r="X122" i="45" s="1"/>
  <c r="P276" i="41"/>
  <c r="Q276" i="41" s="1"/>
  <c r="W110" i="45"/>
  <c r="X110" i="45" s="1"/>
  <c r="P264" i="41"/>
  <c r="Q264" i="41" s="1"/>
  <c r="W98" i="45"/>
  <c r="X98" i="45" s="1"/>
  <c r="P252" i="41"/>
  <c r="Q252" i="41" s="1"/>
  <c r="W86" i="45"/>
  <c r="X86" i="45" s="1"/>
  <c r="P240" i="41"/>
  <c r="Q240" i="41" s="1"/>
  <c r="W74" i="45"/>
  <c r="X74" i="45" s="1"/>
  <c r="P228" i="41"/>
  <c r="Q228" i="41" s="1"/>
  <c r="W62" i="45"/>
  <c r="X62" i="45" s="1"/>
  <c r="P216" i="41"/>
  <c r="Q216" i="41" s="1"/>
  <c r="W50" i="45"/>
  <c r="X50" i="45" s="1"/>
  <c r="P204" i="41"/>
  <c r="Q204" i="41" s="1"/>
  <c r="W38" i="45"/>
  <c r="X38" i="45" s="1"/>
  <c r="P192" i="41"/>
  <c r="Q192" i="41" s="1"/>
  <c r="W26" i="45"/>
  <c r="X26" i="45" s="1"/>
  <c r="P180" i="41"/>
  <c r="Q180" i="41" s="1"/>
  <c r="P168" i="41"/>
  <c r="Q168" i="41" s="1"/>
  <c r="P108" i="41"/>
  <c r="Q108" i="41" s="1"/>
  <c r="P84" i="41"/>
  <c r="Q84" i="41" s="1"/>
  <c r="V40" i="43"/>
  <c r="P72" i="41"/>
  <c r="Q72" i="41" s="1"/>
  <c r="V28" i="43"/>
  <c r="P60" i="41"/>
  <c r="Q60" i="41" s="1"/>
  <c r="P48" i="41"/>
  <c r="Q48" i="41" s="1"/>
  <c r="P36" i="41"/>
  <c r="Q36" i="41" s="1"/>
  <c r="P24" i="41"/>
  <c r="Q24" i="41" s="1"/>
  <c r="P12" i="41"/>
  <c r="Q12" i="41" s="1"/>
  <c r="P306" i="41"/>
  <c r="Q306" i="41" s="1"/>
  <c r="P90" i="41"/>
  <c r="Q90" i="41" s="1"/>
  <c r="V34" i="43"/>
  <c r="P78" i="41"/>
  <c r="Q78" i="41" s="1"/>
  <c r="P18" i="41"/>
  <c r="Q18" i="41" s="1"/>
  <c r="J416" i="40"/>
  <c r="M396" i="41"/>
  <c r="P111" i="41"/>
  <c r="Q111" i="41" s="1"/>
  <c r="V99" i="42"/>
  <c r="J46" i="43"/>
  <c r="J48" i="43" s="1"/>
  <c r="T110" i="45"/>
  <c r="X43" i="42"/>
  <c r="R240" i="40"/>
  <c r="T86" i="45"/>
  <c r="V133" i="45"/>
  <c r="X44" i="42"/>
  <c r="T42" i="45"/>
  <c r="R220" i="40"/>
  <c r="R223" i="40"/>
  <c r="T69" i="45"/>
  <c r="R233" i="40"/>
  <c r="T72" i="45"/>
  <c r="R244" i="40"/>
  <c r="V86" i="45"/>
  <c r="R267" i="40"/>
  <c r="R278" i="40"/>
  <c r="R281" i="40"/>
  <c r="T120" i="45"/>
  <c r="R302" i="40"/>
  <c r="T145" i="45"/>
  <c r="P294" i="41"/>
  <c r="Q294" i="41" s="1"/>
  <c r="P54" i="41"/>
  <c r="Q54" i="41" s="1"/>
  <c r="P42" i="41"/>
  <c r="Q42" i="41" s="1"/>
  <c r="V141" i="45"/>
  <c r="R305" i="40"/>
  <c r="M417" i="41"/>
  <c r="R196" i="40"/>
  <c r="T32" i="45"/>
  <c r="T148" i="45"/>
  <c r="R312" i="40"/>
  <c r="T51" i="42"/>
  <c r="K12" i="44"/>
  <c r="V33" i="45"/>
  <c r="R197" i="40"/>
  <c r="R200" i="40"/>
  <c r="V90" i="45"/>
  <c r="R254" i="40"/>
  <c r="R295" i="40"/>
  <c r="T131" i="45"/>
  <c r="W144" i="45"/>
  <c r="X144" i="45" s="1"/>
  <c r="P298" i="41"/>
  <c r="Q298" i="41" s="1"/>
  <c r="W132" i="45"/>
  <c r="X132" i="45" s="1"/>
  <c r="P286" i="41"/>
  <c r="Q286" i="41" s="1"/>
  <c r="W120" i="45"/>
  <c r="X120" i="45" s="1"/>
  <c r="P274" i="41"/>
  <c r="Q274" i="41" s="1"/>
  <c r="W108" i="45"/>
  <c r="X108" i="45" s="1"/>
  <c r="P262" i="41"/>
  <c r="Q262" i="41" s="1"/>
  <c r="W96" i="45"/>
  <c r="X96" i="45" s="1"/>
  <c r="P250" i="41"/>
  <c r="Q250" i="41" s="1"/>
  <c r="W84" i="45"/>
  <c r="X84" i="45" s="1"/>
  <c r="P238" i="41"/>
  <c r="Q238" i="41" s="1"/>
  <c r="W72" i="45"/>
  <c r="X72" i="45" s="1"/>
  <c r="P226" i="41"/>
  <c r="Q226" i="41" s="1"/>
  <c r="W60" i="45"/>
  <c r="X60" i="45" s="1"/>
  <c r="P214" i="41"/>
  <c r="Q214" i="41" s="1"/>
  <c r="W48" i="45"/>
  <c r="X48" i="45" s="1"/>
  <c r="P202" i="41"/>
  <c r="Q202" i="41" s="1"/>
  <c r="W36" i="45"/>
  <c r="X36" i="45" s="1"/>
  <c r="P190" i="41"/>
  <c r="Q190" i="41" s="1"/>
  <c r="W24" i="45"/>
  <c r="X24" i="45" s="1"/>
  <c r="P178" i="41"/>
  <c r="Q178" i="41" s="1"/>
  <c r="P16" i="44"/>
  <c r="P147" i="41"/>
  <c r="Q147" i="41" s="1"/>
  <c r="P106" i="41"/>
  <c r="Q106" i="41" s="1"/>
  <c r="P82" i="41"/>
  <c r="Q82" i="41" s="1"/>
  <c r="V38" i="43"/>
  <c r="P70" i="41"/>
  <c r="Q70" i="41" s="1"/>
  <c r="V26" i="43"/>
  <c r="P58" i="41"/>
  <c r="Q58" i="41" s="1"/>
  <c r="P46" i="41"/>
  <c r="Q46" i="41" s="1"/>
  <c r="P10" i="41"/>
  <c r="Q10" i="41" s="1"/>
  <c r="J443" i="40"/>
  <c r="P282" i="41"/>
  <c r="Q282" i="41" s="1"/>
  <c r="W123" i="45"/>
  <c r="X123" i="45" s="1"/>
  <c r="T140" i="45"/>
  <c r="T128" i="45"/>
  <c r="J87" i="40"/>
  <c r="J75" i="40"/>
  <c r="M15" i="41"/>
  <c r="J27" i="40"/>
  <c r="O268" i="41"/>
  <c r="O256" i="41"/>
  <c r="O196" i="41"/>
  <c r="O147" i="41"/>
  <c r="P148" i="41"/>
  <c r="Q148" i="41" s="1"/>
  <c r="Q136" i="41"/>
  <c r="O548" i="41"/>
  <c r="O463" i="41"/>
  <c r="V49" i="43"/>
  <c r="T149" i="45"/>
  <c r="T101" i="45"/>
  <c r="T89" i="45"/>
  <c r="T77" i="45"/>
  <c r="T53" i="45"/>
  <c r="T41" i="45"/>
  <c r="V19" i="45"/>
  <c r="T55" i="42"/>
  <c r="R212" i="40"/>
  <c r="R219" i="40"/>
  <c r="T61" i="45"/>
  <c r="R225" i="40"/>
  <c r="R251" i="40"/>
  <c r="R258" i="40"/>
  <c r="R279" i="40"/>
  <c r="T147" i="45"/>
  <c r="T123" i="45"/>
  <c r="V149" i="45"/>
  <c r="V113" i="45"/>
  <c r="V101" i="45"/>
  <c r="V89" i="45"/>
  <c r="V112" i="45"/>
  <c r="V100" i="45"/>
  <c r="V88" i="45"/>
  <c r="V64" i="45"/>
  <c r="V52" i="45"/>
  <c r="P83" i="41"/>
  <c r="Q83" i="41" s="1"/>
  <c r="P71" i="41"/>
  <c r="Q71" i="41" s="1"/>
  <c r="P23" i="41"/>
  <c r="Q23" i="41" s="1"/>
  <c r="P299" i="41"/>
  <c r="Q299" i="41" s="1"/>
  <c r="P287" i="41"/>
  <c r="Q287" i="41" s="1"/>
  <c r="P275" i="41"/>
  <c r="Q275" i="41" s="1"/>
  <c r="P263" i="41"/>
  <c r="Q263" i="41" s="1"/>
  <c r="P251" i="41"/>
  <c r="Q251" i="41" s="1"/>
  <c r="P239" i="41"/>
  <c r="Q239" i="41" s="1"/>
  <c r="P227" i="41"/>
  <c r="Q227" i="41" s="1"/>
  <c r="P215" i="41"/>
  <c r="Q215" i="41" s="1"/>
  <c r="P203" i="41"/>
  <c r="Q203" i="41" s="1"/>
  <c r="P191" i="41"/>
  <c r="Q191" i="41" s="1"/>
  <c r="P179" i="41"/>
  <c r="Q179" i="41" s="1"/>
  <c r="O469" i="41"/>
  <c r="O433" i="41"/>
  <c r="T129" i="45"/>
  <c r="T93" i="45"/>
  <c r="T81" i="45"/>
  <c r="V136" i="45"/>
  <c r="V137" i="45"/>
  <c r="V124" i="45"/>
  <c r="T65" i="45"/>
  <c r="T57" i="45"/>
  <c r="T152" i="45"/>
  <c r="O551" i="41"/>
  <c r="M196" i="41"/>
  <c r="M208" i="41"/>
  <c r="O292" i="41"/>
  <c r="O340" i="41"/>
  <c r="O368" i="41"/>
  <c r="O394" i="41"/>
  <c r="M147" i="41"/>
  <c r="O316" i="41"/>
  <c r="M392" i="41"/>
  <c r="O232" i="41"/>
  <c r="O428" i="41"/>
  <c r="M89" i="41"/>
  <c r="M135" i="41"/>
  <c r="M222" i="41"/>
  <c r="M258" i="41"/>
  <c r="M17" i="41"/>
  <c r="M172" i="41"/>
  <c r="M304" i="41"/>
  <c r="O17" i="41"/>
  <c r="O356" i="41"/>
  <c r="M452" i="41"/>
  <c r="O466" i="41"/>
  <c r="M41" i="41"/>
  <c r="M256" i="41"/>
  <c r="O270" i="41"/>
  <c r="O41" i="41"/>
  <c r="O406" i="41"/>
  <c r="M53" i="41"/>
  <c r="M340" i="41"/>
  <c r="M76" i="41"/>
  <c r="M88" i="41"/>
  <c r="M136" i="41"/>
  <c r="M173" i="41"/>
  <c r="M160" i="41"/>
  <c r="O173" i="41"/>
  <c r="M124" i="41"/>
  <c r="M64" i="41"/>
  <c r="M112" i="41"/>
  <c r="M19" i="41"/>
  <c r="O28" i="41"/>
  <c r="M35" i="41"/>
  <c r="O44" i="41"/>
  <c r="M49" i="41"/>
  <c r="O58" i="41"/>
  <c r="O70" i="41"/>
  <c r="O82" i="41"/>
  <c r="O94" i="41"/>
  <c r="O123" i="41"/>
  <c r="O137" i="41"/>
  <c r="Q139" i="41"/>
  <c r="M178" i="41"/>
  <c r="O289" i="41"/>
  <c r="O331" i="41"/>
  <c r="O19" i="41"/>
  <c r="M26" i="41"/>
  <c r="O35" i="41"/>
  <c r="M40" i="41"/>
  <c r="M56" i="41"/>
  <c r="M68" i="41"/>
  <c r="M80" i="41"/>
  <c r="M92" i="41"/>
  <c r="O101" i="41"/>
  <c r="O110" i="41"/>
  <c r="O116" i="41"/>
  <c r="M125" i="41"/>
  <c r="O154" i="41"/>
  <c r="O202" i="41"/>
  <c r="O204" i="41"/>
  <c r="O219" i="41"/>
  <c r="O229" i="41"/>
  <c r="M238" i="41"/>
  <c r="M244" i="41"/>
  <c r="M285" i="41"/>
  <c r="O309" i="41"/>
  <c r="M473" i="41"/>
  <c r="O473" i="41"/>
  <c r="O7" i="41"/>
  <c r="O13" i="41"/>
  <c r="O26" i="41"/>
  <c r="O56" i="41"/>
  <c r="O68" i="41"/>
  <c r="O80" i="41"/>
  <c r="O92" i="41"/>
  <c r="O121" i="41"/>
  <c r="M123" i="41"/>
  <c r="O159" i="41"/>
  <c r="M189" i="41"/>
  <c r="M213" i="41"/>
  <c r="M225" i="41"/>
  <c r="O244" i="41"/>
  <c r="O261" i="41"/>
  <c r="O274" i="41"/>
  <c r="Q367" i="41"/>
  <c r="M367" i="41"/>
  <c r="M464" i="41"/>
  <c r="O464" i="41"/>
  <c r="V121" i="45"/>
  <c r="T121" i="45"/>
  <c r="M29" i="41"/>
  <c r="M52" i="41"/>
  <c r="M59" i="41"/>
  <c r="M71" i="41"/>
  <c r="M83" i="41"/>
  <c r="M95" i="41"/>
  <c r="M115" i="41"/>
  <c r="M166" i="41"/>
  <c r="M201" i="41"/>
  <c r="M217" i="41"/>
  <c r="M253" i="41"/>
  <c r="M307" i="41"/>
  <c r="M334" i="41"/>
  <c r="Q365" i="41"/>
  <c r="M365" i="41"/>
  <c r="O29" i="41"/>
  <c r="O59" i="41"/>
  <c r="O71" i="41"/>
  <c r="O83" i="41"/>
  <c r="O95" i="41"/>
  <c r="M113" i="41"/>
  <c r="O115" i="41"/>
  <c r="O119" i="41"/>
  <c r="O217" i="41"/>
  <c r="O253" i="41"/>
  <c r="X28" i="42"/>
  <c r="V28" i="42"/>
  <c r="O14" i="41"/>
  <c r="O20" i="41"/>
  <c r="M34" i="41"/>
  <c r="M50" i="41"/>
  <c r="O64" i="41"/>
  <c r="O76" i="41"/>
  <c r="O88" i="41"/>
  <c r="M100" i="41"/>
  <c r="M109" i="41"/>
  <c r="O136" i="41"/>
  <c r="O163" i="41"/>
  <c r="M179" i="41"/>
  <c r="M181" i="41"/>
  <c r="M228" i="41"/>
  <c r="M243" i="41"/>
  <c r="M247" i="41"/>
  <c r="M277" i="41"/>
  <c r="O279" i="41"/>
  <c r="M303" i="41"/>
  <c r="M310" i="41"/>
  <c r="M337" i="41"/>
  <c r="M6" i="41"/>
  <c r="M12" i="41"/>
  <c r="O50" i="41"/>
  <c r="O100" i="41"/>
  <c r="O109" i="41"/>
  <c r="O141" i="41"/>
  <c r="O155" i="41"/>
  <c r="M171" i="41"/>
  <c r="O183" i="41"/>
  <c r="O205" i="41"/>
  <c r="M241" i="41"/>
  <c r="M262" i="41"/>
  <c r="M328" i="41"/>
  <c r="X97" i="42"/>
  <c r="V97" i="42"/>
  <c r="O10" i="41"/>
  <c r="M143" i="41"/>
  <c r="O252" i="41"/>
  <c r="O258" i="41"/>
  <c r="O262" i="41"/>
  <c r="M361" i="41"/>
  <c r="O552" i="41"/>
  <c r="T40" i="45"/>
  <c r="M28" i="41"/>
  <c r="O37" i="41"/>
  <c r="M44" i="41"/>
  <c r="O53" i="41"/>
  <c r="M58" i="41"/>
  <c r="O65" i="41"/>
  <c r="M70" i="41"/>
  <c r="O77" i="41"/>
  <c r="M82" i="41"/>
  <c r="O89" i="41"/>
  <c r="M94" i="41"/>
  <c r="O103" i="41"/>
  <c r="O112" i="41"/>
  <c r="O118" i="41"/>
  <c r="O165" i="41"/>
  <c r="M184" i="41"/>
  <c r="O208" i="41"/>
  <c r="M246" i="41"/>
  <c r="O265" i="41"/>
  <c r="M289" i="41"/>
  <c r="O313" i="41"/>
  <c r="O246" i="41"/>
  <c r="O250" i="41"/>
  <c r="M271" i="41"/>
  <c r="O277" i="41"/>
  <c r="M319" i="41"/>
  <c r="O325" i="41"/>
  <c r="O375" i="41"/>
  <c r="M422" i="41"/>
  <c r="O431" i="41"/>
  <c r="O440" i="41"/>
  <c r="T23" i="42"/>
  <c r="T58" i="42"/>
  <c r="T23" i="45"/>
  <c r="V30" i="45"/>
  <c r="V62" i="45"/>
  <c r="V73" i="45"/>
  <c r="T117" i="45"/>
  <c r="T144" i="45"/>
  <c r="L10" i="46"/>
  <c r="J131" i="47"/>
  <c r="M393" i="41"/>
  <c r="M395" i="41"/>
  <c r="T70" i="42"/>
  <c r="T82" i="42"/>
  <c r="V23" i="45"/>
  <c r="T25" i="45"/>
  <c r="T38" i="45"/>
  <c r="T85" i="45"/>
  <c r="T96" i="45"/>
  <c r="T135" i="45"/>
  <c r="M401" i="41"/>
  <c r="M425" i="41"/>
  <c r="O427" i="41"/>
  <c r="O443" i="41"/>
  <c r="O494" i="41"/>
  <c r="T27" i="42"/>
  <c r="T20" i="45"/>
  <c r="V38" i="45"/>
  <c r="V49" i="45"/>
  <c r="V53" i="45"/>
  <c r="V68" i="45"/>
  <c r="T70" i="45"/>
  <c r="V85" i="45"/>
  <c r="T105" i="45"/>
  <c r="V135" i="45"/>
  <c r="T139" i="45"/>
  <c r="O307" i="41"/>
  <c r="O334" i="41"/>
  <c r="O361" i="41"/>
  <c r="O365" i="41"/>
  <c r="M389" i="41"/>
  <c r="O434" i="41"/>
  <c r="O448" i="41"/>
  <c r="O485" i="41"/>
  <c r="V44" i="42"/>
  <c r="T49" i="42"/>
  <c r="Q25" i="43"/>
  <c r="Q26" i="43"/>
  <c r="Q27" i="43"/>
  <c r="Q28" i="43"/>
  <c r="Q29" i="43"/>
  <c r="Q30" i="43"/>
  <c r="Q31" i="43"/>
  <c r="Q32" i="43"/>
  <c r="Q33" i="43"/>
  <c r="Q34" i="43"/>
  <c r="Q35" i="43"/>
  <c r="Q36" i="43"/>
  <c r="Q37" i="43"/>
  <c r="Q38" i="43"/>
  <c r="Q39" i="43"/>
  <c r="Q40" i="43"/>
  <c r="Q41" i="43"/>
  <c r="Q42" i="43"/>
  <c r="Q43" i="43"/>
  <c r="Q45" i="43"/>
  <c r="I46" i="43"/>
  <c r="I48" i="43" s="1"/>
  <c r="T27" i="45"/>
  <c r="V40" i="45"/>
  <c r="T76" i="45"/>
  <c r="V105" i="45"/>
  <c r="T137" i="45"/>
  <c r="V139" i="45"/>
  <c r="L14" i="46"/>
  <c r="O280" i="41"/>
  <c r="M297" i="41"/>
  <c r="M301" i="41"/>
  <c r="O303" i="41"/>
  <c r="O328" i="41"/>
  <c r="M359" i="41"/>
  <c r="M416" i="41"/>
  <c r="T48" i="42"/>
  <c r="T63" i="42"/>
  <c r="T77" i="42"/>
  <c r="K19" i="44"/>
  <c r="J54" i="45"/>
  <c r="V57" i="45"/>
  <c r="V76" i="45"/>
  <c r="T91" i="45"/>
  <c r="T109" i="45"/>
  <c r="T132" i="45"/>
  <c r="T141" i="45"/>
  <c r="T143" i="45"/>
  <c r="O231" i="41"/>
  <c r="M295" i="41"/>
  <c r="O301" i="41"/>
  <c r="M322" i="41"/>
  <c r="M349" i="41"/>
  <c r="M355" i="41"/>
  <c r="O359" i="41"/>
  <c r="M380" i="41"/>
  <c r="M394" i="41"/>
  <c r="O416" i="41"/>
  <c r="M437" i="41"/>
  <c r="O446" i="41"/>
  <c r="O497" i="41"/>
  <c r="T32" i="42"/>
  <c r="T61" i="42"/>
  <c r="L46" i="43"/>
  <c r="L48" i="43" s="1"/>
  <c r="E9" i="44"/>
  <c r="V20" i="45"/>
  <c r="V27" i="45"/>
  <c r="T29" i="45"/>
  <c r="T33" i="45"/>
  <c r="V37" i="45"/>
  <c r="V44" i="45"/>
  <c r="T46" i="45"/>
  <c r="V72" i="45"/>
  <c r="T80" i="45"/>
  <c r="T82" i="45"/>
  <c r="V102" i="45"/>
  <c r="V109" i="45"/>
  <c r="T125" i="45"/>
  <c r="V143" i="45"/>
  <c r="V145" i="45"/>
  <c r="M370" i="41"/>
  <c r="O430" i="41"/>
  <c r="O467" i="41"/>
  <c r="O476" i="41"/>
  <c r="T21" i="42"/>
  <c r="T47" i="42"/>
  <c r="T75" i="42"/>
  <c r="X100" i="42"/>
  <c r="Q49" i="43"/>
  <c r="F50" i="43"/>
  <c r="Q50" i="43" s="1"/>
  <c r="V65" i="45"/>
  <c r="J138" i="45"/>
  <c r="M404" i="41"/>
  <c r="M479" i="41"/>
  <c r="O488" i="41"/>
  <c r="T41" i="42"/>
  <c r="T45" i="42"/>
  <c r="T88" i="42"/>
  <c r="T26" i="45"/>
  <c r="V41" i="45"/>
  <c r="V48" i="45"/>
  <c r="T50" i="45"/>
  <c r="T54" i="45"/>
  <c r="T95" i="45"/>
  <c r="V125" i="45"/>
  <c r="M331" i="41"/>
  <c r="O339" i="41"/>
  <c r="O374" i="41"/>
  <c r="M461" i="41"/>
  <c r="M470" i="41"/>
  <c r="V26" i="42"/>
  <c r="T59" i="42"/>
  <c r="T19" i="45"/>
  <c r="X32" i="45"/>
  <c r="V50" i="45"/>
  <c r="V54" i="45"/>
  <c r="T56" i="45"/>
  <c r="V93" i="45"/>
  <c r="V106" i="45"/>
  <c r="J110" i="45"/>
  <c r="T113" i="45"/>
  <c r="T136" i="45"/>
  <c r="T153" i="45"/>
  <c r="L11" i="46"/>
  <c r="T39" i="42"/>
  <c r="T46" i="42"/>
  <c r="T85" i="42"/>
  <c r="V45" i="45"/>
  <c r="O304" i="41"/>
  <c r="M321" i="41"/>
  <c r="M325" i="41"/>
  <c r="O327" i="41"/>
  <c r="M431" i="41"/>
  <c r="O470" i="41"/>
  <c r="O484" i="41"/>
  <c r="O549" i="41"/>
  <c r="T71" i="42"/>
  <c r="X96" i="42"/>
  <c r="F103" i="42"/>
  <c r="T30" i="45"/>
  <c r="T62" i="45"/>
  <c r="T73" i="45"/>
  <c r="V77" i="45"/>
  <c r="T92" i="45"/>
  <c r="T99" i="45"/>
  <c r="T106" i="45"/>
  <c r="V110" i="45"/>
  <c r="V131" i="45"/>
  <c r="L21" i="46"/>
  <c r="N179" i="47"/>
  <c r="L99" i="47"/>
  <c r="N31" i="47"/>
  <c r="L101" i="47"/>
  <c r="L71" i="47"/>
  <c r="L175" i="47"/>
  <c r="L78" i="47"/>
  <c r="L30" i="47"/>
  <c r="L47" i="47"/>
  <c r="L163" i="47"/>
  <c r="L98" i="47"/>
  <c r="L117" i="47"/>
  <c r="N149" i="47"/>
  <c r="N48" i="47"/>
  <c r="L29" i="47"/>
  <c r="L56" i="47"/>
  <c r="L62" i="47"/>
  <c r="L92" i="47"/>
  <c r="L161" i="47"/>
  <c r="N56" i="47"/>
  <c r="L86" i="47"/>
  <c r="L137" i="47"/>
  <c r="L174" i="47"/>
  <c r="N43" i="47"/>
  <c r="L51" i="47"/>
  <c r="N77" i="47"/>
  <c r="N139" i="47"/>
  <c r="N84" i="47"/>
  <c r="L144" i="47"/>
  <c r="L41" i="47"/>
  <c r="N103" i="47"/>
  <c r="N123" i="47"/>
  <c r="N174" i="47"/>
  <c r="L31" i="47"/>
  <c r="N102" i="47"/>
  <c r="N122" i="47"/>
  <c r="L46" i="47"/>
  <c r="N100" i="47"/>
  <c r="N71" i="47"/>
  <c r="L100" i="47"/>
  <c r="L156" i="47"/>
  <c r="N183" i="47"/>
  <c r="L20" i="47"/>
  <c r="L34" i="47"/>
  <c r="N78" i="47"/>
  <c r="L105" i="47"/>
  <c r="L125" i="47"/>
  <c r="N156" i="47"/>
  <c r="N20" i="47"/>
  <c r="L54" i="47"/>
  <c r="N153" i="47"/>
  <c r="N165" i="47"/>
  <c r="N130" i="47"/>
  <c r="L155" i="47"/>
  <c r="N161" i="47"/>
  <c r="L177" i="47"/>
  <c r="N155" i="47"/>
  <c r="L106" i="47"/>
  <c r="L139" i="47"/>
  <c r="L146" i="47"/>
  <c r="N163" i="47"/>
  <c r="N35" i="47"/>
  <c r="L166" i="47"/>
  <c r="N42" i="47"/>
  <c r="N53" i="47"/>
  <c r="N146" i="47"/>
  <c r="N120" i="47"/>
  <c r="N175" i="47"/>
  <c r="N177" i="47"/>
  <c r="L182" i="47"/>
  <c r="N33" i="47"/>
  <c r="L58" i="47"/>
  <c r="N75" i="47"/>
  <c r="F124" i="47"/>
  <c r="L131" i="47"/>
  <c r="N182" i="47"/>
  <c r="N41" i="47"/>
  <c r="N58" i="47"/>
  <c r="L77" i="47"/>
  <c r="L84" i="47"/>
  <c r="N92" i="47"/>
  <c r="N131" i="47"/>
  <c r="L169" i="47"/>
  <c r="L48" i="47"/>
  <c r="L53" i="47"/>
  <c r="L79" i="47"/>
  <c r="N101" i="47"/>
  <c r="L119" i="47"/>
  <c r="L121" i="47"/>
  <c r="N137" i="47"/>
  <c r="N148" i="47"/>
  <c r="N151" i="47"/>
  <c r="L171" i="47"/>
  <c r="L114" i="47"/>
  <c r="L126" i="47"/>
  <c r="L35" i="47"/>
  <c r="N79" i="47"/>
  <c r="N98" i="47"/>
  <c r="F134" i="47"/>
  <c r="N166" i="47"/>
  <c r="N171" i="47"/>
  <c r="N114" i="47"/>
  <c r="N121" i="47"/>
  <c r="L147" i="47"/>
  <c r="L157" i="47"/>
  <c r="N21" i="47"/>
  <c r="N34" i="47"/>
  <c r="L42" i="47"/>
  <c r="N51" i="47"/>
  <c r="N59" i="47"/>
  <c r="L76" i="47"/>
  <c r="L102" i="47"/>
  <c r="N140" i="47"/>
  <c r="L153" i="47"/>
  <c r="N105" i="47"/>
  <c r="N117" i="47"/>
  <c r="N144" i="47"/>
  <c r="N173" i="47"/>
  <c r="L33" i="47"/>
  <c r="N54" i="47"/>
  <c r="L75" i="47"/>
  <c r="N82" i="47"/>
  <c r="L120" i="47"/>
  <c r="N125" i="47"/>
  <c r="N142" i="47"/>
  <c r="L142" i="47"/>
  <c r="L32" i="47"/>
  <c r="L49" i="47"/>
  <c r="L72" i="47"/>
  <c r="N76" i="47"/>
  <c r="L97" i="47"/>
  <c r="N99" i="47"/>
  <c r="L115" i="47"/>
  <c r="N119" i="47"/>
  <c r="L129" i="47"/>
  <c r="L162" i="47"/>
  <c r="F170" i="47"/>
  <c r="L172" i="47"/>
  <c r="F180" i="47"/>
  <c r="N32" i="47"/>
  <c r="N49" i="47"/>
  <c r="L66" i="47"/>
  <c r="N72" i="47"/>
  <c r="L91" i="47"/>
  <c r="N97" i="47"/>
  <c r="L107" i="47"/>
  <c r="N115" i="47"/>
  <c r="L127" i="47"/>
  <c r="N129" i="47"/>
  <c r="L160" i="47"/>
  <c r="N162" i="47"/>
  <c r="F168" i="47"/>
  <c r="N172" i="47"/>
  <c r="L181" i="47"/>
  <c r="L28" i="47"/>
  <c r="N30" i="47"/>
  <c r="L45" i="47"/>
  <c r="N47" i="47"/>
  <c r="L61" i="47"/>
  <c r="N66" i="47"/>
  <c r="N91" i="47"/>
  <c r="N107" i="47"/>
  <c r="N127" i="47"/>
  <c r="N135" i="47"/>
  <c r="N160" i="47"/>
  <c r="L179" i="47"/>
  <c r="N181" i="47"/>
  <c r="L26" i="47"/>
  <c r="N29" i="47"/>
  <c r="L44" i="47"/>
  <c r="N46" i="47"/>
  <c r="L60" i="47"/>
  <c r="N62" i="47"/>
  <c r="L83" i="47"/>
  <c r="N86" i="47"/>
  <c r="L104" i="47"/>
  <c r="N106" i="47"/>
  <c r="N126" i="47"/>
  <c r="L145" i="47"/>
  <c r="N147" i="47"/>
  <c r="N157" i="47"/>
  <c r="N169" i="47"/>
  <c r="L178" i="47"/>
  <c r="L21" i="47"/>
  <c r="N28" i="47"/>
  <c r="L43" i="47"/>
  <c r="N45" i="47"/>
  <c r="L59" i="47"/>
  <c r="N61" i="47"/>
  <c r="L82" i="47"/>
  <c r="L103" i="47"/>
  <c r="L123" i="47"/>
  <c r="N26" i="47"/>
  <c r="N44" i="47"/>
  <c r="N60" i="47"/>
  <c r="N83" i="47"/>
  <c r="N104" i="47"/>
  <c r="L122" i="47"/>
  <c r="N133" i="47"/>
  <c r="N145" i="47"/>
  <c r="N154" i="47"/>
  <c r="L176" i="47"/>
  <c r="N178" i="47"/>
  <c r="N186" i="47"/>
  <c r="N176" i="47"/>
  <c r="F18" i="46"/>
  <c r="G18" i="46"/>
  <c r="H18" i="46"/>
  <c r="L16" i="46"/>
  <c r="T22" i="45"/>
  <c r="J75" i="45"/>
  <c r="T100" i="45"/>
  <c r="T104" i="45"/>
  <c r="T108" i="45"/>
  <c r="V148" i="45"/>
  <c r="V152" i="45"/>
  <c r="J62" i="45"/>
  <c r="T107" i="45"/>
  <c r="T111" i="45"/>
  <c r="J74" i="45"/>
  <c r="T103" i="45"/>
  <c r="V25" i="45"/>
  <c r="T28" i="45"/>
  <c r="T35" i="45"/>
  <c r="T39" i="45"/>
  <c r="T43" i="45"/>
  <c r="T47" i="45"/>
  <c r="T51" i="45"/>
  <c r="T55" i="45"/>
  <c r="T59" i="45"/>
  <c r="T63" i="45"/>
  <c r="T67" i="45"/>
  <c r="T71" i="45"/>
  <c r="T75" i="45"/>
  <c r="T79" i="45"/>
  <c r="T83" i="45"/>
  <c r="T87" i="45"/>
  <c r="V91" i="45"/>
  <c r="V95" i="45"/>
  <c r="V99" i="45"/>
  <c r="V115" i="45"/>
  <c r="V119" i="45"/>
  <c r="V123" i="45"/>
  <c r="V127" i="45"/>
  <c r="J137" i="45"/>
  <c r="J141" i="45"/>
  <c r="T150" i="45"/>
  <c r="T21" i="45"/>
  <c r="V21" i="45"/>
  <c r="T24" i="45"/>
  <c r="T31" i="45"/>
  <c r="T94" i="45"/>
  <c r="T98" i="45"/>
  <c r="V103" i="45"/>
  <c r="V107" i="45"/>
  <c r="J109" i="45"/>
  <c r="V111" i="45"/>
  <c r="T114" i="45"/>
  <c r="T118" i="45"/>
  <c r="T122" i="45"/>
  <c r="T126" i="45"/>
  <c r="T130" i="45"/>
  <c r="T134" i="45"/>
  <c r="T138" i="45"/>
  <c r="T142" i="45"/>
  <c r="T146" i="45"/>
  <c r="V28" i="45"/>
  <c r="V35" i="45"/>
  <c r="V39" i="45"/>
  <c r="V43" i="45"/>
  <c r="V47" i="45"/>
  <c r="V51" i="45"/>
  <c r="J53" i="45"/>
  <c r="V55" i="45"/>
  <c r="V59" i="45"/>
  <c r="V63" i="45"/>
  <c r="V67" i="45"/>
  <c r="V71" i="45"/>
  <c r="V75" i="45"/>
  <c r="V79" i="45"/>
  <c r="V83" i="45"/>
  <c r="V87" i="45"/>
  <c r="V150" i="45"/>
  <c r="V24" i="45"/>
  <c r="V31" i="45"/>
  <c r="V94" i="45"/>
  <c r="V98" i="45"/>
  <c r="V114" i="45"/>
  <c r="V118" i="45"/>
  <c r="V122" i="45"/>
  <c r="V126" i="45"/>
  <c r="V130" i="45"/>
  <c r="V134" i="45"/>
  <c r="V138" i="45"/>
  <c r="V142" i="45"/>
  <c r="V146" i="45"/>
  <c r="J52" i="45"/>
  <c r="J64" i="45"/>
  <c r="K48" i="43"/>
  <c r="H47" i="43"/>
  <c r="H24" i="43" s="1"/>
  <c r="M46" i="43"/>
  <c r="M48" i="43" s="1"/>
  <c r="K47" i="43"/>
  <c r="F46" i="43"/>
  <c r="Q44" i="43"/>
  <c r="G46" i="43"/>
  <c r="G48" i="43" s="1"/>
  <c r="V43" i="42"/>
  <c r="V38" i="42"/>
  <c r="V42" i="42"/>
  <c r="X99" i="42"/>
  <c r="X38" i="42"/>
  <c r="X42" i="42"/>
  <c r="V98" i="42"/>
  <c r="F22" i="42"/>
  <c r="X98" i="42"/>
  <c r="O24" i="41"/>
  <c r="M24" i="41"/>
  <c r="O33" i="41"/>
  <c r="M33" i="41"/>
  <c r="O42" i="41"/>
  <c r="M42" i="41"/>
  <c r="O51" i="41"/>
  <c r="M51" i="41"/>
  <c r="O156" i="41"/>
  <c r="M156" i="41"/>
  <c r="M180" i="41"/>
  <c r="O180" i="41"/>
  <c r="O376" i="41"/>
  <c r="M376" i="41"/>
  <c r="O248" i="41"/>
  <c r="M248" i="41"/>
  <c r="O293" i="41"/>
  <c r="M293" i="41"/>
  <c r="O18" i="41"/>
  <c r="M18" i="41"/>
  <c r="O36" i="41"/>
  <c r="M36" i="41"/>
  <c r="O242" i="41"/>
  <c r="M242" i="41"/>
  <c r="O198" i="41"/>
  <c r="M198" i="41"/>
  <c r="M210" i="41"/>
  <c r="O210" i="41"/>
  <c r="O27" i="41"/>
  <c r="M27" i="41"/>
  <c r="O45" i="41"/>
  <c r="M45" i="41"/>
  <c r="Q138" i="41"/>
  <c r="O138" i="41"/>
  <c r="M138" i="41"/>
  <c r="O120" i="41"/>
  <c r="M120" i="41"/>
  <c r="O21" i="41"/>
  <c r="M21" i="41"/>
  <c r="O30" i="41"/>
  <c r="M30" i="41"/>
  <c r="O39" i="41"/>
  <c r="M39" i="41"/>
  <c r="O48" i="41"/>
  <c r="M48" i="41"/>
  <c r="O175" i="41"/>
  <c r="M175" i="41"/>
  <c r="O341" i="41"/>
  <c r="M341" i="41"/>
  <c r="Q341" i="41"/>
  <c r="O224" i="41"/>
  <c r="M224" i="41"/>
  <c r="O233" i="41"/>
  <c r="M233" i="41"/>
  <c r="O264" i="41"/>
  <c r="M264" i="41"/>
  <c r="O312" i="41"/>
  <c r="M312" i="41"/>
  <c r="O364" i="41"/>
  <c r="M364" i="41"/>
  <c r="O12" i="41"/>
  <c r="O15" i="41"/>
  <c r="M54" i="41"/>
  <c r="M57" i="41"/>
  <c r="M60" i="41"/>
  <c r="M63" i="41"/>
  <c r="M66" i="41"/>
  <c r="M69" i="41"/>
  <c r="M72" i="41"/>
  <c r="M75" i="41"/>
  <c r="M78" i="41"/>
  <c r="M81" i="41"/>
  <c r="M84" i="41"/>
  <c r="M87" i="41"/>
  <c r="M90" i="41"/>
  <c r="M93" i="41"/>
  <c r="M96" i="41"/>
  <c r="M99" i="41"/>
  <c r="M102" i="41"/>
  <c r="M105" i="41"/>
  <c r="M108" i="41"/>
  <c r="M111" i="41"/>
  <c r="M114" i="41"/>
  <c r="M117" i="41"/>
  <c r="M122" i="41"/>
  <c r="M130" i="41"/>
  <c r="M140" i="41"/>
  <c r="M148" i="41"/>
  <c r="M158" i="41"/>
  <c r="M167" i="41"/>
  <c r="M177" i="41"/>
  <c r="M185" i="41"/>
  <c r="M237" i="41"/>
  <c r="O281" i="41"/>
  <c r="M281" i="41"/>
  <c r="O329" i="41"/>
  <c r="M329" i="41"/>
  <c r="Q329" i="41"/>
  <c r="O447" i="41"/>
  <c r="M447" i="41"/>
  <c r="O260" i="41"/>
  <c r="M260" i="41"/>
  <c r="M8" i="41"/>
  <c r="M11" i="41"/>
  <c r="M14" i="41"/>
  <c r="O143" i="41"/>
  <c r="O161" i="41"/>
  <c r="O215" i="41"/>
  <c r="O9" i="41"/>
  <c r="O125" i="41"/>
  <c r="O54" i="41"/>
  <c r="O57" i="41"/>
  <c r="O60" i="41"/>
  <c r="O63" i="41"/>
  <c r="O66" i="41"/>
  <c r="O69" i="41"/>
  <c r="O72" i="41"/>
  <c r="O75" i="41"/>
  <c r="O78" i="41"/>
  <c r="O81" i="41"/>
  <c r="O84" i="41"/>
  <c r="O87" i="41"/>
  <c r="O90" i="41"/>
  <c r="O93" i="41"/>
  <c r="O96" i="41"/>
  <c r="O99" i="41"/>
  <c r="O102" i="41"/>
  <c r="O105" i="41"/>
  <c r="O108" i="41"/>
  <c r="O111" i="41"/>
  <c r="O114" i="41"/>
  <c r="O117" i="41"/>
  <c r="M119" i="41"/>
  <c r="M127" i="41"/>
  <c r="O130" i="41"/>
  <c r="M137" i="41"/>
  <c r="M145" i="41"/>
  <c r="O148" i="41"/>
  <c r="M155" i="41"/>
  <c r="M163" i="41"/>
  <c r="O167" i="41"/>
  <c r="M174" i="41"/>
  <c r="M182" i="41"/>
  <c r="O185" i="41"/>
  <c r="M192" i="41"/>
  <c r="M207" i="41"/>
  <c r="M219" i="41"/>
  <c r="O300" i="41"/>
  <c r="M300" i="41"/>
  <c r="O122" i="41"/>
  <c r="M132" i="41"/>
  <c r="O135" i="41"/>
  <c r="O140" i="41"/>
  <c r="M150" i="41"/>
  <c r="O153" i="41"/>
  <c r="O158" i="41"/>
  <c r="Q161" i="41"/>
  <c r="Q166" i="41"/>
  <c r="M169" i="41"/>
  <c r="O172" i="41"/>
  <c r="O177" i="41"/>
  <c r="M187" i="41"/>
  <c r="O190" i="41"/>
  <c r="O195" i="41"/>
  <c r="O197" i="41"/>
  <c r="O209" i="41"/>
  <c r="M209" i="41"/>
  <c r="O245" i="41"/>
  <c r="M245" i="41"/>
  <c r="M249" i="41"/>
  <c r="O269" i="41"/>
  <c r="M269" i="41"/>
  <c r="O317" i="41"/>
  <c r="M317" i="41"/>
  <c r="O352" i="41"/>
  <c r="M352" i="41"/>
  <c r="M231" i="41"/>
  <c r="F5" i="41"/>
  <c r="O194" i="41"/>
  <c r="O207" i="41"/>
  <c r="O228" i="41"/>
  <c r="O234" i="41"/>
  <c r="O251" i="41"/>
  <c r="O8" i="41"/>
  <c r="O132" i="41"/>
  <c r="Q140" i="41"/>
  <c r="O150" i="41"/>
  <c r="Q162" i="41"/>
  <c r="O169" i="41"/>
  <c r="O187" i="41"/>
  <c r="M230" i="41"/>
  <c r="O255" i="41"/>
  <c r="O288" i="41"/>
  <c r="M288" i="41"/>
  <c r="O336" i="41"/>
  <c r="M336" i="41"/>
  <c r="O369" i="41"/>
  <c r="M369" i="41"/>
  <c r="O384" i="41"/>
  <c r="M384" i="41"/>
  <c r="O11" i="41"/>
  <c r="M121" i="41"/>
  <c r="M131" i="41"/>
  <c r="M139" i="41"/>
  <c r="M149" i="41"/>
  <c r="M157" i="41"/>
  <c r="M168" i="41"/>
  <c r="M176" i="41"/>
  <c r="M186" i="41"/>
  <c r="M194" i="41"/>
  <c r="O201" i="41"/>
  <c r="O206" i="41"/>
  <c r="M206" i="41"/>
  <c r="M251" i="41"/>
  <c r="O305" i="41"/>
  <c r="M305" i="41"/>
  <c r="O134" i="41"/>
  <c r="O152" i="41"/>
  <c r="O227" i="41"/>
  <c r="M227" i="41"/>
  <c r="M128" i="41"/>
  <c r="M146" i="41"/>
  <c r="M165" i="41"/>
  <c r="M183" i="41"/>
  <c r="O276" i="41"/>
  <c r="M276" i="41"/>
  <c r="O324" i="41"/>
  <c r="M324" i="41"/>
  <c r="O357" i="41"/>
  <c r="M357" i="41"/>
  <c r="O218" i="41"/>
  <c r="O254" i="41"/>
  <c r="O272" i="41"/>
  <c r="M272" i="41"/>
  <c r="O284" i="41"/>
  <c r="M284" i="41"/>
  <c r="O296" i="41"/>
  <c r="M296" i="41"/>
  <c r="O308" i="41"/>
  <c r="M308" i="41"/>
  <c r="O320" i="41"/>
  <c r="M320" i="41"/>
  <c r="O332" i="41"/>
  <c r="M332" i="41"/>
  <c r="O344" i="41"/>
  <c r="M344" i="41"/>
  <c r="O360" i="41"/>
  <c r="M360" i="41"/>
  <c r="O370" i="41"/>
  <c r="M388" i="41"/>
  <c r="O388" i="41"/>
  <c r="O408" i="41"/>
  <c r="M481" i="41"/>
  <c r="O481" i="41"/>
  <c r="O367" i="41"/>
  <c r="O203" i="41"/>
  <c r="O239" i="41"/>
  <c r="M382" i="41"/>
  <c r="O382" i="41"/>
  <c r="M445" i="41"/>
  <c r="O445" i="41"/>
  <c r="O200" i="41"/>
  <c r="O236" i="41"/>
  <c r="O266" i="41"/>
  <c r="M266" i="41"/>
  <c r="O278" i="41"/>
  <c r="M278" i="41"/>
  <c r="O290" i="41"/>
  <c r="M290" i="41"/>
  <c r="O302" i="41"/>
  <c r="M302" i="41"/>
  <c r="O314" i="41"/>
  <c r="M314" i="41"/>
  <c r="O326" i="41"/>
  <c r="M326" i="41"/>
  <c r="O338" i="41"/>
  <c r="M338" i="41"/>
  <c r="O354" i="41"/>
  <c r="M354" i="41"/>
  <c r="O366" i="41"/>
  <c r="M366" i="41"/>
  <c r="O387" i="41"/>
  <c r="M387" i="41"/>
  <c r="M397" i="41"/>
  <c r="O399" i="41"/>
  <c r="M385" i="41"/>
  <c r="O385" i="41"/>
  <c r="O391" i="41"/>
  <c r="M255" i="41"/>
  <c r="O263" i="41"/>
  <c r="M263" i="41"/>
  <c r="O275" i="41"/>
  <c r="M275" i="41"/>
  <c r="O287" i="41"/>
  <c r="M287" i="41"/>
  <c r="O299" i="41"/>
  <c r="M299" i="41"/>
  <c r="O311" i="41"/>
  <c r="M311" i="41"/>
  <c r="O323" i="41"/>
  <c r="M323" i="41"/>
  <c r="O335" i="41"/>
  <c r="M335" i="41"/>
  <c r="O351" i="41"/>
  <c r="M351" i="41"/>
  <c r="O363" i="41"/>
  <c r="M363" i="41"/>
  <c r="O483" i="41"/>
  <c r="M483" i="41"/>
  <c r="O221" i="41"/>
  <c r="O257" i="41"/>
  <c r="M270" i="41"/>
  <c r="M282" i="41"/>
  <c r="M294" i="41"/>
  <c r="M306" i="41"/>
  <c r="M318" i="41"/>
  <c r="M330" i="41"/>
  <c r="M342" i="41"/>
  <c r="M358" i="41"/>
  <c r="O372" i="41"/>
  <c r="O381" i="41"/>
  <c r="Q414" i="41"/>
  <c r="O414" i="41"/>
  <c r="M414" i="41"/>
  <c r="O451" i="41"/>
  <c r="M418" i="41"/>
  <c r="M424" i="41"/>
  <c r="O426" i="41"/>
  <c r="M426" i="41"/>
  <c r="M460" i="41"/>
  <c r="O462" i="41"/>
  <c r="M462" i="41"/>
  <c r="M496" i="41"/>
  <c r="O547" i="41"/>
  <c r="M547" i="41"/>
  <c r="M403" i="41"/>
  <c r="O420" i="41"/>
  <c r="M439" i="41"/>
  <c r="O441" i="41"/>
  <c r="M441" i="41"/>
  <c r="M458" i="41"/>
  <c r="M475" i="41"/>
  <c r="O477" i="41"/>
  <c r="M477" i="41"/>
  <c r="O405" i="41"/>
  <c r="M454" i="41"/>
  <c r="O456" i="41"/>
  <c r="M456" i="41"/>
  <c r="M490" i="41"/>
  <c r="O492" i="41"/>
  <c r="M492" i="41"/>
  <c r="O390" i="41"/>
  <c r="M409" i="41"/>
  <c r="O418" i="41"/>
  <c r="M420" i="41"/>
  <c r="O424" i="41"/>
  <c r="M433" i="41"/>
  <c r="O435" i="41"/>
  <c r="M435" i="41"/>
  <c r="O460" i="41"/>
  <c r="M469" i="41"/>
  <c r="O471" i="41"/>
  <c r="M471" i="41"/>
  <c r="O496" i="41"/>
  <c r="O403" i="41"/>
  <c r="M405" i="41"/>
  <c r="O411" i="41"/>
  <c r="O439" i="41"/>
  <c r="M448" i="41"/>
  <c r="O450" i="41"/>
  <c r="M450" i="41"/>
  <c r="M467" i="41"/>
  <c r="O475" i="41"/>
  <c r="M484" i="41"/>
  <c r="Q486" i="41"/>
  <c r="O486" i="41"/>
  <c r="M486" i="41"/>
  <c r="M379" i="41"/>
  <c r="O396" i="41"/>
  <c r="M415" i="41"/>
  <c r="M427" i="41"/>
  <c r="O429" i="41"/>
  <c r="M429" i="41"/>
  <c r="M446" i="41"/>
  <c r="O454" i="41"/>
  <c r="M463" i="41"/>
  <c r="Q463" i="41"/>
  <c r="Q465" i="41"/>
  <c r="O465" i="41"/>
  <c r="M465" i="41"/>
  <c r="O490" i="41"/>
  <c r="M548" i="41"/>
  <c r="O550" i="41"/>
  <c r="M550" i="41"/>
  <c r="M400" i="41"/>
  <c r="O417" i="41"/>
  <c r="M442" i="41"/>
  <c r="O444" i="41"/>
  <c r="M444" i="41"/>
  <c r="M478" i="41"/>
  <c r="O480" i="41"/>
  <c r="M480" i="41"/>
  <c r="O402" i="41"/>
  <c r="M421" i="41"/>
  <c r="O423" i="41"/>
  <c r="M423" i="41"/>
  <c r="M457" i="41"/>
  <c r="O459" i="41"/>
  <c r="M459" i="41"/>
  <c r="M493" i="41"/>
  <c r="O495" i="41"/>
  <c r="M495" i="41"/>
  <c r="M406" i="41"/>
  <c r="M436" i="41"/>
  <c r="O438" i="41"/>
  <c r="M438" i="41"/>
  <c r="M455" i="41"/>
  <c r="M472" i="41"/>
  <c r="O474" i="41"/>
  <c r="M474" i="41"/>
  <c r="O442" i="41"/>
  <c r="M451" i="41"/>
  <c r="Q451" i="41"/>
  <c r="Q453" i="41"/>
  <c r="O453" i="41"/>
  <c r="M453" i="41"/>
  <c r="O478" i="41"/>
  <c r="M487" i="41"/>
  <c r="O489" i="41"/>
  <c r="M489" i="41"/>
  <c r="O378" i="41"/>
  <c r="O393" i="41"/>
  <c r="M412" i="41"/>
  <c r="O421" i="41"/>
  <c r="M430" i="41"/>
  <c r="O432" i="41"/>
  <c r="M432" i="41"/>
  <c r="M449" i="41"/>
  <c r="O457" i="41"/>
  <c r="M466" i="41"/>
  <c r="O468" i="41"/>
  <c r="M468" i="41"/>
  <c r="O493" i="41"/>
  <c r="M551" i="41"/>
  <c r="M482" i="41"/>
  <c r="M485" i="41"/>
  <c r="M488" i="41"/>
  <c r="M491" i="41"/>
  <c r="M494" i="41"/>
  <c r="M497" i="41"/>
  <c r="M549" i="41"/>
  <c r="M552" i="41"/>
  <c r="M16" i="40"/>
  <c r="K13" i="44" l="1"/>
  <c r="S526" i="40"/>
  <c r="T526" i="40" s="1"/>
  <c r="X526" i="40" s="1"/>
  <c r="S525" i="40"/>
  <c r="S526" i="58"/>
  <c r="T526" i="58" s="1"/>
  <c r="S510" i="40"/>
  <c r="S512" i="58"/>
  <c r="T512" i="58" s="1"/>
  <c r="S457" i="58"/>
  <c r="S439" i="58"/>
  <c r="T439" i="58" s="1"/>
  <c r="Z439" i="58" s="1"/>
  <c r="X537" i="58"/>
  <c r="V546" i="58"/>
  <c r="Z506" i="58"/>
  <c r="S428" i="40"/>
  <c r="S429" i="40"/>
  <c r="T429" i="40" s="1"/>
  <c r="X513" i="58"/>
  <c r="V513" i="58"/>
  <c r="S411" i="40"/>
  <c r="S412" i="40"/>
  <c r="T412" i="40" s="1"/>
  <c r="Z537" i="58"/>
  <c r="Z462" i="40"/>
  <c r="V462" i="40"/>
  <c r="S451" i="58"/>
  <c r="T451" i="58" s="1"/>
  <c r="F451" i="58" s="1"/>
  <c r="X506" i="58"/>
  <c r="Z552" i="58"/>
  <c r="V521" i="58"/>
  <c r="Z522" i="58"/>
  <c r="V525" i="58"/>
  <c r="Z463" i="40"/>
  <c r="V463" i="40"/>
  <c r="X522" i="58"/>
  <c r="X525" i="58"/>
  <c r="V552" i="58"/>
  <c r="X521" i="58"/>
  <c r="S450" i="58"/>
  <c r="T450" i="58" s="1"/>
  <c r="X450" i="58" s="1"/>
  <c r="S445" i="58"/>
  <c r="T445" i="58" s="1"/>
  <c r="F445" i="58" s="1"/>
  <c r="V509" i="58"/>
  <c r="Z538" i="58"/>
  <c r="V538" i="58"/>
  <c r="T528" i="58"/>
  <c r="X528" i="58" s="1"/>
  <c r="X546" i="58"/>
  <c r="S435" i="58"/>
  <c r="T435" i="58" s="1"/>
  <c r="X435" i="58" s="1"/>
  <c r="S419" i="58"/>
  <c r="T419" i="58" s="1"/>
  <c r="F419" i="58" s="1"/>
  <c r="V508" i="58"/>
  <c r="S452" i="58"/>
  <c r="T452" i="58" s="1"/>
  <c r="Z452" i="58" s="1"/>
  <c r="Z508" i="58"/>
  <c r="Z509" i="58"/>
  <c r="S470" i="58"/>
  <c r="T470" i="58" s="1"/>
  <c r="X470" i="58" s="1"/>
  <c r="S413" i="58"/>
  <c r="T413" i="58" s="1"/>
  <c r="V413" i="58" s="1"/>
  <c r="S486" i="58"/>
  <c r="T486" i="58" s="1"/>
  <c r="F486" i="58" s="1"/>
  <c r="S535" i="58"/>
  <c r="T535" i="58" s="1"/>
  <c r="S540" i="40"/>
  <c r="S542" i="58"/>
  <c r="T542" i="58" s="1"/>
  <c r="S487" i="40"/>
  <c r="S486" i="40"/>
  <c r="T486" i="40" s="1"/>
  <c r="S500" i="58"/>
  <c r="T500" i="58" s="1"/>
  <c r="Z500" i="58" s="1"/>
  <c r="S549" i="58"/>
  <c r="T549" i="58" s="1"/>
  <c r="S537" i="40"/>
  <c r="S539" i="58"/>
  <c r="T539" i="58" s="1"/>
  <c r="S524" i="40"/>
  <c r="S527" i="58"/>
  <c r="T527" i="58" s="1"/>
  <c r="S420" i="58"/>
  <c r="T420" i="58" s="1"/>
  <c r="F420" i="58" s="1"/>
  <c r="S517" i="40"/>
  <c r="S519" i="58"/>
  <c r="T519" i="58" s="1"/>
  <c r="S531" i="40"/>
  <c r="S533" i="58"/>
  <c r="T533" i="58" s="1"/>
  <c r="S545" i="40"/>
  <c r="S547" i="58"/>
  <c r="T547" i="58" s="1"/>
  <c r="S515" i="40"/>
  <c r="S517" i="58"/>
  <c r="T517" i="58" s="1"/>
  <c r="S516" i="40"/>
  <c r="S518" i="58"/>
  <c r="T518" i="58" s="1"/>
  <c r="S407" i="58"/>
  <c r="T407" i="58" s="1"/>
  <c r="Z407" i="58" s="1"/>
  <c r="S416" i="58"/>
  <c r="T416" i="58" s="1"/>
  <c r="Z416" i="58" s="1"/>
  <c r="S534" i="40"/>
  <c r="S536" i="58"/>
  <c r="T536" i="58" s="1"/>
  <c r="S527" i="40"/>
  <c r="S529" i="58"/>
  <c r="T529" i="58" s="1"/>
  <c r="S508" i="40"/>
  <c r="S510" i="58"/>
  <c r="T510" i="58" s="1"/>
  <c r="S485" i="58"/>
  <c r="T485" i="58" s="1"/>
  <c r="X485" i="58" s="1"/>
  <c r="S534" i="58"/>
  <c r="T534" i="58" s="1"/>
  <c r="S483" i="58"/>
  <c r="T483" i="58" s="1"/>
  <c r="X483" i="58" s="1"/>
  <c r="S530" i="58"/>
  <c r="T530" i="58" s="1"/>
  <c r="S478" i="58"/>
  <c r="T478" i="58" s="1"/>
  <c r="X478" i="58" s="1"/>
  <c r="S524" i="58"/>
  <c r="T524" i="58" s="1"/>
  <c r="S548" i="40"/>
  <c r="S550" i="58"/>
  <c r="T550" i="58" s="1"/>
  <c r="S518" i="40"/>
  <c r="S520" i="58"/>
  <c r="T520" i="58" s="1"/>
  <c r="S549" i="40"/>
  <c r="S551" i="58"/>
  <c r="T551" i="58" s="1"/>
  <c r="S546" i="40"/>
  <c r="S548" i="58"/>
  <c r="T548" i="58" s="1"/>
  <c r="S542" i="40"/>
  <c r="S544" i="58"/>
  <c r="T544" i="58" s="1"/>
  <c r="S444" i="58"/>
  <c r="T444" i="58" s="1"/>
  <c r="X444" i="58" s="1"/>
  <c r="S496" i="58"/>
  <c r="T496" i="58" s="1"/>
  <c r="F496" i="58" s="1"/>
  <c r="S545" i="58"/>
  <c r="T545" i="58" s="1"/>
  <c r="S432" i="58"/>
  <c r="T432" i="58" s="1"/>
  <c r="X432" i="58" s="1"/>
  <c r="S471" i="58"/>
  <c r="T471" i="58" s="1"/>
  <c r="X471" i="58" s="1"/>
  <c r="S515" i="58"/>
  <c r="T515" i="58" s="1"/>
  <c r="S405" i="58"/>
  <c r="T405" i="58" s="1"/>
  <c r="X405" i="58" s="1"/>
  <c r="V465" i="40"/>
  <c r="Z465" i="40"/>
  <c r="X465" i="40"/>
  <c r="V484" i="40"/>
  <c r="Z484" i="40"/>
  <c r="X484" i="40"/>
  <c r="V464" i="40"/>
  <c r="X464" i="40"/>
  <c r="Z464" i="40"/>
  <c r="X466" i="40"/>
  <c r="V466" i="40"/>
  <c r="Z466" i="40"/>
  <c r="X434" i="40"/>
  <c r="V434" i="40"/>
  <c r="Z434" i="40"/>
  <c r="X435" i="40"/>
  <c r="Z435" i="40"/>
  <c r="V435" i="40"/>
  <c r="X481" i="40"/>
  <c r="Z481" i="40"/>
  <c r="V481" i="40"/>
  <c r="X461" i="40"/>
  <c r="V461" i="40"/>
  <c r="Z461" i="40"/>
  <c r="X505" i="58"/>
  <c r="Z505" i="58"/>
  <c r="X480" i="40"/>
  <c r="Z480" i="40"/>
  <c r="V480" i="40"/>
  <c r="X483" i="40"/>
  <c r="V483" i="40"/>
  <c r="Z483" i="40"/>
  <c r="V467" i="40"/>
  <c r="X467" i="40"/>
  <c r="Z467" i="40"/>
  <c r="V489" i="40"/>
  <c r="X489" i="40"/>
  <c r="Z489" i="40"/>
  <c r="Z482" i="40"/>
  <c r="X482" i="40"/>
  <c r="V482" i="40"/>
  <c r="T272" i="58"/>
  <c r="X272" i="58" s="1"/>
  <c r="T283" i="58"/>
  <c r="Z283" i="58" s="1"/>
  <c r="T287" i="58"/>
  <c r="Z287" i="58" s="1"/>
  <c r="T291" i="58"/>
  <c r="V291" i="58" s="1"/>
  <c r="S399" i="58"/>
  <c r="T399" i="58" s="1"/>
  <c r="V399" i="58" s="1"/>
  <c r="S528" i="40"/>
  <c r="S422" i="58"/>
  <c r="T422" i="58" s="1"/>
  <c r="V422" i="58" s="1"/>
  <c r="S395" i="58"/>
  <c r="T395" i="58" s="1"/>
  <c r="Z395" i="58" s="1"/>
  <c r="S495" i="58"/>
  <c r="T495" i="58" s="1"/>
  <c r="F495" i="58" s="1"/>
  <c r="S415" i="40"/>
  <c r="S436" i="58"/>
  <c r="T436" i="58" s="1"/>
  <c r="V436" i="58" s="1"/>
  <c r="S429" i="58"/>
  <c r="T429" i="58" s="1"/>
  <c r="F429" i="58" s="1"/>
  <c r="S413" i="40"/>
  <c r="S454" i="58"/>
  <c r="T454" i="58" s="1"/>
  <c r="X454" i="58" s="1"/>
  <c r="S484" i="58"/>
  <c r="T484" i="58" s="1"/>
  <c r="F484" i="58" s="1"/>
  <c r="S532" i="40"/>
  <c r="T259" i="58"/>
  <c r="V259" i="58" s="1"/>
  <c r="T219" i="58"/>
  <c r="F219" i="58" s="1"/>
  <c r="T236" i="58"/>
  <c r="X236" i="58" s="1"/>
  <c r="T211" i="58"/>
  <c r="F211" i="58" s="1"/>
  <c r="T232" i="58"/>
  <c r="F232" i="58" s="1"/>
  <c r="T239" i="58"/>
  <c r="Z239" i="58" s="1"/>
  <c r="S442" i="40"/>
  <c r="S398" i="58"/>
  <c r="T398" i="58" s="1"/>
  <c r="X398" i="58" s="1"/>
  <c r="T394" i="58"/>
  <c r="Z394" i="58" s="1"/>
  <c r="S428" i="58"/>
  <c r="T428" i="58" s="1"/>
  <c r="Z428" i="58" s="1"/>
  <c r="S403" i="58"/>
  <c r="T403" i="58" s="1"/>
  <c r="V403" i="58" s="1"/>
  <c r="S533" i="40"/>
  <c r="S475" i="58"/>
  <c r="T475" i="58" s="1"/>
  <c r="F475" i="58" s="1"/>
  <c r="S404" i="58"/>
  <c r="T404" i="58" s="1"/>
  <c r="X404" i="58" s="1"/>
  <c r="S419" i="40"/>
  <c r="S448" i="58"/>
  <c r="T448" i="58" s="1"/>
  <c r="F448" i="58" s="1"/>
  <c r="S427" i="58"/>
  <c r="T427" i="58" s="1"/>
  <c r="X427" i="58" s="1"/>
  <c r="S433" i="58"/>
  <c r="T433" i="58" s="1"/>
  <c r="F433" i="58" s="1"/>
  <c r="S522" i="40"/>
  <c r="S408" i="58"/>
  <c r="T408" i="58" s="1"/>
  <c r="X408" i="58" s="1"/>
  <c r="T230" i="58"/>
  <c r="V230" i="58" s="1"/>
  <c r="S415" i="58"/>
  <c r="T415" i="58" s="1"/>
  <c r="X415" i="58" s="1"/>
  <c r="S513" i="40"/>
  <c r="S424" i="58"/>
  <c r="T424" i="58" s="1"/>
  <c r="X424" i="58" s="1"/>
  <c r="T245" i="58"/>
  <c r="V245" i="58" s="1"/>
  <c r="T288" i="58"/>
  <c r="X288" i="58" s="1"/>
  <c r="S421" i="58"/>
  <c r="T421" i="58" s="1"/>
  <c r="Z421" i="58" s="1"/>
  <c r="S426" i="58"/>
  <c r="T426" i="58" s="1"/>
  <c r="X426" i="58" s="1"/>
  <c r="S422" i="40"/>
  <c r="S469" i="58"/>
  <c r="T469" i="58" s="1"/>
  <c r="S555" i="58"/>
  <c r="T555" i="58" s="1"/>
  <c r="F555" i="58" s="1"/>
  <c r="S449" i="58"/>
  <c r="T449" i="58" s="1"/>
  <c r="X449" i="58" s="1"/>
  <c r="S447" i="58"/>
  <c r="T447" i="58" s="1"/>
  <c r="X447" i="58" s="1"/>
  <c r="S547" i="40"/>
  <c r="S425" i="58"/>
  <c r="T425" i="58" s="1"/>
  <c r="F425" i="58" s="1"/>
  <c r="S417" i="58"/>
  <c r="T417" i="58" s="1"/>
  <c r="Z417" i="58" s="1"/>
  <c r="S455" i="40"/>
  <c r="S406" i="58"/>
  <c r="T406" i="58" s="1"/>
  <c r="V406" i="58" s="1"/>
  <c r="S401" i="58"/>
  <c r="T401" i="58" s="1"/>
  <c r="Z401" i="58" s="1"/>
  <c r="S497" i="40"/>
  <c r="S403" i="40"/>
  <c r="S473" i="58"/>
  <c r="T473" i="58" s="1"/>
  <c r="X473" i="58" s="1"/>
  <c r="S402" i="58"/>
  <c r="T402" i="58" s="1"/>
  <c r="Z402" i="58" s="1"/>
  <c r="S430" i="58"/>
  <c r="T430" i="58" s="1"/>
  <c r="V430" i="58" s="1"/>
  <c r="S474" i="58"/>
  <c r="T474" i="58" s="1"/>
  <c r="S431" i="58"/>
  <c r="T431" i="58" s="1"/>
  <c r="X431" i="58" s="1"/>
  <c r="S460" i="58"/>
  <c r="T460" i="58" s="1"/>
  <c r="X460" i="58" s="1"/>
  <c r="J168" i="47"/>
  <c r="S482" i="58"/>
  <c r="T482" i="58" s="1"/>
  <c r="V482" i="58" s="1"/>
  <c r="S432" i="40"/>
  <c r="S427" i="40"/>
  <c r="S468" i="58"/>
  <c r="T468" i="58" s="1"/>
  <c r="S499" i="58"/>
  <c r="T499" i="58" s="1"/>
  <c r="F499" i="58" s="1"/>
  <c r="S498" i="58"/>
  <c r="T498" i="58" s="1"/>
  <c r="V498" i="58" s="1"/>
  <c r="S410" i="58"/>
  <c r="T410" i="58" s="1"/>
  <c r="S480" i="58"/>
  <c r="T480" i="58" s="1"/>
  <c r="X480" i="58" s="1"/>
  <c r="S543" i="40"/>
  <c r="S458" i="58"/>
  <c r="T458" i="58" s="1"/>
  <c r="Z458" i="58" s="1"/>
  <c r="S493" i="58"/>
  <c r="T493" i="58" s="1"/>
  <c r="F493" i="58" s="1"/>
  <c r="J180" i="47"/>
  <c r="S397" i="58"/>
  <c r="T397" i="58" s="1"/>
  <c r="V397" i="58" s="1"/>
  <c r="S490" i="58"/>
  <c r="T490" i="58" s="1"/>
  <c r="F490" i="58" s="1"/>
  <c r="S554" i="58"/>
  <c r="T554" i="58" s="1"/>
  <c r="J134" i="47"/>
  <c r="S456" i="58"/>
  <c r="T456" i="58" s="1"/>
  <c r="X456" i="58" s="1"/>
  <c r="J170" i="47"/>
  <c r="S418" i="58"/>
  <c r="T418" i="58" s="1"/>
  <c r="Z418" i="58" s="1"/>
  <c r="S487" i="58"/>
  <c r="T487" i="58" s="1"/>
  <c r="X487" i="58" s="1"/>
  <c r="S396" i="58"/>
  <c r="T396" i="58" s="1"/>
  <c r="X396" i="58" s="1"/>
  <c r="S409" i="58"/>
  <c r="T409" i="58" s="1"/>
  <c r="F409" i="58" s="1"/>
  <c r="S472" i="58"/>
  <c r="T472" i="58" s="1"/>
  <c r="X472" i="58" s="1"/>
  <c r="S502" i="58"/>
  <c r="T502" i="58" s="1"/>
  <c r="X502" i="58" s="1"/>
  <c r="T481" i="58"/>
  <c r="V481" i="58" s="1"/>
  <c r="T556" i="58"/>
  <c r="X556" i="58" s="1"/>
  <c r="T203" i="58"/>
  <c r="Z203" i="58" s="1"/>
  <c r="T242" i="58"/>
  <c r="X242" i="58" s="1"/>
  <c r="T295" i="58"/>
  <c r="X295" i="58" s="1"/>
  <c r="T212" i="58"/>
  <c r="V212" i="58" s="1"/>
  <c r="T271" i="58"/>
  <c r="Z271" i="58" s="1"/>
  <c r="T235" i="58"/>
  <c r="V235" i="58" s="1"/>
  <c r="T258" i="58"/>
  <c r="X258" i="58" s="1"/>
  <c r="K18" i="58"/>
  <c r="T18" i="58" s="1"/>
  <c r="K18" i="40"/>
  <c r="T313" i="58"/>
  <c r="F313" i="58" s="1"/>
  <c r="T280" i="58"/>
  <c r="Z280" i="58" s="1"/>
  <c r="T193" i="58"/>
  <c r="X193" i="58" s="1"/>
  <c r="T306" i="58"/>
  <c r="V306" i="58" s="1"/>
  <c r="T213" i="58"/>
  <c r="F213" i="58" s="1"/>
  <c r="T225" i="58"/>
  <c r="F225" i="58" s="1"/>
  <c r="T309" i="58"/>
  <c r="X309" i="58" s="1"/>
  <c r="T300" i="58"/>
  <c r="X300" i="58" s="1"/>
  <c r="Q76" i="52"/>
  <c r="Q77" i="52" s="1"/>
  <c r="Q80" i="52" s="1"/>
  <c r="Q81" i="52" s="1"/>
  <c r="Q83" i="52" s="1"/>
  <c r="T423" i="58"/>
  <c r="V423" i="58" s="1"/>
  <c r="G9" i="44"/>
  <c r="K17" i="44"/>
  <c r="O17" i="44" s="1"/>
  <c r="F9" i="44"/>
  <c r="T411" i="58"/>
  <c r="Z411" i="58" s="1"/>
  <c r="K14" i="44"/>
  <c r="O14" i="44" s="1"/>
  <c r="T201" i="58"/>
  <c r="Z201" i="58" s="1"/>
  <c r="T220" i="58"/>
  <c r="X220" i="58" s="1"/>
  <c r="T466" i="58"/>
  <c r="X466" i="58" s="1"/>
  <c r="T284" i="58"/>
  <c r="V284" i="58" s="1"/>
  <c r="T194" i="58"/>
  <c r="V194" i="58" s="1"/>
  <c r="T467" i="58"/>
  <c r="X467" i="58" s="1"/>
  <c r="T251" i="58"/>
  <c r="Z251" i="58" s="1"/>
  <c r="T237" i="58"/>
  <c r="F237" i="58" s="1"/>
  <c r="T275" i="58"/>
  <c r="F275" i="58" s="1"/>
  <c r="T200" i="58"/>
  <c r="Z200" i="58" s="1"/>
  <c r="T274" i="58"/>
  <c r="Z274" i="58" s="1"/>
  <c r="T267" i="58"/>
  <c r="X267" i="58" s="1"/>
  <c r="T207" i="58"/>
  <c r="Z207" i="58" s="1"/>
  <c r="T119" i="58"/>
  <c r="Z119" i="58" s="1"/>
  <c r="T238" i="58"/>
  <c r="X238" i="58" s="1"/>
  <c r="T289" i="58"/>
  <c r="Z289" i="58" s="1"/>
  <c r="T305" i="58"/>
  <c r="Z305" i="58" s="1"/>
  <c r="T301" i="58"/>
  <c r="Z301" i="58" s="1"/>
  <c r="T270" i="58"/>
  <c r="V270" i="58" s="1"/>
  <c r="T261" i="58"/>
  <c r="F261" i="58" s="1"/>
  <c r="U126" i="51"/>
  <c r="T269" i="58"/>
  <c r="F269" i="58" s="1"/>
  <c r="T441" i="58"/>
  <c r="X441" i="58" s="1"/>
  <c r="T479" i="58"/>
  <c r="X479" i="58" s="1"/>
  <c r="T453" i="58"/>
  <c r="Z453" i="58" s="1"/>
  <c r="T477" i="58"/>
  <c r="V477" i="58" s="1"/>
  <c r="T120" i="58"/>
  <c r="Z120" i="58" s="1"/>
  <c r="T247" i="58"/>
  <c r="Z247" i="58" s="1"/>
  <c r="T319" i="58"/>
  <c r="X319" i="58" s="1"/>
  <c r="T273" i="58"/>
  <c r="X273" i="58" s="1"/>
  <c r="T440" i="58"/>
  <c r="F440" i="58" s="1"/>
  <c r="T226" i="58"/>
  <c r="F226" i="58" s="1"/>
  <c r="T297" i="58"/>
  <c r="F297" i="58" s="1"/>
  <c r="T204" i="58"/>
  <c r="V204" i="58" s="1"/>
  <c r="T476" i="58"/>
  <c r="X476" i="58" s="1"/>
  <c r="T457" i="58"/>
  <c r="F457" i="58" s="1"/>
  <c r="T27" i="58"/>
  <c r="X27" i="58" s="1"/>
  <c r="T263" i="58"/>
  <c r="X263" i="58" s="1"/>
  <c r="T241" i="58"/>
  <c r="Z241" i="58" s="1"/>
  <c r="T195" i="58"/>
  <c r="Z195" i="58" s="1"/>
  <c r="T196" i="58"/>
  <c r="Z196" i="58" s="1"/>
  <c r="T249" i="58"/>
  <c r="Z249" i="58" s="1"/>
  <c r="T243" i="58"/>
  <c r="F243" i="58" s="1"/>
  <c r="T260" i="58"/>
  <c r="X260" i="58" s="1"/>
  <c r="T314" i="58"/>
  <c r="F314" i="58" s="1"/>
  <c r="T279" i="58"/>
  <c r="V279" i="58" s="1"/>
  <c r="T296" i="58"/>
  <c r="F296" i="58" s="1"/>
  <c r="T191" i="58"/>
  <c r="V191" i="58" s="1"/>
  <c r="T312" i="58"/>
  <c r="Z312" i="58" s="1"/>
  <c r="T215" i="58"/>
  <c r="X215" i="58" s="1"/>
  <c r="T51" i="58"/>
  <c r="Z51" i="58" s="1"/>
  <c r="T298" i="58"/>
  <c r="V298" i="58" s="1"/>
  <c r="T53" i="58"/>
  <c r="Z53" i="58" s="1"/>
  <c r="T503" i="58"/>
  <c r="F503" i="58" s="1"/>
  <c r="T185" i="58"/>
  <c r="X185" i="58" s="1"/>
  <c r="T233" i="58"/>
  <c r="X233" i="58" s="1"/>
  <c r="T558" i="58"/>
  <c r="Z558" i="58" s="1"/>
  <c r="T254" i="58"/>
  <c r="V254" i="58" s="1"/>
  <c r="T262" i="58"/>
  <c r="Z262" i="58" s="1"/>
  <c r="T400" i="58"/>
  <c r="X400" i="58" s="1"/>
  <c r="T268" i="58"/>
  <c r="X268" i="58" s="1"/>
  <c r="T216" i="58"/>
  <c r="X216" i="58" s="1"/>
  <c r="T437" i="58"/>
  <c r="X437" i="58" s="1"/>
  <c r="T412" i="58"/>
  <c r="X412" i="58" s="1"/>
  <c r="T276" i="58"/>
  <c r="X276" i="58" s="1"/>
  <c r="T307" i="58"/>
  <c r="Z307" i="58" s="1"/>
  <c r="T446" i="58"/>
  <c r="X446" i="58" s="1"/>
  <c r="T227" i="58"/>
  <c r="Z227" i="58" s="1"/>
  <c r="T304" i="58"/>
  <c r="Z304" i="58" s="1"/>
  <c r="T442" i="58"/>
  <c r="X442" i="58" s="1"/>
  <c r="T393" i="58"/>
  <c r="V393" i="58" s="1"/>
  <c r="T222" i="58"/>
  <c r="X222" i="58" s="1"/>
  <c r="T277" i="58"/>
  <c r="V277" i="58" s="1"/>
  <c r="T218" i="58"/>
  <c r="Z218" i="58" s="1"/>
  <c r="T250" i="58"/>
  <c r="Z250" i="58" s="1"/>
  <c r="T434" i="58"/>
  <c r="X434" i="58" s="1"/>
  <c r="T256" i="58"/>
  <c r="Z256" i="58" s="1"/>
  <c r="T282" i="58"/>
  <c r="X282" i="58" s="1"/>
  <c r="T278" i="58"/>
  <c r="Z278" i="58" s="1"/>
  <c r="T246" i="58"/>
  <c r="X246" i="58" s="1"/>
  <c r="T463" i="58"/>
  <c r="F463" i="58" s="1"/>
  <c r="T217" i="58"/>
  <c r="X217" i="58" s="1"/>
  <c r="T248" i="58"/>
  <c r="X248" i="58" s="1"/>
  <c r="T214" i="58"/>
  <c r="F214" i="58" s="1"/>
  <c r="T187" i="58"/>
  <c r="V187" i="58" s="1"/>
  <c r="T205" i="58"/>
  <c r="Z205" i="58" s="1"/>
  <c r="T202" i="58"/>
  <c r="Z202" i="58" s="1"/>
  <c r="T252" i="58"/>
  <c r="V252" i="58" s="1"/>
  <c r="T557" i="58"/>
  <c r="V557" i="58" s="1"/>
  <c r="T443" i="58"/>
  <c r="Z443" i="58" s="1"/>
  <c r="T317" i="58"/>
  <c r="Z317" i="58" s="1"/>
  <c r="T29" i="58"/>
  <c r="X29" i="58" s="1"/>
  <c r="T228" i="58"/>
  <c r="Z228" i="58" s="1"/>
  <c r="T310" i="58"/>
  <c r="Z310" i="58" s="1"/>
  <c r="T299" i="58"/>
  <c r="F299" i="58" s="1"/>
  <c r="T188" i="58"/>
  <c r="V188" i="58" s="1"/>
  <c r="T25" i="58"/>
  <c r="Z25" i="58" s="1"/>
  <c r="T308" i="58"/>
  <c r="Z308" i="58" s="1"/>
  <c r="T266" i="58"/>
  <c r="X266" i="58" s="1"/>
  <c r="T234" i="58"/>
  <c r="Z234" i="58" s="1"/>
  <c r="T118" i="58"/>
  <c r="V118" i="58" s="1"/>
  <c r="T229" i="58"/>
  <c r="V229" i="58" s="1"/>
  <c r="T316" i="58"/>
  <c r="Z316" i="58" s="1"/>
  <c r="T121" i="58"/>
  <c r="X121" i="58" s="1"/>
  <c r="T303" i="58"/>
  <c r="F303" i="58" s="1"/>
  <c r="T209" i="58"/>
  <c r="X209" i="58" s="1"/>
  <c r="T189" i="58"/>
  <c r="Z189" i="58" s="1"/>
  <c r="T285" i="58"/>
  <c r="Z285" i="58" s="1"/>
  <c r="T253" i="58"/>
  <c r="F253" i="58" s="1"/>
  <c r="T315" i="58"/>
  <c r="F315" i="58" s="1"/>
  <c r="T464" i="58"/>
  <c r="X464" i="58" s="1"/>
  <c r="T186" i="58"/>
  <c r="Z186" i="58" s="1"/>
  <c r="T221" i="58"/>
  <c r="X221" i="58" s="1"/>
  <c r="T224" i="58"/>
  <c r="X224" i="58" s="1"/>
  <c r="T264" i="58"/>
  <c r="Z264" i="58" s="1"/>
  <c r="T461" i="58"/>
  <c r="X461" i="58" s="1"/>
  <c r="T438" i="58"/>
  <c r="F438" i="58" s="1"/>
  <c r="T38" i="58"/>
  <c r="F38" i="58" s="1"/>
  <c r="T231" i="58"/>
  <c r="F231" i="58" s="1"/>
  <c r="T318" i="58"/>
  <c r="X318" i="58" s="1"/>
  <c r="T123" i="58"/>
  <c r="X123" i="58" s="1"/>
  <c r="T311" i="58"/>
  <c r="X311" i="58" s="1"/>
  <c r="T290" i="58"/>
  <c r="V290" i="58" s="1"/>
  <c r="T198" i="58"/>
  <c r="X198" i="58" s="1"/>
  <c r="T286" i="58"/>
  <c r="Z286" i="58" s="1"/>
  <c r="T210" i="58"/>
  <c r="F210" i="58" s="1"/>
  <c r="T488" i="58"/>
  <c r="X488" i="58" s="1"/>
  <c r="Q16" i="44"/>
  <c r="T52" i="58"/>
  <c r="F52" i="58" s="1"/>
  <c r="T240" i="58"/>
  <c r="Z240" i="58" s="1"/>
  <c r="T414" i="58"/>
  <c r="Z414" i="58" s="1"/>
  <c r="T39" i="58"/>
  <c r="X39" i="58" s="1"/>
  <c r="T257" i="58"/>
  <c r="Z257" i="58" s="1"/>
  <c r="T294" i="58"/>
  <c r="X294" i="58" s="1"/>
  <c r="Q11" i="44"/>
  <c r="T206" i="58"/>
  <c r="V206" i="58" s="1"/>
  <c r="T302" i="58"/>
  <c r="V302" i="58" s="1"/>
  <c r="T244" i="58"/>
  <c r="X244" i="58" s="1"/>
  <c r="T197" i="58"/>
  <c r="V197" i="58" s="1"/>
  <c r="T489" i="58"/>
  <c r="V489" i="58" s="1"/>
  <c r="N82" i="40"/>
  <c r="N82" i="58"/>
  <c r="O173" i="40"/>
  <c r="O175" i="58"/>
  <c r="M10" i="44"/>
  <c r="Q153" i="58"/>
  <c r="T153" i="58" s="1"/>
  <c r="K71" i="58"/>
  <c r="T71" i="58" s="1"/>
  <c r="Z34" i="42"/>
  <c r="K35" i="58"/>
  <c r="T35" i="58" s="1"/>
  <c r="Q159" i="58"/>
  <c r="T159" i="58" s="1"/>
  <c r="X159" i="58" s="1"/>
  <c r="R10" i="46"/>
  <c r="O173" i="58"/>
  <c r="N94" i="40"/>
  <c r="N94" i="58"/>
  <c r="K68" i="58"/>
  <c r="T68" i="58" s="1"/>
  <c r="Z68" i="58" s="1"/>
  <c r="Q163" i="40"/>
  <c r="Q163" i="58"/>
  <c r="T163" i="58" s="1"/>
  <c r="K62" i="58"/>
  <c r="T62" i="58" s="1"/>
  <c r="K114" i="58"/>
  <c r="T114" i="58" s="1"/>
  <c r="K115" i="58"/>
  <c r="T115" i="58" s="1"/>
  <c r="K31" i="58"/>
  <c r="T31" i="58" s="1"/>
  <c r="Z31" i="58" s="1"/>
  <c r="T192" i="58"/>
  <c r="V192" i="58" s="1"/>
  <c r="N89" i="40"/>
  <c r="N89" i="58"/>
  <c r="K93" i="58"/>
  <c r="N93" i="40"/>
  <c r="N93" i="58"/>
  <c r="U25" i="43"/>
  <c r="N81" i="58"/>
  <c r="V77" i="42"/>
  <c r="K90" i="58"/>
  <c r="N92" i="40"/>
  <c r="N92" i="58"/>
  <c r="K58" i="58"/>
  <c r="T58" i="58" s="1"/>
  <c r="K26" i="58"/>
  <c r="T26" i="58" s="1"/>
  <c r="K69" i="58"/>
  <c r="T69" i="58" s="1"/>
  <c r="K102" i="58"/>
  <c r="T102" i="58" s="1"/>
  <c r="Z102" i="58" s="1"/>
  <c r="K86" i="58"/>
  <c r="T223" i="58"/>
  <c r="Z223" i="58" s="1"/>
  <c r="T559" i="58"/>
  <c r="V559" i="58" s="1"/>
  <c r="K101" i="58"/>
  <c r="T101" i="58" s="1"/>
  <c r="N86" i="40"/>
  <c r="N86" i="58"/>
  <c r="K60" i="58"/>
  <c r="T60" i="58" s="1"/>
  <c r="N148" i="40"/>
  <c r="N148" i="58"/>
  <c r="T148" i="58" s="1"/>
  <c r="K72" i="58"/>
  <c r="T72" i="58" s="1"/>
  <c r="N91" i="40"/>
  <c r="N91" i="58"/>
  <c r="K95" i="58"/>
  <c r="O15" i="44"/>
  <c r="Q158" i="58"/>
  <c r="T158" i="58" s="1"/>
  <c r="K66" i="58"/>
  <c r="T66" i="58" s="1"/>
  <c r="X86" i="42"/>
  <c r="K99" i="58"/>
  <c r="X67" i="42"/>
  <c r="K76" i="58"/>
  <c r="T76" i="58" s="1"/>
  <c r="T255" i="58"/>
  <c r="Z255" i="58" s="1"/>
  <c r="R16" i="57"/>
  <c r="Q156" i="40"/>
  <c r="Q156" i="58"/>
  <c r="T156" i="58" s="1"/>
  <c r="K57" i="58"/>
  <c r="T57" i="58" s="1"/>
  <c r="S34" i="43"/>
  <c r="N90" i="58"/>
  <c r="K83" i="58"/>
  <c r="X56" i="42"/>
  <c r="K65" i="58"/>
  <c r="T65" i="58" s="1"/>
  <c r="K96" i="58"/>
  <c r="K73" i="58"/>
  <c r="T73" i="58" s="1"/>
  <c r="R16" i="58"/>
  <c r="K61" i="58"/>
  <c r="T61" i="58" s="1"/>
  <c r="K24" i="58"/>
  <c r="T24" i="58" s="1"/>
  <c r="Q154" i="58"/>
  <c r="T154" i="58" s="1"/>
  <c r="F154" i="58" s="1"/>
  <c r="Q161" i="40"/>
  <c r="Q161" i="58"/>
  <c r="T161" i="58" s="1"/>
  <c r="K49" i="58"/>
  <c r="T49" i="58" s="1"/>
  <c r="V79" i="42"/>
  <c r="K92" i="58"/>
  <c r="K33" i="58"/>
  <c r="T33" i="58" s="1"/>
  <c r="T208" i="58"/>
  <c r="Z208" i="58" s="1"/>
  <c r="K98" i="58"/>
  <c r="N328" i="58"/>
  <c r="T328" i="58" s="1"/>
  <c r="O175" i="40"/>
  <c r="O177" i="58"/>
  <c r="T177" i="58" s="1"/>
  <c r="N150" i="40"/>
  <c r="N150" i="58"/>
  <c r="T150" i="58" s="1"/>
  <c r="N88" i="40"/>
  <c r="N88" i="58"/>
  <c r="K67" i="58"/>
  <c r="T67" i="58" s="1"/>
  <c r="O177" i="40"/>
  <c r="O179" i="58"/>
  <c r="T179" i="58" s="1"/>
  <c r="K55" i="58"/>
  <c r="T55" i="58" s="1"/>
  <c r="N321" i="40"/>
  <c r="N323" i="58"/>
  <c r="T323" i="58" s="1"/>
  <c r="Z323" i="58" s="1"/>
  <c r="K70" i="58"/>
  <c r="T70" i="58" s="1"/>
  <c r="V70" i="58" s="1"/>
  <c r="N99" i="40"/>
  <c r="N99" i="58"/>
  <c r="N87" i="40"/>
  <c r="N87" i="58"/>
  <c r="S502" i="40"/>
  <c r="S462" i="58"/>
  <c r="T462" i="58" s="1"/>
  <c r="K21" i="58"/>
  <c r="T21" i="58" s="1"/>
  <c r="K94" i="58"/>
  <c r="K85" i="58"/>
  <c r="K89" i="58"/>
  <c r="X36" i="42"/>
  <c r="K37" i="58"/>
  <c r="X50" i="42"/>
  <c r="K59" i="58"/>
  <c r="T59" i="58" s="1"/>
  <c r="K32" i="58"/>
  <c r="T32" i="58" s="1"/>
  <c r="N98" i="40"/>
  <c r="N98" i="58"/>
  <c r="K63" i="58"/>
  <c r="T63" i="58" s="1"/>
  <c r="V90" i="42"/>
  <c r="K103" i="58"/>
  <c r="T103" i="58" s="1"/>
  <c r="O11" i="44"/>
  <c r="N21" i="46"/>
  <c r="O184" i="58"/>
  <c r="T184" i="58" s="1"/>
  <c r="K54" i="58"/>
  <c r="T54" i="58" s="1"/>
  <c r="K88" i="58"/>
  <c r="N97" i="40"/>
  <c r="N97" i="58"/>
  <c r="N85" i="40"/>
  <c r="N85" i="58"/>
  <c r="V35" i="42"/>
  <c r="K36" i="58"/>
  <c r="T36" i="58" s="1"/>
  <c r="K75" i="58"/>
  <c r="T75" i="58" s="1"/>
  <c r="K100" i="58"/>
  <c r="T100" i="58" s="1"/>
  <c r="T190" i="58"/>
  <c r="V190" i="58" s="1"/>
  <c r="T265" i="58"/>
  <c r="Z265" i="58" s="1"/>
  <c r="T292" i="58"/>
  <c r="F292" i="58" s="1"/>
  <c r="T281" i="58"/>
  <c r="Z281" i="58" s="1"/>
  <c r="X55" i="42"/>
  <c r="K64" i="58"/>
  <c r="T64" i="58" s="1"/>
  <c r="K82" i="58"/>
  <c r="M11" i="44"/>
  <c r="K56" i="58"/>
  <c r="T56" i="58" s="1"/>
  <c r="N96" i="40"/>
  <c r="N96" i="58"/>
  <c r="N84" i="40"/>
  <c r="N84" i="58"/>
  <c r="K81" i="58"/>
  <c r="K97" i="58"/>
  <c r="K175" i="58"/>
  <c r="K48" i="58"/>
  <c r="T48" i="58" s="1"/>
  <c r="K50" i="58"/>
  <c r="T50" i="58" s="1"/>
  <c r="O16" i="44"/>
  <c r="K84" i="58"/>
  <c r="N11" i="46"/>
  <c r="O174" i="58"/>
  <c r="T174" i="58" s="1"/>
  <c r="N95" i="58"/>
  <c r="U27" i="43"/>
  <c r="N83" i="58"/>
  <c r="Q155" i="40"/>
  <c r="Q155" i="58"/>
  <c r="T155" i="58" s="1"/>
  <c r="K30" i="58"/>
  <c r="T30" i="58" s="1"/>
  <c r="Q154" i="40"/>
  <c r="O176" i="40"/>
  <c r="O178" i="58"/>
  <c r="T178" i="58" s="1"/>
  <c r="K74" i="58"/>
  <c r="T74" i="58" s="1"/>
  <c r="K91" i="58"/>
  <c r="T293" i="58"/>
  <c r="X293" i="58" s="1"/>
  <c r="X104" i="58"/>
  <c r="Z104" i="58"/>
  <c r="F104" i="58"/>
  <c r="V104" i="58"/>
  <c r="Z334" i="58"/>
  <c r="X334" i="58"/>
  <c r="F334" i="58"/>
  <c r="V334" i="58"/>
  <c r="X23" i="57"/>
  <c r="Z23" i="57"/>
  <c r="F23" i="57"/>
  <c r="V23" i="57"/>
  <c r="Z199" i="58"/>
  <c r="X199" i="58"/>
  <c r="F199" i="58"/>
  <c r="V199" i="58"/>
  <c r="V343" i="58"/>
  <c r="Z343" i="58"/>
  <c r="F343" i="58"/>
  <c r="X343" i="58"/>
  <c r="Z564" i="58"/>
  <c r="X564" i="58"/>
  <c r="F564" i="58"/>
  <c r="V564" i="58"/>
  <c r="X345" i="58"/>
  <c r="Z345" i="58"/>
  <c r="F345" i="58"/>
  <c r="V345" i="58"/>
  <c r="F386" i="58"/>
  <c r="X386" i="58"/>
  <c r="Z386" i="58"/>
  <c r="V386" i="58"/>
  <c r="Z106" i="58"/>
  <c r="F106" i="58"/>
  <c r="V106" i="58"/>
  <c r="X106" i="58"/>
  <c r="Z363" i="58"/>
  <c r="V363" i="58"/>
  <c r="X363" i="58"/>
  <c r="F363" i="58"/>
  <c r="Z379" i="58"/>
  <c r="V379" i="58"/>
  <c r="X379" i="58"/>
  <c r="F379" i="58"/>
  <c r="X352" i="58"/>
  <c r="V352" i="58"/>
  <c r="Z352" i="58"/>
  <c r="F352" i="58"/>
  <c r="Z77" i="58"/>
  <c r="X77" i="58"/>
  <c r="F77" i="58"/>
  <c r="V77" i="58"/>
  <c r="X370" i="58"/>
  <c r="V370" i="58"/>
  <c r="Z370" i="58"/>
  <c r="F370" i="58"/>
  <c r="Z141" i="58"/>
  <c r="V141" i="58"/>
  <c r="X141" i="58"/>
  <c r="F141" i="58"/>
  <c r="Z381" i="58"/>
  <c r="X381" i="58"/>
  <c r="V381" i="58"/>
  <c r="F381" i="58"/>
  <c r="Z375" i="58"/>
  <c r="X375" i="58"/>
  <c r="V375" i="58"/>
  <c r="F375" i="58"/>
  <c r="X324" i="58"/>
  <c r="F324" i="58"/>
  <c r="V324" i="58"/>
  <c r="Z324" i="58"/>
  <c r="V376" i="58"/>
  <c r="Z376" i="58"/>
  <c r="X376" i="58"/>
  <c r="F376" i="58"/>
  <c r="X171" i="58"/>
  <c r="F171" i="58"/>
  <c r="Z171" i="58"/>
  <c r="V171" i="58"/>
  <c r="X382" i="58"/>
  <c r="Z382" i="58"/>
  <c r="V382" i="58"/>
  <c r="F382" i="58"/>
  <c r="Z45" i="58"/>
  <c r="X45" i="58"/>
  <c r="V45" i="58"/>
  <c r="F45" i="58"/>
  <c r="Z145" i="58"/>
  <c r="X145" i="58"/>
  <c r="V145" i="58"/>
  <c r="F145" i="58"/>
  <c r="X327" i="58"/>
  <c r="Z327" i="58"/>
  <c r="V327" i="58"/>
  <c r="F327" i="58"/>
  <c r="Z136" i="58"/>
  <c r="X136" i="58"/>
  <c r="V136" i="58"/>
  <c r="F136" i="58"/>
  <c r="Z329" i="58"/>
  <c r="X329" i="58"/>
  <c r="F329" i="58"/>
  <c r="V329" i="58"/>
  <c r="X355" i="58"/>
  <c r="F355" i="58"/>
  <c r="Z355" i="58"/>
  <c r="V355" i="58"/>
  <c r="X346" i="58"/>
  <c r="F346" i="58"/>
  <c r="V346" i="58"/>
  <c r="Z346" i="58"/>
  <c r="X368" i="58"/>
  <c r="Z368" i="58"/>
  <c r="F368" i="58"/>
  <c r="V368" i="58"/>
  <c r="Z41" i="58"/>
  <c r="X41" i="58"/>
  <c r="F41" i="58"/>
  <c r="V41" i="58"/>
  <c r="X330" i="58"/>
  <c r="V330" i="58"/>
  <c r="Z330" i="58"/>
  <c r="F330" i="58"/>
  <c r="X152" i="58"/>
  <c r="F152" i="58"/>
  <c r="Z152" i="58"/>
  <c r="V152" i="58"/>
  <c r="X137" i="58"/>
  <c r="Z137" i="58"/>
  <c r="V137" i="58"/>
  <c r="F137" i="58"/>
  <c r="Z19" i="58"/>
  <c r="X19" i="58"/>
  <c r="V19" i="58"/>
  <c r="F19" i="58"/>
  <c r="X116" i="58"/>
  <c r="Z116" i="58"/>
  <c r="F116" i="58"/>
  <c r="V116" i="58"/>
  <c r="Z164" i="58"/>
  <c r="X164" i="58"/>
  <c r="F164" i="58"/>
  <c r="V164" i="58"/>
  <c r="X361" i="58"/>
  <c r="F361" i="58"/>
  <c r="V361" i="58"/>
  <c r="Z361" i="58"/>
  <c r="Z105" i="58"/>
  <c r="F105" i="58"/>
  <c r="V105" i="58"/>
  <c r="X105" i="58"/>
  <c r="Z387" i="58"/>
  <c r="X387" i="58"/>
  <c r="V387" i="58"/>
  <c r="F387" i="58"/>
  <c r="Z388" i="58"/>
  <c r="X388" i="58"/>
  <c r="F388" i="58"/>
  <c r="V388" i="58"/>
  <c r="X132" i="58"/>
  <c r="V132" i="58"/>
  <c r="Z132" i="58"/>
  <c r="F132" i="58"/>
  <c r="Z325" i="58"/>
  <c r="X325" i="58"/>
  <c r="V325" i="58"/>
  <c r="F325" i="58"/>
  <c r="X377" i="58"/>
  <c r="Z377" i="58"/>
  <c r="V377" i="58"/>
  <c r="F377" i="58"/>
  <c r="X42" i="58"/>
  <c r="F42" i="58"/>
  <c r="Z42" i="58"/>
  <c r="V42" i="58"/>
  <c r="V109" i="58"/>
  <c r="Z109" i="58"/>
  <c r="X109" i="58"/>
  <c r="F109" i="58"/>
  <c r="Z350" i="58"/>
  <c r="X350" i="58"/>
  <c r="V350" i="58"/>
  <c r="F350" i="58"/>
  <c r="V146" i="58"/>
  <c r="X146" i="58"/>
  <c r="F146" i="58"/>
  <c r="Z146" i="58"/>
  <c r="F339" i="58"/>
  <c r="V339" i="58"/>
  <c r="X339" i="58"/>
  <c r="Z339" i="58"/>
  <c r="X391" i="58"/>
  <c r="V391" i="58"/>
  <c r="Z391" i="58"/>
  <c r="F391" i="58"/>
  <c r="X149" i="58"/>
  <c r="F149" i="58"/>
  <c r="V149" i="58"/>
  <c r="Z149" i="58"/>
  <c r="Z341" i="58"/>
  <c r="V341" i="58"/>
  <c r="X341" i="58"/>
  <c r="F341" i="58"/>
  <c r="X390" i="58"/>
  <c r="Z390" i="58"/>
  <c r="V390" i="58"/>
  <c r="F390" i="58"/>
  <c r="X134" i="58"/>
  <c r="Z134" i="58"/>
  <c r="V134" i="58"/>
  <c r="F134" i="58"/>
  <c r="V356" i="58"/>
  <c r="Z356" i="58"/>
  <c r="F356" i="58"/>
  <c r="X356" i="58"/>
  <c r="Z131" i="58"/>
  <c r="F131" i="58"/>
  <c r="V131" i="58"/>
  <c r="X131" i="58"/>
  <c r="X336" i="58"/>
  <c r="V336" i="58"/>
  <c r="Z336" i="58"/>
  <c r="F336" i="58"/>
  <c r="V135" i="58"/>
  <c r="Z135" i="58"/>
  <c r="F135" i="58"/>
  <c r="X135" i="58"/>
  <c r="X380" i="58"/>
  <c r="V380" i="58"/>
  <c r="Z380" i="58"/>
  <c r="F380" i="58"/>
  <c r="J28" i="40"/>
  <c r="J16" i="40" s="1"/>
  <c r="J28" i="58"/>
  <c r="F40" i="58"/>
  <c r="V40" i="58"/>
  <c r="X40" i="58"/>
  <c r="Z40" i="58"/>
  <c r="X151" i="58"/>
  <c r="Z151" i="58"/>
  <c r="V151" i="58"/>
  <c r="F151" i="58"/>
  <c r="Z78" i="58"/>
  <c r="F78" i="58"/>
  <c r="V78" i="58"/>
  <c r="X78" i="58"/>
  <c r="X126" i="58"/>
  <c r="V126" i="58"/>
  <c r="Z126" i="58"/>
  <c r="F126" i="58"/>
  <c r="X371" i="58"/>
  <c r="Z371" i="58"/>
  <c r="V371" i="58"/>
  <c r="F371" i="58"/>
  <c r="F34" i="58"/>
  <c r="Z34" i="58"/>
  <c r="X34" i="58"/>
  <c r="V34" i="58"/>
  <c r="X130" i="58"/>
  <c r="F130" i="58"/>
  <c r="Z130" i="58"/>
  <c r="V130" i="58"/>
  <c r="Z335" i="58"/>
  <c r="X335" i="58"/>
  <c r="F335" i="58"/>
  <c r="V335" i="58"/>
  <c r="F21" i="57"/>
  <c r="Z21" i="57"/>
  <c r="X21" i="57"/>
  <c r="V21" i="57"/>
  <c r="Z342" i="58"/>
  <c r="X342" i="58"/>
  <c r="F342" i="58"/>
  <c r="V342" i="58"/>
  <c r="Z80" i="58"/>
  <c r="X80" i="58"/>
  <c r="F80" i="58"/>
  <c r="V80" i="58"/>
  <c r="V128" i="58"/>
  <c r="X128" i="58"/>
  <c r="Z128" i="58"/>
  <c r="F128" i="58"/>
  <c r="V321" i="58"/>
  <c r="Z321" i="58"/>
  <c r="F321" i="58"/>
  <c r="X321" i="58"/>
  <c r="Z373" i="58"/>
  <c r="V373" i="58"/>
  <c r="X373" i="58"/>
  <c r="F373" i="58"/>
  <c r="X165" i="58"/>
  <c r="F165" i="58"/>
  <c r="V165" i="58"/>
  <c r="Z165" i="58"/>
  <c r="Z362" i="58"/>
  <c r="F362" i="58"/>
  <c r="X362" i="58"/>
  <c r="V362" i="58"/>
  <c r="V144" i="58"/>
  <c r="Z144" i="58"/>
  <c r="X144" i="58"/>
  <c r="F144" i="58"/>
  <c r="X337" i="58"/>
  <c r="Z337" i="58"/>
  <c r="F337" i="58"/>
  <c r="V337" i="58"/>
  <c r="V389" i="58"/>
  <c r="X389" i="58"/>
  <c r="Z389" i="58"/>
  <c r="F389" i="58"/>
  <c r="V169" i="58"/>
  <c r="Z169" i="58"/>
  <c r="X169" i="58"/>
  <c r="F169" i="58"/>
  <c r="Z366" i="58"/>
  <c r="V366" i="58"/>
  <c r="X366" i="58"/>
  <c r="F366" i="58"/>
  <c r="F110" i="58"/>
  <c r="V110" i="58"/>
  <c r="X110" i="58"/>
  <c r="Z110" i="58"/>
  <c r="Z351" i="58"/>
  <c r="X351" i="58"/>
  <c r="V351" i="58"/>
  <c r="F351" i="58"/>
  <c r="Z392" i="58"/>
  <c r="X392" i="58"/>
  <c r="F392" i="58"/>
  <c r="V392" i="58"/>
  <c r="F561" i="58"/>
  <c r="Z561" i="58"/>
  <c r="X561" i="58"/>
  <c r="V561" i="58"/>
  <c r="F563" i="58"/>
  <c r="V563" i="58"/>
  <c r="X563" i="58"/>
  <c r="Z563" i="58"/>
  <c r="F112" i="58"/>
  <c r="V112" i="58"/>
  <c r="Z112" i="58"/>
  <c r="X112" i="58"/>
  <c r="Z353" i="58"/>
  <c r="X353" i="58"/>
  <c r="V353" i="58"/>
  <c r="F353" i="58"/>
  <c r="V344" i="58"/>
  <c r="Z344" i="58"/>
  <c r="F344" i="58"/>
  <c r="X344" i="58"/>
  <c r="X79" i="58"/>
  <c r="V79" i="58"/>
  <c r="Z79" i="58"/>
  <c r="F79" i="58"/>
  <c r="Z127" i="58"/>
  <c r="F127" i="58"/>
  <c r="V127" i="58"/>
  <c r="X127" i="58"/>
  <c r="X320" i="58"/>
  <c r="F320" i="58"/>
  <c r="V320" i="58"/>
  <c r="Z320" i="58"/>
  <c r="Z372" i="58"/>
  <c r="X372" i="58"/>
  <c r="V372" i="58"/>
  <c r="F372" i="58"/>
  <c r="Z331" i="58"/>
  <c r="X331" i="58"/>
  <c r="V331" i="58"/>
  <c r="F331" i="58"/>
  <c r="Z47" i="58"/>
  <c r="V47" i="58"/>
  <c r="F47" i="58"/>
  <c r="X47" i="58"/>
  <c r="X143" i="58"/>
  <c r="Z143" i="58"/>
  <c r="F143" i="58"/>
  <c r="V143" i="58"/>
  <c r="X348" i="58"/>
  <c r="V348" i="58"/>
  <c r="Z348" i="58"/>
  <c r="F348" i="58"/>
  <c r="X147" i="58"/>
  <c r="V147" i="58"/>
  <c r="F147" i="58"/>
  <c r="Z147" i="58"/>
  <c r="X138" i="58"/>
  <c r="Z138" i="58"/>
  <c r="F138" i="58"/>
  <c r="V138" i="58"/>
  <c r="X383" i="58"/>
  <c r="Z383" i="58"/>
  <c r="F383" i="58"/>
  <c r="V383" i="58"/>
  <c r="Z385" i="58"/>
  <c r="X385" i="58"/>
  <c r="V385" i="58"/>
  <c r="F385" i="58"/>
  <c r="X374" i="58"/>
  <c r="Z374" i="58"/>
  <c r="F374" i="58"/>
  <c r="V374" i="58"/>
  <c r="V46" i="58"/>
  <c r="Z46" i="58"/>
  <c r="X46" i="58"/>
  <c r="F46" i="58"/>
  <c r="Z142" i="58"/>
  <c r="X142" i="58"/>
  <c r="V142" i="58"/>
  <c r="F142" i="58"/>
  <c r="X347" i="58"/>
  <c r="F347" i="58"/>
  <c r="Z347" i="58"/>
  <c r="V347" i="58"/>
  <c r="Z378" i="58"/>
  <c r="X378" i="58"/>
  <c r="F378" i="58"/>
  <c r="V378" i="58"/>
  <c r="X22" i="57"/>
  <c r="Z22" i="57"/>
  <c r="F22" i="57"/>
  <c r="V22" i="57"/>
  <c r="F560" i="58"/>
  <c r="Z560" i="58"/>
  <c r="X560" i="58"/>
  <c r="V560" i="58"/>
  <c r="X340" i="58"/>
  <c r="V340" i="58"/>
  <c r="F340" i="58"/>
  <c r="Z340" i="58"/>
  <c r="F113" i="58"/>
  <c r="V113" i="58"/>
  <c r="X113" i="58"/>
  <c r="Z113" i="58"/>
  <c r="F354" i="58"/>
  <c r="Z354" i="58"/>
  <c r="X354" i="58"/>
  <c r="V354" i="58"/>
  <c r="X24" i="57"/>
  <c r="Z24" i="57"/>
  <c r="F24" i="57"/>
  <c r="K14" i="57" s="1"/>
  <c r="V24" i="57"/>
  <c r="Z562" i="58"/>
  <c r="V562" i="58"/>
  <c r="X562" i="58"/>
  <c r="F562" i="58"/>
  <c r="X365" i="58"/>
  <c r="Z365" i="58"/>
  <c r="V365" i="58"/>
  <c r="F365" i="58"/>
  <c r="Z384" i="58"/>
  <c r="X384" i="58"/>
  <c r="F384" i="58"/>
  <c r="V384" i="58"/>
  <c r="X44" i="58"/>
  <c r="F44" i="58"/>
  <c r="Z44" i="58"/>
  <c r="V44" i="58"/>
  <c r="X140" i="58"/>
  <c r="Z140" i="58"/>
  <c r="F140" i="58"/>
  <c r="V140" i="58"/>
  <c r="F333" i="58"/>
  <c r="Z333" i="58"/>
  <c r="X333" i="58"/>
  <c r="V333" i="58"/>
  <c r="X129" i="58"/>
  <c r="V129" i="58"/>
  <c r="Z129" i="58"/>
  <c r="F129" i="58"/>
  <c r="Z322" i="58"/>
  <c r="X322" i="58"/>
  <c r="F322" i="58"/>
  <c r="V322" i="58"/>
  <c r="Z364" i="58"/>
  <c r="F364" i="58"/>
  <c r="X364" i="58"/>
  <c r="V364" i="58"/>
  <c r="Z108" i="58"/>
  <c r="F108" i="58"/>
  <c r="V108" i="58"/>
  <c r="X108" i="58"/>
  <c r="X349" i="58"/>
  <c r="V349" i="58"/>
  <c r="Z349" i="58"/>
  <c r="F349" i="58"/>
  <c r="Z133" i="58"/>
  <c r="V133" i="58"/>
  <c r="X133" i="58"/>
  <c r="F133" i="58"/>
  <c r="Z326" i="58"/>
  <c r="F326" i="58"/>
  <c r="X326" i="58"/>
  <c r="V326" i="58"/>
  <c r="X122" i="58"/>
  <c r="Z122" i="58"/>
  <c r="F122" i="58"/>
  <c r="V122" i="58"/>
  <c r="X170" i="58"/>
  <c r="F170" i="58"/>
  <c r="V170" i="58"/>
  <c r="Z170" i="58"/>
  <c r="V367" i="58"/>
  <c r="Z367" i="58"/>
  <c r="X367" i="58"/>
  <c r="F367" i="58"/>
  <c r="Z124" i="58"/>
  <c r="X124" i="58"/>
  <c r="V124" i="58"/>
  <c r="F124" i="58"/>
  <c r="Z172" i="58"/>
  <c r="X172" i="58"/>
  <c r="F172" i="58"/>
  <c r="V172" i="58"/>
  <c r="Z369" i="58"/>
  <c r="X369" i="58"/>
  <c r="V369" i="58"/>
  <c r="F369" i="58"/>
  <c r="X23" i="58"/>
  <c r="Z23" i="58"/>
  <c r="V23" i="58"/>
  <c r="F23" i="58"/>
  <c r="Z338" i="58"/>
  <c r="V338" i="58"/>
  <c r="X338" i="58"/>
  <c r="F338" i="58"/>
  <c r="Z43" i="58"/>
  <c r="V43" i="58"/>
  <c r="X43" i="58"/>
  <c r="F43" i="58"/>
  <c r="X139" i="58"/>
  <c r="F139" i="58"/>
  <c r="Z139" i="58"/>
  <c r="V139" i="58"/>
  <c r="V332" i="58"/>
  <c r="X332" i="58"/>
  <c r="F332" i="58"/>
  <c r="Z332" i="58"/>
  <c r="X107" i="58"/>
  <c r="V107" i="58"/>
  <c r="Z107" i="58"/>
  <c r="F107" i="58"/>
  <c r="V111" i="58"/>
  <c r="Z111" i="58"/>
  <c r="X111" i="58"/>
  <c r="F111" i="58"/>
  <c r="X125" i="58"/>
  <c r="Z125" i="58"/>
  <c r="F125" i="58"/>
  <c r="V125" i="58"/>
  <c r="R12" i="46"/>
  <c r="Q10" i="44"/>
  <c r="N15" i="46"/>
  <c r="S40" i="43"/>
  <c r="S28" i="43"/>
  <c r="R15" i="46"/>
  <c r="P15" i="46"/>
  <c r="U40" i="43"/>
  <c r="V21" i="42"/>
  <c r="N10" i="46"/>
  <c r="U41" i="43"/>
  <c r="P128" i="47"/>
  <c r="P10" i="46"/>
  <c r="F29" i="42"/>
  <c r="L20" i="46"/>
  <c r="N20" i="46" s="1"/>
  <c r="Z41" i="42"/>
  <c r="T74" i="42"/>
  <c r="Z59" i="42"/>
  <c r="Q16" i="41"/>
  <c r="Q554" i="41" s="1"/>
  <c r="U33" i="43"/>
  <c r="Z45" i="42"/>
  <c r="V68" i="42"/>
  <c r="M16" i="41"/>
  <c r="M554" i="41" s="1"/>
  <c r="M555" i="41" s="1"/>
  <c r="X68" i="42"/>
  <c r="S27" i="43"/>
  <c r="G9" i="46"/>
  <c r="Z53" i="42"/>
  <c r="O10" i="44"/>
  <c r="N12" i="46"/>
  <c r="O16" i="41"/>
  <c r="O554" i="41" s="1"/>
  <c r="O555" i="41" s="1"/>
  <c r="O558" i="41" s="1"/>
  <c r="X35" i="42"/>
  <c r="U35" i="43"/>
  <c r="M18" i="44"/>
  <c r="P14" i="46"/>
  <c r="Q18" i="44"/>
  <c r="O18" i="44"/>
  <c r="O12" i="44"/>
  <c r="Q12" i="44"/>
  <c r="M12" i="44"/>
  <c r="U36" i="43"/>
  <c r="S35" i="43"/>
  <c r="Z46" i="42"/>
  <c r="V53" i="42"/>
  <c r="V51" i="42"/>
  <c r="Z75" i="42"/>
  <c r="X51" i="42"/>
  <c r="V50" i="42"/>
  <c r="Z62" i="42"/>
  <c r="X62" i="42"/>
  <c r="V62" i="42"/>
  <c r="Z50" i="42"/>
  <c r="Z52" i="42"/>
  <c r="X53" i="42"/>
  <c r="V55" i="42"/>
  <c r="V52" i="42"/>
  <c r="X52" i="42"/>
  <c r="Z82" i="42"/>
  <c r="Z54" i="42"/>
  <c r="X54" i="42"/>
  <c r="V69" i="42"/>
  <c r="V54" i="42"/>
  <c r="X81" i="42"/>
  <c r="V81" i="42"/>
  <c r="V67" i="42"/>
  <c r="Z23" i="42"/>
  <c r="Z81" i="42"/>
  <c r="Z68" i="42"/>
  <c r="X90" i="42"/>
  <c r="X79" i="42"/>
  <c r="X63" i="42"/>
  <c r="V86" i="42"/>
  <c r="X93" i="42"/>
  <c r="V93" i="42"/>
  <c r="Z66" i="42"/>
  <c r="V66" i="42"/>
  <c r="Q15" i="44"/>
  <c r="V63" i="42"/>
  <c r="X82" i="42"/>
  <c r="S33" i="43"/>
  <c r="V33" i="42"/>
  <c r="J24" i="43"/>
  <c r="W29" i="43"/>
  <c r="X33" i="42"/>
  <c r="U43" i="43"/>
  <c r="S29" i="43"/>
  <c r="X48" i="42"/>
  <c r="W33" i="43"/>
  <c r="Z33" i="42"/>
  <c r="Z70" i="42"/>
  <c r="W42" i="43"/>
  <c r="U29" i="43"/>
  <c r="Z93" i="42"/>
  <c r="Z31" i="42"/>
  <c r="Z65" i="42"/>
  <c r="X69" i="42"/>
  <c r="X23" i="42"/>
  <c r="Z63" i="42"/>
  <c r="V82" i="42"/>
  <c r="S42" i="43"/>
  <c r="V32" i="42"/>
  <c r="Z51" i="42"/>
  <c r="U42" i="43"/>
  <c r="W32" i="43"/>
  <c r="L24" i="43"/>
  <c r="V31" i="42"/>
  <c r="Q19" i="44"/>
  <c r="W49" i="43"/>
  <c r="V23" i="42"/>
  <c r="X32" i="42"/>
  <c r="Z25" i="42"/>
  <c r="V59" i="42"/>
  <c r="X89" i="42"/>
  <c r="X78" i="42"/>
  <c r="X49" i="42"/>
  <c r="V58" i="42"/>
  <c r="X84" i="42"/>
  <c r="W31" i="43"/>
  <c r="M13" i="44"/>
  <c r="V25" i="42"/>
  <c r="Z78" i="42"/>
  <c r="Z49" i="42"/>
  <c r="X58" i="42"/>
  <c r="Z84" i="42"/>
  <c r="I24" i="43"/>
  <c r="W36" i="43"/>
  <c r="S30" i="43"/>
  <c r="O19" i="44"/>
  <c r="Z57" i="42"/>
  <c r="X25" i="42"/>
  <c r="X88" i="42"/>
  <c r="V60" i="42"/>
  <c r="V78" i="42"/>
  <c r="V49" i="42"/>
  <c r="X71" i="42"/>
  <c r="W45" i="43"/>
  <c r="W35" i="43"/>
  <c r="W30" i="43"/>
  <c r="X60" i="42"/>
  <c r="Z58" i="42"/>
  <c r="Z32" i="42"/>
  <c r="Z60" i="42"/>
  <c r="X66" i="42"/>
  <c r="W43" i="43"/>
  <c r="Z89" i="42"/>
  <c r="Z69" i="42"/>
  <c r="V46" i="42"/>
  <c r="O13" i="44"/>
  <c r="S31" i="43"/>
  <c r="V72" i="42"/>
  <c r="V89" i="42"/>
  <c r="X94" i="42"/>
  <c r="X64" i="42"/>
  <c r="V27" i="42"/>
  <c r="V84" i="42"/>
  <c r="W40" i="43"/>
  <c r="U31" i="43"/>
  <c r="Q13" i="44"/>
  <c r="N14" i="46"/>
  <c r="X76" i="42"/>
  <c r="S25" i="43"/>
  <c r="R14" i="46"/>
  <c r="Z76" i="42"/>
  <c r="Z80" i="42"/>
  <c r="O171" i="40"/>
  <c r="V30" i="42"/>
  <c r="Z85" i="42"/>
  <c r="X61" i="42"/>
  <c r="V80" i="42"/>
  <c r="V83" i="42"/>
  <c r="W38" i="43"/>
  <c r="X57" i="42"/>
  <c r="X41" i="42"/>
  <c r="Z61" i="42"/>
  <c r="X80" i="42"/>
  <c r="Z83" i="42"/>
  <c r="S43" i="43"/>
  <c r="S38" i="43"/>
  <c r="Z30" i="42"/>
  <c r="V61" i="42"/>
  <c r="X83" i="42"/>
  <c r="W26" i="43"/>
  <c r="U38" i="43"/>
  <c r="S26" i="43"/>
  <c r="S37" i="43"/>
  <c r="K4" i="41"/>
  <c r="U37" i="43"/>
  <c r="Z87" i="42"/>
  <c r="Q153" i="40"/>
  <c r="X30" i="42"/>
  <c r="V87" i="42"/>
  <c r="R16" i="40"/>
  <c r="N81" i="40"/>
  <c r="X87" i="42"/>
  <c r="X31" i="42"/>
  <c r="V64" i="42"/>
  <c r="U49" i="43"/>
  <c r="W41" i="43"/>
  <c r="U30" i="43"/>
  <c r="M19" i="44"/>
  <c r="T22" i="42"/>
  <c r="Z73" i="42"/>
  <c r="U50" i="43"/>
  <c r="N326" i="40"/>
  <c r="W39" i="43"/>
  <c r="N95" i="40"/>
  <c r="W27" i="43"/>
  <c r="N83" i="40"/>
  <c r="V73" i="42"/>
  <c r="V56" i="42"/>
  <c r="Z79" i="42"/>
  <c r="V48" i="42"/>
  <c r="Z90" i="42"/>
  <c r="X85" i="42"/>
  <c r="X72" i="42"/>
  <c r="X21" i="42"/>
  <c r="Z94" i="42"/>
  <c r="Z48" i="42"/>
  <c r="Z27" i="42"/>
  <c r="V70" i="42"/>
  <c r="V71" i="42"/>
  <c r="U26" i="43"/>
  <c r="W25" i="43"/>
  <c r="S41" i="43"/>
  <c r="W37" i="43"/>
  <c r="S32" i="43"/>
  <c r="U28" i="43"/>
  <c r="X46" i="42"/>
  <c r="X59" i="42"/>
  <c r="Z67" i="42"/>
  <c r="V85" i="42"/>
  <c r="Z72" i="42"/>
  <c r="Z21" i="42"/>
  <c r="V94" i="42"/>
  <c r="X27" i="42"/>
  <c r="X70" i="42"/>
  <c r="Z71" i="42"/>
  <c r="M24" i="43"/>
  <c r="S45" i="43"/>
  <c r="S36" i="43"/>
  <c r="U32" i="43"/>
  <c r="W28" i="43"/>
  <c r="R21" i="46"/>
  <c r="O182" i="40"/>
  <c r="V39" i="42"/>
  <c r="Z40" i="42"/>
  <c r="X75" i="42"/>
  <c r="Z77" i="42"/>
  <c r="W34" i="43"/>
  <c r="N90" i="40"/>
  <c r="U45" i="43"/>
  <c r="Q158" i="40"/>
  <c r="M15" i="44"/>
  <c r="Z86" i="42"/>
  <c r="V45" i="42"/>
  <c r="V34" i="42"/>
  <c r="V36" i="42"/>
  <c r="V57" i="42"/>
  <c r="V88" i="42"/>
  <c r="V47" i="42"/>
  <c r="V76" i="42"/>
  <c r="V65" i="42"/>
  <c r="S50" i="43"/>
  <c r="S39" i="43"/>
  <c r="T103" i="42"/>
  <c r="R11" i="46"/>
  <c r="O172" i="40"/>
  <c r="V41" i="42"/>
  <c r="Z35" i="42"/>
  <c r="M16" i="44"/>
  <c r="Q159" i="40"/>
  <c r="Z88" i="42"/>
  <c r="Z47" i="42"/>
  <c r="Z64" i="42"/>
  <c r="X65" i="42"/>
  <c r="S49" i="43"/>
  <c r="U39" i="43"/>
  <c r="X73" i="42"/>
  <c r="X47" i="42"/>
  <c r="K24" i="43"/>
  <c r="Z55" i="42"/>
  <c r="X39" i="42"/>
  <c r="V40" i="42"/>
  <c r="V155" i="45"/>
  <c r="V75" i="42"/>
  <c r="Z56" i="42"/>
  <c r="U34" i="43"/>
  <c r="P21" i="46"/>
  <c r="P124" i="47"/>
  <c r="J124" i="47"/>
  <c r="S497" i="58" s="1"/>
  <c r="T497" i="58" s="1"/>
  <c r="V497" i="58" s="1"/>
  <c r="L19" i="46"/>
  <c r="X45" i="42"/>
  <c r="X34" i="42"/>
  <c r="Z36" i="42"/>
  <c r="P11" i="46"/>
  <c r="F167" i="47"/>
  <c r="F16" i="47" s="1"/>
  <c r="J128" i="47"/>
  <c r="S501" i="58" s="1"/>
  <c r="T501" i="58" s="1"/>
  <c r="F501" i="58" s="1"/>
  <c r="W50" i="43"/>
  <c r="T155" i="45"/>
  <c r="T156" i="45" s="1"/>
  <c r="X155" i="45"/>
  <c r="T104" i="42"/>
  <c r="Z39" i="42"/>
  <c r="X40" i="42"/>
  <c r="X77" i="42"/>
  <c r="T95" i="42"/>
  <c r="Q47" i="43"/>
  <c r="N128" i="47"/>
  <c r="L128" i="47"/>
  <c r="N124" i="47"/>
  <c r="L124" i="47"/>
  <c r="P134" i="47"/>
  <c r="L134" i="47"/>
  <c r="N134" i="47"/>
  <c r="P168" i="47"/>
  <c r="N168" i="47"/>
  <c r="L168" i="47"/>
  <c r="P180" i="47"/>
  <c r="N180" i="47"/>
  <c r="L180" i="47"/>
  <c r="P170" i="47"/>
  <c r="N170" i="47"/>
  <c r="L170" i="47"/>
  <c r="L18" i="46"/>
  <c r="H9" i="46"/>
  <c r="F9" i="46"/>
  <c r="L17" i="46"/>
  <c r="P16" i="46"/>
  <c r="N16" i="46"/>
  <c r="R16" i="46"/>
  <c r="J139" i="45"/>
  <c r="J18" i="45" s="1"/>
  <c r="G24" i="43"/>
  <c r="U44" i="43"/>
  <c r="S44" i="43"/>
  <c r="W44" i="43"/>
  <c r="Q46" i="43"/>
  <c r="F48" i="43"/>
  <c r="Q48" i="43" s="1"/>
  <c r="X102" i="42"/>
  <c r="V102" i="42"/>
  <c r="Z102" i="42"/>
  <c r="V526" i="58" l="1"/>
  <c r="Z526" i="58"/>
  <c r="X526" i="58"/>
  <c r="Z526" i="40"/>
  <c r="V526" i="40"/>
  <c r="Z512" i="58"/>
  <c r="X512" i="58"/>
  <c r="V512" i="58"/>
  <c r="Z291" i="58"/>
  <c r="F291" i="58"/>
  <c r="Z429" i="40"/>
  <c r="V429" i="40"/>
  <c r="X429" i="40"/>
  <c r="Z412" i="40"/>
  <c r="X412" i="40"/>
  <c r="V412" i="40"/>
  <c r="V528" i="58"/>
  <c r="Z528" i="58"/>
  <c r="X291" i="58"/>
  <c r="Z272" i="58"/>
  <c r="F272" i="58"/>
  <c r="V272" i="58"/>
  <c r="V530" i="58"/>
  <c r="Z530" i="58"/>
  <c r="X530" i="58"/>
  <c r="F469" i="58"/>
  <c r="F236" i="58"/>
  <c r="X529" i="58"/>
  <c r="Z529" i="58"/>
  <c r="V529" i="58"/>
  <c r="X535" i="58"/>
  <c r="Z535" i="58"/>
  <c r="V535" i="58"/>
  <c r="X533" i="58"/>
  <c r="Z533" i="58"/>
  <c r="V533" i="58"/>
  <c r="V520" i="58"/>
  <c r="X520" i="58"/>
  <c r="Z520" i="58"/>
  <c r="V536" i="58"/>
  <c r="X536" i="58"/>
  <c r="Z536" i="58"/>
  <c r="Z527" i="58"/>
  <c r="V527" i="58"/>
  <c r="X527" i="58"/>
  <c r="V551" i="58"/>
  <c r="X551" i="58"/>
  <c r="Z551" i="58"/>
  <c r="V534" i="58"/>
  <c r="X534" i="58"/>
  <c r="Z486" i="40"/>
  <c r="X486" i="40"/>
  <c r="V486" i="40"/>
  <c r="V539" i="58"/>
  <c r="X539" i="58"/>
  <c r="Z539" i="58"/>
  <c r="Z550" i="58"/>
  <c r="X550" i="58"/>
  <c r="V550" i="58"/>
  <c r="Z515" i="58"/>
  <c r="X515" i="58"/>
  <c r="V515" i="58"/>
  <c r="X518" i="58"/>
  <c r="Z518" i="58"/>
  <c r="V518" i="58"/>
  <c r="Z534" i="58"/>
  <c r="X524" i="58"/>
  <c r="V524" i="58"/>
  <c r="Z524" i="58"/>
  <c r="X517" i="58"/>
  <c r="Z517" i="58"/>
  <c r="V517" i="58"/>
  <c r="V549" i="58"/>
  <c r="X549" i="58"/>
  <c r="Z549" i="58"/>
  <c r="V545" i="58"/>
  <c r="X545" i="58"/>
  <c r="Z545" i="58"/>
  <c r="S541" i="40"/>
  <c r="S543" i="58"/>
  <c r="T543" i="58" s="1"/>
  <c r="V547" i="58"/>
  <c r="X547" i="58"/>
  <c r="Z547" i="58"/>
  <c r="S551" i="40"/>
  <c r="S553" i="58"/>
  <c r="T553" i="58" s="1"/>
  <c r="S505" i="40"/>
  <c r="S507" i="58"/>
  <c r="T507" i="58" s="1"/>
  <c r="S539" i="40"/>
  <c r="S541" i="58"/>
  <c r="T541" i="58" s="1"/>
  <c r="X544" i="58"/>
  <c r="V544" i="58"/>
  <c r="Z544" i="58"/>
  <c r="V542" i="58"/>
  <c r="X542" i="58"/>
  <c r="Z542" i="58"/>
  <c r="Z548" i="58"/>
  <c r="X548" i="58"/>
  <c r="V548" i="58"/>
  <c r="Z510" i="58"/>
  <c r="V510" i="58"/>
  <c r="X510" i="58"/>
  <c r="X519" i="58"/>
  <c r="Z519" i="58"/>
  <c r="V519" i="58"/>
  <c r="F468" i="58"/>
  <c r="X283" i="58"/>
  <c r="V283" i="58"/>
  <c r="F283" i="58"/>
  <c r="F287" i="58"/>
  <c r="X287" i="58"/>
  <c r="V287" i="58"/>
  <c r="Z236" i="58"/>
  <c r="Z259" i="58"/>
  <c r="F259" i="58"/>
  <c r="X259" i="58"/>
  <c r="V211" i="58"/>
  <c r="V236" i="58"/>
  <c r="X219" i="58"/>
  <c r="V219" i="58"/>
  <c r="Z219" i="58"/>
  <c r="S492" i="58"/>
  <c r="T492" i="58" s="1"/>
  <c r="F492" i="58" s="1"/>
  <c r="Z232" i="58"/>
  <c r="X232" i="58"/>
  <c r="F239" i="58"/>
  <c r="X211" i="58"/>
  <c r="Z211" i="58"/>
  <c r="X239" i="58"/>
  <c r="V239" i="58"/>
  <c r="V232" i="58"/>
  <c r="F394" i="58"/>
  <c r="X394" i="58"/>
  <c r="V394" i="58"/>
  <c r="X230" i="58"/>
  <c r="F230" i="58"/>
  <c r="Z230" i="58"/>
  <c r="F203" i="58"/>
  <c r="F245" i="58"/>
  <c r="X245" i="58"/>
  <c r="Z288" i="58"/>
  <c r="Z245" i="58"/>
  <c r="V288" i="58"/>
  <c r="F288" i="58"/>
  <c r="V416" i="58"/>
  <c r="F416" i="58"/>
  <c r="X428" i="58"/>
  <c r="Q14" i="44"/>
  <c r="V469" i="58"/>
  <c r="X469" i="58"/>
  <c r="S504" i="58"/>
  <c r="T504" i="58" s="1"/>
  <c r="V504" i="58" s="1"/>
  <c r="Z469" i="58"/>
  <c r="V439" i="58"/>
  <c r="X439" i="58"/>
  <c r="X416" i="58"/>
  <c r="F439" i="58"/>
  <c r="F481" i="58"/>
  <c r="F474" i="58"/>
  <c r="Z474" i="58"/>
  <c r="V474" i="58"/>
  <c r="X474" i="58"/>
  <c r="F473" i="58"/>
  <c r="Z410" i="58"/>
  <c r="X410" i="58"/>
  <c r="F410" i="58"/>
  <c r="V410" i="58"/>
  <c r="S494" i="58"/>
  <c r="T494" i="58" s="1"/>
  <c r="V494" i="58" s="1"/>
  <c r="V554" i="58"/>
  <c r="X554" i="58"/>
  <c r="F554" i="58"/>
  <c r="Z554" i="58"/>
  <c r="S465" i="58"/>
  <c r="T465" i="58" s="1"/>
  <c r="X465" i="58" s="1"/>
  <c r="F428" i="58"/>
  <c r="V428" i="58"/>
  <c r="J167" i="47"/>
  <c r="F417" i="58"/>
  <c r="F556" i="58"/>
  <c r="V473" i="58"/>
  <c r="Z556" i="58"/>
  <c r="V556" i="58"/>
  <c r="X481" i="58"/>
  <c r="Z481" i="58"/>
  <c r="F201" i="58"/>
  <c r="F235" i="58"/>
  <c r="V201" i="58"/>
  <c r="F397" i="58"/>
  <c r="V417" i="58"/>
  <c r="X417" i="58"/>
  <c r="F258" i="58"/>
  <c r="X235" i="58"/>
  <c r="Z235" i="58"/>
  <c r="F421" i="58"/>
  <c r="Z473" i="58"/>
  <c r="X203" i="58"/>
  <c r="V203" i="58"/>
  <c r="Z258" i="58"/>
  <c r="F242" i="58"/>
  <c r="V258" i="58"/>
  <c r="V242" i="58"/>
  <c r="Z242" i="58"/>
  <c r="F422" i="58"/>
  <c r="X422" i="58"/>
  <c r="Z422" i="58"/>
  <c r="Z397" i="58"/>
  <c r="X397" i="58"/>
  <c r="X271" i="58"/>
  <c r="F271" i="58"/>
  <c r="V271" i="58"/>
  <c r="X429" i="58"/>
  <c r="V411" i="58"/>
  <c r="F411" i="58"/>
  <c r="F467" i="58"/>
  <c r="F212" i="58"/>
  <c r="V295" i="58"/>
  <c r="V193" i="58"/>
  <c r="F193" i="58"/>
  <c r="F251" i="58"/>
  <c r="X212" i="58"/>
  <c r="X280" i="58"/>
  <c r="Z212" i="58"/>
  <c r="F280" i="58"/>
  <c r="V280" i="58"/>
  <c r="Z248" i="58"/>
  <c r="V421" i="58"/>
  <c r="Z295" i="58"/>
  <c r="F284" i="58"/>
  <c r="X421" i="58"/>
  <c r="F295" i="58"/>
  <c r="V225" i="58"/>
  <c r="X225" i="58"/>
  <c r="Z225" i="58"/>
  <c r="F282" i="58"/>
  <c r="V213" i="58"/>
  <c r="Q157" i="40"/>
  <c r="X313" i="58"/>
  <c r="Z313" i="58"/>
  <c r="V313" i="58"/>
  <c r="Z555" i="58"/>
  <c r="Z213" i="58"/>
  <c r="V555" i="58"/>
  <c r="X555" i="58"/>
  <c r="X213" i="58"/>
  <c r="Z193" i="58"/>
  <c r="Z306" i="58"/>
  <c r="Q17" i="44"/>
  <c r="Q160" i="58"/>
  <c r="T160" i="58" s="1"/>
  <c r="Z160" i="58" s="1"/>
  <c r="M17" i="44"/>
  <c r="X306" i="58"/>
  <c r="Q160" i="40"/>
  <c r="K8" i="44"/>
  <c r="F306" i="58"/>
  <c r="V309" i="58"/>
  <c r="F309" i="58"/>
  <c r="Z309" i="58"/>
  <c r="F300" i="58"/>
  <c r="V300" i="58"/>
  <c r="Z300" i="58"/>
  <c r="X284" i="58"/>
  <c r="Z284" i="58"/>
  <c r="F423" i="58"/>
  <c r="Z423" i="58"/>
  <c r="X269" i="58"/>
  <c r="X423" i="58"/>
  <c r="X119" i="58"/>
  <c r="V269" i="58"/>
  <c r="V119" i="58"/>
  <c r="F119" i="58"/>
  <c r="V405" i="58"/>
  <c r="F289" i="58"/>
  <c r="F405" i="58"/>
  <c r="Z405" i="58"/>
  <c r="X51" i="58"/>
  <c r="Z477" i="58"/>
  <c r="F482" i="58"/>
  <c r="F121" i="58"/>
  <c r="X477" i="58"/>
  <c r="V297" i="58"/>
  <c r="F477" i="58"/>
  <c r="F466" i="58"/>
  <c r="Z466" i="58"/>
  <c r="V460" i="58"/>
  <c r="Z297" i="58"/>
  <c r="V268" i="58"/>
  <c r="F268" i="58"/>
  <c r="F194" i="58"/>
  <c r="Q157" i="58"/>
  <c r="T157" i="58" s="1"/>
  <c r="X157" i="58" s="1"/>
  <c r="M14" i="44"/>
  <c r="X251" i="58"/>
  <c r="X201" i="58"/>
  <c r="V475" i="58"/>
  <c r="V274" i="58"/>
  <c r="Z194" i="58"/>
  <c r="X194" i="58"/>
  <c r="V472" i="58"/>
  <c r="X411" i="58"/>
  <c r="F51" i="58"/>
  <c r="X475" i="58"/>
  <c r="X297" i="58"/>
  <c r="V51" i="58"/>
  <c r="F274" i="58"/>
  <c r="Z475" i="58"/>
  <c r="V220" i="58"/>
  <c r="F220" i="58"/>
  <c r="Z220" i="58"/>
  <c r="F267" i="58"/>
  <c r="Z267" i="58"/>
  <c r="V267" i="58"/>
  <c r="F472" i="58"/>
  <c r="Z472" i="58"/>
  <c r="V493" i="58"/>
  <c r="X493" i="58"/>
  <c r="Z493" i="58"/>
  <c r="F395" i="58"/>
  <c r="V395" i="58"/>
  <c r="X395" i="58"/>
  <c r="V466" i="58"/>
  <c r="Z467" i="58"/>
  <c r="V467" i="58"/>
  <c r="F238" i="58"/>
  <c r="V238" i="58"/>
  <c r="Z269" i="58"/>
  <c r="Z238" i="58"/>
  <c r="Z268" i="58"/>
  <c r="F187" i="58"/>
  <c r="Z403" i="58"/>
  <c r="Z496" i="58"/>
  <c r="Z314" i="58"/>
  <c r="V496" i="58"/>
  <c r="X496" i="58"/>
  <c r="F460" i="58"/>
  <c r="Z460" i="58"/>
  <c r="V289" i="58"/>
  <c r="X289" i="58"/>
  <c r="V251" i="58"/>
  <c r="Z237" i="58"/>
  <c r="X275" i="58"/>
  <c r="X237" i="58"/>
  <c r="V237" i="58"/>
  <c r="Z275" i="58"/>
  <c r="V275" i="58"/>
  <c r="V301" i="58"/>
  <c r="X301" i="58"/>
  <c r="F301" i="58"/>
  <c r="X200" i="58"/>
  <c r="F200" i="58"/>
  <c r="V200" i="58"/>
  <c r="X274" i="58"/>
  <c r="F207" i="58"/>
  <c r="V207" i="58"/>
  <c r="X207" i="58"/>
  <c r="F270" i="58"/>
  <c r="F305" i="58"/>
  <c r="V305" i="58"/>
  <c r="Z485" i="58"/>
  <c r="X305" i="58"/>
  <c r="F485" i="58"/>
  <c r="V485" i="58"/>
  <c r="X156" i="45"/>
  <c r="X159" i="45" s="1"/>
  <c r="X160" i="45" s="1"/>
  <c r="X162" i="45" s="1"/>
  <c r="V156" i="45"/>
  <c r="V159" i="45" s="1"/>
  <c r="V160" i="45" s="1"/>
  <c r="V162" i="45" s="1"/>
  <c r="U127" i="51"/>
  <c r="U130" i="51" s="1"/>
  <c r="U131" i="51" s="1"/>
  <c r="U133" i="51" s="1"/>
  <c r="Z261" i="58"/>
  <c r="X270" i="58"/>
  <c r="Z270" i="58"/>
  <c r="X261" i="58"/>
  <c r="V261" i="58"/>
  <c r="Z191" i="58"/>
  <c r="X191" i="58"/>
  <c r="T82" i="58"/>
  <c r="Z82" i="58" s="1"/>
  <c r="F191" i="58"/>
  <c r="V480" i="58"/>
  <c r="X229" i="58"/>
  <c r="F480" i="58"/>
  <c r="Z480" i="58"/>
  <c r="F414" i="58"/>
  <c r="X254" i="58"/>
  <c r="F229" i="58"/>
  <c r="V414" i="58"/>
  <c r="Z440" i="58"/>
  <c r="F254" i="58"/>
  <c r="Z299" i="58"/>
  <c r="V196" i="58"/>
  <c r="X414" i="58"/>
  <c r="V440" i="58"/>
  <c r="Z254" i="58"/>
  <c r="F196" i="58"/>
  <c r="X440" i="58"/>
  <c r="Z424" i="58"/>
  <c r="X299" i="58"/>
  <c r="F424" i="58"/>
  <c r="V424" i="58"/>
  <c r="V299" i="58"/>
  <c r="X196" i="58"/>
  <c r="Z429" i="58"/>
  <c r="V429" i="58"/>
  <c r="V463" i="58"/>
  <c r="V449" i="58"/>
  <c r="F249" i="58"/>
  <c r="V249" i="58"/>
  <c r="X468" i="58"/>
  <c r="X249" i="58"/>
  <c r="X290" i="58"/>
  <c r="X498" i="58"/>
  <c r="F396" i="58"/>
  <c r="F498" i="58"/>
  <c r="V186" i="58"/>
  <c r="X453" i="58"/>
  <c r="F453" i="58"/>
  <c r="Z290" i="58"/>
  <c r="F398" i="58"/>
  <c r="V312" i="58"/>
  <c r="Z252" i="58"/>
  <c r="V226" i="58"/>
  <c r="X252" i="58"/>
  <c r="X312" i="58"/>
  <c r="X226" i="58"/>
  <c r="X458" i="58"/>
  <c r="Z226" i="58"/>
  <c r="F312" i="58"/>
  <c r="V468" i="58"/>
  <c r="Z243" i="58"/>
  <c r="V470" i="58"/>
  <c r="V221" i="58"/>
  <c r="F497" i="58"/>
  <c r="F248" i="58"/>
  <c r="V248" i="58"/>
  <c r="F221" i="58"/>
  <c r="X497" i="58"/>
  <c r="F470" i="58"/>
  <c r="Z468" i="58"/>
  <c r="X243" i="58"/>
  <c r="Z398" i="58"/>
  <c r="F408" i="58"/>
  <c r="Z470" i="58"/>
  <c r="Z221" i="58"/>
  <c r="V25" i="58"/>
  <c r="X557" i="58"/>
  <c r="F252" i="58"/>
  <c r="V453" i="58"/>
  <c r="F257" i="58"/>
  <c r="Z408" i="58"/>
  <c r="Z498" i="58"/>
  <c r="F25" i="58"/>
  <c r="Z557" i="58"/>
  <c r="V408" i="58"/>
  <c r="F215" i="58"/>
  <c r="X25" i="58"/>
  <c r="F262" i="58"/>
  <c r="V215" i="58"/>
  <c r="F290" i="58"/>
  <c r="V262" i="58"/>
  <c r="V458" i="58"/>
  <c r="F402" i="58"/>
  <c r="Z215" i="58"/>
  <c r="Z497" i="58"/>
  <c r="V257" i="58"/>
  <c r="X262" i="58"/>
  <c r="F458" i="58"/>
  <c r="X402" i="58"/>
  <c r="Z396" i="58"/>
  <c r="V243" i="58"/>
  <c r="V398" i="58"/>
  <c r="V396" i="58"/>
  <c r="F412" i="58"/>
  <c r="F263" i="58"/>
  <c r="F418" i="58"/>
  <c r="V415" i="58"/>
  <c r="F218" i="58"/>
  <c r="V441" i="58"/>
  <c r="Z273" i="58"/>
  <c r="X250" i="58"/>
  <c r="F118" i="58"/>
  <c r="Z419" i="58"/>
  <c r="Z276" i="58"/>
  <c r="F197" i="58"/>
  <c r="F441" i="58"/>
  <c r="Z441" i="58"/>
  <c r="V273" i="58"/>
  <c r="F273" i="58"/>
  <c r="X241" i="58"/>
  <c r="F240" i="58"/>
  <c r="Z430" i="58"/>
  <c r="V241" i="58"/>
  <c r="V407" i="58"/>
  <c r="F241" i="58"/>
  <c r="F407" i="58"/>
  <c r="X407" i="58"/>
  <c r="X452" i="58"/>
  <c r="Z229" i="58"/>
  <c r="Z486" i="58"/>
  <c r="Z444" i="58"/>
  <c r="X118" i="58"/>
  <c r="V412" i="58"/>
  <c r="Z412" i="58"/>
  <c r="F401" i="58"/>
  <c r="X503" i="58"/>
  <c r="X401" i="58"/>
  <c r="Z503" i="58"/>
  <c r="F415" i="58"/>
  <c r="V250" i="58"/>
  <c r="Z415" i="58"/>
  <c r="Z263" i="58"/>
  <c r="V52" i="58"/>
  <c r="V418" i="58"/>
  <c r="V263" i="58"/>
  <c r="V419" i="58"/>
  <c r="V479" i="58"/>
  <c r="V454" i="58"/>
  <c r="F479" i="58"/>
  <c r="X418" i="58"/>
  <c r="Z454" i="58"/>
  <c r="V401" i="58"/>
  <c r="X419" i="58"/>
  <c r="V202" i="58"/>
  <c r="X486" i="58"/>
  <c r="V233" i="58"/>
  <c r="Z197" i="58"/>
  <c r="Z479" i="58"/>
  <c r="Z118" i="58"/>
  <c r="F250" i="58"/>
  <c r="F276" i="58"/>
  <c r="V427" i="58"/>
  <c r="V444" i="58"/>
  <c r="Z431" i="58"/>
  <c r="Z233" i="58"/>
  <c r="X197" i="58"/>
  <c r="V276" i="58"/>
  <c r="Z427" i="58"/>
  <c r="F444" i="58"/>
  <c r="F431" i="58"/>
  <c r="F233" i="58"/>
  <c r="F427" i="58"/>
  <c r="V315" i="58"/>
  <c r="X463" i="58"/>
  <c r="Z449" i="58"/>
  <c r="V431" i="58"/>
  <c r="V195" i="58"/>
  <c r="F449" i="58"/>
  <c r="F195" i="58"/>
  <c r="Z463" i="58"/>
  <c r="X195" i="58"/>
  <c r="V486" i="58"/>
  <c r="Z302" i="58"/>
  <c r="X264" i="58"/>
  <c r="V264" i="58"/>
  <c r="W47" i="43"/>
  <c r="N167" i="58"/>
  <c r="T167" i="58" s="1"/>
  <c r="N19" i="57"/>
  <c r="T19" i="57" s="1"/>
  <c r="V438" i="58"/>
  <c r="X279" i="58"/>
  <c r="X436" i="58"/>
  <c r="F216" i="58"/>
  <c r="T173" i="58"/>
  <c r="F173" i="58" s="1"/>
  <c r="Z216" i="58"/>
  <c r="V478" i="58"/>
  <c r="X393" i="58"/>
  <c r="F478" i="58"/>
  <c r="Z478" i="58"/>
  <c r="V420" i="58"/>
  <c r="Z420" i="58"/>
  <c r="X223" i="58"/>
  <c r="X420" i="58"/>
  <c r="V457" i="58"/>
  <c r="X433" i="58"/>
  <c r="Z487" i="58"/>
  <c r="X457" i="58"/>
  <c r="F120" i="58"/>
  <c r="F487" i="58"/>
  <c r="X247" i="58"/>
  <c r="X189" i="58"/>
  <c r="V120" i="58"/>
  <c r="F393" i="58"/>
  <c r="F302" i="58"/>
  <c r="Z436" i="58"/>
  <c r="Z438" i="58"/>
  <c r="Z457" i="58"/>
  <c r="F247" i="58"/>
  <c r="V189" i="58"/>
  <c r="X120" i="58"/>
  <c r="Z393" i="58"/>
  <c r="X302" i="58"/>
  <c r="X438" i="58"/>
  <c r="V247" i="58"/>
  <c r="V433" i="58"/>
  <c r="F189" i="58"/>
  <c r="V445" i="58"/>
  <c r="X445" i="58"/>
  <c r="F436" i="58"/>
  <c r="Z27" i="58"/>
  <c r="F27" i="58"/>
  <c r="Z433" i="58"/>
  <c r="V27" i="58"/>
  <c r="V216" i="58"/>
  <c r="V234" i="58"/>
  <c r="Z445" i="58"/>
  <c r="F234" i="58"/>
  <c r="X451" i="58"/>
  <c r="V222" i="58"/>
  <c r="X409" i="58"/>
  <c r="X234" i="58"/>
  <c r="V451" i="58"/>
  <c r="F222" i="58"/>
  <c r="Z409" i="58"/>
  <c r="Z279" i="58"/>
  <c r="Z451" i="58"/>
  <c r="Z222" i="58"/>
  <c r="V487" i="58"/>
  <c r="V409" i="58"/>
  <c r="F279" i="58"/>
  <c r="Z319" i="58"/>
  <c r="F454" i="58"/>
  <c r="Z277" i="58"/>
  <c r="F435" i="58"/>
  <c r="F277" i="58"/>
  <c r="V503" i="58"/>
  <c r="X277" i="58"/>
  <c r="V38" i="58"/>
  <c r="V319" i="58"/>
  <c r="Z38" i="58"/>
  <c r="F319" i="58"/>
  <c r="X38" i="58"/>
  <c r="F264" i="58"/>
  <c r="Z400" i="58"/>
  <c r="Z204" i="58"/>
  <c r="V260" i="58"/>
  <c r="X204" i="58"/>
  <c r="Z260" i="58"/>
  <c r="V317" i="58"/>
  <c r="F317" i="58"/>
  <c r="F304" i="58"/>
  <c r="X317" i="58"/>
  <c r="F278" i="58"/>
  <c r="V304" i="58"/>
  <c r="X304" i="58"/>
  <c r="X278" i="58"/>
  <c r="V278" i="58"/>
  <c r="V308" i="58"/>
  <c r="F400" i="58"/>
  <c r="X308" i="58"/>
  <c r="Z448" i="58"/>
  <c r="F308" i="58"/>
  <c r="F298" i="58"/>
  <c r="V400" i="58"/>
  <c r="X448" i="58"/>
  <c r="X298" i="58"/>
  <c r="F204" i="58"/>
  <c r="V448" i="58"/>
  <c r="F260" i="58"/>
  <c r="Z298" i="58"/>
  <c r="Z210" i="58"/>
  <c r="F403" i="58"/>
  <c r="X314" i="58"/>
  <c r="F442" i="58"/>
  <c r="F447" i="58"/>
  <c r="X403" i="58"/>
  <c r="V314" i="58"/>
  <c r="Z495" i="58"/>
  <c r="V442" i="58"/>
  <c r="V447" i="58"/>
  <c r="X495" i="58"/>
  <c r="F53" i="58"/>
  <c r="Z442" i="58"/>
  <c r="V495" i="58"/>
  <c r="X53" i="58"/>
  <c r="Z447" i="58"/>
  <c r="X187" i="58"/>
  <c r="V53" i="58"/>
  <c r="F471" i="58"/>
  <c r="V471" i="58"/>
  <c r="Z471" i="58"/>
  <c r="F476" i="58"/>
  <c r="V476" i="58"/>
  <c r="Z476" i="58"/>
  <c r="X315" i="58"/>
  <c r="X501" i="58"/>
  <c r="V499" i="58"/>
  <c r="V307" i="58"/>
  <c r="X296" i="58"/>
  <c r="F217" i="58"/>
  <c r="V296" i="58"/>
  <c r="Z217" i="58"/>
  <c r="V432" i="58"/>
  <c r="V240" i="58"/>
  <c r="F307" i="58"/>
  <c r="F430" i="58"/>
  <c r="V217" i="58"/>
  <c r="Z501" i="58"/>
  <c r="Z296" i="58"/>
  <c r="X240" i="58"/>
  <c r="X307" i="58"/>
  <c r="X430" i="58"/>
  <c r="V310" i="58"/>
  <c r="V501" i="58"/>
  <c r="Z456" i="58"/>
  <c r="V452" i="58"/>
  <c r="V185" i="58"/>
  <c r="F456" i="58"/>
  <c r="F452" i="58"/>
  <c r="V456" i="58"/>
  <c r="V218" i="58"/>
  <c r="Z499" i="58"/>
  <c r="V483" i="58"/>
  <c r="F483" i="58"/>
  <c r="X231" i="58"/>
  <c r="X218" i="58"/>
  <c r="X499" i="58"/>
  <c r="F244" i="58"/>
  <c r="Z483" i="58"/>
  <c r="Z315" i="58"/>
  <c r="X558" i="58"/>
  <c r="F558" i="58"/>
  <c r="V558" i="58"/>
  <c r="Z294" i="58"/>
  <c r="V402" i="58"/>
  <c r="V224" i="58"/>
  <c r="V294" i="58"/>
  <c r="Z121" i="58"/>
  <c r="V443" i="58"/>
  <c r="F294" i="58"/>
  <c r="V121" i="58"/>
  <c r="Z426" i="58"/>
  <c r="V282" i="58"/>
  <c r="V426" i="58"/>
  <c r="Z282" i="58"/>
  <c r="F426" i="58"/>
  <c r="X399" i="58"/>
  <c r="F446" i="58"/>
  <c r="Z399" i="58"/>
  <c r="V446" i="58"/>
  <c r="F198" i="58"/>
  <c r="Z446" i="58"/>
  <c r="V198" i="58"/>
  <c r="F399" i="58"/>
  <c r="Z224" i="58"/>
  <c r="F224" i="58"/>
  <c r="Z198" i="58"/>
  <c r="Z188" i="58"/>
  <c r="Z435" i="58"/>
  <c r="X303" i="58"/>
  <c r="Z266" i="58"/>
  <c r="V435" i="58"/>
  <c r="Z185" i="58"/>
  <c r="V205" i="58"/>
  <c r="F205" i="58"/>
  <c r="F437" i="58"/>
  <c r="F185" i="58"/>
  <c r="X205" i="58"/>
  <c r="V437" i="58"/>
  <c r="F190" i="58"/>
  <c r="Z437" i="58"/>
  <c r="Z190" i="58"/>
  <c r="X188" i="58"/>
  <c r="F266" i="58"/>
  <c r="Z482" i="58"/>
  <c r="F286" i="58"/>
  <c r="V266" i="58"/>
  <c r="F256" i="58"/>
  <c r="X482" i="58"/>
  <c r="X286" i="58"/>
  <c r="X256" i="58"/>
  <c r="F188" i="58"/>
  <c r="V256" i="58"/>
  <c r="Z461" i="58"/>
  <c r="V461" i="58"/>
  <c r="F461" i="58"/>
  <c r="V227" i="58"/>
  <c r="F227" i="58"/>
  <c r="V303" i="58"/>
  <c r="X227" i="58"/>
  <c r="Z303" i="58"/>
  <c r="V214" i="58"/>
  <c r="V404" i="58"/>
  <c r="Z404" i="58"/>
  <c r="V246" i="58"/>
  <c r="V209" i="58"/>
  <c r="Z246" i="58"/>
  <c r="F186" i="58"/>
  <c r="X186" i="58"/>
  <c r="Z209" i="58"/>
  <c r="Z214" i="58"/>
  <c r="V208" i="58"/>
  <c r="X214" i="58"/>
  <c r="V29" i="58"/>
  <c r="T91" i="58"/>
  <c r="X91" i="58" s="1"/>
  <c r="T81" i="58"/>
  <c r="X81" i="58" s="1"/>
  <c r="F208" i="58"/>
  <c r="Z29" i="58"/>
  <c r="X208" i="58"/>
  <c r="F29" i="58"/>
  <c r="F246" i="58"/>
  <c r="F404" i="58"/>
  <c r="V434" i="58"/>
  <c r="F434" i="58"/>
  <c r="F209" i="58"/>
  <c r="Z434" i="58"/>
  <c r="F557" i="58"/>
  <c r="Z187" i="58"/>
  <c r="F202" i="58"/>
  <c r="V316" i="58"/>
  <c r="X202" i="58"/>
  <c r="F316" i="58"/>
  <c r="X316" i="58"/>
  <c r="X52" i="58"/>
  <c r="Z244" i="58"/>
  <c r="Z52" i="58"/>
  <c r="V244" i="58"/>
  <c r="Z231" i="58"/>
  <c r="V231" i="58"/>
  <c r="V228" i="58"/>
  <c r="F228" i="58"/>
  <c r="X228" i="58"/>
  <c r="F413" i="58"/>
  <c r="Z488" i="58"/>
  <c r="Z413" i="58"/>
  <c r="X257" i="58"/>
  <c r="V488" i="58"/>
  <c r="X413" i="58"/>
  <c r="F488" i="58"/>
  <c r="Z490" i="58"/>
  <c r="Z253" i="58"/>
  <c r="F500" i="58"/>
  <c r="Z293" i="58"/>
  <c r="V500" i="58"/>
  <c r="X489" i="58"/>
  <c r="X253" i="58"/>
  <c r="V253" i="58"/>
  <c r="X500" i="58"/>
  <c r="Z489" i="58"/>
  <c r="F489" i="58"/>
  <c r="F443" i="58"/>
  <c r="X310" i="58"/>
  <c r="F223" i="58"/>
  <c r="F559" i="58"/>
  <c r="X443" i="58"/>
  <c r="F310" i="58"/>
  <c r="V223" i="58"/>
  <c r="X190" i="58"/>
  <c r="F432" i="58"/>
  <c r="Z432" i="58"/>
  <c r="X559" i="58"/>
  <c r="V293" i="58"/>
  <c r="V490" i="58"/>
  <c r="Z559" i="58"/>
  <c r="F293" i="58"/>
  <c r="X490" i="58"/>
  <c r="T89" i="58"/>
  <c r="F89" i="58" s="1"/>
  <c r="V285" i="58"/>
  <c r="T93" i="58"/>
  <c r="X93" i="58" s="1"/>
  <c r="F285" i="58"/>
  <c r="V123" i="58"/>
  <c r="X285" i="58"/>
  <c r="F123" i="58"/>
  <c r="Z123" i="58"/>
  <c r="T175" i="58"/>
  <c r="F175" i="58" s="1"/>
  <c r="F311" i="58"/>
  <c r="V311" i="58"/>
  <c r="F255" i="58"/>
  <c r="Z311" i="58"/>
  <c r="X255" i="58"/>
  <c r="V255" i="58"/>
  <c r="T92" i="58"/>
  <c r="X92" i="58" s="1"/>
  <c r="F464" i="58"/>
  <c r="V464" i="58"/>
  <c r="Z464" i="58"/>
  <c r="X210" i="58"/>
  <c r="V210" i="58"/>
  <c r="V150" i="58"/>
  <c r="X150" i="58"/>
  <c r="Z179" i="58"/>
  <c r="V179" i="58"/>
  <c r="X102" i="58"/>
  <c r="V102" i="58"/>
  <c r="T96" i="58"/>
  <c r="Z96" i="58" s="1"/>
  <c r="X21" i="58"/>
  <c r="V21" i="58"/>
  <c r="F21" i="58"/>
  <c r="Z21" i="58"/>
  <c r="P20" i="46"/>
  <c r="F502" i="58"/>
  <c r="V502" i="58"/>
  <c r="Z502" i="58"/>
  <c r="V286" i="58"/>
  <c r="Z150" i="58"/>
  <c r="X71" i="58"/>
  <c r="F71" i="58"/>
  <c r="V71" i="58"/>
  <c r="Z71" i="58"/>
  <c r="V58" i="58"/>
  <c r="Z58" i="58"/>
  <c r="X153" i="58"/>
  <c r="Z153" i="58"/>
  <c r="F153" i="58"/>
  <c r="V153" i="58"/>
  <c r="Z318" i="58"/>
  <c r="X425" i="58"/>
  <c r="V154" i="58"/>
  <c r="V425" i="58"/>
  <c r="X154" i="58"/>
  <c r="Z154" i="58"/>
  <c r="F102" i="58"/>
  <c r="F406" i="58"/>
  <c r="V159" i="58"/>
  <c r="Z406" i="58"/>
  <c r="F159" i="58"/>
  <c r="X406" i="58"/>
  <c r="Z159" i="58"/>
  <c r="V318" i="58"/>
  <c r="F318" i="58"/>
  <c r="Z425" i="58"/>
  <c r="X484" i="58"/>
  <c r="X163" i="58"/>
  <c r="Z163" i="58"/>
  <c r="F163" i="58"/>
  <c r="V163" i="58"/>
  <c r="X114" i="58"/>
  <c r="F114" i="58"/>
  <c r="Z114" i="58"/>
  <c r="V114" i="58"/>
  <c r="F158" i="58"/>
  <c r="V158" i="58"/>
  <c r="Z158" i="58"/>
  <c r="X158" i="58"/>
  <c r="F156" i="58"/>
  <c r="X156" i="58"/>
  <c r="Z156" i="58"/>
  <c r="V156" i="58"/>
  <c r="V323" i="58"/>
  <c r="F323" i="58"/>
  <c r="X323" i="58"/>
  <c r="T83" i="58"/>
  <c r="X83" i="58" s="1"/>
  <c r="T88" i="58"/>
  <c r="X88" i="58" s="1"/>
  <c r="X265" i="58"/>
  <c r="F281" i="58"/>
  <c r="F265" i="58"/>
  <c r="F150" i="58"/>
  <c r="V265" i="58"/>
  <c r="X179" i="58"/>
  <c r="T98" i="58"/>
  <c r="Z98" i="58" s="1"/>
  <c r="F179" i="58"/>
  <c r="F58" i="58"/>
  <c r="X58" i="58"/>
  <c r="T94" i="58"/>
  <c r="V94" i="58" s="1"/>
  <c r="Z62" i="58"/>
  <c r="V62" i="58"/>
  <c r="X62" i="58"/>
  <c r="F62" i="58"/>
  <c r="X103" i="58"/>
  <c r="F103" i="58"/>
  <c r="V103" i="58"/>
  <c r="Z103" i="58"/>
  <c r="V72" i="58"/>
  <c r="Z72" i="58"/>
  <c r="F72" i="58"/>
  <c r="X72" i="58"/>
  <c r="V76" i="58"/>
  <c r="X76" i="58"/>
  <c r="Z76" i="58"/>
  <c r="F76" i="58"/>
  <c r="Z60" i="58"/>
  <c r="V60" i="58"/>
  <c r="Z206" i="58"/>
  <c r="V484" i="58"/>
  <c r="Z484" i="58"/>
  <c r="F206" i="58"/>
  <c r="X206" i="58"/>
  <c r="Z66" i="58"/>
  <c r="F66" i="58"/>
  <c r="V66" i="58"/>
  <c r="X66" i="58"/>
  <c r="Z36" i="58"/>
  <c r="X36" i="58"/>
  <c r="F36" i="58"/>
  <c r="V36" i="58"/>
  <c r="Z30" i="58"/>
  <c r="V30" i="58"/>
  <c r="X30" i="58"/>
  <c r="X192" i="58"/>
  <c r="F60" i="58"/>
  <c r="Z39" i="58"/>
  <c r="T99" i="58"/>
  <c r="Z99" i="58" s="1"/>
  <c r="V39" i="58"/>
  <c r="V292" i="58"/>
  <c r="F39" i="58"/>
  <c r="Z292" i="58"/>
  <c r="X60" i="58"/>
  <c r="X292" i="58"/>
  <c r="F192" i="58"/>
  <c r="Z192" i="58"/>
  <c r="F30" i="58"/>
  <c r="X70" i="58"/>
  <c r="F70" i="58"/>
  <c r="Z70" i="58"/>
  <c r="Z450" i="58"/>
  <c r="V450" i="58"/>
  <c r="F450" i="58"/>
  <c r="F69" i="58"/>
  <c r="V69" i="58"/>
  <c r="Z69" i="58"/>
  <c r="X69" i="58"/>
  <c r="X26" i="58"/>
  <c r="Z26" i="58"/>
  <c r="F35" i="58"/>
  <c r="Z35" i="58"/>
  <c r="V35" i="58"/>
  <c r="X35" i="58"/>
  <c r="T85" i="58"/>
  <c r="X85" i="58" s="1"/>
  <c r="T84" i="58"/>
  <c r="F84" i="58" s="1"/>
  <c r="T97" i="58"/>
  <c r="Z97" i="58" s="1"/>
  <c r="T95" i="58"/>
  <c r="X95" i="58" s="1"/>
  <c r="T86" i="58"/>
  <c r="V86" i="58" s="1"/>
  <c r="T90" i="58"/>
  <c r="F90" i="58" s="1"/>
  <c r="F50" i="58"/>
  <c r="Z50" i="58"/>
  <c r="V50" i="58"/>
  <c r="X50" i="58"/>
  <c r="V100" i="58"/>
  <c r="F100" i="58"/>
  <c r="X100" i="58"/>
  <c r="Z100" i="58"/>
  <c r="Z61" i="58"/>
  <c r="X61" i="58"/>
  <c r="F61" i="58"/>
  <c r="V61" i="58"/>
  <c r="V174" i="58"/>
  <c r="X174" i="58"/>
  <c r="F174" i="58"/>
  <c r="Z174" i="58"/>
  <c r="V49" i="58"/>
  <c r="F49" i="58"/>
  <c r="X49" i="58"/>
  <c r="Z49" i="58"/>
  <c r="X178" i="58"/>
  <c r="Z178" i="58"/>
  <c r="F178" i="58"/>
  <c r="V178" i="58"/>
  <c r="Z64" i="58"/>
  <c r="V64" i="58"/>
  <c r="F64" i="58"/>
  <c r="X64" i="58"/>
  <c r="X75" i="58"/>
  <c r="V75" i="58"/>
  <c r="F75" i="58"/>
  <c r="Z75" i="58"/>
  <c r="Z63" i="58"/>
  <c r="X63" i="58"/>
  <c r="V63" i="58"/>
  <c r="F63" i="58"/>
  <c r="X462" i="58"/>
  <c r="Z462" i="58"/>
  <c r="V462" i="58"/>
  <c r="F462" i="58"/>
  <c r="X73" i="58"/>
  <c r="F73" i="58"/>
  <c r="V73" i="58"/>
  <c r="Z73" i="58"/>
  <c r="V57" i="58"/>
  <c r="Z57" i="58"/>
  <c r="X57" i="58"/>
  <c r="F57" i="58"/>
  <c r="X101" i="58"/>
  <c r="Z101" i="58"/>
  <c r="V101" i="58"/>
  <c r="F101" i="58"/>
  <c r="Z184" i="58"/>
  <c r="V184" i="58"/>
  <c r="X184" i="58"/>
  <c r="F184" i="58"/>
  <c r="Z161" i="58"/>
  <c r="X161" i="58"/>
  <c r="V161" i="58"/>
  <c r="F161" i="58"/>
  <c r="X148" i="58"/>
  <c r="F148" i="58"/>
  <c r="V148" i="58"/>
  <c r="Z148" i="58"/>
  <c r="Z48" i="58"/>
  <c r="X48" i="58"/>
  <c r="F48" i="58"/>
  <c r="V48" i="58"/>
  <c r="X54" i="58"/>
  <c r="Z54" i="58"/>
  <c r="V54" i="58"/>
  <c r="F54" i="58"/>
  <c r="X177" i="58"/>
  <c r="F177" i="58"/>
  <c r="Z177" i="58"/>
  <c r="V177" i="58"/>
  <c r="Z65" i="58"/>
  <c r="V65" i="58"/>
  <c r="X65" i="58"/>
  <c r="F65" i="58"/>
  <c r="X155" i="58"/>
  <c r="F155" i="58"/>
  <c r="Z155" i="58"/>
  <c r="V155" i="58"/>
  <c r="F32" i="58"/>
  <c r="Z32" i="58"/>
  <c r="V32" i="58"/>
  <c r="X32" i="58"/>
  <c r="Z56" i="58"/>
  <c r="X56" i="58"/>
  <c r="F56" i="58"/>
  <c r="V56" i="58"/>
  <c r="Z55" i="58"/>
  <c r="X55" i="58"/>
  <c r="F55" i="58"/>
  <c r="V55" i="58"/>
  <c r="V59" i="58"/>
  <c r="X59" i="58"/>
  <c r="Z59" i="58"/>
  <c r="F59" i="58"/>
  <c r="V328" i="58"/>
  <c r="Z328" i="58"/>
  <c r="F328" i="58"/>
  <c r="X328" i="58"/>
  <c r="X67" i="58"/>
  <c r="V67" i="58"/>
  <c r="F67" i="58"/>
  <c r="Z67" i="58"/>
  <c r="X33" i="58"/>
  <c r="V33" i="58"/>
  <c r="F33" i="58"/>
  <c r="Z33" i="58"/>
  <c r="X24" i="58"/>
  <c r="V24" i="58"/>
  <c r="F24" i="58"/>
  <c r="Z24" i="58"/>
  <c r="X74" i="58"/>
  <c r="F74" i="58"/>
  <c r="V74" i="58"/>
  <c r="Z74" i="58"/>
  <c r="Z115" i="58"/>
  <c r="F115" i="58"/>
  <c r="V115" i="58"/>
  <c r="X115" i="58"/>
  <c r="Q16" i="57"/>
  <c r="K117" i="58"/>
  <c r="T117" i="58" s="1"/>
  <c r="K20" i="58"/>
  <c r="T20" i="58" s="1"/>
  <c r="F26" i="58"/>
  <c r="X281" i="58"/>
  <c r="V26" i="58"/>
  <c r="V281" i="58"/>
  <c r="V68" i="58"/>
  <c r="F68" i="58"/>
  <c r="S455" i="58"/>
  <c r="N162" i="40"/>
  <c r="N162" i="58"/>
  <c r="T162" i="58" s="1"/>
  <c r="O179" i="40"/>
  <c r="O181" i="58"/>
  <c r="T181" i="58" s="1"/>
  <c r="X68" i="58"/>
  <c r="O180" i="58"/>
  <c r="N19" i="46"/>
  <c r="O182" i="58"/>
  <c r="N166" i="40"/>
  <c r="N168" i="58"/>
  <c r="T168" i="58" s="1"/>
  <c r="N20" i="57"/>
  <c r="T20" i="57" s="1"/>
  <c r="K182" i="58"/>
  <c r="K180" i="58"/>
  <c r="F31" i="58"/>
  <c r="V31" i="58"/>
  <c r="V74" i="42"/>
  <c r="K87" i="58"/>
  <c r="T87" i="58" s="1"/>
  <c r="S499" i="40"/>
  <c r="S459" i="58"/>
  <c r="T459" i="58" s="1"/>
  <c r="X31" i="58"/>
  <c r="O181" i="40"/>
  <c r="O183" i="58"/>
  <c r="T183" i="58" s="1"/>
  <c r="X18" i="58"/>
  <c r="V18" i="58"/>
  <c r="F18" i="58"/>
  <c r="Z18" i="58"/>
  <c r="J16" i="58"/>
  <c r="J16" i="57"/>
  <c r="R20" i="46"/>
  <c r="F20" i="42"/>
  <c r="T29" i="42"/>
  <c r="T24" i="42"/>
  <c r="Z74" i="42"/>
  <c r="T101" i="42"/>
  <c r="K18" i="57" s="1"/>
  <c r="X74" i="42"/>
  <c r="O21" i="44"/>
  <c r="U47" i="43"/>
  <c r="X103" i="42"/>
  <c r="Z103" i="42"/>
  <c r="V103" i="42"/>
  <c r="V22" i="42"/>
  <c r="X22" i="42"/>
  <c r="Z22" i="42"/>
  <c r="S47" i="43"/>
  <c r="V104" i="42"/>
  <c r="L167" i="47"/>
  <c r="L188" i="47" s="1"/>
  <c r="L189" i="47" s="1"/>
  <c r="L8" i="46"/>
  <c r="Z104" i="42"/>
  <c r="Q23" i="43"/>
  <c r="P167" i="47"/>
  <c r="P188" i="47" s="1"/>
  <c r="S495" i="40"/>
  <c r="X104" i="42"/>
  <c r="O178" i="40"/>
  <c r="Z95" i="42"/>
  <c r="P19" i="46"/>
  <c r="O180" i="40"/>
  <c r="R19" i="46"/>
  <c r="N167" i="47"/>
  <c r="N188" i="47" s="1"/>
  <c r="V95" i="42"/>
  <c r="X95" i="42"/>
  <c r="N17" i="46"/>
  <c r="R17" i="46"/>
  <c r="P17" i="46"/>
  <c r="R18" i="46"/>
  <c r="P18" i="46"/>
  <c r="N18" i="46"/>
  <c r="W48" i="43"/>
  <c r="U48" i="43"/>
  <c r="S48" i="43"/>
  <c r="W46" i="43"/>
  <c r="U46" i="43"/>
  <c r="S46" i="43"/>
  <c r="F24" i="43"/>
  <c r="O559" i="41"/>
  <c r="O561" i="41" s="1"/>
  <c r="Q555" i="41"/>
  <c r="Q558" i="41" s="1"/>
  <c r="X541" i="58" l="1"/>
  <c r="V541" i="58"/>
  <c r="Z541" i="58"/>
  <c r="X507" i="58"/>
  <c r="V507" i="58"/>
  <c r="Z507" i="58"/>
  <c r="X553" i="58"/>
  <c r="V553" i="58"/>
  <c r="Z553" i="58"/>
  <c r="Z543" i="58"/>
  <c r="V543" i="58"/>
  <c r="X543" i="58"/>
  <c r="S538" i="40"/>
  <c r="S16" i="40" s="1"/>
  <c r="S540" i="58"/>
  <c r="T540" i="58" s="1"/>
  <c r="V492" i="58"/>
  <c r="X492" i="58"/>
  <c r="Z492" i="58"/>
  <c r="J15" i="47"/>
  <c r="F465" i="58"/>
  <c r="V465" i="58"/>
  <c r="Z504" i="58"/>
  <c r="F504" i="58"/>
  <c r="Q21" i="44"/>
  <c r="Q22" i="44" s="1"/>
  <c r="Q25" i="44" s="1"/>
  <c r="Q26" i="44" s="1"/>
  <c r="Q28" i="44" s="1"/>
  <c r="X504" i="58"/>
  <c r="F494" i="58"/>
  <c r="M21" i="44"/>
  <c r="M22" i="44" s="1"/>
  <c r="X494" i="58"/>
  <c r="Q16" i="40"/>
  <c r="Z494" i="58"/>
  <c r="Z465" i="58"/>
  <c r="S491" i="58"/>
  <c r="T491" i="58" s="1"/>
  <c r="Z491" i="58" s="1"/>
  <c r="X160" i="58"/>
  <c r="V160" i="58"/>
  <c r="F160" i="58"/>
  <c r="Q16" i="58"/>
  <c r="F157" i="58"/>
  <c r="V157" i="58"/>
  <c r="Z157" i="58"/>
  <c r="V82" i="58"/>
  <c r="F82" i="58"/>
  <c r="X82" i="58"/>
  <c r="P189" i="47"/>
  <c r="P192" i="47" s="1"/>
  <c r="P193" i="47" s="1"/>
  <c r="P195" i="47" s="1"/>
  <c r="N189" i="47"/>
  <c r="N192" i="47" s="1"/>
  <c r="N193" i="47" s="1"/>
  <c r="N195" i="47" s="1"/>
  <c r="O22" i="44"/>
  <c r="O25" i="44" s="1"/>
  <c r="O26" i="44" s="1"/>
  <c r="O28" i="44" s="1"/>
  <c r="F81" i="58"/>
  <c r="V81" i="58"/>
  <c r="Z101" i="42"/>
  <c r="K166" i="58"/>
  <c r="T166" i="58" s="1"/>
  <c r="T18" i="57"/>
  <c r="V173" i="58"/>
  <c r="Z173" i="58"/>
  <c r="X173" i="58"/>
  <c r="X19" i="57"/>
  <c r="F19" i="57"/>
  <c r="V19" i="57"/>
  <c r="Z19" i="57"/>
  <c r="V167" i="58"/>
  <c r="F167" i="58"/>
  <c r="X167" i="58"/>
  <c r="Z167" i="58"/>
  <c r="V89" i="58"/>
  <c r="O16" i="58"/>
  <c r="O16" i="40"/>
  <c r="V91" i="58"/>
  <c r="Z91" i="58"/>
  <c r="F91" i="58"/>
  <c r="X89" i="58"/>
  <c r="Z92" i="58"/>
  <c r="Z81" i="58"/>
  <c r="V92" i="58"/>
  <c r="F92" i="58"/>
  <c r="Z89" i="58"/>
  <c r="V96" i="58"/>
  <c r="V83" i="58"/>
  <c r="Z93" i="58"/>
  <c r="V175" i="58"/>
  <c r="X175" i="58"/>
  <c r="Z175" i="58"/>
  <c r="F93" i="58"/>
  <c r="V93" i="58"/>
  <c r="X94" i="58"/>
  <c r="F94" i="58"/>
  <c r="Z86" i="58"/>
  <c r="Z94" i="58"/>
  <c r="F96" i="58"/>
  <c r="X96" i="58"/>
  <c r="Z90" i="58"/>
  <c r="N16" i="40"/>
  <c r="F86" i="58"/>
  <c r="X86" i="58"/>
  <c r="Z84" i="58"/>
  <c r="V84" i="58"/>
  <c r="F88" i="58"/>
  <c r="V99" i="58"/>
  <c r="X84" i="58"/>
  <c r="X98" i="58"/>
  <c r="V98" i="58"/>
  <c r="F98" i="58"/>
  <c r="F83" i="58"/>
  <c r="Z88" i="58"/>
  <c r="V88" i="58"/>
  <c r="T182" i="58"/>
  <c r="Z182" i="58" s="1"/>
  <c r="Z83" i="58"/>
  <c r="X90" i="58"/>
  <c r="V90" i="58"/>
  <c r="F99" i="58"/>
  <c r="X99" i="58"/>
  <c r="F85" i="58"/>
  <c r="V85" i="58"/>
  <c r="Z85" i="58"/>
  <c r="F97" i="58"/>
  <c r="V95" i="58"/>
  <c r="Z95" i="58"/>
  <c r="F95" i="58"/>
  <c r="V97" i="58"/>
  <c r="X97" i="58"/>
  <c r="N16" i="57"/>
  <c r="Z87" i="58"/>
  <c r="X87" i="58"/>
  <c r="F87" i="58"/>
  <c r="V87" i="58"/>
  <c r="N16" i="58"/>
  <c r="X20" i="58"/>
  <c r="Z20" i="58"/>
  <c r="V20" i="58"/>
  <c r="F20" i="58"/>
  <c r="T180" i="58"/>
  <c r="Z117" i="58"/>
  <c r="X117" i="58"/>
  <c r="V117" i="58"/>
  <c r="F117" i="58"/>
  <c r="K88" i="40"/>
  <c r="T88" i="40" s="1"/>
  <c r="F88" i="40" s="1"/>
  <c r="K22" i="58"/>
  <c r="X20" i="57"/>
  <c r="V20" i="57"/>
  <c r="Z20" i="57"/>
  <c r="F20" i="57"/>
  <c r="X183" i="58"/>
  <c r="V183" i="58"/>
  <c r="Z183" i="58"/>
  <c r="F183" i="58"/>
  <c r="S16" i="57"/>
  <c r="Z162" i="58"/>
  <c r="F162" i="58"/>
  <c r="V162" i="58"/>
  <c r="X162" i="58"/>
  <c r="X459" i="58"/>
  <c r="V459" i="58"/>
  <c r="Z459" i="58"/>
  <c r="F459" i="58"/>
  <c r="K28" i="58"/>
  <c r="T28" i="58" s="1"/>
  <c r="Z181" i="58"/>
  <c r="V181" i="58"/>
  <c r="X181" i="58"/>
  <c r="F181" i="58"/>
  <c r="X168" i="58"/>
  <c r="F168" i="58"/>
  <c r="V168" i="58"/>
  <c r="Z168" i="58"/>
  <c r="T455" i="58"/>
  <c r="K503" i="40"/>
  <c r="T503" i="40" s="1"/>
  <c r="F503" i="40" s="1"/>
  <c r="K263" i="40"/>
  <c r="T263" i="40" s="1"/>
  <c r="F263" i="40" s="1"/>
  <c r="K23" i="40"/>
  <c r="T23" i="40" s="1"/>
  <c r="F23" i="40" s="1"/>
  <c r="K147" i="40"/>
  <c r="T147" i="40" s="1"/>
  <c r="F147" i="40" s="1"/>
  <c r="K172" i="40"/>
  <c r="T172" i="40" s="1"/>
  <c r="K386" i="40"/>
  <c r="T386" i="40" s="1"/>
  <c r="F386" i="40" s="1"/>
  <c r="K165" i="40"/>
  <c r="T165" i="40" s="1"/>
  <c r="F165" i="40" s="1"/>
  <c r="K107" i="40"/>
  <c r="T107" i="40" s="1"/>
  <c r="F107" i="40" s="1"/>
  <c r="K134" i="40"/>
  <c r="T134" i="40" s="1"/>
  <c r="F134" i="40" s="1"/>
  <c r="K314" i="40"/>
  <c r="T314" i="40" s="1"/>
  <c r="F314" i="40" s="1"/>
  <c r="K26" i="40"/>
  <c r="T26" i="40" s="1"/>
  <c r="F26" i="40" s="1"/>
  <c r="K34" i="40"/>
  <c r="T34" i="40" s="1"/>
  <c r="F34" i="40" s="1"/>
  <c r="K351" i="40"/>
  <c r="T351" i="40" s="1"/>
  <c r="F351" i="40" s="1"/>
  <c r="K94" i="40"/>
  <c r="T94" i="40" s="1"/>
  <c r="F94" i="40" s="1"/>
  <c r="K161" i="40"/>
  <c r="T161" i="40" s="1"/>
  <c r="F161" i="40" s="1"/>
  <c r="K340" i="40"/>
  <c r="T340" i="40" s="1"/>
  <c r="F340" i="40" s="1"/>
  <c r="K424" i="40"/>
  <c r="T424" i="40" s="1"/>
  <c r="F424" i="40" s="1"/>
  <c r="K485" i="40"/>
  <c r="T485" i="40" s="1"/>
  <c r="F485" i="40" s="1"/>
  <c r="K523" i="40"/>
  <c r="T523" i="40" s="1"/>
  <c r="F523" i="40" s="1"/>
  <c r="K130" i="40"/>
  <c r="T130" i="40" s="1"/>
  <c r="F130" i="40" s="1"/>
  <c r="K215" i="40"/>
  <c r="T215" i="40" s="1"/>
  <c r="F215" i="40" s="1"/>
  <c r="K234" i="40"/>
  <c r="T234" i="40" s="1"/>
  <c r="F234" i="40" s="1"/>
  <c r="K427" i="40"/>
  <c r="T427" i="40" s="1"/>
  <c r="F427" i="40" s="1"/>
  <c r="K101" i="40"/>
  <c r="T101" i="40" s="1"/>
  <c r="F101" i="40" s="1"/>
  <c r="K343" i="40"/>
  <c r="T343" i="40" s="1"/>
  <c r="F343" i="40" s="1"/>
  <c r="K156" i="40"/>
  <c r="T156" i="40" s="1"/>
  <c r="F156" i="40" s="1"/>
  <c r="K228" i="40"/>
  <c r="T228" i="40" s="1"/>
  <c r="F228" i="40" s="1"/>
  <c r="K513" i="40"/>
  <c r="T513" i="40" s="1"/>
  <c r="F513" i="40" s="1"/>
  <c r="K474" i="40"/>
  <c r="T474" i="40" s="1"/>
  <c r="F474" i="40" s="1"/>
  <c r="K557" i="40"/>
  <c r="T557" i="40" s="1"/>
  <c r="F557" i="40" s="1"/>
  <c r="K149" i="40"/>
  <c r="T149" i="40" s="1"/>
  <c r="F149" i="40" s="1"/>
  <c r="K454" i="40"/>
  <c r="T454" i="40" s="1"/>
  <c r="F454" i="40" s="1"/>
  <c r="K558" i="40"/>
  <c r="T558" i="40" s="1"/>
  <c r="F558" i="40" s="1"/>
  <c r="K553" i="40"/>
  <c r="T553" i="40" s="1"/>
  <c r="F553" i="40" s="1"/>
  <c r="K431" i="40"/>
  <c r="T431" i="40" s="1"/>
  <c r="F431" i="40" s="1"/>
  <c r="K546" i="40"/>
  <c r="T546" i="40" s="1"/>
  <c r="F546" i="40" s="1"/>
  <c r="K194" i="40"/>
  <c r="T194" i="40" s="1"/>
  <c r="F194" i="40" s="1"/>
  <c r="K206" i="40"/>
  <c r="T206" i="40" s="1"/>
  <c r="F206" i="40" s="1"/>
  <c r="K306" i="40"/>
  <c r="T306" i="40" s="1"/>
  <c r="F306" i="40" s="1"/>
  <c r="K299" i="40"/>
  <c r="T299" i="40" s="1"/>
  <c r="F299" i="40" s="1"/>
  <c r="K47" i="40"/>
  <c r="T47" i="40" s="1"/>
  <c r="F47" i="40" s="1"/>
  <c r="K55" i="40"/>
  <c r="T55" i="40" s="1"/>
  <c r="F55" i="40" s="1"/>
  <c r="K541" i="40"/>
  <c r="T541" i="40" s="1"/>
  <c r="F541" i="40" s="1"/>
  <c r="K261" i="40"/>
  <c r="T261" i="40" s="1"/>
  <c r="F261" i="40" s="1"/>
  <c r="K380" i="40"/>
  <c r="T380" i="40" s="1"/>
  <c r="F380" i="40" s="1"/>
  <c r="K490" i="40"/>
  <c r="T490" i="40" s="1"/>
  <c r="F490" i="40" s="1"/>
  <c r="K138" i="40"/>
  <c r="T138" i="40" s="1"/>
  <c r="F138" i="40" s="1"/>
  <c r="K562" i="40"/>
  <c r="T562" i="40" s="1"/>
  <c r="F562" i="40" s="1"/>
  <c r="K166" i="40"/>
  <c r="T166" i="40" s="1"/>
  <c r="F166" i="40" s="1"/>
  <c r="K52" i="40"/>
  <c r="T52" i="40" s="1"/>
  <c r="F52" i="40" s="1"/>
  <c r="K459" i="40"/>
  <c r="T459" i="40" s="1"/>
  <c r="F459" i="40" s="1"/>
  <c r="K207" i="40"/>
  <c r="T207" i="40" s="1"/>
  <c r="F207" i="40" s="1"/>
  <c r="K48" i="40"/>
  <c r="T48" i="40" s="1"/>
  <c r="F48" i="40" s="1"/>
  <c r="K383" i="40"/>
  <c r="T383" i="40" s="1"/>
  <c r="F383" i="40" s="1"/>
  <c r="K196" i="40"/>
  <c r="T196" i="40" s="1"/>
  <c r="F196" i="40" s="1"/>
  <c r="K264" i="40"/>
  <c r="T264" i="40" s="1"/>
  <c r="F264" i="40" s="1"/>
  <c r="K437" i="40"/>
  <c r="T437" i="40" s="1"/>
  <c r="F437" i="40" s="1"/>
  <c r="K329" i="40"/>
  <c r="T329" i="40" s="1"/>
  <c r="F329" i="40" s="1"/>
  <c r="K425" i="40"/>
  <c r="T425" i="40" s="1"/>
  <c r="F425" i="40" s="1"/>
  <c r="K468" i="40"/>
  <c r="T468" i="40" s="1"/>
  <c r="F468" i="40" s="1"/>
  <c r="K555" i="40"/>
  <c r="T555" i="40" s="1"/>
  <c r="F555" i="40" s="1"/>
  <c r="K266" i="40"/>
  <c r="T266" i="40" s="1"/>
  <c r="F266" i="40" s="1"/>
  <c r="K59" i="40"/>
  <c r="T59" i="40" s="1"/>
  <c r="F59" i="40" s="1"/>
  <c r="K199" i="40"/>
  <c r="T199" i="40" s="1"/>
  <c r="F199" i="40" s="1"/>
  <c r="K493" i="40"/>
  <c r="T493" i="40" s="1"/>
  <c r="F493" i="40" s="1"/>
  <c r="K66" i="40"/>
  <c r="T66" i="40" s="1"/>
  <c r="F66" i="40" s="1"/>
  <c r="K525" i="40"/>
  <c r="T525" i="40" s="1"/>
  <c r="F525" i="40" s="1"/>
  <c r="K292" i="40"/>
  <c r="T292" i="40" s="1"/>
  <c r="F292" i="40" s="1"/>
  <c r="K364" i="40"/>
  <c r="T364" i="40" s="1"/>
  <c r="F364" i="40" s="1"/>
  <c r="K372" i="40"/>
  <c r="T372" i="40" s="1"/>
  <c r="F372" i="40" s="1"/>
  <c r="K281" i="40"/>
  <c r="T281" i="40" s="1"/>
  <c r="F281" i="40" s="1"/>
  <c r="K365" i="40"/>
  <c r="T365" i="40" s="1"/>
  <c r="F365" i="40" s="1"/>
  <c r="K360" i="40"/>
  <c r="T360" i="40" s="1"/>
  <c r="F360" i="40" s="1"/>
  <c r="K269" i="40"/>
  <c r="T269" i="40" s="1"/>
  <c r="F269" i="40" s="1"/>
  <c r="K349" i="40"/>
  <c r="T349" i="40" s="1"/>
  <c r="F349" i="40" s="1"/>
  <c r="K162" i="40"/>
  <c r="T162" i="40" s="1"/>
  <c r="F162" i="40" s="1"/>
  <c r="K77" i="40"/>
  <c r="T77" i="40" s="1"/>
  <c r="F77" i="40" s="1"/>
  <c r="K115" i="40"/>
  <c r="T115" i="40" s="1"/>
  <c r="F115" i="40" s="1"/>
  <c r="K285" i="40"/>
  <c r="T285" i="40" s="1"/>
  <c r="F285" i="40" s="1"/>
  <c r="K49" i="40"/>
  <c r="T49" i="40" s="1"/>
  <c r="F49" i="40" s="1"/>
  <c r="K78" i="40"/>
  <c r="T78" i="40" s="1"/>
  <c r="F78" i="40" s="1"/>
  <c r="K54" i="40"/>
  <c r="T54" i="40" s="1"/>
  <c r="F54" i="40" s="1"/>
  <c r="K413" i="40"/>
  <c r="T413" i="40" s="1"/>
  <c r="F413" i="40" s="1"/>
  <c r="K455" i="40"/>
  <c r="T455" i="40" s="1"/>
  <c r="F455" i="40" s="1"/>
  <c r="K197" i="40"/>
  <c r="T197" i="40" s="1"/>
  <c r="F197" i="40" s="1"/>
  <c r="K246" i="40"/>
  <c r="T246" i="40" s="1"/>
  <c r="F246" i="40" s="1"/>
  <c r="K249" i="40"/>
  <c r="T249" i="40" s="1"/>
  <c r="F249" i="40" s="1"/>
  <c r="K494" i="40"/>
  <c r="T494" i="40" s="1"/>
  <c r="F494" i="40" s="1"/>
  <c r="K384" i="40"/>
  <c r="T384" i="40" s="1"/>
  <c r="F384" i="40" s="1"/>
  <c r="K177" i="40"/>
  <c r="T177" i="40" s="1"/>
  <c r="F177" i="40" s="1"/>
  <c r="K163" i="40"/>
  <c r="T163" i="40" s="1"/>
  <c r="F163" i="40" s="1"/>
  <c r="K366" i="40"/>
  <c r="T366" i="40" s="1"/>
  <c r="F366" i="40" s="1"/>
  <c r="K118" i="40"/>
  <c r="T118" i="40" s="1"/>
  <c r="F118" i="40" s="1"/>
  <c r="K71" i="40"/>
  <c r="T71" i="40" s="1"/>
  <c r="F71" i="40" s="1"/>
  <c r="K139" i="40"/>
  <c r="T139" i="40" s="1"/>
  <c r="F139" i="40" s="1"/>
  <c r="K535" i="40"/>
  <c r="T535" i="40" s="1"/>
  <c r="F535" i="40" s="1"/>
  <c r="K176" i="40"/>
  <c r="T176" i="40" s="1"/>
  <c r="F176" i="40" s="1"/>
  <c r="K313" i="40"/>
  <c r="T313" i="40" s="1"/>
  <c r="F313" i="40" s="1"/>
  <c r="K247" i="40"/>
  <c r="T247" i="40" s="1"/>
  <c r="F247" i="40" s="1"/>
  <c r="K537" i="40"/>
  <c r="T537" i="40" s="1"/>
  <c r="F537" i="40" s="1"/>
  <c r="K278" i="40"/>
  <c r="T278" i="40" s="1"/>
  <c r="F278" i="40" s="1"/>
  <c r="K540" i="40"/>
  <c r="T540" i="40" s="1"/>
  <c r="F540" i="40" s="1"/>
  <c r="K334" i="40"/>
  <c r="T334" i="40" s="1"/>
  <c r="F334" i="40" s="1"/>
  <c r="K322" i="40"/>
  <c r="T322" i="40" s="1"/>
  <c r="F322" i="40" s="1"/>
  <c r="K392" i="40"/>
  <c r="T392" i="40" s="1"/>
  <c r="F392" i="40" s="1"/>
  <c r="K27" i="40"/>
  <c r="T27" i="40" s="1"/>
  <c r="F27" i="40" s="1"/>
  <c r="K433" i="40"/>
  <c r="T433" i="40" s="1"/>
  <c r="F433" i="40" s="1"/>
  <c r="K232" i="40"/>
  <c r="T232" i="40" s="1"/>
  <c r="F232" i="40" s="1"/>
  <c r="K300" i="40"/>
  <c r="T300" i="40" s="1"/>
  <c r="F300" i="40" s="1"/>
  <c r="K498" i="40"/>
  <c r="T498" i="40" s="1"/>
  <c r="F498" i="40" s="1"/>
  <c r="K369" i="40"/>
  <c r="T369" i="40" s="1"/>
  <c r="F369" i="40" s="1"/>
  <c r="K491" i="40"/>
  <c r="T491" i="40" s="1"/>
  <c r="F491" i="40" s="1"/>
  <c r="K404" i="40"/>
  <c r="T404" i="40" s="1"/>
  <c r="F404" i="40" s="1"/>
  <c r="K432" i="40"/>
  <c r="T432" i="40" s="1"/>
  <c r="F432" i="40" s="1"/>
  <c r="K345" i="40"/>
  <c r="T345" i="40" s="1"/>
  <c r="F345" i="40" s="1"/>
  <c r="K103" i="40"/>
  <c r="T103" i="40" s="1"/>
  <c r="F103" i="40" s="1"/>
  <c r="K235" i="40"/>
  <c r="T235" i="40" s="1"/>
  <c r="F235" i="40" s="1"/>
  <c r="K536" i="40"/>
  <c r="T536" i="40" s="1"/>
  <c r="F536" i="40" s="1"/>
  <c r="K108" i="40"/>
  <c r="T108" i="40" s="1"/>
  <c r="F108" i="40" s="1"/>
  <c r="K272" i="40"/>
  <c r="T272" i="40" s="1"/>
  <c r="F272" i="40" s="1"/>
  <c r="K185" i="40"/>
  <c r="T185" i="40" s="1"/>
  <c r="F185" i="40" s="1"/>
  <c r="K265" i="40"/>
  <c r="T265" i="40" s="1"/>
  <c r="F265" i="40" s="1"/>
  <c r="K402" i="40"/>
  <c r="T402" i="40" s="1"/>
  <c r="F402" i="40" s="1"/>
  <c r="K507" i="40"/>
  <c r="T507" i="40" s="1"/>
  <c r="F507" i="40" s="1"/>
  <c r="K110" i="40"/>
  <c r="T110" i="40" s="1"/>
  <c r="F110" i="40" s="1"/>
  <c r="K24" i="40"/>
  <c r="T24" i="40" s="1"/>
  <c r="F24" i="40" s="1"/>
  <c r="K346" i="40"/>
  <c r="T346" i="40" s="1"/>
  <c r="F346" i="40" s="1"/>
  <c r="K303" i="40"/>
  <c r="T303" i="40" s="1"/>
  <c r="F303" i="40" s="1"/>
  <c r="K32" i="40"/>
  <c r="T32" i="40" s="1"/>
  <c r="F32" i="40" s="1"/>
  <c r="K331" i="40"/>
  <c r="T331" i="40" s="1"/>
  <c r="F331" i="40" s="1"/>
  <c r="K144" i="40"/>
  <c r="T144" i="40" s="1"/>
  <c r="F144" i="40" s="1"/>
  <c r="K216" i="40"/>
  <c r="T216" i="40" s="1"/>
  <c r="F216" i="40" s="1"/>
  <c r="K224" i="40"/>
  <c r="T224" i="40" s="1"/>
  <c r="F224" i="40" s="1"/>
  <c r="K133" i="40"/>
  <c r="T133" i="40" s="1"/>
  <c r="F133" i="40" s="1"/>
  <c r="K217" i="40"/>
  <c r="T217" i="40" s="1"/>
  <c r="F217" i="40" s="1"/>
  <c r="K212" i="40"/>
  <c r="T212" i="40" s="1"/>
  <c r="F212" i="40" s="1"/>
  <c r="K113" i="40"/>
  <c r="T113" i="40" s="1"/>
  <c r="F113" i="40" s="1"/>
  <c r="K205" i="40"/>
  <c r="T205" i="40" s="1"/>
  <c r="F205" i="40" s="1"/>
  <c r="K106" i="40"/>
  <c r="T106" i="40" s="1"/>
  <c r="F106" i="40" s="1"/>
  <c r="K262" i="40"/>
  <c r="T262" i="40" s="1"/>
  <c r="F262" i="40" s="1"/>
  <c r="K324" i="40"/>
  <c r="T324" i="40" s="1"/>
  <c r="F324" i="40" s="1"/>
  <c r="K287" i="40"/>
  <c r="T287" i="40" s="1"/>
  <c r="F287" i="40" s="1"/>
  <c r="K99" i="40"/>
  <c r="T99" i="40" s="1"/>
  <c r="F99" i="40" s="1"/>
  <c r="K508" i="40"/>
  <c r="T508" i="40" s="1"/>
  <c r="F508" i="40" s="1"/>
  <c r="K178" i="40"/>
  <c r="T178" i="40" s="1"/>
  <c r="F178" i="40" s="1"/>
  <c r="K400" i="40"/>
  <c r="T400" i="40" s="1"/>
  <c r="F400" i="40" s="1"/>
  <c r="K233" i="40"/>
  <c r="T233" i="40" s="1"/>
  <c r="F233" i="40" s="1"/>
  <c r="K119" i="40"/>
  <c r="T119" i="40" s="1"/>
  <c r="F119" i="40" s="1"/>
  <c r="K136" i="40"/>
  <c r="T136" i="40" s="1"/>
  <c r="F136" i="40" s="1"/>
  <c r="K363" i="40"/>
  <c r="T363" i="40" s="1"/>
  <c r="F363" i="40" s="1"/>
  <c r="K376" i="40"/>
  <c r="T376" i="40" s="1"/>
  <c r="F376" i="40" s="1"/>
  <c r="K229" i="40"/>
  <c r="T229" i="40" s="1"/>
  <c r="F229" i="40" s="1"/>
  <c r="K298" i="40"/>
  <c r="T298" i="40" s="1"/>
  <c r="F298" i="40" s="1"/>
  <c r="K20" i="40"/>
  <c r="T20" i="40" s="1"/>
  <c r="F20" i="40" s="1"/>
  <c r="K193" i="40"/>
  <c r="T193" i="40" s="1"/>
  <c r="F193" i="40" s="1"/>
  <c r="K63" i="40"/>
  <c r="T63" i="40" s="1"/>
  <c r="F63" i="40" s="1"/>
  <c r="K271" i="40"/>
  <c r="T271" i="40" s="1"/>
  <c r="F271" i="40" s="1"/>
  <c r="K361" i="40"/>
  <c r="T361" i="40" s="1"/>
  <c r="F361" i="40" s="1"/>
  <c r="K152" i="40"/>
  <c r="T152" i="40" s="1"/>
  <c r="F152" i="40" s="1"/>
  <c r="K308" i="40"/>
  <c r="T308" i="40" s="1"/>
  <c r="F308" i="40" s="1"/>
  <c r="K221" i="40"/>
  <c r="T221" i="40" s="1"/>
  <c r="F221" i="40" s="1"/>
  <c r="K301" i="40"/>
  <c r="T301" i="40" s="1"/>
  <c r="F301" i="40" s="1"/>
  <c r="K251" i="40"/>
  <c r="T251" i="40" s="1"/>
  <c r="F251" i="40" s="1"/>
  <c r="K270" i="40"/>
  <c r="T270" i="40" s="1"/>
  <c r="F270" i="40" s="1"/>
  <c r="K492" i="40"/>
  <c r="T492" i="40" s="1"/>
  <c r="F492" i="40" s="1"/>
  <c r="K89" i="40"/>
  <c r="T89" i="40" s="1"/>
  <c r="F89" i="40" s="1"/>
  <c r="K531" i="40"/>
  <c r="T531" i="40" s="1"/>
  <c r="F531" i="40" s="1"/>
  <c r="K339" i="40"/>
  <c r="T339" i="40" s="1"/>
  <c r="F339" i="40" s="1"/>
  <c r="K60" i="40"/>
  <c r="T60" i="40" s="1"/>
  <c r="F60" i="40" s="1"/>
  <c r="K124" i="40"/>
  <c r="T124" i="40" s="1"/>
  <c r="F124" i="40" s="1"/>
  <c r="K522" i="40"/>
  <c r="T522" i="40" s="1"/>
  <c r="F522" i="40" s="1"/>
  <c r="K109" i="40"/>
  <c r="T109" i="40" s="1"/>
  <c r="F109" i="40" s="1"/>
  <c r="K418" i="40"/>
  <c r="T418" i="40" s="1"/>
  <c r="F418" i="40" s="1"/>
  <c r="K317" i="40"/>
  <c r="T317" i="40" s="1"/>
  <c r="F317" i="40" s="1"/>
  <c r="K406" i="40"/>
  <c r="T406" i="40" s="1"/>
  <c r="F406" i="40" s="1"/>
  <c r="K544" i="40"/>
  <c r="T544" i="40" s="1"/>
  <c r="F544" i="40" s="1"/>
  <c r="K137" i="40"/>
  <c r="T137" i="40" s="1"/>
  <c r="F137" i="40" s="1"/>
  <c r="K155" i="40"/>
  <c r="T155" i="40" s="1"/>
  <c r="F155" i="40" s="1"/>
  <c r="K38" i="40"/>
  <c r="T38" i="40" s="1"/>
  <c r="F38" i="40" s="1"/>
  <c r="K187" i="40"/>
  <c r="T187" i="40" s="1"/>
  <c r="F187" i="40" s="1"/>
  <c r="K473" i="40"/>
  <c r="T473" i="40" s="1"/>
  <c r="F473" i="40" s="1"/>
  <c r="K67" i="40"/>
  <c r="T67" i="40" s="1"/>
  <c r="F67" i="40" s="1"/>
  <c r="K442" i="40"/>
  <c r="T442" i="40" s="1"/>
  <c r="F442" i="40" s="1"/>
  <c r="K453" i="40"/>
  <c r="T453" i="40" s="1"/>
  <c r="F453" i="40" s="1"/>
  <c r="K545" i="40"/>
  <c r="T545" i="40" s="1"/>
  <c r="F545" i="40" s="1"/>
  <c r="K373" i="40"/>
  <c r="T373" i="40" s="1"/>
  <c r="F373" i="40" s="1"/>
  <c r="K430" i="40"/>
  <c r="T430" i="40" s="1"/>
  <c r="F430" i="40" s="1"/>
  <c r="K533" i="40"/>
  <c r="T533" i="40" s="1"/>
  <c r="F533" i="40" s="1"/>
  <c r="K283" i="40"/>
  <c r="T283" i="40" s="1"/>
  <c r="F283" i="40" s="1"/>
  <c r="K295" i="40"/>
  <c r="T295" i="40" s="1"/>
  <c r="F295" i="40" s="1"/>
  <c r="K350" i="40"/>
  <c r="T350" i="40" s="1"/>
  <c r="F350" i="40" s="1"/>
  <c r="K25" i="40"/>
  <c r="T25" i="40" s="1"/>
  <c r="F25" i="40" s="1"/>
  <c r="K200" i="40"/>
  <c r="T200" i="40" s="1"/>
  <c r="F200" i="40" s="1"/>
  <c r="K381" i="40"/>
  <c r="T381" i="40" s="1"/>
  <c r="F381" i="40" s="1"/>
  <c r="K419" i="40"/>
  <c r="T419" i="40" s="1"/>
  <c r="F419" i="40" s="1"/>
  <c r="K284" i="40"/>
  <c r="T284" i="40" s="1"/>
  <c r="F284" i="40" s="1"/>
  <c r="K227" i="40"/>
  <c r="T227" i="40" s="1"/>
  <c r="F227" i="40" s="1"/>
  <c r="K556" i="40"/>
  <c r="T556" i="40" s="1"/>
  <c r="F556" i="40" s="1"/>
  <c r="K83" i="40"/>
  <c r="T83" i="40" s="1"/>
  <c r="F83" i="40" s="1"/>
  <c r="K150" i="40"/>
  <c r="T150" i="40" s="1"/>
  <c r="F150" i="40" s="1"/>
  <c r="K377" i="40"/>
  <c r="T377" i="40" s="1"/>
  <c r="F377" i="40" s="1"/>
  <c r="K198" i="40"/>
  <c r="T198" i="40" s="1"/>
  <c r="F198" i="40" s="1"/>
  <c r="K186" i="40"/>
  <c r="T186" i="40" s="1"/>
  <c r="F186" i="40" s="1"/>
  <c r="K415" i="40"/>
  <c r="T415" i="40" s="1"/>
  <c r="F415" i="40" s="1"/>
  <c r="K504" i="40"/>
  <c r="T504" i="40" s="1"/>
  <c r="F504" i="40" s="1"/>
  <c r="K128" i="40"/>
  <c r="T128" i="40" s="1"/>
  <c r="F128" i="40" s="1"/>
  <c r="K500" i="40"/>
  <c r="T500" i="40" s="1"/>
  <c r="F500" i="40" s="1"/>
  <c r="K382" i="40"/>
  <c r="T382" i="40" s="1"/>
  <c r="F382" i="40" s="1"/>
  <c r="K304" i="40"/>
  <c r="T304" i="40" s="1"/>
  <c r="F304" i="40" s="1"/>
  <c r="K145" i="40"/>
  <c r="T145" i="40" s="1"/>
  <c r="F145" i="40" s="1"/>
  <c r="K230" i="40"/>
  <c r="T230" i="40" s="1"/>
  <c r="F230" i="40" s="1"/>
  <c r="K218" i="40"/>
  <c r="T218" i="40" s="1"/>
  <c r="F218" i="40" s="1"/>
  <c r="K179" i="40"/>
  <c r="T179" i="40" s="1"/>
  <c r="F179" i="40" s="1"/>
  <c r="K332" i="40"/>
  <c r="T332" i="40" s="1"/>
  <c r="F332" i="40" s="1"/>
  <c r="K87" i="40"/>
  <c r="T87" i="40" s="1"/>
  <c r="V87" i="40" s="1"/>
  <c r="K21" i="40"/>
  <c r="T21" i="40" s="1"/>
  <c r="F21" i="40" s="1"/>
  <c r="K122" i="40"/>
  <c r="T122" i="40" s="1"/>
  <c r="F122" i="40" s="1"/>
  <c r="K379" i="40"/>
  <c r="T379" i="40" s="1"/>
  <c r="F379" i="40" s="1"/>
  <c r="K96" i="40"/>
  <c r="T96" i="40" s="1"/>
  <c r="F96" i="40" s="1"/>
  <c r="K160" i="40"/>
  <c r="T160" i="40" s="1"/>
  <c r="F160" i="40" s="1"/>
  <c r="K561" i="40"/>
  <c r="T561" i="40" s="1"/>
  <c r="F561" i="40" s="1"/>
  <c r="K153" i="40"/>
  <c r="T153" i="40" s="1"/>
  <c r="F153" i="40" s="1"/>
  <c r="K43" i="40"/>
  <c r="T43" i="40" s="1"/>
  <c r="F43" i="40" s="1"/>
  <c r="K116" i="40"/>
  <c r="T116" i="40" s="1"/>
  <c r="F116" i="40" s="1"/>
  <c r="K302" i="40"/>
  <c r="T302" i="40" s="1"/>
  <c r="F302" i="40" s="1"/>
  <c r="K97" i="40"/>
  <c r="T97" i="40" s="1"/>
  <c r="F97" i="40" s="1"/>
  <c r="K385" i="40"/>
  <c r="T385" i="40" s="1"/>
  <c r="F385" i="40" s="1"/>
  <c r="K195" i="40"/>
  <c r="T195" i="40" s="1"/>
  <c r="F195" i="40" s="1"/>
  <c r="K120" i="40"/>
  <c r="T120" i="40" s="1"/>
  <c r="F120" i="40" s="1"/>
  <c r="K41" i="40"/>
  <c r="T41" i="40" s="1"/>
  <c r="F41" i="40" s="1"/>
  <c r="K328" i="40"/>
  <c r="T328" i="40" s="1"/>
  <c r="F328" i="40" s="1"/>
  <c r="K405" i="40"/>
  <c r="T405" i="40" s="1"/>
  <c r="F405" i="40" s="1"/>
  <c r="K260" i="40"/>
  <c r="T260" i="40" s="1"/>
  <c r="F260" i="40" s="1"/>
  <c r="K169" i="40"/>
  <c r="T169" i="40" s="1"/>
  <c r="F169" i="40" s="1"/>
  <c r="K253" i="40"/>
  <c r="T253" i="40" s="1"/>
  <c r="F253" i="40" s="1"/>
  <c r="K347" i="40"/>
  <c r="T347" i="40" s="1"/>
  <c r="F347" i="40" s="1"/>
  <c r="K370" i="40"/>
  <c r="T370" i="40" s="1"/>
  <c r="F370" i="40" s="1"/>
  <c r="K201" i="40"/>
  <c r="T201" i="40" s="1"/>
  <c r="F201" i="40" s="1"/>
  <c r="K93" i="40"/>
  <c r="T93" i="40" s="1"/>
  <c r="F93" i="40" s="1"/>
  <c r="K310" i="40"/>
  <c r="T310" i="40" s="1"/>
  <c r="F310" i="40" s="1"/>
  <c r="K291" i="40"/>
  <c r="T291" i="40" s="1"/>
  <c r="F291" i="40" s="1"/>
  <c r="K74" i="40"/>
  <c r="T74" i="40" s="1"/>
  <c r="F74" i="40" s="1"/>
  <c r="K510" i="40"/>
  <c r="T510" i="40" s="1"/>
  <c r="F510" i="40" s="1"/>
  <c r="K280" i="40"/>
  <c r="T280" i="40" s="1"/>
  <c r="F280" i="40" s="1"/>
  <c r="K348" i="40"/>
  <c r="T348" i="40" s="1"/>
  <c r="F348" i="40" s="1"/>
  <c r="K497" i="40"/>
  <c r="T497" i="40" s="1"/>
  <c r="F497" i="40" s="1"/>
  <c r="K268" i="40"/>
  <c r="T268" i="40" s="1"/>
  <c r="F268" i="40" s="1"/>
  <c r="K336" i="40"/>
  <c r="T336" i="40" s="1"/>
  <c r="F336" i="40" s="1"/>
  <c r="K238" i="40"/>
  <c r="T238" i="40" s="1"/>
  <c r="F238" i="40" s="1"/>
  <c r="K274" i="40"/>
  <c r="T274" i="40" s="1"/>
  <c r="F274" i="40" s="1"/>
  <c r="K256" i="40"/>
  <c r="T256" i="40" s="1"/>
  <c r="F256" i="40" s="1"/>
  <c r="K181" i="40"/>
  <c r="T181" i="40" s="1"/>
  <c r="F181" i="40" s="1"/>
  <c r="K488" i="40"/>
  <c r="T488" i="40" s="1"/>
  <c r="F488" i="40" s="1"/>
  <c r="K164" i="40"/>
  <c r="T164" i="40" s="1"/>
  <c r="F164" i="40" s="1"/>
  <c r="K511" i="40"/>
  <c r="T511" i="40" s="1"/>
  <c r="F511" i="40" s="1"/>
  <c r="K75" i="40"/>
  <c r="T75" i="40" s="1"/>
  <c r="F75" i="40" s="1"/>
  <c r="K277" i="40"/>
  <c r="T277" i="40" s="1"/>
  <c r="F277" i="40" s="1"/>
  <c r="K449" i="40"/>
  <c r="T449" i="40" s="1"/>
  <c r="F449" i="40" s="1"/>
  <c r="K167" i="40"/>
  <c r="T167" i="40" s="1"/>
  <c r="F167" i="40" s="1"/>
  <c r="K40" i="40"/>
  <c r="T40" i="40" s="1"/>
  <c r="F40" i="40" s="1"/>
  <c r="K293" i="40"/>
  <c r="T293" i="40" s="1"/>
  <c r="F293" i="40" s="1"/>
  <c r="K378" i="40"/>
  <c r="T378" i="40" s="1"/>
  <c r="F378" i="40" s="1"/>
  <c r="K318" i="40"/>
  <c r="T318" i="40" s="1"/>
  <c r="F318" i="40" s="1"/>
  <c r="K28" i="40"/>
  <c r="T28" i="40" s="1"/>
  <c r="X28" i="40" s="1"/>
  <c r="K123" i="40"/>
  <c r="T123" i="40" s="1"/>
  <c r="F123" i="40" s="1"/>
  <c r="K126" i="40"/>
  <c r="T126" i="40" s="1"/>
  <c r="F126" i="40" s="1"/>
  <c r="K231" i="40"/>
  <c r="T231" i="40" s="1"/>
  <c r="F231" i="40" s="1"/>
  <c r="K102" i="40"/>
  <c r="T102" i="40" s="1"/>
  <c r="F102" i="40" s="1"/>
  <c r="K213" i="40"/>
  <c r="T213" i="40" s="1"/>
  <c r="F213" i="40" s="1"/>
  <c r="K368" i="40"/>
  <c r="T368" i="40" s="1"/>
  <c r="F368" i="40" s="1"/>
  <c r="K470" i="40"/>
  <c r="T470" i="40" s="1"/>
  <c r="F470" i="40" s="1"/>
  <c r="K42" i="40"/>
  <c r="T42" i="40" s="1"/>
  <c r="F42" i="40" s="1"/>
  <c r="K550" i="40"/>
  <c r="T550" i="40" s="1"/>
  <c r="F550" i="40" s="1"/>
  <c r="K154" i="40"/>
  <c r="T154" i="40" s="1"/>
  <c r="F154" i="40" s="1"/>
  <c r="K387" i="40"/>
  <c r="T387" i="40" s="1"/>
  <c r="F387" i="40" s="1"/>
  <c r="K416" i="40"/>
  <c r="T416" i="40" s="1"/>
  <c r="F416" i="40" s="1"/>
  <c r="K297" i="40"/>
  <c r="T297" i="40" s="1"/>
  <c r="F297" i="40" s="1"/>
  <c r="K85" i="40"/>
  <c r="T85" i="40" s="1"/>
  <c r="F85" i="40" s="1"/>
  <c r="K371" i="40"/>
  <c r="T371" i="40" s="1"/>
  <c r="F371" i="40" s="1"/>
  <c r="K184" i="40"/>
  <c r="T184" i="40" s="1"/>
  <c r="F184" i="40" s="1"/>
  <c r="K252" i="40"/>
  <c r="T252" i="40" s="1"/>
  <c r="F252" i="40" s="1"/>
  <c r="K104" i="40"/>
  <c r="T104" i="40" s="1"/>
  <c r="F104" i="40" s="1"/>
  <c r="K506" i="40"/>
  <c r="T506" i="40" s="1"/>
  <c r="F506" i="40" s="1"/>
  <c r="K45" i="40"/>
  <c r="T45" i="40" s="1"/>
  <c r="F45" i="40" s="1"/>
  <c r="K203" i="40"/>
  <c r="T203" i="40" s="1"/>
  <c r="F203" i="40" s="1"/>
  <c r="K222" i="40"/>
  <c r="T222" i="40" s="1"/>
  <c r="F222" i="40" s="1"/>
  <c r="K411" i="40"/>
  <c r="T411" i="40" s="1"/>
  <c r="F411" i="40" s="1"/>
  <c r="K532" i="40"/>
  <c r="T532" i="40" s="1"/>
  <c r="F532" i="40" s="1"/>
  <c r="K551" i="40"/>
  <c r="T551" i="40" s="1"/>
  <c r="F551" i="40" s="1"/>
  <c r="K143" i="40"/>
  <c r="T143" i="40" s="1"/>
  <c r="F143" i="40" s="1"/>
  <c r="K70" i="40"/>
  <c r="T70" i="40" s="1"/>
  <c r="F70" i="40" s="1"/>
  <c r="K319" i="40"/>
  <c r="T319" i="40" s="1"/>
  <c r="F319" i="40" s="1"/>
  <c r="K132" i="40"/>
  <c r="T132" i="40" s="1"/>
  <c r="F132" i="40" s="1"/>
  <c r="K204" i="40"/>
  <c r="T204" i="40" s="1"/>
  <c r="F204" i="40" s="1"/>
  <c r="K307" i="40"/>
  <c r="T307" i="40" s="1"/>
  <c r="F307" i="40" s="1"/>
  <c r="K112" i="40"/>
  <c r="T112" i="40" s="1"/>
  <c r="F112" i="40" s="1"/>
  <c r="K192" i="40"/>
  <c r="T192" i="40" s="1"/>
  <c r="F192" i="40" s="1"/>
  <c r="K98" i="40"/>
  <c r="T98" i="40" s="1"/>
  <c r="F98" i="40" s="1"/>
  <c r="K312" i="40"/>
  <c r="T312" i="40" s="1"/>
  <c r="F312" i="40" s="1"/>
  <c r="K170" i="40"/>
  <c r="T170" i="40" s="1"/>
  <c r="F170" i="40" s="1"/>
  <c r="K64" i="40"/>
  <c r="T64" i="40" s="1"/>
  <c r="F64" i="40" s="1"/>
  <c r="K554" i="40"/>
  <c r="T554" i="40" s="1"/>
  <c r="F554" i="40" s="1"/>
  <c r="T18" i="40"/>
  <c r="F18" i="40" s="1"/>
  <c r="K180" i="40"/>
  <c r="T180" i="40" s="1"/>
  <c r="F180" i="40" s="1"/>
  <c r="K208" i="40"/>
  <c r="T208" i="40" s="1"/>
  <c r="F208" i="40" s="1"/>
  <c r="K282" i="40"/>
  <c r="T282" i="40" s="1"/>
  <c r="F282" i="40" s="1"/>
  <c r="K548" i="40"/>
  <c r="T548" i="40" s="1"/>
  <c r="F548" i="40" s="1"/>
  <c r="K129" i="40"/>
  <c r="T129" i="40" s="1"/>
  <c r="F129" i="40" s="1"/>
  <c r="K225" i="40"/>
  <c r="T225" i="40" s="1"/>
  <c r="F225" i="40" s="1"/>
  <c r="K236" i="40"/>
  <c r="T236" i="40" s="1"/>
  <c r="F236" i="40" s="1"/>
  <c r="K374" i="40"/>
  <c r="T374" i="40" s="1"/>
  <c r="F374" i="40" s="1"/>
  <c r="K333" i="40"/>
  <c r="T333" i="40" s="1"/>
  <c r="F333" i="40" s="1"/>
  <c r="K117" i="40"/>
  <c r="T117" i="40" s="1"/>
  <c r="K446" i="40"/>
  <c r="T446" i="40" s="1"/>
  <c r="F446" i="40" s="1"/>
  <c r="K476" i="40"/>
  <c r="T476" i="40" s="1"/>
  <c r="F476" i="40" s="1"/>
  <c r="K499" i="40"/>
  <c r="T499" i="40" s="1"/>
  <c r="F499" i="40" s="1"/>
  <c r="K114" i="40"/>
  <c r="T114" i="40" s="1"/>
  <c r="F114" i="40" s="1"/>
  <c r="K417" i="40"/>
  <c r="T417" i="40" s="1"/>
  <c r="F417" i="40" s="1"/>
  <c r="K220" i="40"/>
  <c r="T220" i="40" s="1"/>
  <c r="F220" i="40" s="1"/>
  <c r="K288" i="40"/>
  <c r="T288" i="40" s="1"/>
  <c r="F288" i="40" s="1"/>
  <c r="K478" i="40"/>
  <c r="T478" i="40" s="1"/>
  <c r="F478" i="40" s="1"/>
  <c r="K353" i="40"/>
  <c r="T353" i="40" s="1"/>
  <c r="F353" i="40" s="1"/>
  <c r="K471" i="40"/>
  <c r="T471" i="40" s="1"/>
  <c r="F471" i="40" s="1"/>
  <c r="K239" i="40"/>
  <c r="T239" i="40" s="1"/>
  <c r="F239" i="40" s="1"/>
  <c r="K258" i="40"/>
  <c r="T258" i="40" s="1"/>
  <c r="F258" i="40" s="1"/>
  <c r="K472" i="40"/>
  <c r="T472" i="40" s="1"/>
  <c r="F472" i="40" s="1"/>
  <c r="K39" i="40"/>
  <c r="T39" i="40" s="1"/>
  <c r="F39" i="40" s="1"/>
  <c r="K223" i="40"/>
  <c r="T223" i="40" s="1"/>
  <c r="F223" i="40" s="1"/>
  <c r="K520" i="40"/>
  <c r="T520" i="40" s="1"/>
  <c r="F520" i="40" s="1"/>
  <c r="K44" i="40"/>
  <c r="T44" i="40" s="1"/>
  <c r="F44" i="40" s="1"/>
  <c r="K552" i="40"/>
  <c r="T552" i="40" s="1"/>
  <c r="F552" i="40" s="1"/>
  <c r="K316" i="40"/>
  <c r="T316" i="40" s="1"/>
  <c r="F316" i="40" s="1"/>
  <c r="K388" i="40"/>
  <c r="T388" i="40" s="1"/>
  <c r="F388" i="40" s="1"/>
  <c r="K420" i="40"/>
  <c r="T420" i="40" s="1"/>
  <c r="F420" i="40" s="1"/>
  <c r="K515" i="40"/>
  <c r="T515" i="40" s="1"/>
  <c r="F515" i="40" s="1"/>
  <c r="K254" i="40"/>
  <c r="T254" i="40" s="1"/>
  <c r="F254" i="40" s="1"/>
  <c r="K335" i="40"/>
  <c r="T335" i="40" s="1"/>
  <c r="F335" i="40" s="1"/>
  <c r="K354" i="40"/>
  <c r="T354" i="40" s="1"/>
  <c r="F354" i="40" s="1"/>
  <c r="K175" i="40"/>
  <c r="T175" i="40" s="1"/>
  <c r="F175" i="40" s="1"/>
  <c r="K62" i="40"/>
  <c r="T62" i="40" s="1"/>
  <c r="F62" i="40" s="1"/>
  <c r="K171" i="40"/>
  <c r="T171" i="40" s="1"/>
  <c r="F171" i="40" s="1"/>
  <c r="K450" i="40"/>
  <c r="T450" i="40" s="1"/>
  <c r="F450" i="40" s="1"/>
  <c r="K56" i="40"/>
  <c r="T56" i="40" s="1"/>
  <c r="F56" i="40" s="1"/>
  <c r="K159" i="40"/>
  <c r="T159" i="40" s="1"/>
  <c r="F159" i="40" s="1"/>
  <c r="K428" i="40"/>
  <c r="T428" i="40" s="1"/>
  <c r="F428" i="40" s="1"/>
  <c r="K81" i="40"/>
  <c r="T81" i="40" s="1"/>
  <c r="F81" i="40" s="1"/>
  <c r="K338" i="40"/>
  <c r="T338" i="40" s="1"/>
  <c r="F338" i="40" s="1"/>
  <c r="K477" i="40"/>
  <c r="T477" i="40" s="1"/>
  <c r="F477" i="40" s="1"/>
  <c r="K86" i="40"/>
  <c r="T86" i="40" s="1"/>
  <c r="F86" i="40" s="1"/>
  <c r="K19" i="40"/>
  <c r="T19" i="40" s="1"/>
  <c r="F19" i="40" s="1"/>
  <c r="K65" i="40"/>
  <c r="T65" i="40" s="1"/>
  <c r="F65" i="40" s="1"/>
  <c r="K92" i="40"/>
  <c r="T92" i="40" s="1"/>
  <c r="F92" i="40" s="1"/>
  <c r="K36" i="40"/>
  <c r="T36" i="40" s="1"/>
  <c r="F36" i="40" s="1"/>
  <c r="K73" i="40"/>
  <c r="T73" i="40" s="1"/>
  <c r="F73" i="40" s="1"/>
  <c r="K527" i="40"/>
  <c r="T527" i="40" s="1"/>
  <c r="F527" i="40" s="1"/>
  <c r="K35" i="40"/>
  <c r="T35" i="40" s="1"/>
  <c r="F35" i="40" s="1"/>
  <c r="K337" i="40"/>
  <c r="T337" i="40" s="1"/>
  <c r="F337" i="40" s="1"/>
  <c r="K90" i="40"/>
  <c r="T90" i="40" s="1"/>
  <c r="K518" i="40"/>
  <c r="T518" i="40" s="1"/>
  <c r="F518" i="40" s="1"/>
  <c r="K255" i="40"/>
  <c r="T255" i="40" s="1"/>
  <c r="F255" i="40" s="1"/>
  <c r="K391" i="40"/>
  <c r="T391" i="40" s="1"/>
  <c r="F391" i="40" s="1"/>
  <c r="K257" i="40"/>
  <c r="T257" i="40" s="1"/>
  <c r="F257" i="40" s="1"/>
  <c r="K68" i="40"/>
  <c r="T68" i="40" s="1"/>
  <c r="F68" i="40" s="1"/>
  <c r="K397" i="40"/>
  <c r="T397" i="40" s="1"/>
  <c r="F397" i="40" s="1"/>
  <c r="K226" i="40"/>
  <c r="T226" i="40" s="1"/>
  <c r="F226" i="40" s="1"/>
  <c r="K344" i="40"/>
  <c r="T344" i="40" s="1"/>
  <c r="F344" i="40" s="1"/>
  <c r="K135" i="40"/>
  <c r="T135" i="40" s="1"/>
  <c r="F135" i="40" s="1"/>
  <c r="K276" i="40"/>
  <c r="T276" i="40" s="1"/>
  <c r="F276" i="40" s="1"/>
  <c r="K320" i="40"/>
  <c r="T320" i="40" s="1"/>
  <c r="F320" i="40" s="1"/>
  <c r="K95" i="40"/>
  <c r="T95" i="40" s="1"/>
  <c r="F95" i="40" s="1"/>
  <c r="K275" i="40"/>
  <c r="T275" i="40" s="1"/>
  <c r="F275" i="40" s="1"/>
  <c r="K294" i="40"/>
  <c r="T294" i="40" s="1"/>
  <c r="F294" i="40" s="1"/>
  <c r="K519" i="40"/>
  <c r="T519" i="40" s="1"/>
  <c r="F519" i="40" s="1"/>
  <c r="K100" i="40"/>
  <c r="T100" i="40" s="1"/>
  <c r="F100" i="40" s="1"/>
  <c r="K259" i="40"/>
  <c r="T259" i="40" s="1"/>
  <c r="F259" i="40" s="1"/>
  <c r="K560" i="40"/>
  <c r="T560" i="40" s="1"/>
  <c r="F560" i="40" s="1"/>
  <c r="K140" i="40"/>
  <c r="T140" i="40" s="1"/>
  <c r="F140" i="40" s="1"/>
  <c r="K296" i="40"/>
  <c r="T296" i="40" s="1"/>
  <c r="F296" i="40" s="1"/>
  <c r="K209" i="40"/>
  <c r="T209" i="40" s="1"/>
  <c r="F209" i="40" s="1"/>
  <c r="K289" i="40"/>
  <c r="T289" i="40" s="1"/>
  <c r="F289" i="40" s="1"/>
  <c r="K543" i="40"/>
  <c r="T543" i="40" s="1"/>
  <c r="F543" i="40" s="1"/>
  <c r="K79" i="40"/>
  <c r="T79" i="40" s="1"/>
  <c r="F79" i="40" s="1"/>
  <c r="K290" i="40"/>
  <c r="T290" i="40" s="1"/>
  <c r="F290" i="40" s="1"/>
  <c r="K72" i="40"/>
  <c r="T72" i="40" s="1"/>
  <c r="F72" i="40" s="1"/>
  <c r="K487" i="40"/>
  <c r="T487" i="40" s="1"/>
  <c r="F487" i="40" s="1"/>
  <c r="K327" i="40"/>
  <c r="T327" i="40" s="1"/>
  <c r="F327" i="40" s="1"/>
  <c r="K57" i="40"/>
  <c r="T57" i="40" s="1"/>
  <c r="F57" i="40" s="1"/>
  <c r="K359" i="40"/>
  <c r="T359" i="40" s="1"/>
  <c r="F359" i="40" s="1"/>
  <c r="K168" i="40"/>
  <c r="T168" i="40" s="1"/>
  <c r="F168" i="40" s="1"/>
  <c r="K240" i="40"/>
  <c r="T240" i="40" s="1"/>
  <c r="F240" i="40" s="1"/>
  <c r="K309" i="40"/>
  <c r="T309" i="40" s="1"/>
  <c r="F309" i="40" s="1"/>
  <c r="K495" i="40"/>
  <c r="T495" i="40" s="1"/>
  <c r="F495" i="40" s="1"/>
  <c r="K46" i="40"/>
  <c r="T46" i="40" s="1"/>
  <c r="F46" i="40" s="1"/>
  <c r="K191" i="40"/>
  <c r="T191" i="40" s="1"/>
  <c r="F191" i="40" s="1"/>
  <c r="K210" i="40"/>
  <c r="T210" i="40" s="1"/>
  <c r="F210" i="40" s="1"/>
  <c r="K390" i="40"/>
  <c r="T390" i="40" s="1"/>
  <c r="F390" i="40" s="1"/>
  <c r="K30" i="40"/>
  <c r="T30" i="40" s="1"/>
  <c r="F30" i="40" s="1"/>
  <c r="K286" i="40"/>
  <c r="T286" i="40" s="1"/>
  <c r="F286" i="40" s="1"/>
  <c r="K279" i="40"/>
  <c r="T279" i="40" s="1"/>
  <c r="F279" i="40" s="1"/>
  <c r="K91" i="40"/>
  <c r="T91" i="40" s="1"/>
  <c r="F91" i="40" s="1"/>
  <c r="K250" i="40"/>
  <c r="T250" i="40" s="1"/>
  <c r="F250" i="40" s="1"/>
  <c r="K267" i="40"/>
  <c r="T267" i="40" s="1"/>
  <c r="F267" i="40" s="1"/>
  <c r="K173" i="40"/>
  <c r="T173" i="40" s="1"/>
  <c r="F173" i="40" s="1"/>
  <c r="K76" i="40"/>
  <c r="T76" i="40" s="1"/>
  <c r="F76" i="40" s="1"/>
  <c r="K244" i="40"/>
  <c r="T244" i="40" s="1"/>
  <c r="F244" i="40" s="1"/>
  <c r="K151" i="40"/>
  <c r="T151" i="40" s="1"/>
  <c r="F151" i="40" s="1"/>
  <c r="K517" i="40"/>
  <c r="T517" i="40" s="1"/>
  <c r="F517" i="40" s="1"/>
  <c r="K496" i="40"/>
  <c r="T496" i="40" s="1"/>
  <c r="F496" i="40" s="1"/>
  <c r="K325" i="40"/>
  <c r="T325" i="40" s="1"/>
  <c r="F325" i="40" s="1"/>
  <c r="K84" i="40"/>
  <c r="T84" i="40" s="1"/>
  <c r="F84" i="40" s="1"/>
  <c r="K127" i="40"/>
  <c r="T127" i="40" s="1"/>
  <c r="F127" i="40" s="1"/>
  <c r="K146" i="40"/>
  <c r="T146" i="40" s="1"/>
  <c r="F146" i="40" s="1"/>
  <c r="K326" i="40"/>
  <c r="T326" i="40" s="1"/>
  <c r="F326" i="40" s="1"/>
  <c r="K82" i="40"/>
  <c r="T82" i="40" s="1"/>
  <c r="F82" i="40" s="1"/>
  <c r="K80" i="40"/>
  <c r="T80" i="40" s="1"/>
  <c r="F80" i="40" s="1"/>
  <c r="K367" i="40"/>
  <c r="T367" i="40" s="1"/>
  <c r="F367" i="40" s="1"/>
  <c r="K69" i="40"/>
  <c r="T69" i="40" s="1"/>
  <c r="F69" i="40" s="1"/>
  <c r="K148" i="40"/>
  <c r="T148" i="40" s="1"/>
  <c r="F148" i="40" s="1"/>
  <c r="K549" i="40"/>
  <c r="T549" i="40" s="1"/>
  <c r="F549" i="40" s="1"/>
  <c r="K141" i="40"/>
  <c r="T141" i="40" s="1"/>
  <c r="F141" i="40" s="1"/>
  <c r="K542" i="40"/>
  <c r="T542" i="40" s="1"/>
  <c r="F542" i="40" s="1"/>
  <c r="K538" i="40"/>
  <c r="K142" i="40"/>
  <c r="T142" i="40" s="1"/>
  <c r="F142" i="40" s="1"/>
  <c r="K202" i="40"/>
  <c r="T202" i="40" s="1"/>
  <c r="F202" i="40" s="1"/>
  <c r="K321" i="40"/>
  <c r="T321" i="40" s="1"/>
  <c r="F321" i="40" s="1"/>
  <c r="K183" i="40"/>
  <c r="T183" i="40" s="1"/>
  <c r="F183" i="40" s="1"/>
  <c r="K33" i="40"/>
  <c r="T33" i="40" s="1"/>
  <c r="F33" i="40" s="1"/>
  <c r="K211" i="40"/>
  <c r="T211" i="40" s="1"/>
  <c r="F211" i="40" s="1"/>
  <c r="K505" i="40"/>
  <c r="T505" i="40" s="1"/>
  <c r="F505" i="40" s="1"/>
  <c r="T19" i="42"/>
  <c r="K401" i="40"/>
  <c r="T401" i="40" s="1"/>
  <c r="F401" i="40" s="1"/>
  <c r="K305" i="40"/>
  <c r="T305" i="40" s="1"/>
  <c r="F305" i="40" s="1"/>
  <c r="K389" i="40"/>
  <c r="T389" i="40" s="1"/>
  <c r="F389" i="40" s="1"/>
  <c r="K362" i="40"/>
  <c r="T362" i="40" s="1"/>
  <c r="F362" i="40" s="1"/>
  <c r="K443" i="40"/>
  <c r="T443" i="40" s="1"/>
  <c r="F443" i="40" s="1"/>
  <c r="K242" i="40"/>
  <c r="T242" i="40" s="1"/>
  <c r="F242" i="40" s="1"/>
  <c r="K516" i="40"/>
  <c r="T516" i="40" s="1"/>
  <c r="F516" i="40" s="1"/>
  <c r="K539" i="40"/>
  <c r="T539" i="40" s="1"/>
  <c r="F539" i="40" s="1"/>
  <c r="K131" i="40"/>
  <c r="T131" i="40" s="1"/>
  <c r="F131" i="40" s="1"/>
  <c r="K501" i="40"/>
  <c r="T501" i="40" s="1"/>
  <c r="F501" i="40" s="1"/>
  <c r="K524" i="40"/>
  <c r="T524" i="40" s="1"/>
  <c r="F524" i="40" s="1"/>
  <c r="K111" i="40"/>
  <c r="T111" i="40" s="1"/>
  <c r="F111" i="40" s="1"/>
  <c r="K121" i="40"/>
  <c r="T121" i="40" s="1"/>
  <c r="F121" i="40" s="1"/>
  <c r="K37" i="40"/>
  <c r="K158" i="40"/>
  <c r="T158" i="40" s="1"/>
  <c r="F158" i="40" s="1"/>
  <c r="K31" i="40"/>
  <c r="T31" i="40" s="1"/>
  <c r="F31" i="40" s="1"/>
  <c r="K547" i="40"/>
  <c r="T547" i="40" s="1"/>
  <c r="F547" i="40" s="1"/>
  <c r="K188" i="40"/>
  <c r="T188" i="40" s="1"/>
  <c r="F188" i="40" s="1"/>
  <c r="K243" i="40"/>
  <c r="T243" i="40" s="1"/>
  <c r="F243" i="40" s="1"/>
  <c r="K422" i="40"/>
  <c r="T422" i="40" s="1"/>
  <c r="F422" i="40" s="1"/>
  <c r="K534" i="40"/>
  <c r="T534" i="40" s="1"/>
  <c r="F534" i="40" s="1"/>
  <c r="K190" i="40"/>
  <c r="T190" i="40" s="1"/>
  <c r="F190" i="40" s="1"/>
  <c r="K105" i="40"/>
  <c r="T105" i="40" s="1"/>
  <c r="F105" i="40" s="1"/>
  <c r="K182" i="40"/>
  <c r="T182" i="40" s="1"/>
  <c r="F182" i="40" s="1"/>
  <c r="K58" i="40"/>
  <c r="T58" i="40" s="1"/>
  <c r="F58" i="40" s="1"/>
  <c r="K528" i="40"/>
  <c r="T528" i="40" s="1"/>
  <c r="F528" i="40" s="1"/>
  <c r="K219" i="40"/>
  <c r="T219" i="40" s="1"/>
  <c r="F219" i="40" s="1"/>
  <c r="K61" i="40"/>
  <c r="T61" i="40" s="1"/>
  <c r="F61" i="40" s="1"/>
  <c r="K189" i="40"/>
  <c r="T189" i="40" s="1"/>
  <c r="F189" i="40" s="1"/>
  <c r="K352" i="40"/>
  <c r="T352" i="40" s="1"/>
  <c r="F352" i="40" s="1"/>
  <c r="K447" i="40"/>
  <c r="T447" i="40" s="1"/>
  <c r="F447" i="40" s="1"/>
  <c r="K458" i="40"/>
  <c r="T458" i="40" s="1"/>
  <c r="F458" i="40" s="1"/>
  <c r="K341" i="40"/>
  <c r="T341" i="40" s="1"/>
  <c r="F341" i="40" s="1"/>
  <c r="K448" i="40"/>
  <c r="T448" i="40" s="1"/>
  <c r="F448" i="40" s="1"/>
  <c r="K375" i="40"/>
  <c r="T375" i="40" s="1"/>
  <c r="F375" i="40" s="1"/>
  <c r="K399" i="40"/>
  <c r="T399" i="40" s="1"/>
  <c r="F399" i="40" s="1"/>
  <c r="K273" i="40"/>
  <c r="T273" i="40" s="1"/>
  <c r="F273" i="40" s="1"/>
  <c r="K51" i="40"/>
  <c r="T51" i="40" s="1"/>
  <c r="F51" i="40" s="1"/>
  <c r="K403" i="40"/>
  <c r="T403" i="40" s="1"/>
  <c r="F403" i="40" s="1"/>
  <c r="K315" i="40"/>
  <c r="T315" i="40" s="1"/>
  <c r="F315" i="40" s="1"/>
  <c r="K29" i="40"/>
  <c r="T29" i="40" s="1"/>
  <c r="F29" i="40" s="1"/>
  <c r="K248" i="40"/>
  <c r="T248" i="40" s="1"/>
  <c r="F248" i="40" s="1"/>
  <c r="K157" i="40"/>
  <c r="T157" i="40" s="1"/>
  <c r="F157" i="40" s="1"/>
  <c r="K241" i="40"/>
  <c r="T241" i="40" s="1"/>
  <c r="F241" i="40" s="1"/>
  <c r="K237" i="40"/>
  <c r="T237" i="40" s="1"/>
  <c r="F237" i="40" s="1"/>
  <c r="K475" i="40"/>
  <c r="T475" i="40" s="1"/>
  <c r="F475" i="40" s="1"/>
  <c r="K214" i="40"/>
  <c r="T214" i="40" s="1"/>
  <c r="F214" i="40" s="1"/>
  <c r="K323" i="40"/>
  <c r="T323" i="40" s="1"/>
  <c r="F323" i="40" s="1"/>
  <c r="K342" i="40"/>
  <c r="T342" i="40" s="1"/>
  <c r="F342" i="40" s="1"/>
  <c r="K125" i="40"/>
  <c r="T125" i="40" s="1"/>
  <c r="F125" i="40" s="1"/>
  <c r="K311" i="40"/>
  <c r="T311" i="40" s="1"/>
  <c r="F311" i="40" s="1"/>
  <c r="K330" i="40"/>
  <c r="T330" i="40" s="1"/>
  <c r="F330" i="40" s="1"/>
  <c r="K559" i="40"/>
  <c r="T559" i="40" s="1"/>
  <c r="F559" i="40" s="1"/>
  <c r="K53" i="40"/>
  <c r="T53" i="40" s="1"/>
  <c r="F53" i="40" s="1"/>
  <c r="K50" i="40"/>
  <c r="T50" i="40" s="1"/>
  <c r="F50" i="40" s="1"/>
  <c r="K457" i="40"/>
  <c r="T457" i="40" s="1"/>
  <c r="F457" i="40" s="1"/>
  <c r="K502" i="40"/>
  <c r="T502" i="40" s="1"/>
  <c r="F502" i="40" s="1"/>
  <c r="K414" i="40"/>
  <c r="T414" i="40" s="1"/>
  <c r="F414" i="40" s="1"/>
  <c r="K469" i="40"/>
  <c r="T469" i="40" s="1"/>
  <c r="F469" i="40" s="1"/>
  <c r="K245" i="40"/>
  <c r="T245" i="40" s="1"/>
  <c r="F245" i="40" s="1"/>
  <c r="V29" i="42"/>
  <c r="Z29" i="42"/>
  <c r="X29" i="42"/>
  <c r="V24" i="42"/>
  <c r="K22" i="40"/>
  <c r="T22" i="40" s="1"/>
  <c r="F22" i="40" s="1"/>
  <c r="Z24" i="42"/>
  <c r="X24" i="42"/>
  <c r="X101" i="42"/>
  <c r="V101" i="42"/>
  <c r="P23" i="46"/>
  <c r="N23" i="46"/>
  <c r="N24" i="46" s="1"/>
  <c r="S52" i="43"/>
  <c r="S53" i="43" s="1"/>
  <c r="U52" i="43"/>
  <c r="W52" i="43"/>
  <c r="R23" i="46"/>
  <c r="R24" i="46" s="1"/>
  <c r="Q559" i="41"/>
  <c r="Q561" i="41" s="1"/>
  <c r="T538" i="40" l="1"/>
  <c r="F538" i="40" s="1"/>
  <c r="Z540" i="58"/>
  <c r="V540" i="58"/>
  <c r="X540" i="58"/>
  <c r="S16" i="58"/>
  <c r="F491" i="58"/>
  <c r="V491" i="58"/>
  <c r="X491" i="58"/>
  <c r="P24" i="46"/>
  <c r="P27" i="46" s="1"/>
  <c r="P28" i="46" s="1"/>
  <c r="P30" i="46" s="1"/>
  <c r="W53" i="43"/>
  <c r="W56" i="43" s="1"/>
  <c r="W57" i="43" s="1"/>
  <c r="W59" i="43" s="1"/>
  <c r="U53" i="43"/>
  <c r="U56" i="43" s="1"/>
  <c r="U57" i="43" s="1"/>
  <c r="U59" i="43" s="1"/>
  <c r="F18" i="57"/>
  <c r="F16" i="57" s="1"/>
  <c r="X18" i="57"/>
  <c r="X26" i="57" s="1"/>
  <c r="V18" i="57"/>
  <c r="V26" i="57" s="1"/>
  <c r="Z18" i="57"/>
  <c r="Z26" i="57" s="1"/>
  <c r="X166" i="58"/>
  <c r="F166" i="58"/>
  <c r="V166" i="58"/>
  <c r="Z166" i="58"/>
  <c r="Z88" i="40"/>
  <c r="F182" i="58"/>
  <c r="V182" i="58"/>
  <c r="X182" i="58"/>
  <c r="X88" i="40"/>
  <c r="V88" i="40"/>
  <c r="V28" i="58"/>
  <c r="X28" i="58"/>
  <c r="Z28" i="58"/>
  <c r="F28" i="58"/>
  <c r="K16" i="57"/>
  <c r="X180" i="58"/>
  <c r="F180" i="58"/>
  <c r="V180" i="58"/>
  <c r="Z180" i="58"/>
  <c r="T22" i="58"/>
  <c r="K16" i="58"/>
  <c r="Z455" i="58"/>
  <c r="V455" i="58"/>
  <c r="F455" i="58"/>
  <c r="X455" i="58"/>
  <c r="X172" i="40"/>
  <c r="F172" i="40"/>
  <c r="X117" i="40"/>
  <c r="F117" i="40"/>
  <c r="Z28" i="40"/>
  <c r="F28" i="40"/>
  <c r="K14" i="40" s="1"/>
  <c r="X87" i="40"/>
  <c r="F87" i="40"/>
  <c r="X90" i="40"/>
  <c r="F90" i="40"/>
  <c r="V28" i="40"/>
  <c r="Z117" i="40"/>
  <c r="V117" i="40"/>
  <c r="X178" i="40"/>
  <c r="Z178" i="40"/>
  <c r="V178" i="40"/>
  <c r="Z87" i="40"/>
  <c r="V172" i="40"/>
  <c r="Z172" i="40"/>
  <c r="Z158" i="40"/>
  <c r="V158" i="40"/>
  <c r="X495" i="40"/>
  <c r="X158" i="40"/>
  <c r="Z180" i="40"/>
  <c r="X180" i="40"/>
  <c r="V180" i="40"/>
  <c r="Z539" i="40"/>
  <c r="V539" i="40"/>
  <c r="X539" i="40"/>
  <c r="Z552" i="40"/>
  <c r="V552" i="40"/>
  <c r="X552" i="40"/>
  <c r="Z502" i="40"/>
  <c r="X502" i="40"/>
  <c r="V502" i="40"/>
  <c r="Z341" i="40"/>
  <c r="X341" i="40"/>
  <c r="V341" i="40"/>
  <c r="Z501" i="40"/>
  <c r="V501" i="40"/>
  <c r="X501" i="40"/>
  <c r="X367" i="40"/>
  <c r="V367" i="40"/>
  <c r="Z367" i="40"/>
  <c r="Z495" i="40"/>
  <c r="V457" i="40"/>
  <c r="X457" i="40"/>
  <c r="Z457" i="40"/>
  <c r="Z241" i="40"/>
  <c r="X241" i="40"/>
  <c r="V241" i="40"/>
  <c r="X458" i="40"/>
  <c r="V458" i="40"/>
  <c r="Z458" i="40"/>
  <c r="Z422" i="40"/>
  <c r="X422" i="40"/>
  <c r="V422" i="40"/>
  <c r="V131" i="40"/>
  <c r="Z131" i="40"/>
  <c r="X131" i="40"/>
  <c r="Z33" i="40"/>
  <c r="X33" i="40"/>
  <c r="V33" i="40"/>
  <c r="X80" i="40"/>
  <c r="Z80" i="40"/>
  <c r="V80" i="40"/>
  <c r="X173" i="40"/>
  <c r="V173" i="40"/>
  <c r="Z173" i="40"/>
  <c r="V309" i="40"/>
  <c r="Z309" i="40"/>
  <c r="X309" i="40"/>
  <c r="Z209" i="40"/>
  <c r="V209" i="40"/>
  <c r="X209" i="40"/>
  <c r="Z276" i="40"/>
  <c r="V276" i="40"/>
  <c r="X276" i="40"/>
  <c r="Z35" i="40"/>
  <c r="V35" i="40"/>
  <c r="X35" i="40"/>
  <c r="X159" i="40"/>
  <c r="V159" i="40"/>
  <c r="Z159" i="40"/>
  <c r="Z316" i="40"/>
  <c r="X316" i="40"/>
  <c r="V316" i="40"/>
  <c r="V288" i="40"/>
  <c r="X288" i="40"/>
  <c r="Z288" i="40"/>
  <c r="X129" i="40"/>
  <c r="Z129" i="40"/>
  <c r="V129" i="40"/>
  <c r="X112" i="40"/>
  <c r="Z112" i="40"/>
  <c r="V112" i="40"/>
  <c r="Z45" i="40"/>
  <c r="X45" i="40"/>
  <c r="V45" i="40"/>
  <c r="V42" i="40"/>
  <c r="X42" i="40"/>
  <c r="Z42" i="40"/>
  <c r="Z40" i="40"/>
  <c r="V40" i="40"/>
  <c r="X40" i="40"/>
  <c r="V336" i="40"/>
  <c r="Z336" i="40"/>
  <c r="X336" i="40"/>
  <c r="V347" i="40"/>
  <c r="Z347" i="40"/>
  <c r="X347" i="40"/>
  <c r="X116" i="40"/>
  <c r="Z116" i="40"/>
  <c r="V116" i="40"/>
  <c r="Z218" i="40"/>
  <c r="X218" i="40"/>
  <c r="V218" i="40"/>
  <c r="V150" i="40"/>
  <c r="X150" i="40"/>
  <c r="Z150" i="40"/>
  <c r="X533" i="40"/>
  <c r="Z533" i="40"/>
  <c r="V533" i="40"/>
  <c r="Z544" i="40"/>
  <c r="V544" i="40"/>
  <c r="X544" i="40"/>
  <c r="Z270" i="40"/>
  <c r="V270" i="40"/>
  <c r="X270" i="40"/>
  <c r="X229" i="40"/>
  <c r="V229" i="40"/>
  <c r="Z229" i="40"/>
  <c r="Z262" i="40"/>
  <c r="X262" i="40"/>
  <c r="V262" i="40"/>
  <c r="V303" i="40"/>
  <c r="Z303" i="40"/>
  <c r="X303" i="40"/>
  <c r="Z103" i="40"/>
  <c r="X103" i="40"/>
  <c r="V103" i="40"/>
  <c r="V322" i="40"/>
  <c r="Z322" i="40"/>
  <c r="X322" i="40"/>
  <c r="Z366" i="40"/>
  <c r="X366" i="40"/>
  <c r="V366" i="40"/>
  <c r="Z49" i="40"/>
  <c r="X49" i="40"/>
  <c r="V49" i="40"/>
  <c r="X292" i="40"/>
  <c r="Z292" i="40"/>
  <c r="V292" i="40"/>
  <c r="Z264" i="40"/>
  <c r="X264" i="40"/>
  <c r="V264" i="40"/>
  <c r="Z261" i="40"/>
  <c r="V261" i="40"/>
  <c r="X261" i="40"/>
  <c r="V454" i="40"/>
  <c r="Z454" i="40"/>
  <c r="X454" i="40"/>
  <c r="Z130" i="40"/>
  <c r="X130" i="40"/>
  <c r="V130" i="40"/>
  <c r="Z107" i="40"/>
  <c r="X107" i="40"/>
  <c r="V107" i="40"/>
  <c r="X82" i="40"/>
  <c r="Z82" i="40"/>
  <c r="V82" i="40"/>
  <c r="Z506" i="40"/>
  <c r="V506" i="40"/>
  <c r="X506" i="40"/>
  <c r="V251" i="40"/>
  <c r="Z251" i="40"/>
  <c r="X251" i="40"/>
  <c r="Z168" i="40"/>
  <c r="X168" i="40"/>
  <c r="V168" i="40"/>
  <c r="X56" i="40"/>
  <c r="Z56" i="40"/>
  <c r="V56" i="40"/>
  <c r="X253" i="40"/>
  <c r="Z253" i="40"/>
  <c r="V253" i="40"/>
  <c r="X376" i="40"/>
  <c r="Z376" i="40"/>
  <c r="V376" i="40"/>
  <c r="Z285" i="40"/>
  <c r="X285" i="40"/>
  <c r="V285" i="40"/>
  <c r="Z53" i="40"/>
  <c r="X53" i="40"/>
  <c r="V53" i="40"/>
  <c r="V321" i="40"/>
  <c r="Z321" i="40"/>
  <c r="X321" i="40"/>
  <c r="Z73" i="40"/>
  <c r="X73" i="40"/>
  <c r="V73" i="40"/>
  <c r="Z204" i="40"/>
  <c r="X204" i="40"/>
  <c r="V204" i="40"/>
  <c r="X497" i="40"/>
  <c r="V497" i="40"/>
  <c r="Z497" i="40"/>
  <c r="Z556" i="40"/>
  <c r="V556" i="40"/>
  <c r="X556" i="40"/>
  <c r="Z363" i="40"/>
  <c r="X363" i="40"/>
  <c r="V363" i="40"/>
  <c r="V24" i="40"/>
  <c r="Z24" i="40"/>
  <c r="X24" i="40"/>
  <c r="Z540" i="40"/>
  <c r="X540" i="40"/>
  <c r="V540" i="40"/>
  <c r="X115" i="40"/>
  <c r="V115" i="40"/>
  <c r="Z115" i="40"/>
  <c r="X383" i="40"/>
  <c r="V383" i="40"/>
  <c r="Z383" i="40"/>
  <c r="Z55" i="40"/>
  <c r="X55" i="40"/>
  <c r="V55" i="40"/>
  <c r="X557" i="40"/>
  <c r="V557" i="40"/>
  <c r="Z557" i="40"/>
  <c r="Z485" i="40"/>
  <c r="X485" i="40"/>
  <c r="V485" i="40"/>
  <c r="Z386" i="40"/>
  <c r="X386" i="40"/>
  <c r="V386" i="40"/>
  <c r="Z559" i="40"/>
  <c r="X559" i="40"/>
  <c r="V559" i="40"/>
  <c r="Z29" i="40"/>
  <c r="X29" i="40"/>
  <c r="V29" i="40"/>
  <c r="Z189" i="40"/>
  <c r="X189" i="40"/>
  <c r="V189" i="40"/>
  <c r="Z188" i="40"/>
  <c r="X188" i="40"/>
  <c r="V188" i="40"/>
  <c r="Z242" i="40"/>
  <c r="V242" i="40"/>
  <c r="X242" i="40"/>
  <c r="Z202" i="40"/>
  <c r="X202" i="40"/>
  <c r="V202" i="40"/>
  <c r="X146" i="40"/>
  <c r="Z146" i="40"/>
  <c r="V146" i="40"/>
  <c r="X91" i="40"/>
  <c r="Z91" i="40"/>
  <c r="V91" i="40"/>
  <c r="Z359" i="40"/>
  <c r="X359" i="40"/>
  <c r="V359" i="40"/>
  <c r="X560" i="40"/>
  <c r="V560" i="40"/>
  <c r="Z560" i="40"/>
  <c r="Z226" i="40"/>
  <c r="X226" i="40"/>
  <c r="V226" i="40"/>
  <c r="Z36" i="40"/>
  <c r="V36" i="40"/>
  <c r="X36" i="40"/>
  <c r="V171" i="40"/>
  <c r="Z171" i="40"/>
  <c r="X171" i="40"/>
  <c r="Z520" i="40"/>
  <c r="V520" i="40"/>
  <c r="X520" i="40"/>
  <c r="X114" i="40"/>
  <c r="Z114" i="40"/>
  <c r="V114" i="40"/>
  <c r="V208" i="40"/>
  <c r="Z208" i="40"/>
  <c r="X208" i="40"/>
  <c r="X132" i="40"/>
  <c r="Z132" i="40"/>
  <c r="V132" i="40"/>
  <c r="Z252" i="40"/>
  <c r="X252" i="40"/>
  <c r="V252" i="40"/>
  <c r="Z213" i="40"/>
  <c r="X213" i="40"/>
  <c r="V213" i="40"/>
  <c r="V277" i="40"/>
  <c r="Z277" i="40"/>
  <c r="X277" i="40"/>
  <c r="X348" i="40"/>
  <c r="Z348" i="40"/>
  <c r="V348" i="40"/>
  <c r="Z260" i="40"/>
  <c r="V260" i="40"/>
  <c r="X260" i="40"/>
  <c r="Z561" i="40"/>
  <c r="X561" i="40"/>
  <c r="V561" i="40"/>
  <c r="Z304" i="40"/>
  <c r="X304" i="40"/>
  <c r="V304" i="40"/>
  <c r="Z227" i="40"/>
  <c r="V227" i="40"/>
  <c r="X227" i="40"/>
  <c r="Z545" i="40"/>
  <c r="X545" i="40"/>
  <c r="V545" i="40"/>
  <c r="X418" i="40"/>
  <c r="Z418" i="40"/>
  <c r="V418" i="40"/>
  <c r="Z221" i="40"/>
  <c r="V221" i="40"/>
  <c r="X221" i="40"/>
  <c r="X136" i="40"/>
  <c r="V136" i="40"/>
  <c r="Z136" i="40"/>
  <c r="X113" i="40"/>
  <c r="V113" i="40"/>
  <c r="Z113" i="40"/>
  <c r="X110" i="40"/>
  <c r="Z110" i="40"/>
  <c r="V110" i="40"/>
  <c r="Z404" i="40"/>
  <c r="X404" i="40"/>
  <c r="V404" i="40"/>
  <c r="V278" i="40"/>
  <c r="Z278" i="40"/>
  <c r="X278" i="40"/>
  <c r="Z384" i="40"/>
  <c r="V384" i="40"/>
  <c r="X384" i="40"/>
  <c r="X77" i="40"/>
  <c r="Z77" i="40"/>
  <c r="V77" i="40"/>
  <c r="V493" i="40"/>
  <c r="Z493" i="40"/>
  <c r="X493" i="40"/>
  <c r="V48" i="40"/>
  <c r="Z48" i="40"/>
  <c r="X48" i="40"/>
  <c r="V47" i="40"/>
  <c r="X47" i="40"/>
  <c r="Z47" i="40"/>
  <c r="Z474" i="40"/>
  <c r="X474" i="40"/>
  <c r="V474" i="40"/>
  <c r="V424" i="40"/>
  <c r="X424" i="40"/>
  <c r="Z424" i="40"/>
  <c r="V50" i="40"/>
  <c r="Z50" i="40"/>
  <c r="X50" i="40"/>
  <c r="Z240" i="40"/>
  <c r="X240" i="40"/>
  <c r="V240" i="40"/>
  <c r="Z307" i="40"/>
  <c r="X307" i="40"/>
  <c r="V307" i="40"/>
  <c r="X430" i="40"/>
  <c r="Z430" i="40"/>
  <c r="V430" i="40"/>
  <c r="Z334" i="40"/>
  <c r="X334" i="40"/>
  <c r="V334" i="40"/>
  <c r="Z523" i="40"/>
  <c r="V523" i="40"/>
  <c r="X523" i="40"/>
  <c r="Z243" i="40"/>
  <c r="V243" i="40"/>
  <c r="X243" i="40"/>
  <c r="V140" i="40"/>
  <c r="X140" i="40"/>
  <c r="Z140" i="40"/>
  <c r="Z417" i="40"/>
  <c r="X417" i="40"/>
  <c r="V417" i="40"/>
  <c r="Z449" i="40"/>
  <c r="V449" i="40"/>
  <c r="X449" i="40"/>
  <c r="V145" i="40"/>
  <c r="X145" i="40"/>
  <c r="Z145" i="40"/>
  <c r="V301" i="40"/>
  <c r="Z301" i="40"/>
  <c r="X301" i="40"/>
  <c r="Z432" i="40"/>
  <c r="V432" i="40"/>
  <c r="X432" i="40"/>
  <c r="Z315" i="40"/>
  <c r="X315" i="40"/>
  <c r="V315" i="40"/>
  <c r="Z547" i="40"/>
  <c r="V547" i="40"/>
  <c r="X547" i="40"/>
  <c r="Z142" i="40"/>
  <c r="X142" i="40"/>
  <c r="V142" i="40"/>
  <c r="Z279" i="40"/>
  <c r="X279" i="40"/>
  <c r="V279" i="40"/>
  <c r="Z259" i="40"/>
  <c r="X259" i="40"/>
  <c r="V259" i="40"/>
  <c r="X92" i="40"/>
  <c r="Z92" i="40"/>
  <c r="V92" i="40"/>
  <c r="X62" i="40"/>
  <c r="Z62" i="40"/>
  <c r="V62" i="40"/>
  <c r="Z499" i="40"/>
  <c r="X499" i="40"/>
  <c r="V499" i="40"/>
  <c r="V319" i="40"/>
  <c r="X319" i="40"/>
  <c r="Z319" i="40"/>
  <c r="X184" i="40"/>
  <c r="V184" i="40"/>
  <c r="Z184" i="40"/>
  <c r="X102" i="40"/>
  <c r="V102" i="40"/>
  <c r="Z102" i="40"/>
  <c r="Z75" i="40"/>
  <c r="X75" i="40"/>
  <c r="V75" i="40"/>
  <c r="Z280" i="40"/>
  <c r="V280" i="40"/>
  <c r="X280" i="40"/>
  <c r="Z405" i="40"/>
  <c r="V405" i="40"/>
  <c r="X405" i="40"/>
  <c r="V160" i="40"/>
  <c r="X160" i="40"/>
  <c r="Z160" i="40"/>
  <c r="V382" i="40"/>
  <c r="X382" i="40"/>
  <c r="Z382" i="40"/>
  <c r="X284" i="40"/>
  <c r="Z284" i="40"/>
  <c r="V284" i="40"/>
  <c r="X453" i="40"/>
  <c r="Z453" i="40"/>
  <c r="V453" i="40"/>
  <c r="X109" i="40"/>
  <c r="V109" i="40"/>
  <c r="Z109" i="40"/>
  <c r="X308" i="40"/>
  <c r="Z308" i="40"/>
  <c r="V308" i="40"/>
  <c r="Z119" i="40"/>
  <c r="V119" i="40"/>
  <c r="X119" i="40"/>
  <c r="Z212" i="40"/>
  <c r="X212" i="40"/>
  <c r="V212" i="40"/>
  <c r="Z507" i="40"/>
  <c r="X507" i="40"/>
  <c r="V507" i="40"/>
  <c r="Z491" i="40"/>
  <c r="X491" i="40"/>
  <c r="V491" i="40"/>
  <c r="V537" i="40"/>
  <c r="Z537" i="40"/>
  <c r="X537" i="40"/>
  <c r="X494" i="40"/>
  <c r="V494" i="40"/>
  <c r="Z494" i="40"/>
  <c r="X162" i="40"/>
  <c r="V162" i="40"/>
  <c r="Z162" i="40"/>
  <c r="Z199" i="40"/>
  <c r="X199" i="40"/>
  <c r="V199" i="40"/>
  <c r="X207" i="40"/>
  <c r="V207" i="40"/>
  <c r="Z207" i="40"/>
  <c r="X299" i="40"/>
  <c r="V299" i="40"/>
  <c r="Z299" i="40"/>
  <c r="Z513" i="40"/>
  <c r="V513" i="40"/>
  <c r="X513" i="40"/>
  <c r="V340" i="40"/>
  <c r="X340" i="40"/>
  <c r="Z340" i="40"/>
  <c r="X147" i="40"/>
  <c r="Z147" i="40"/>
  <c r="V147" i="40"/>
  <c r="X183" i="40"/>
  <c r="Z183" i="40"/>
  <c r="V183" i="40"/>
  <c r="X548" i="40"/>
  <c r="V548" i="40"/>
  <c r="Z548" i="40"/>
  <c r="Z230" i="40"/>
  <c r="X230" i="40"/>
  <c r="V230" i="40"/>
  <c r="X106" i="40"/>
  <c r="Z106" i="40"/>
  <c r="V106" i="40"/>
  <c r="X525" i="40"/>
  <c r="Z525" i="40"/>
  <c r="V525" i="40"/>
  <c r="X248" i="40"/>
  <c r="Z248" i="40"/>
  <c r="V248" i="40"/>
  <c r="Z250" i="40"/>
  <c r="V250" i="40"/>
  <c r="X250" i="40"/>
  <c r="Z450" i="40"/>
  <c r="X450" i="40"/>
  <c r="V450" i="40"/>
  <c r="X104" i="40"/>
  <c r="V104" i="40"/>
  <c r="Z104" i="40"/>
  <c r="X169" i="40"/>
  <c r="V169" i="40"/>
  <c r="Z169" i="40"/>
  <c r="Z373" i="40"/>
  <c r="X373" i="40"/>
  <c r="V373" i="40"/>
  <c r="Z205" i="40"/>
  <c r="V205" i="40"/>
  <c r="X205" i="40"/>
  <c r="X66" i="40"/>
  <c r="V66" i="40"/>
  <c r="Z66" i="40"/>
  <c r="X330" i="40"/>
  <c r="Z330" i="40"/>
  <c r="V330" i="40"/>
  <c r="Z61" i="40"/>
  <c r="V61" i="40"/>
  <c r="X61" i="40"/>
  <c r="V443" i="40"/>
  <c r="Z443" i="40"/>
  <c r="X443" i="40"/>
  <c r="Z127" i="40"/>
  <c r="X127" i="40"/>
  <c r="V127" i="40"/>
  <c r="Z57" i="40"/>
  <c r="X57" i="40"/>
  <c r="V57" i="40"/>
  <c r="V397" i="40"/>
  <c r="Z397" i="40"/>
  <c r="X397" i="40"/>
  <c r="Z223" i="40"/>
  <c r="X223" i="40"/>
  <c r="V223" i="40"/>
  <c r="X311" i="40"/>
  <c r="Z311" i="40"/>
  <c r="V311" i="40"/>
  <c r="Z403" i="40"/>
  <c r="V403" i="40"/>
  <c r="X403" i="40"/>
  <c r="Z219" i="40"/>
  <c r="X219" i="40"/>
  <c r="V219" i="40"/>
  <c r="X31" i="40"/>
  <c r="Z31" i="40"/>
  <c r="V31" i="40"/>
  <c r="V362" i="40"/>
  <c r="Z362" i="40"/>
  <c r="X362" i="40"/>
  <c r="X84" i="40"/>
  <c r="V84" i="40"/>
  <c r="Z84" i="40"/>
  <c r="Z286" i="40"/>
  <c r="X286" i="40"/>
  <c r="V286" i="40"/>
  <c r="V327" i="40"/>
  <c r="Z327" i="40"/>
  <c r="X327" i="40"/>
  <c r="X100" i="40"/>
  <c r="V100" i="40"/>
  <c r="Z100" i="40"/>
  <c r="X68" i="40"/>
  <c r="V68" i="40"/>
  <c r="Z68" i="40"/>
  <c r="Z65" i="40"/>
  <c r="V65" i="40"/>
  <c r="X65" i="40"/>
  <c r="X175" i="40"/>
  <c r="V175" i="40"/>
  <c r="Z175" i="40"/>
  <c r="Z39" i="40"/>
  <c r="V39" i="40"/>
  <c r="X39" i="40"/>
  <c r="Z476" i="40"/>
  <c r="V476" i="40"/>
  <c r="X476" i="40"/>
  <c r="X18" i="40"/>
  <c r="V18" i="40"/>
  <c r="Z18" i="40"/>
  <c r="X70" i="40"/>
  <c r="Z70" i="40"/>
  <c r="V70" i="40"/>
  <c r="X371" i="40"/>
  <c r="V371" i="40"/>
  <c r="Z371" i="40"/>
  <c r="X231" i="40"/>
  <c r="V231" i="40"/>
  <c r="Z231" i="40"/>
  <c r="Z511" i="40"/>
  <c r="V511" i="40"/>
  <c r="X511" i="40"/>
  <c r="Z510" i="40"/>
  <c r="V510" i="40"/>
  <c r="X510" i="40"/>
  <c r="X328" i="40"/>
  <c r="V328" i="40"/>
  <c r="Z328" i="40"/>
  <c r="V96" i="40"/>
  <c r="Z96" i="40"/>
  <c r="X96" i="40"/>
  <c r="Z500" i="40"/>
  <c r="X500" i="40"/>
  <c r="V500" i="40"/>
  <c r="Z419" i="40"/>
  <c r="X419" i="40"/>
  <c r="V419" i="40"/>
  <c r="X442" i="40"/>
  <c r="V442" i="40"/>
  <c r="Z442" i="40"/>
  <c r="Z522" i="40"/>
  <c r="V522" i="40"/>
  <c r="X522" i="40"/>
  <c r="Z152" i="40"/>
  <c r="X152" i="40"/>
  <c r="V152" i="40"/>
  <c r="X233" i="40"/>
  <c r="V233" i="40"/>
  <c r="Z233" i="40"/>
  <c r="V217" i="40"/>
  <c r="Z217" i="40"/>
  <c r="X217" i="40"/>
  <c r="Z402" i="40"/>
  <c r="X402" i="40"/>
  <c r="V402" i="40"/>
  <c r="V369" i="40"/>
  <c r="Z369" i="40"/>
  <c r="X369" i="40"/>
  <c r="V247" i="40"/>
  <c r="Z247" i="40"/>
  <c r="X247" i="40"/>
  <c r="Z249" i="40"/>
  <c r="X249" i="40"/>
  <c r="V249" i="40"/>
  <c r="X349" i="40"/>
  <c r="Z349" i="40"/>
  <c r="V349" i="40"/>
  <c r="X59" i="40"/>
  <c r="V59" i="40"/>
  <c r="Z59" i="40"/>
  <c r="X459" i="40"/>
  <c r="Z459" i="40"/>
  <c r="V459" i="40"/>
  <c r="X306" i="40"/>
  <c r="V306" i="40"/>
  <c r="Z306" i="40"/>
  <c r="Z228" i="40"/>
  <c r="X228" i="40"/>
  <c r="V228" i="40"/>
  <c r="V161" i="40"/>
  <c r="Z161" i="40"/>
  <c r="X161" i="40"/>
  <c r="Z23" i="40"/>
  <c r="X23" i="40"/>
  <c r="V23" i="40"/>
  <c r="X447" i="40"/>
  <c r="Z447" i="40"/>
  <c r="V447" i="40"/>
  <c r="X135" i="40"/>
  <c r="Z135" i="40"/>
  <c r="V135" i="40"/>
  <c r="Z167" i="40"/>
  <c r="X167" i="40"/>
  <c r="V167" i="40"/>
  <c r="V406" i="40"/>
  <c r="X406" i="40"/>
  <c r="Z406" i="40"/>
  <c r="Z163" i="40"/>
  <c r="V163" i="40"/>
  <c r="X163" i="40"/>
  <c r="X149" i="40"/>
  <c r="Z149" i="40"/>
  <c r="V149" i="40"/>
  <c r="Z516" i="40"/>
  <c r="X516" i="40"/>
  <c r="V516" i="40"/>
  <c r="X344" i="40"/>
  <c r="V344" i="40"/>
  <c r="Z344" i="40"/>
  <c r="V44" i="40"/>
  <c r="X44" i="40"/>
  <c r="Z44" i="40"/>
  <c r="Z368" i="40"/>
  <c r="X368" i="40"/>
  <c r="V368" i="40"/>
  <c r="V153" i="40"/>
  <c r="Z153" i="40"/>
  <c r="X153" i="40"/>
  <c r="Z317" i="40"/>
  <c r="X317" i="40"/>
  <c r="V317" i="40"/>
  <c r="V177" i="40"/>
  <c r="Z177" i="40"/>
  <c r="X177" i="40"/>
  <c r="Z325" i="40"/>
  <c r="X325" i="40"/>
  <c r="V325" i="40"/>
  <c r="Z487" i="40"/>
  <c r="X487" i="40"/>
  <c r="V487" i="40"/>
  <c r="Z257" i="40"/>
  <c r="V257" i="40"/>
  <c r="X257" i="40"/>
  <c r="Z19" i="40"/>
  <c r="X19" i="40"/>
  <c r="V19" i="40"/>
  <c r="Z354" i="40"/>
  <c r="V354" i="40"/>
  <c r="X354" i="40"/>
  <c r="Z472" i="40"/>
  <c r="V472" i="40"/>
  <c r="X472" i="40"/>
  <c r="Z446" i="40"/>
  <c r="V446" i="40"/>
  <c r="X446" i="40"/>
  <c r="X554" i="40"/>
  <c r="V554" i="40"/>
  <c r="Z554" i="40"/>
  <c r="Z143" i="40"/>
  <c r="X143" i="40"/>
  <c r="V143" i="40"/>
  <c r="X85" i="40"/>
  <c r="Z85" i="40"/>
  <c r="V85" i="40"/>
  <c r="X126" i="40"/>
  <c r="Z126" i="40"/>
  <c r="V126" i="40"/>
  <c r="X164" i="40"/>
  <c r="V164" i="40"/>
  <c r="Z164" i="40"/>
  <c r="X74" i="40"/>
  <c r="V74" i="40"/>
  <c r="Z74" i="40"/>
  <c r="Z41" i="40"/>
  <c r="X41" i="40"/>
  <c r="V41" i="40"/>
  <c r="Z379" i="40"/>
  <c r="X379" i="40"/>
  <c r="V379" i="40"/>
  <c r="Z128" i="40"/>
  <c r="V128" i="40"/>
  <c r="X128" i="40"/>
  <c r="V381" i="40"/>
  <c r="Z381" i="40"/>
  <c r="X381" i="40"/>
  <c r="Z67" i="40"/>
  <c r="V67" i="40"/>
  <c r="X67" i="40"/>
  <c r="X124" i="40"/>
  <c r="Z124" i="40"/>
  <c r="V124" i="40"/>
  <c r="X361" i="40"/>
  <c r="Z361" i="40"/>
  <c r="V361" i="40"/>
  <c r="V400" i="40"/>
  <c r="Z400" i="40"/>
  <c r="X400" i="40"/>
  <c r="V133" i="40"/>
  <c r="Z133" i="40"/>
  <c r="X133" i="40"/>
  <c r="V265" i="40"/>
  <c r="Z265" i="40"/>
  <c r="X265" i="40"/>
  <c r="X498" i="40"/>
  <c r="Z498" i="40"/>
  <c r="V498" i="40"/>
  <c r="V313" i="40"/>
  <c r="X313" i="40"/>
  <c r="Z313" i="40"/>
  <c r="Z246" i="40"/>
  <c r="X246" i="40"/>
  <c r="V246" i="40"/>
  <c r="Z269" i="40"/>
  <c r="V269" i="40"/>
  <c r="X269" i="40"/>
  <c r="Z266" i="40"/>
  <c r="X266" i="40"/>
  <c r="V266" i="40"/>
  <c r="V52" i="40"/>
  <c r="X52" i="40"/>
  <c r="Z52" i="40"/>
  <c r="Z206" i="40"/>
  <c r="X206" i="40"/>
  <c r="V206" i="40"/>
  <c r="Z156" i="40"/>
  <c r="X156" i="40"/>
  <c r="V156" i="40"/>
  <c r="X94" i="40"/>
  <c r="Z94" i="40"/>
  <c r="V94" i="40"/>
  <c r="Z263" i="40"/>
  <c r="X263" i="40"/>
  <c r="V263" i="40"/>
  <c r="V157" i="40"/>
  <c r="Z157" i="40"/>
  <c r="X157" i="40"/>
  <c r="Z527" i="40"/>
  <c r="V527" i="40"/>
  <c r="X527" i="40"/>
  <c r="Z268" i="40"/>
  <c r="X268" i="40"/>
  <c r="V268" i="40"/>
  <c r="Z541" i="40"/>
  <c r="V541" i="40"/>
  <c r="X541" i="40"/>
  <c r="X352" i="40"/>
  <c r="Z352" i="40"/>
  <c r="V352" i="40"/>
  <c r="Z389" i="40"/>
  <c r="V389" i="40"/>
  <c r="X389" i="40"/>
  <c r="V342" i="40"/>
  <c r="X342" i="40"/>
  <c r="Z342" i="40"/>
  <c r="Z273" i="40"/>
  <c r="X273" i="40"/>
  <c r="V273" i="40"/>
  <c r="Z58" i="40"/>
  <c r="V58" i="40"/>
  <c r="X58" i="40"/>
  <c r="X305" i="40"/>
  <c r="V305" i="40"/>
  <c r="Z305" i="40"/>
  <c r="V141" i="40"/>
  <c r="X141" i="40"/>
  <c r="Z141" i="40"/>
  <c r="Z496" i="40"/>
  <c r="X496" i="40"/>
  <c r="V496" i="40"/>
  <c r="V390" i="40"/>
  <c r="Z390" i="40"/>
  <c r="X390" i="40"/>
  <c r="V72" i="40"/>
  <c r="X72" i="40"/>
  <c r="Z72" i="40"/>
  <c r="Z294" i="40"/>
  <c r="V294" i="40"/>
  <c r="X294" i="40"/>
  <c r="V391" i="40"/>
  <c r="X391" i="40"/>
  <c r="Z391" i="40"/>
  <c r="X86" i="40"/>
  <c r="Z86" i="40"/>
  <c r="V86" i="40"/>
  <c r="Z335" i="40"/>
  <c r="X335" i="40"/>
  <c r="V335" i="40"/>
  <c r="Z258" i="40"/>
  <c r="V258" i="40"/>
  <c r="X258" i="40"/>
  <c r="Z64" i="40"/>
  <c r="V64" i="40"/>
  <c r="X64" i="40"/>
  <c r="Z551" i="40"/>
  <c r="V551" i="40"/>
  <c r="X551" i="40"/>
  <c r="X297" i="40"/>
  <c r="Z297" i="40"/>
  <c r="V297" i="40"/>
  <c r="Z123" i="40"/>
  <c r="X123" i="40"/>
  <c r="V123" i="40"/>
  <c r="Z488" i="40"/>
  <c r="X488" i="40"/>
  <c r="V488" i="40"/>
  <c r="X291" i="40"/>
  <c r="Z291" i="40"/>
  <c r="V291" i="40"/>
  <c r="X120" i="40"/>
  <c r="V120" i="40"/>
  <c r="Z120" i="40"/>
  <c r="X122" i="40"/>
  <c r="Z122" i="40"/>
  <c r="V122" i="40"/>
  <c r="Z504" i="40"/>
  <c r="X504" i="40"/>
  <c r="V504" i="40"/>
  <c r="Z200" i="40"/>
  <c r="X200" i="40"/>
  <c r="V200" i="40"/>
  <c r="Z473" i="40"/>
  <c r="X473" i="40"/>
  <c r="V473" i="40"/>
  <c r="X60" i="40"/>
  <c r="V60" i="40"/>
  <c r="Z60" i="40"/>
  <c r="V271" i="40"/>
  <c r="X271" i="40"/>
  <c r="Z271" i="40"/>
  <c r="Z224" i="40"/>
  <c r="X224" i="40"/>
  <c r="V224" i="40"/>
  <c r="Z185" i="40"/>
  <c r="V185" i="40"/>
  <c r="X185" i="40"/>
  <c r="Z300" i="40"/>
  <c r="X300" i="40"/>
  <c r="V300" i="40"/>
  <c r="X176" i="40"/>
  <c r="V176" i="40"/>
  <c r="Z176" i="40"/>
  <c r="Z197" i="40"/>
  <c r="V197" i="40"/>
  <c r="X197" i="40"/>
  <c r="Z360" i="40"/>
  <c r="X360" i="40"/>
  <c r="V360" i="40"/>
  <c r="V555" i="40"/>
  <c r="Z555" i="40"/>
  <c r="X555" i="40"/>
  <c r="Z166" i="40"/>
  <c r="V166" i="40"/>
  <c r="X166" i="40"/>
  <c r="Z194" i="40"/>
  <c r="X194" i="40"/>
  <c r="V194" i="40"/>
  <c r="Z343" i="40"/>
  <c r="V343" i="40"/>
  <c r="X343" i="40"/>
  <c r="X351" i="40"/>
  <c r="V351" i="40"/>
  <c r="Z351" i="40"/>
  <c r="Z503" i="40"/>
  <c r="V503" i="40"/>
  <c r="X503" i="40"/>
  <c r="Z267" i="40"/>
  <c r="V267" i="40"/>
  <c r="X267" i="40"/>
  <c r="X220" i="40"/>
  <c r="V220" i="40"/>
  <c r="Z220" i="40"/>
  <c r="X43" i="40"/>
  <c r="Z43" i="40"/>
  <c r="V43" i="40"/>
  <c r="V346" i="40"/>
  <c r="X346" i="40"/>
  <c r="Z346" i="40"/>
  <c r="V196" i="40"/>
  <c r="Z196" i="40"/>
  <c r="X196" i="40"/>
  <c r="Z326" i="40"/>
  <c r="X326" i="40"/>
  <c r="V326" i="40"/>
  <c r="Z282" i="40"/>
  <c r="X282" i="40"/>
  <c r="V282" i="40"/>
  <c r="Z125" i="40"/>
  <c r="X125" i="40"/>
  <c r="V125" i="40"/>
  <c r="Z51" i="40"/>
  <c r="V51" i="40"/>
  <c r="X51" i="40"/>
  <c r="Z528" i="40"/>
  <c r="X528" i="40"/>
  <c r="V528" i="40"/>
  <c r="X542" i="40"/>
  <c r="V542" i="40"/>
  <c r="Z542" i="40"/>
  <c r="Z30" i="40"/>
  <c r="X30" i="40"/>
  <c r="V30" i="40"/>
  <c r="Z519" i="40"/>
  <c r="V519" i="40"/>
  <c r="X519" i="40"/>
  <c r="V90" i="40"/>
  <c r="Z90" i="40"/>
  <c r="X245" i="40"/>
  <c r="V245" i="40"/>
  <c r="Z245" i="40"/>
  <c r="X323" i="40"/>
  <c r="Z323" i="40"/>
  <c r="V323" i="40"/>
  <c r="X399" i="40"/>
  <c r="V399" i="40"/>
  <c r="Z399" i="40"/>
  <c r="Z182" i="40"/>
  <c r="V182" i="40"/>
  <c r="X182" i="40"/>
  <c r="Z121" i="40"/>
  <c r="V121" i="40"/>
  <c r="X121" i="40"/>
  <c r="Z401" i="40"/>
  <c r="V401" i="40"/>
  <c r="X401" i="40"/>
  <c r="X549" i="40"/>
  <c r="Z549" i="40"/>
  <c r="V549" i="40"/>
  <c r="Z517" i="40"/>
  <c r="X517" i="40"/>
  <c r="V517" i="40"/>
  <c r="Z210" i="40"/>
  <c r="X210" i="40"/>
  <c r="V210" i="40"/>
  <c r="Z290" i="40"/>
  <c r="X290" i="40"/>
  <c r="V290" i="40"/>
  <c r="Z275" i="40"/>
  <c r="V275" i="40"/>
  <c r="X275" i="40"/>
  <c r="Z255" i="40"/>
  <c r="X255" i="40"/>
  <c r="V255" i="40"/>
  <c r="Z477" i="40"/>
  <c r="V477" i="40"/>
  <c r="X477" i="40"/>
  <c r="V254" i="40"/>
  <c r="X254" i="40"/>
  <c r="Z254" i="40"/>
  <c r="Z239" i="40"/>
  <c r="V239" i="40"/>
  <c r="X239" i="40"/>
  <c r="V333" i="40"/>
  <c r="Z333" i="40"/>
  <c r="X333" i="40"/>
  <c r="Z170" i="40"/>
  <c r="X170" i="40"/>
  <c r="V170" i="40"/>
  <c r="X532" i="40"/>
  <c r="V532" i="40"/>
  <c r="Z532" i="40"/>
  <c r="Z416" i="40"/>
  <c r="X416" i="40"/>
  <c r="V416" i="40"/>
  <c r="X181" i="40"/>
  <c r="V181" i="40"/>
  <c r="Z181" i="40"/>
  <c r="X310" i="40"/>
  <c r="Z310" i="40"/>
  <c r="V310" i="40"/>
  <c r="Z195" i="40"/>
  <c r="X195" i="40"/>
  <c r="V195" i="40"/>
  <c r="Z21" i="40"/>
  <c r="X21" i="40"/>
  <c r="V21" i="40"/>
  <c r="Z415" i="40"/>
  <c r="V415" i="40"/>
  <c r="X415" i="40"/>
  <c r="X25" i="40"/>
  <c r="Z25" i="40"/>
  <c r="V25" i="40"/>
  <c r="X187" i="40"/>
  <c r="V187" i="40"/>
  <c r="Z187" i="40"/>
  <c r="V339" i="40"/>
  <c r="Z339" i="40"/>
  <c r="X339" i="40"/>
  <c r="Z63" i="40"/>
  <c r="V63" i="40"/>
  <c r="X63" i="40"/>
  <c r="X508" i="40"/>
  <c r="Z508" i="40"/>
  <c r="V508" i="40"/>
  <c r="Z216" i="40"/>
  <c r="X216" i="40"/>
  <c r="V216" i="40"/>
  <c r="Z272" i="40"/>
  <c r="X272" i="40"/>
  <c r="V272" i="40"/>
  <c r="X232" i="40"/>
  <c r="V232" i="40"/>
  <c r="Z232" i="40"/>
  <c r="X535" i="40"/>
  <c r="V535" i="40"/>
  <c r="Z535" i="40"/>
  <c r="X455" i="40"/>
  <c r="Z455" i="40"/>
  <c r="V455" i="40"/>
  <c r="V365" i="40"/>
  <c r="X365" i="40"/>
  <c r="Z365" i="40"/>
  <c r="X468" i="40"/>
  <c r="V468" i="40"/>
  <c r="Z468" i="40"/>
  <c r="X562" i="40"/>
  <c r="Z562" i="40"/>
  <c r="V562" i="40"/>
  <c r="X546" i="40"/>
  <c r="Z546" i="40"/>
  <c r="V546" i="40"/>
  <c r="Z101" i="40"/>
  <c r="X101" i="40"/>
  <c r="V101" i="40"/>
  <c r="Z34" i="40"/>
  <c r="X34" i="40"/>
  <c r="V34" i="40"/>
  <c r="Z469" i="40"/>
  <c r="X469" i="40"/>
  <c r="V469" i="40"/>
  <c r="Z214" i="40"/>
  <c r="V214" i="40"/>
  <c r="X214" i="40"/>
  <c r="Z375" i="40"/>
  <c r="X375" i="40"/>
  <c r="V375" i="40"/>
  <c r="Z105" i="40"/>
  <c r="V105" i="40"/>
  <c r="X105" i="40"/>
  <c r="X111" i="40"/>
  <c r="Z111" i="40"/>
  <c r="V111" i="40"/>
  <c r="V148" i="40"/>
  <c r="Z148" i="40"/>
  <c r="X148" i="40"/>
  <c r="X151" i="40"/>
  <c r="V151" i="40"/>
  <c r="Z151" i="40"/>
  <c r="V191" i="40"/>
  <c r="X191" i="40"/>
  <c r="Z191" i="40"/>
  <c r="X79" i="40"/>
  <c r="V79" i="40"/>
  <c r="Z79" i="40"/>
  <c r="V518" i="40"/>
  <c r="Z518" i="40"/>
  <c r="X518" i="40"/>
  <c r="X338" i="40"/>
  <c r="V338" i="40"/>
  <c r="Z338" i="40"/>
  <c r="Z515" i="40"/>
  <c r="X515" i="40"/>
  <c r="V515" i="40"/>
  <c r="X471" i="40"/>
  <c r="Z471" i="40"/>
  <c r="V471" i="40"/>
  <c r="Z374" i="40"/>
  <c r="V374" i="40"/>
  <c r="X374" i="40"/>
  <c r="Z312" i="40"/>
  <c r="X312" i="40"/>
  <c r="V312" i="40"/>
  <c r="V411" i="40"/>
  <c r="Z411" i="40"/>
  <c r="X411" i="40"/>
  <c r="Z387" i="40"/>
  <c r="X387" i="40"/>
  <c r="V387" i="40"/>
  <c r="Z318" i="40"/>
  <c r="X318" i="40"/>
  <c r="V318" i="40"/>
  <c r="Z256" i="40"/>
  <c r="V256" i="40"/>
  <c r="X256" i="40"/>
  <c r="Z93" i="40"/>
  <c r="V93" i="40"/>
  <c r="X93" i="40"/>
  <c r="Z385" i="40"/>
  <c r="X385" i="40"/>
  <c r="V385" i="40"/>
  <c r="X186" i="40"/>
  <c r="V186" i="40"/>
  <c r="Z186" i="40"/>
  <c r="Z350" i="40"/>
  <c r="V350" i="40"/>
  <c r="X350" i="40"/>
  <c r="V38" i="40"/>
  <c r="X38" i="40"/>
  <c r="Z38" i="40"/>
  <c r="Z531" i="40"/>
  <c r="X531" i="40"/>
  <c r="V531" i="40"/>
  <c r="Z193" i="40"/>
  <c r="X193" i="40"/>
  <c r="V193" i="40"/>
  <c r="Z99" i="40"/>
  <c r="V99" i="40"/>
  <c r="X99" i="40"/>
  <c r="Z144" i="40"/>
  <c r="X144" i="40"/>
  <c r="V144" i="40"/>
  <c r="X108" i="40"/>
  <c r="V108" i="40"/>
  <c r="Z108" i="40"/>
  <c r="X433" i="40"/>
  <c r="V433" i="40"/>
  <c r="Z433" i="40"/>
  <c r="Z139" i="40"/>
  <c r="V139" i="40"/>
  <c r="X139" i="40"/>
  <c r="Z413" i="40"/>
  <c r="X413" i="40"/>
  <c r="V413" i="40"/>
  <c r="V281" i="40"/>
  <c r="Z281" i="40"/>
  <c r="X281" i="40"/>
  <c r="Z425" i="40"/>
  <c r="X425" i="40"/>
  <c r="V425" i="40"/>
  <c r="Z138" i="40"/>
  <c r="X138" i="40"/>
  <c r="V138" i="40"/>
  <c r="V431" i="40"/>
  <c r="Z431" i="40"/>
  <c r="X431" i="40"/>
  <c r="Z427" i="40"/>
  <c r="X427" i="40"/>
  <c r="V427" i="40"/>
  <c r="Z26" i="40"/>
  <c r="V26" i="40"/>
  <c r="X26" i="40"/>
  <c r="Z414" i="40"/>
  <c r="X414" i="40"/>
  <c r="V414" i="40"/>
  <c r="V448" i="40"/>
  <c r="Z448" i="40"/>
  <c r="X448" i="40"/>
  <c r="Z190" i="40"/>
  <c r="X190" i="40"/>
  <c r="V190" i="40"/>
  <c r="Z524" i="40"/>
  <c r="X524" i="40"/>
  <c r="V524" i="40"/>
  <c r="Z505" i="40"/>
  <c r="X505" i="40"/>
  <c r="V505" i="40"/>
  <c r="Z69" i="40"/>
  <c r="V69" i="40"/>
  <c r="X69" i="40"/>
  <c r="Z244" i="40"/>
  <c r="V244" i="40"/>
  <c r="X244" i="40"/>
  <c r="Z46" i="40"/>
  <c r="X46" i="40"/>
  <c r="V46" i="40"/>
  <c r="X543" i="40"/>
  <c r="Z543" i="40"/>
  <c r="V543" i="40"/>
  <c r="Z95" i="40"/>
  <c r="X95" i="40"/>
  <c r="V95" i="40"/>
  <c r="X81" i="40"/>
  <c r="V81" i="40"/>
  <c r="Z81" i="40"/>
  <c r="Z420" i="40"/>
  <c r="X420" i="40"/>
  <c r="V420" i="40"/>
  <c r="Z353" i="40"/>
  <c r="V353" i="40"/>
  <c r="X353" i="40"/>
  <c r="X236" i="40"/>
  <c r="V236" i="40"/>
  <c r="Z236" i="40"/>
  <c r="X98" i="40"/>
  <c r="Z98" i="40"/>
  <c r="V98" i="40"/>
  <c r="Z222" i="40"/>
  <c r="X222" i="40"/>
  <c r="V222" i="40"/>
  <c r="X154" i="40"/>
  <c r="Z154" i="40"/>
  <c r="V154" i="40"/>
  <c r="Z378" i="40"/>
  <c r="X378" i="40"/>
  <c r="V378" i="40"/>
  <c r="Z274" i="40"/>
  <c r="X274" i="40"/>
  <c r="V274" i="40"/>
  <c r="Z201" i="40"/>
  <c r="V201" i="40"/>
  <c r="X201" i="40"/>
  <c r="X97" i="40"/>
  <c r="Z97" i="40"/>
  <c r="V97" i="40"/>
  <c r="V332" i="40"/>
  <c r="X332" i="40"/>
  <c r="Z332" i="40"/>
  <c r="X198" i="40"/>
  <c r="V198" i="40"/>
  <c r="Z198" i="40"/>
  <c r="V295" i="40"/>
  <c r="Z295" i="40"/>
  <c r="X295" i="40"/>
  <c r="V155" i="40"/>
  <c r="Z155" i="40"/>
  <c r="X155" i="40"/>
  <c r="X89" i="40"/>
  <c r="V89" i="40"/>
  <c r="Z89" i="40"/>
  <c r="Z20" i="40"/>
  <c r="V20" i="40"/>
  <c r="X20" i="40"/>
  <c r="V287" i="40"/>
  <c r="Z287" i="40"/>
  <c r="X287" i="40"/>
  <c r="Z331" i="40"/>
  <c r="X331" i="40"/>
  <c r="V331" i="40"/>
  <c r="Z536" i="40"/>
  <c r="V536" i="40"/>
  <c r="X536" i="40"/>
  <c r="Z27" i="40"/>
  <c r="V27" i="40"/>
  <c r="X27" i="40"/>
  <c r="V71" i="40"/>
  <c r="Z71" i="40"/>
  <c r="X71" i="40"/>
  <c r="V54" i="40"/>
  <c r="Z54" i="40"/>
  <c r="X54" i="40"/>
  <c r="Z372" i="40"/>
  <c r="X372" i="40"/>
  <c r="V372" i="40"/>
  <c r="V329" i="40"/>
  <c r="Z329" i="40"/>
  <c r="X329" i="40"/>
  <c r="V490" i="40"/>
  <c r="Z490" i="40"/>
  <c r="X490" i="40"/>
  <c r="X553" i="40"/>
  <c r="V553" i="40"/>
  <c r="Z553" i="40"/>
  <c r="X234" i="40"/>
  <c r="V234" i="40"/>
  <c r="Z234" i="40"/>
  <c r="V314" i="40"/>
  <c r="X314" i="40"/>
  <c r="Z314" i="40"/>
  <c r="X296" i="40"/>
  <c r="Z296" i="40"/>
  <c r="V296" i="40"/>
  <c r="V470" i="40"/>
  <c r="Z470" i="40"/>
  <c r="X470" i="40"/>
  <c r="X83" i="40"/>
  <c r="Z83" i="40"/>
  <c r="V83" i="40"/>
  <c r="X345" i="40"/>
  <c r="V345" i="40"/>
  <c r="Z345" i="40"/>
  <c r="Z165" i="40"/>
  <c r="X165" i="40"/>
  <c r="V165" i="40"/>
  <c r="V495" i="40"/>
  <c r="V475" i="40"/>
  <c r="Z475" i="40"/>
  <c r="X475" i="40"/>
  <c r="X237" i="40"/>
  <c r="V237" i="40"/>
  <c r="Z237" i="40"/>
  <c r="Z534" i="40"/>
  <c r="V534" i="40"/>
  <c r="X534" i="40"/>
  <c r="Z211" i="40"/>
  <c r="X211" i="40"/>
  <c r="V211" i="40"/>
  <c r="X76" i="40"/>
  <c r="V76" i="40"/>
  <c r="Z76" i="40"/>
  <c r="Z289" i="40"/>
  <c r="V289" i="40"/>
  <c r="X289" i="40"/>
  <c r="Z320" i="40"/>
  <c r="X320" i="40"/>
  <c r="V320" i="40"/>
  <c r="V337" i="40"/>
  <c r="X337" i="40"/>
  <c r="Z337" i="40"/>
  <c r="V428" i="40"/>
  <c r="Z428" i="40"/>
  <c r="X428" i="40"/>
  <c r="V388" i="40"/>
  <c r="Z388" i="40"/>
  <c r="X388" i="40"/>
  <c r="X478" i="40"/>
  <c r="Z478" i="40"/>
  <c r="V478" i="40"/>
  <c r="Z225" i="40"/>
  <c r="V225" i="40"/>
  <c r="X225" i="40"/>
  <c r="Z192" i="40"/>
  <c r="X192" i="40"/>
  <c r="V192" i="40"/>
  <c r="X203" i="40"/>
  <c r="V203" i="40"/>
  <c r="Z203" i="40"/>
  <c r="Z550" i="40"/>
  <c r="X550" i="40"/>
  <c r="V550" i="40"/>
  <c r="Z293" i="40"/>
  <c r="X293" i="40"/>
  <c r="V293" i="40"/>
  <c r="Z238" i="40"/>
  <c r="X238" i="40"/>
  <c r="V238" i="40"/>
  <c r="X370" i="40"/>
  <c r="Z370" i="40"/>
  <c r="V370" i="40"/>
  <c r="V302" i="40"/>
  <c r="X302" i="40"/>
  <c r="Z302" i="40"/>
  <c r="V179" i="40"/>
  <c r="X179" i="40"/>
  <c r="Z179" i="40"/>
  <c r="Z377" i="40"/>
  <c r="X377" i="40"/>
  <c r="V377" i="40"/>
  <c r="Z283" i="40"/>
  <c r="X283" i="40"/>
  <c r="V283" i="40"/>
  <c r="V137" i="40"/>
  <c r="Z137" i="40"/>
  <c r="X137" i="40"/>
  <c r="Z492" i="40"/>
  <c r="X492" i="40"/>
  <c r="V492" i="40"/>
  <c r="Z298" i="40"/>
  <c r="X298" i="40"/>
  <c r="V298" i="40"/>
  <c r="X324" i="40"/>
  <c r="Z324" i="40"/>
  <c r="V324" i="40"/>
  <c r="Z32" i="40"/>
  <c r="X32" i="40"/>
  <c r="V32" i="40"/>
  <c r="Z235" i="40"/>
  <c r="V235" i="40"/>
  <c r="X235" i="40"/>
  <c r="Z392" i="40"/>
  <c r="X392" i="40"/>
  <c r="V392" i="40"/>
  <c r="X118" i="40"/>
  <c r="V118" i="40"/>
  <c r="Z118" i="40"/>
  <c r="X78" i="40"/>
  <c r="V78" i="40"/>
  <c r="Z78" i="40"/>
  <c r="X364" i="40"/>
  <c r="V364" i="40"/>
  <c r="Z364" i="40"/>
  <c r="Z437" i="40"/>
  <c r="V437" i="40"/>
  <c r="X437" i="40"/>
  <c r="V380" i="40"/>
  <c r="Z380" i="40"/>
  <c r="X380" i="40"/>
  <c r="X558" i="40"/>
  <c r="Z558" i="40"/>
  <c r="V558" i="40"/>
  <c r="X215" i="40"/>
  <c r="Z215" i="40"/>
  <c r="V215" i="40"/>
  <c r="V134" i="40"/>
  <c r="X134" i="40"/>
  <c r="Z134" i="40"/>
  <c r="Z106" i="42"/>
  <c r="V106" i="42"/>
  <c r="V107" i="42" s="1"/>
  <c r="K16" i="40"/>
  <c r="X106" i="42"/>
  <c r="V22" i="40"/>
  <c r="Z22" i="40"/>
  <c r="X22" i="40"/>
  <c r="R27" i="46"/>
  <c r="X538" i="40" l="1"/>
  <c r="V538" i="40"/>
  <c r="Z538" i="40"/>
  <c r="Z107" i="42"/>
  <c r="Z110" i="42" s="1"/>
  <c r="Z111" i="42" s="1"/>
  <c r="Z113" i="42" s="1"/>
  <c r="X107" i="42"/>
  <c r="X110" i="42" s="1"/>
  <c r="X111" i="42" s="1"/>
  <c r="X113" i="42" s="1"/>
  <c r="Z27" i="57"/>
  <c r="Z30" i="57" s="1"/>
  <c r="X27" i="57"/>
  <c r="X30" i="57" s="1"/>
  <c r="X31" i="57" s="1"/>
  <c r="X33" i="57" s="1"/>
  <c r="T16" i="57"/>
  <c r="F22" i="58"/>
  <c r="V22" i="58"/>
  <c r="Z22" i="58"/>
  <c r="X22" i="58"/>
  <c r="R28" i="46"/>
  <c r="R30" i="46" s="1"/>
  <c r="V27" i="57" l="1"/>
  <c r="F13" i="57"/>
  <c r="K14" i="58"/>
  <c r="Z31" i="57"/>
  <c r="Z33" i="57" s="1"/>
  <c r="T34" i="66" l="1"/>
  <c r="L37" i="40" s="1"/>
  <c r="L16" i="40" l="1"/>
  <c r="T37" i="40"/>
  <c r="X34" i="66"/>
  <c r="X102" i="66" s="1"/>
  <c r="X103" i="66" s="1"/>
  <c r="X106" i="66" s="1"/>
  <c r="L37" i="58"/>
  <c r="Z34" i="66"/>
  <c r="Z102" i="66" s="1"/>
  <c r="Z103" i="66" s="1"/>
  <c r="Z106" i="66" s="1"/>
  <c r="T17" i="66"/>
  <c r="V34" i="66"/>
  <c r="V102" i="66" s="1"/>
  <c r="V103" i="66" s="1"/>
  <c r="F37" i="40" l="1"/>
  <c r="F16" i="40" s="1"/>
  <c r="T16" i="40"/>
  <c r="V37" i="40"/>
  <c r="V564" i="40" s="1"/>
  <c r="V565" i="40" s="1"/>
  <c r="F13" i="40" s="1"/>
  <c r="Z37" i="40"/>
  <c r="Z564" i="40" s="1"/>
  <c r="Z565" i="40" s="1"/>
  <c r="Z568" i="40" s="1"/>
  <c r="Z569" i="40" s="1"/>
  <c r="Z571" i="40" s="1"/>
  <c r="X37" i="40"/>
  <c r="X564" i="40" s="1"/>
  <c r="X565" i="40" s="1"/>
  <c r="X568" i="40" s="1"/>
  <c r="X569" i="40" s="1"/>
  <c r="X571" i="40" s="1"/>
  <c r="L16" i="58"/>
  <c r="T37" i="58"/>
  <c r="Z107" i="66"/>
  <c r="Z109" i="66" s="1"/>
  <c r="X107" i="66"/>
  <c r="X109" i="66" s="1"/>
  <c r="Z37" i="58" l="1"/>
  <c r="Z566" i="58" s="1"/>
  <c r="Z567" i="58" s="1"/>
  <c r="Z570" i="58" s="1"/>
  <c r="Z571" i="58" s="1"/>
  <c r="Z573" i="58" s="1"/>
  <c r="X37" i="58"/>
  <c r="X566" i="58" s="1"/>
  <c r="X567" i="58" s="1"/>
  <c r="X570" i="58" s="1"/>
  <c r="X571" i="58" s="1"/>
  <c r="X573" i="58" s="1"/>
  <c r="V37" i="58"/>
  <c r="V566" i="58" s="1"/>
  <c r="V567" i="58" s="1"/>
  <c r="F13" i="58" s="1"/>
  <c r="F37" i="58"/>
  <c r="F16" i="58" s="1"/>
  <c r="T16" i="58"/>
</calcChain>
</file>

<file path=xl/sharedStrings.xml><?xml version="1.0" encoding="utf-8"?>
<sst xmlns="http://schemas.openxmlformats.org/spreadsheetml/2006/main" count="7565" uniqueCount="1514">
  <si>
    <t>DESCRIPCION</t>
  </si>
  <si>
    <t>ITEM</t>
  </si>
  <si>
    <t>PESO</t>
  </si>
  <si>
    <t>AM.0100</t>
  </si>
  <si>
    <t>HUSILLO DE NIVELACION</t>
  </si>
  <si>
    <t>AM.0200</t>
  </si>
  <si>
    <t>GARRUCHA CON FRENO DE 8" - ROJO</t>
  </si>
  <si>
    <t>AM.0300</t>
  </si>
  <si>
    <t>PIEZA DE INICIO</t>
  </si>
  <si>
    <t>AM.0400</t>
  </si>
  <si>
    <t>PERFIL METALICO UPN DE 3.00m</t>
  </si>
  <si>
    <t>AM.0500</t>
  </si>
  <si>
    <t>MARCO COMBI 2.00m</t>
  </si>
  <si>
    <t>AM.0600</t>
  </si>
  <si>
    <t>VERTICAL 3.00m</t>
  </si>
  <si>
    <t>AM.0700</t>
  </si>
  <si>
    <t>VERTICAL 2.00m</t>
  </si>
  <si>
    <t>AM.0900</t>
  </si>
  <si>
    <t>VERTICAL 1.50m</t>
  </si>
  <si>
    <t>AM.1000</t>
  </si>
  <si>
    <t>VERTICAL 1.00m</t>
  </si>
  <si>
    <t>AM.1100</t>
  </si>
  <si>
    <t>VERTICAL 0.50m</t>
  </si>
  <si>
    <t>AM.1150</t>
  </si>
  <si>
    <t>ESPIGA</t>
  </si>
  <si>
    <t>AM.1200</t>
  </si>
  <si>
    <t>HORIZONTAL COMBI DE 3072mm</t>
  </si>
  <si>
    <t>AM.1300</t>
  </si>
  <si>
    <t>HORIZONTAL MULTI DE 3072mm</t>
  </si>
  <si>
    <t>AM.1400</t>
  </si>
  <si>
    <t>HORIZONTAL MULTI DE 2572mm</t>
  </si>
  <si>
    <t>AM.1500</t>
  </si>
  <si>
    <t>HORIZONTAL MULTI DE 2072mm</t>
  </si>
  <si>
    <t>AM.1600</t>
  </si>
  <si>
    <t>HORIZONTAL MULTI DE 1572mm</t>
  </si>
  <si>
    <t>AM.1700</t>
  </si>
  <si>
    <t>HORIZONTAL MULTI DE 1500mm</t>
  </si>
  <si>
    <t>AM.1800</t>
  </si>
  <si>
    <t>HORIZONTAL MULTI DE 1090mm</t>
  </si>
  <si>
    <t>AM.1900</t>
  </si>
  <si>
    <t>HORIZONTAL MULTI DE 1020mm</t>
  </si>
  <si>
    <t>AM.2000</t>
  </si>
  <si>
    <t>HORIZONTAL MULTI DE 0732mm</t>
  </si>
  <si>
    <t>AM.2020</t>
  </si>
  <si>
    <t>HORIZONTAL MULTI DE 0432mm PARA MENSULA - N</t>
  </si>
  <si>
    <t>AM.2050</t>
  </si>
  <si>
    <t>HORIZONTAL MULTI DE 0432mm PARA MENSULA - E</t>
  </si>
  <si>
    <t>AM.2100</t>
  </si>
  <si>
    <t>DOBLE LARGUERO 3072mm</t>
  </si>
  <si>
    <t>AM.2200</t>
  </si>
  <si>
    <t>DOBLE LARGUERO 2572mm</t>
  </si>
  <si>
    <t>AM.2250</t>
  </si>
  <si>
    <t>DOBLE LARGUERO 2572mm PARA ESCALERA GURSAM DE 120</t>
  </si>
  <si>
    <t>AM.2300</t>
  </si>
  <si>
    <t>VIGA PORTICO 7710mm</t>
  </si>
  <si>
    <t>AM.2400</t>
  </si>
  <si>
    <t>VIGA PORTICO 6140mm</t>
  </si>
  <si>
    <t>AM.2500</t>
  </si>
  <si>
    <t>VIGA PORTICO 5140mm</t>
  </si>
  <si>
    <t>AM.2600</t>
  </si>
  <si>
    <t>VIGA PORTICO 3072mm</t>
  </si>
  <si>
    <t>AM.2700</t>
  </si>
  <si>
    <t>VIGA PORTICO 1572mm</t>
  </si>
  <si>
    <t>AM.2800</t>
  </si>
  <si>
    <t>BARANDILLAS COMBI 3072mm</t>
  </si>
  <si>
    <t>AM.2900</t>
  </si>
  <si>
    <t>BARANDILLAS COMBI 2072mm</t>
  </si>
  <si>
    <t>AM.3000</t>
  </si>
  <si>
    <t>BARANDILLAS COMBI 0732mm</t>
  </si>
  <si>
    <t>AM.3100</t>
  </si>
  <si>
    <t>MENSULA 1090mm</t>
  </si>
  <si>
    <t>AM.3200</t>
  </si>
  <si>
    <t>MENSULA 700mm</t>
  </si>
  <si>
    <t>AM.3300</t>
  </si>
  <si>
    <t>MENSULA 300mm</t>
  </si>
  <si>
    <t>AM.3400</t>
  </si>
  <si>
    <t>RODAPIE 3072mm - E</t>
  </si>
  <si>
    <t>AM.3500</t>
  </si>
  <si>
    <t>RODAPIE 2572mm - E</t>
  </si>
  <si>
    <t>AM.3600</t>
  </si>
  <si>
    <t>RODAPIE 2072mm - E</t>
  </si>
  <si>
    <t>AM.3700</t>
  </si>
  <si>
    <t>RODAPIE 1020mm - E</t>
  </si>
  <si>
    <t>AM.3800</t>
  </si>
  <si>
    <t>RODAPIE 0732mm - E</t>
  </si>
  <si>
    <t>AM.3900</t>
  </si>
  <si>
    <t>RODAPIE 3072mm - C</t>
  </si>
  <si>
    <t>AM.4000</t>
  </si>
  <si>
    <t>RODAPIE 2572mm - C</t>
  </si>
  <si>
    <t>AM.4100</t>
  </si>
  <si>
    <t>RODAPIE 2072mm - C</t>
  </si>
  <si>
    <t>AM.4200</t>
  </si>
  <si>
    <t>RODAPIE 1572mm - C</t>
  </si>
  <si>
    <t>AM.4300</t>
  </si>
  <si>
    <t>RODAPIE 1090mm - C</t>
  </si>
  <si>
    <t>AM.4400</t>
  </si>
  <si>
    <t>RODAPIE 0732mm - C</t>
  </si>
  <si>
    <t>AM.4500</t>
  </si>
  <si>
    <t>RODAPIE 3072mm - N</t>
  </si>
  <si>
    <t>AM.4600</t>
  </si>
  <si>
    <t>RODAPIE 2572mm - N</t>
  </si>
  <si>
    <t>AM.4700</t>
  </si>
  <si>
    <t>RODAPIE 2072mm - N</t>
  </si>
  <si>
    <t>AM.4800</t>
  </si>
  <si>
    <t>RODAPIE 1572mm - N</t>
  </si>
  <si>
    <t>AM.4900</t>
  </si>
  <si>
    <t>RODAPIE 1090mm - N</t>
  </si>
  <si>
    <t>AM.5000</t>
  </si>
  <si>
    <t>RODAPIE 0732mm - N</t>
  </si>
  <si>
    <t>AM.5100</t>
  </si>
  <si>
    <t>DIAGONAL DE 3072mm</t>
  </si>
  <si>
    <t>AM.5200</t>
  </si>
  <si>
    <t>DIAGONAL DE 2572mm</t>
  </si>
  <si>
    <t>AM.5300</t>
  </si>
  <si>
    <t>DIAGONAL DE 2072mm</t>
  </si>
  <si>
    <t>AM.5400</t>
  </si>
  <si>
    <t>DIAGONAL DE 1572mm</t>
  </si>
  <si>
    <t>AM.5500</t>
  </si>
  <si>
    <t>DIAGONAL DE 1090mm</t>
  </si>
  <si>
    <t>AM.5600</t>
  </si>
  <si>
    <t>DIAGONAL DE 1020mm</t>
  </si>
  <si>
    <t>AM.5700</t>
  </si>
  <si>
    <t>TUBO PARA DIAGONAL DE 3072mm</t>
  </si>
  <si>
    <t>AM.5800</t>
  </si>
  <si>
    <t>TUBO PARA DIAGONAL DE 2572mm</t>
  </si>
  <si>
    <t>AM.5900</t>
  </si>
  <si>
    <t>TUBO PARA DIAGONAL DE 1572mm</t>
  </si>
  <si>
    <t>AM.5910</t>
  </si>
  <si>
    <t>TUBO REGULADOR DE 1400mm</t>
  </si>
  <si>
    <t>AM.6000</t>
  </si>
  <si>
    <t>PLATAFORMA METALICA DE 290x3072mm - E</t>
  </si>
  <si>
    <t>AM.6100</t>
  </si>
  <si>
    <t>PLATAFORMA METALICA DE 290x2572mm - E</t>
  </si>
  <si>
    <t>AM.6200</t>
  </si>
  <si>
    <t>PLATAFORMA METALICA DE 290x2072mm - E</t>
  </si>
  <si>
    <t>AM.6300</t>
  </si>
  <si>
    <t>PLATAFORMA METALICA DE 290x1572mm - E</t>
  </si>
  <si>
    <t>AM.6400</t>
  </si>
  <si>
    <t>PLATAFORMA METALICA DE 290x1020mm - E</t>
  </si>
  <si>
    <t>AM.6500</t>
  </si>
  <si>
    <t>PLATAFORMA METALICA DE 290x0732mm - E</t>
  </si>
  <si>
    <t>AM.6600</t>
  </si>
  <si>
    <t>PLATAFORMA METALICA DE 320x3072mm - C</t>
  </si>
  <si>
    <t>AM.6700</t>
  </si>
  <si>
    <t>PLATAFORMA METALICA DE 320x2572mm - C</t>
  </si>
  <si>
    <t>AM.6800</t>
  </si>
  <si>
    <t>PLATAFORMA METALICA DE 320x2072mm - C</t>
  </si>
  <si>
    <t>AM.6900</t>
  </si>
  <si>
    <t>PLATAFORMA METALICA DE 320x1572mm - C</t>
  </si>
  <si>
    <t>AM.7000</t>
  </si>
  <si>
    <t>PLATAFORMA METALICA DE 320x1090mm - C</t>
  </si>
  <si>
    <t>AM.7100</t>
  </si>
  <si>
    <t>PLATAFORMA METALICA DE 320x0732mm - C</t>
  </si>
  <si>
    <t>AM.7200</t>
  </si>
  <si>
    <t>PLATAFORMA METALICA DE 190x3072mm - C</t>
  </si>
  <si>
    <t>AM.7300</t>
  </si>
  <si>
    <t>PLATAFORMA METALICA DE 190x2572mm - C</t>
  </si>
  <si>
    <t>AM.7400</t>
  </si>
  <si>
    <t>PLATAFORMA METALICA DE 190x2072mm - C</t>
  </si>
  <si>
    <t>AM.7410</t>
  </si>
  <si>
    <t>PLATAFORMA METALICA DE 190x1572mm - C</t>
  </si>
  <si>
    <t>AM.7420</t>
  </si>
  <si>
    <t>PLATAFORMA METALICA DE 190x1090mm - C</t>
  </si>
  <si>
    <t>AM.7430</t>
  </si>
  <si>
    <t>PLATAFORMA METALICA DE 190x1020mm - C</t>
  </si>
  <si>
    <t>AM.7440</t>
  </si>
  <si>
    <t>PLATAFORMA METALICA DE 190x0732mm - C</t>
  </si>
  <si>
    <t>AM.7450</t>
  </si>
  <si>
    <t>PLATAFORMA DE ALUMINIO C/ ACCESO DE 3072mm (INC. ESCALERA)</t>
  </si>
  <si>
    <t>AM.7451</t>
  </si>
  <si>
    <t>PLATAFORMA DE ALUMINIO C/ ACCESO DE 2572mm (INC. ESCALERA)</t>
  </si>
  <si>
    <t>AM.7452</t>
  </si>
  <si>
    <t>PLATAFORMA DE ALUMINIO C/ ACCESO DE 2072mm (INC. ESCALERA)</t>
  </si>
  <si>
    <t>AM.7453</t>
  </si>
  <si>
    <t>PLATAFORMA DE ALUMINIO C/ ACCESO DE 1572mm (INC. ESCALERA)</t>
  </si>
  <si>
    <t>AM.7500</t>
  </si>
  <si>
    <t>PLATAFORMA DE ALUMINIO C/ ACCESO DE 3072mm</t>
  </si>
  <si>
    <t>AM.7600</t>
  </si>
  <si>
    <t>PLATAFORMA DE ALUMINIO C/ ACCESO DE 2572mm</t>
  </si>
  <si>
    <t>AM.7700</t>
  </si>
  <si>
    <t>PLATAFORMA DE ALUMINIO C/ ACCESO DE 2072mm</t>
  </si>
  <si>
    <t>AM.7800</t>
  </si>
  <si>
    <t>ESCALERA DE GATO</t>
  </si>
  <si>
    <t>AM.7900</t>
  </si>
  <si>
    <t xml:space="preserve">PLATAFORMA MIXTA CON ACCESO DE 3072mm </t>
  </si>
  <si>
    <t>AM.8000</t>
  </si>
  <si>
    <t>PLATAFORMA MIXTA CON ACCESO DE 2572mm</t>
  </si>
  <si>
    <t>AM.8100</t>
  </si>
  <si>
    <t xml:space="preserve">ESCALERA DE ACERO 3.00m </t>
  </si>
  <si>
    <t>AM.8200</t>
  </si>
  <si>
    <t xml:space="preserve">ESCALERA DE ACERO 1.50m </t>
  </si>
  <si>
    <t>AM.8300</t>
  </si>
  <si>
    <t xml:space="preserve">ESCALERA DE ACERO 1.00m </t>
  </si>
  <si>
    <t>AM.8400</t>
  </si>
  <si>
    <t xml:space="preserve">ENGANCHE PARA ESCALERA DE ACERO </t>
  </si>
  <si>
    <t>AM.8500</t>
  </si>
  <si>
    <t>TUBO CON GANCHO 1.00m</t>
  </si>
  <si>
    <t>AM.8600</t>
  </si>
  <si>
    <t>TUBO CON GANCHO 0.50m</t>
  </si>
  <si>
    <t>AM.8700</t>
  </si>
  <si>
    <t>TUBO DE ANCLAJE FERMIN</t>
  </si>
  <si>
    <t>AM.8800</t>
  </si>
  <si>
    <t>BRIDA GIRATORIA</t>
  </si>
  <si>
    <t>AM.8900</t>
  </si>
  <si>
    <t>BRIDA FIJA</t>
  </si>
  <si>
    <t>AM.9000</t>
  </si>
  <si>
    <t>ACOPLADOR MULTI</t>
  </si>
  <si>
    <t>AM.9100</t>
  </si>
  <si>
    <t>CONECTOR PARA SUSPENSION</t>
  </si>
  <si>
    <t>AM.9200</t>
  </si>
  <si>
    <t xml:space="preserve">PIN GRAVEDAD 12mm </t>
  </si>
  <si>
    <t>AM.9300</t>
  </si>
  <si>
    <t xml:space="preserve">PIN GRAVEDAD 9mm </t>
  </si>
  <si>
    <t>AM.9400</t>
  </si>
  <si>
    <t xml:space="preserve">PIN GRAVEDAD 8mm </t>
  </si>
  <si>
    <t>EA.0100</t>
  </si>
  <si>
    <t>ALUMINIO - ESCALERA DE ACCESO</t>
  </si>
  <si>
    <t>EA.0200</t>
  </si>
  <si>
    <t>ALUMINIO - BARANDA EXTERNA</t>
  </si>
  <si>
    <t>EA.0300</t>
  </si>
  <si>
    <t>ALUMINIO - BARANDA INTERNA</t>
  </si>
  <si>
    <t>EA.0400</t>
  </si>
  <si>
    <t>EUROPEA - ESCALERA DE ACCESO</t>
  </si>
  <si>
    <t>EA.0500</t>
  </si>
  <si>
    <t>EUROPEA - BARANDA INTERMEDIA</t>
  </si>
  <si>
    <t>EA.0600</t>
  </si>
  <si>
    <t>FERMIN - ESCALERA DE ACCESO 2M</t>
  </si>
  <si>
    <t>EA.0700</t>
  </si>
  <si>
    <t>FERMIN - ESCALERA DE ACCESO 1M</t>
  </si>
  <si>
    <t>EA.0800</t>
  </si>
  <si>
    <t>FERMIN - BARANDA INTERMEDIA 2M</t>
  </si>
  <si>
    <t>EA.0900</t>
  </si>
  <si>
    <t>FERMIN - BARANDA INTERMEDIA 1M</t>
  </si>
  <si>
    <t>EA.1000</t>
  </si>
  <si>
    <t>FERMIN - BARANDA SUPERIOR 2M</t>
  </si>
  <si>
    <t>EA.1100</t>
  </si>
  <si>
    <t>FERMIN - BARANDA SUPERIOR 1M</t>
  </si>
  <si>
    <t>EA.1200</t>
  </si>
  <si>
    <t>FERMIN - BARANDA CENTRAL 2M</t>
  </si>
  <si>
    <t>EA.1300</t>
  </si>
  <si>
    <t>FERMIN - BARANDA INFERIOR</t>
  </si>
  <si>
    <t>EA.1400</t>
  </si>
  <si>
    <t>GURSAM 60 - ESCALERA DE ACCESO</t>
  </si>
  <si>
    <t>EA.1500</t>
  </si>
  <si>
    <t>GURSAM 60 - BARANDILLA INTERMEDIA</t>
  </si>
  <si>
    <t>EA.1600</t>
  </si>
  <si>
    <t>GURSAM - ZANCA DERECHA</t>
  </si>
  <si>
    <t>EA.1650</t>
  </si>
  <si>
    <t>GURSAM - ZANCA DERECHA 1M</t>
  </si>
  <si>
    <t>EA.1700</t>
  </si>
  <si>
    <t>GURSAM - ZANCA IZQUIERDA</t>
  </si>
  <si>
    <t>EA.1750</t>
  </si>
  <si>
    <t>GURSAM - ZANCA IZQUIERDA 1M</t>
  </si>
  <si>
    <t>EA.1800</t>
  </si>
  <si>
    <t>GURSAM 120 - PELDAÑOS</t>
  </si>
  <si>
    <t>EA.1850</t>
  </si>
  <si>
    <t>GURSAM 60 - PELDAÑOS</t>
  </si>
  <si>
    <t>EA.1900</t>
  </si>
  <si>
    <t>GURSAM - BARANDILLA INTERMEDIA DE ZANCA</t>
  </si>
  <si>
    <t>EA.1950</t>
  </si>
  <si>
    <t>GURSAM - BARANDILLA INTERMEDIA DE ZANCA 1M</t>
  </si>
  <si>
    <t>EA.2000</t>
  </si>
  <si>
    <t>PERNO COCHE - M10 x 70</t>
  </si>
  <si>
    <t>EC.0100</t>
  </si>
  <si>
    <t>ESCUADRA DE 3.00 x 2.00m</t>
  </si>
  <si>
    <t>EC.0200</t>
  </si>
  <si>
    <t>ESCUADRA DE 1.00 x 1.00m - PERFIL SIMPLE</t>
  </si>
  <si>
    <t>EC.0300</t>
  </si>
  <si>
    <t>ESCUADRA DE 1.00 x 1.00m - PERFIL DOBLE</t>
  </si>
  <si>
    <t>EC.0400</t>
  </si>
  <si>
    <t>ESCUADRA DE 1.00 x 1.00m - VOLADO</t>
  </si>
  <si>
    <t>EC.0500</t>
  </si>
  <si>
    <t>ESCUADRA DE 1.00 x 1.00m - ESCALERA</t>
  </si>
  <si>
    <t>EC.0600</t>
  </si>
  <si>
    <t>PLATAFORMA DE DESCARGA - 1.5 TON</t>
  </si>
  <si>
    <t>EC.0700</t>
  </si>
  <si>
    <t>PLATAFORMA DE DESCARGA - 2.0 TON</t>
  </si>
  <si>
    <t>EC.0710</t>
  </si>
  <si>
    <t>PUERTA ACCESO - 1.5 TON</t>
  </si>
  <si>
    <t>EC.0711</t>
  </si>
  <si>
    <t>PUERTA ACCESO INTERNA - 2 TON</t>
  </si>
  <si>
    <t>EC.0712</t>
  </si>
  <si>
    <t>PUERTA ACCESO EXTERNA - 2 TON</t>
  </si>
  <si>
    <t>EC.0713</t>
  </si>
  <si>
    <t>BARANDA LATERAL - 1.5 TON</t>
  </si>
  <si>
    <t>EC.0714</t>
  </si>
  <si>
    <t>BARANDA LATERAL - 2 TON</t>
  </si>
  <si>
    <t>EC.0720</t>
  </si>
  <si>
    <t>BARRA ACCIONADORA DE PUERTAS</t>
  </si>
  <si>
    <t>EC.0730</t>
  </si>
  <si>
    <t>PERNO HEXAGONAL G.6.8 - M10 x 30</t>
  </si>
  <si>
    <t>EC.0800</t>
  </si>
  <si>
    <t>BALAUSTRE DE 1.20m</t>
  </si>
  <si>
    <t>EC.0900</t>
  </si>
  <si>
    <t>TRASPALETA MANUAL</t>
  </si>
  <si>
    <t>AA.0100</t>
  </si>
  <si>
    <t>CRUCETA PARA ACROW - USA</t>
  </si>
  <si>
    <t>AA.0200</t>
  </si>
  <si>
    <t>MARCO PARA ACROW - USA</t>
  </si>
  <si>
    <t>CON.0100</t>
  </si>
  <si>
    <t>PERNOS DE EXPANSION C/ ARGOLLA - M12 x 80</t>
  </si>
  <si>
    <t>CON.0200</t>
  </si>
  <si>
    <t>PERNOS DE EXPANSION - M16 x 145</t>
  </si>
  <si>
    <t>CON.0300</t>
  </si>
  <si>
    <t xml:space="preserve">PERNO HEXAGONAL PARA BALAUSTRE - M8 x 70 - G.5.8 </t>
  </si>
  <si>
    <t>CON.0400</t>
  </si>
  <si>
    <t>PERNO HEXAGONAL PARA PLATAFORMA - M6 x 100 - G.10.0</t>
  </si>
  <si>
    <t>CON.0500</t>
  </si>
  <si>
    <t>PERNOS DE EXPANSION - 1" x 10"</t>
  </si>
  <si>
    <t>CON.0600</t>
  </si>
  <si>
    <t>PERNOS DE EXPANSION - 1" x 8"</t>
  </si>
  <si>
    <t>CON.0700</t>
  </si>
  <si>
    <t>PERNOS DE EXPANSION - 1" x 6"</t>
  </si>
  <si>
    <t>PU.0100</t>
  </si>
  <si>
    <t>PUNTAL 3.00m - VERDE CLARO</t>
  </si>
  <si>
    <t>PU.0200</t>
  </si>
  <si>
    <t>PUNTAL 3.00m - VERDE OSCURO</t>
  </si>
  <si>
    <t>PU.0300</t>
  </si>
  <si>
    <t>PUNTAL 3.00m - AZUL</t>
  </si>
  <si>
    <t>PU.0400</t>
  </si>
  <si>
    <t>PUNTAL 4.00m - VERDE</t>
  </si>
  <si>
    <t>PU.0500</t>
  </si>
  <si>
    <t>PUNTAL 4.00m - AZUL</t>
  </si>
  <si>
    <t>PU.0600</t>
  </si>
  <si>
    <t xml:space="preserve">PUNTAL 5.00m </t>
  </si>
  <si>
    <t>PU.0700</t>
  </si>
  <si>
    <t>PIN PRESION - 11mm</t>
  </si>
  <si>
    <t>PU.0800</t>
  </si>
  <si>
    <t>PIN PRESION - 12mm</t>
  </si>
  <si>
    <t>PU.0900</t>
  </si>
  <si>
    <t>ARGOLLA - 48/40mm</t>
  </si>
  <si>
    <t>PU.1000</t>
  </si>
  <si>
    <t>ARGOLLA - 60/52mm</t>
  </si>
  <si>
    <t>PU.1100</t>
  </si>
  <si>
    <t>TRIPODE</t>
  </si>
  <si>
    <t>AE.0100</t>
  </si>
  <si>
    <t>MOTOR - SEM63</t>
  </si>
  <si>
    <t>AE.0200</t>
  </si>
  <si>
    <t>MOTOR - SEM80</t>
  </si>
  <si>
    <t>AE.0300</t>
  </si>
  <si>
    <t>MOTOR - TIR80</t>
  </si>
  <si>
    <t>AE.0400</t>
  </si>
  <si>
    <t>MOTOR - TIN80</t>
  </si>
  <si>
    <t>AE.0401</t>
  </si>
  <si>
    <t>MOTOR - TIN30</t>
  </si>
  <si>
    <t>AE.0500</t>
  </si>
  <si>
    <t>TABLERO - SEM63</t>
  </si>
  <si>
    <t>AE.0600</t>
  </si>
  <si>
    <t>TABLERO - SEM80</t>
  </si>
  <si>
    <t>AE.0700</t>
  </si>
  <si>
    <t>TABLERO - TIR80</t>
  </si>
  <si>
    <t>AE.0800</t>
  </si>
  <si>
    <t>TABLERO - TIN80</t>
  </si>
  <si>
    <t>AE.0801</t>
  </si>
  <si>
    <t>TABLERO - TIN30</t>
  </si>
  <si>
    <t>AE.0900</t>
  </si>
  <si>
    <t>TRANSFORMADOR DE 5KVA 380V A 220 V</t>
  </si>
  <si>
    <t>AE.0950</t>
  </si>
  <si>
    <t>TRANSFORMADOR DE 7KVA 380V A 220 V</t>
  </si>
  <si>
    <t>AE.0970</t>
  </si>
  <si>
    <t>CABLE DE ACERO D=8.6mm - 130m</t>
  </si>
  <si>
    <t>AE.0975</t>
  </si>
  <si>
    <t>CABLE DE ACERO D=8.6mm - 120m</t>
  </si>
  <si>
    <t>AE.1000</t>
  </si>
  <si>
    <t>CABLE DE ACERO D=8.6m - 100m</t>
  </si>
  <si>
    <t>AE.1100</t>
  </si>
  <si>
    <t>CABLE DE ACERO D=8.6m - 90m</t>
  </si>
  <si>
    <t>AE.1200</t>
  </si>
  <si>
    <t>CABLE DE ACERO D=8.6m - 80m</t>
  </si>
  <si>
    <t>AE.1300</t>
  </si>
  <si>
    <t>CABLE DE ACERO D=8.6m - 70m</t>
  </si>
  <si>
    <t>AE.1400</t>
  </si>
  <si>
    <t>CABLE DE ACERO D=8.6m - 60m</t>
  </si>
  <si>
    <t>AE.1500</t>
  </si>
  <si>
    <t>CABLE DE ACERO D=8.6m - 50m</t>
  </si>
  <si>
    <t>AE.1600</t>
  </si>
  <si>
    <t>CABLE DE ACERO D=8.6m - 40m</t>
  </si>
  <si>
    <t>AE.1700</t>
  </si>
  <si>
    <t>CABLE DE ACERO D=8.6m - 30m</t>
  </si>
  <si>
    <t>AE.1710</t>
  </si>
  <si>
    <t>CABLE DE ACERO D=8.6m - 20m</t>
  </si>
  <si>
    <t>AE.1800</t>
  </si>
  <si>
    <t xml:space="preserve">CABLE DE ACERO D=8.6m PARA ARRIOSTRE </t>
  </si>
  <si>
    <t>AE.1900</t>
  </si>
  <si>
    <t xml:space="preserve">CABLE DE ACERO D=8.6m PARA TRACCION </t>
  </si>
  <si>
    <t>AE.2000</t>
  </si>
  <si>
    <t xml:space="preserve">PIEZA CON POLEAS PARA COLGAR CABLE DE ACERO </t>
  </si>
  <si>
    <t>AE.2100</t>
  </si>
  <si>
    <t>PIEZA EN "U" PARA COLGAR CABLE DE ACERO - ABIERTA</t>
  </si>
  <si>
    <t>AE.2200</t>
  </si>
  <si>
    <t>PIEZA EN "U" PARA COLGAR CABLE DE ACERO - CERRADA</t>
  </si>
  <si>
    <t>AE.2300</t>
  </si>
  <si>
    <t>PIEZA EN "U" PARA TRACCION DE CABLE DE ACERO</t>
  </si>
  <si>
    <t>AE.2400</t>
  </si>
  <si>
    <t>PIEZA PARA ENGANCHE DE CABLE DE ACERO</t>
  </si>
  <si>
    <t>AE.2500</t>
  </si>
  <si>
    <t>TENSOR PARA CABLE DE ACERO</t>
  </si>
  <si>
    <t>AE.2600</t>
  </si>
  <si>
    <t>GUARDACABOS PARA CABLE DE ACERO D=17mm</t>
  </si>
  <si>
    <t>AE.2700</t>
  </si>
  <si>
    <t>GRAPA PARA CABLE DE ACERO</t>
  </si>
  <si>
    <t>AE.2800</t>
  </si>
  <si>
    <t>ABRAZADERA TIPO PLACA - ALTO</t>
  </si>
  <si>
    <t>AE.2900</t>
  </si>
  <si>
    <t>ABRAZADERA TIPO U - DE 1M</t>
  </si>
  <si>
    <t>AE.3000</t>
  </si>
  <si>
    <t>POLEA - D=300mm</t>
  </si>
  <si>
    <t>AE.3100</t>
  </si>
  <si>
    <t>POLEA - D=19mm</t>
  </si>
  <si>
    <t>AE.3200</t>
  </si>
  <si>
    <t>POLEA - D=17mm</t>
  </si>
  <si>
    <t>AE.3300</t>
  </si>
  <si>
    <t>POLEA - PARA MARCO</t>
  </si>
  <si>
    <t>AE.3400</t>
  </si>
  <si>
    <t>RUEDA - PARA MARCO</t>
  </si>
  <si>
    <t>AE.3500</t>
  </si>
  <si>
    <t>POLEA Y RUEDA PARA FRENO DE EMERGENCIA</t>
  </si>
  <si>
    <t>AE.3600</t>
  </si>
  <si>
    <t>MARCO PARA MOTOR - ESTANDAR</t>
  </si>
  <si>
    <t>AE.3700</t>
  </si>
  <si>
    <t>MARCO PARA MOTOR - ALTO</t>
  </si>
  <si>
    <t>AE.3800</t>
  </si>
  <si>
    <t>MARCO PARA MOTOR - DE 1M</t>
  </si>
  <si>
    <t>AE.3900</t>
  </si>
  <si>
    <t>PLATAFORMA - ESQUINERA</t>
  </si>
  <si>
    <t>AE.4000</t>
  </si>
  <si>
    <t>PLATAFORMA - DE 1M</t>
  </si>
  <si>
    <t>AE.4100</t>
  </si>
  <si>
    <t>PLATAFORMA - 1.50m</t>
  </si>
  <si>
    <t>AE.4200</t>
  </si>
  <si>
    <t>PLATAFORMA - 2.00m</t>
  </si>
  <si>
    <t>AE.4300</t>
  </si>
  <si>
    <t>PLATAFORMA - 3.00m</t>
  </si>
  <si>
    <t>AE.4400</t>
  </si>
  <si>
    <t>BARANDA ALTA - 1.50m</t>
  </si>
  <si>
    <t>AE.4500</t>
  </si>
  <si>
    <t>BARANDA ALTA - 2.00m</t>
  </si>
  <si>
    <t>AE.4600</t>
  </si>
  <si>
    <t>BARANDA ALTA - 3.00m</t>
  </si>
  <si>
    <t>AE.4700</t>
  </si>
  <si>
    <t>BARANDA BAJA - 1.50m</t>
  </si>
  <si>
    <t>AE.4800</t>
  </si>
  <si>
    <t>BARANDA BAJA - 2.00m</t>
  </si>
  <si>
    <t>AE.4900</t>
  </si>
  <si>
    <t>BARANDA BAJA - 3.00m</t>
  </si>
  <si>
    <t>AE.5000</t>
  </si>
  <si>
    <t xml:space="preserve">BARANDA LATERAL - ALTO </t>
  </si>
  <si>
    <t>AE.5100</t>
  </si>
  <si>
    <t>BARANDA LATERAL - DE 1M</t>
  </si>
  <si>
    <t>AE.5200</t>
  </si>
  <si>
    <t>BARANDA FRONTAL - DE 1M</t>
  </si>
  <si>
    <t>AE.5300</t>
  </si>
  <si>
    <t>BARANDA ESQUINERA - ANGULAR</t>
  </si>
  <si>
    <t>AE.5400</t>
  </si>
  <si>
    <t>BARANDA ESQUINERA - 1P</t>
  </si>
  <si>
    <t>AE.5500</t>
  </si>
  <si>
    <t>BARANDA ESQUINERA - 2P</t>
  </si>
  <si>
    <t>AE.5600</t>
  </si>
  <si>
    <t>GARRUCHA CON FRENO - ROJA</t>
  </si>
  <si>
    <t>AE.5700</t>
  </si>
  <si>
    <t>GARRUCHA CON FRENO - BLANCA</t>
  </si>
  <si>
    <t>AE.5800</t>
  </si>
  <si>
    <t>GARRUCHA SIN FRENO - BLANCA</t>
  </si>
  <si>
    <t>AE.5900</t>
  </si>
  <si>
    <t>GARRUCHA CONTRA MURO - 1G</t>
  </si>
  <si>
    <t>AE.6000</t>
  </si>
  <si>
    <t>GARRUCHA CONTRA MURO - 2G</t>
  </si>
  <si>
    <t>AE.6100</t>
  </si>
  <si>
    <t>TUBO CUADRADO - DE 1x7</t>
  </si>
  <si>
    <t>AE.6200</t>
  </si>
  <si>
    <t>TUBO CUADRADO - DE 2x4</t>
  </si>
  <si>
    <t>AE.6300</t>
  </si>
  <si>
    <t>TUBO CUADRADO - TT</t>
  </si>
  <si>
    <t>AE.6400</t>
  </si>
  <si>
    <t>TUBO CUADRADO - INTERMEDIO</t>
  </si>
  <si>
    <t>AE.6500</t>
  </si>
  <si>
    <t>TUBO EN T SIMPLE - ALTA</t>
  </si>
  <si>
    <t>AE.6510</t>
  </si>
  <si>
    <t>PROLONGADOR INTERMEDIO DE 500mm</t>
  </si>
  <si>
    <t>AE.6520</t>
  </si>
  <si>
    <t>PROLONGADOR CUADRADO DE 600mm</t>
  </si>
  <si>
    <t>AE.6600</t>
  </si>
  <si>
    <t>TUBO EN T SIMPLE - BAJA</t>
  </si>
  <si>
    <t>AE.6700</t>
  </si>
  <si>
    <t>TUBO EN T CON POLEA</t>
  </si>
  <si>
    <t>AE.6800</t>
  </si>
  <si>
    <t>SOPORTE PESCANTE ESTANDAR</t>
  </si>
  <si>
    <t>AE.6900</t>
  </si>
  <si>
    <t>SOPORTE PESCANTE A NIVEL</t>
  </si>
  <si>
    <t>AE.7000</t>
  </si>
  <si>
    <t>SOPORTE CONTRAPESAS ESTANDAR</t>
  </si>
  <si>
    <t>AE.7100</t>
  </si>
  <si>
    <t>SOPORTE CONTRAPESAS A NIVEL</t>
  </si>
  <si>
    <t>AE.7200</t>
  </si>
  <si>
    <t>CABLE ELECTRICO CON GUIA DE CABLE DE ACERO - 100m</t>
  </si>
  <si>
    <t>AE.7300</t>
  </si>
  <si>
    <t>CABLE ELECTRICO CON GUIA DE CABLE DE ACERO - 80m</t>
  </si>
  <si>
    <t>AE.7400</t>
  </si>
  <si>
    <t>CABLE ELECTRICO CON GUIA DE CABLE DE ACERO - 70m</t>
  </si>
  <si>
    <t>AE.7450</t>
  </si>
  <si>
    <t>CABLE ELECTRICO CON GUIA DE CABLE DE ACERO - 40m</t>
  </si>
  <si>
    <t>AE.7500</t>
  </si>
  <si>
    <t>MENNEKE PARA CABLE DE MOTOR</t>
  </si>
  <si>
    <t>AE.7600</t>
  </si>
  <si>
    <t>MENNEKE PARA CABLE ELECTRICO</t>
  </si>
  <si>
    <t>AE.7700</t>
  </si>
  <si>
    <t>MANDO A DISTANCIA DE 5P - SEM</t>
  </si>
  <si>
    <t>AE.7800</t>
  </si>
  <si>
    <t>MANDO A DISTANCIA DE 3P - TIN y TIR</t>
  </si>
  <si>
    <t>AE.7900</t>
  </si>
  <si>
    <t>TOPE DE FIN DE CARRERA</t>
  </si>
  <si>
    <t>AE.8000</t>
  </si>
  <si>
    <t>SWITCH DE FIN DE CARRERA</t>
  </si>
  <si>
    <t>AE.8100</t>
  </si>
  <si>
    <t>SENSOR DE FIN DE CARRERA</t>
  </si>
  <si>
    <t>AE.8200</t>
  </si>
  <si>
    <t>FRENO DE EMERGENCIA - ESTANDAR</t>
  </si>
  <si>
    <t>AE.8300</t>
  </si>
  <si>
    <t>FRENO DE EMERGENCIA - DE 1M</t>
  </si>
  <si>
    <t>AE.8400</t>
  </si>
  <si>
    <t xml:space="preserve">PALANCA DE FRENO ELECTROMAGNETICO </t>
  </si>
  <si>
    <t>AE.8440</t>
  </si>
  <si>
    <t>DRIZA TEJIDA DE 5/8" - 130m</t>
  </si>
  <si>
    <t>AE.8450</t>
  </si>
  <si>
    <t>DRIZA TEJIDA DE 5/8" - 120m</t>
  </si>
  <si>
    <t>AE.8500</t>
  </si>
  <si>
    <t>DRIZA TEJIDA DE 5/8" - 100m</t>
  </si>
  <si>
    <t>AE.8600</t>
  </si>
  <si>
    <t>DRIZA TEJIDA DE 5/8" - 80m</t>
  </si>
  <si>
    <t>AE.8700</t>
  </si>
  <si>
    <t>DRIZA TEJIDA DE 5/8" - 70m</t>
  </si>
  <si>
    <t>AE.8800</t>
  </si>
  <si>
    <t>DRIZA TEJIDA DE 5/8" - 60m</t>
  </si>
  <si>
    <t>AE.8900</t>
  </si>
  <si>
    <t>DRIZA TEJIDA DE 5/8" - 50m</t>
  </si>
  <si>
    <t>AE.9000</t>
  </si>
  <si>
    <t>DRIZA TORCIDA DE 5/8" - 100m</t>
  </si>
  <si>
    <t>AE.9100</t>
  </si>
  <si>
    <t>DRIZA TORCIDA DE 5/8" - 80m</t>
  </si>
  <si>
    <t>AE.9200</t>
  </si>
  <si>
    <t>DRIZA TORCIDA DE 5/8" - 70m</t>
  </si>
  <si>
    <t>AE.9300</t>
  </si>
  <si>
    <t>DRIZA TORCIDA DE 5/8" - 60m</t>
  </si>
  <si>
    <t>AE.9400</t>
  </si>
  <si>
    <t>DRIZA TORCIDA DE 5/8" - 50m</t>
  </si>
  <si>
    <t>AE.9500</t>
  </si>
  <si>
    <t>FRENO DE LINEA DE VIDA - 50mm</t>
  </si>
  <si>
    <t>AE.9600</t>
  </si>
  <si>
    <t>FRENO DE LINEA DE VIDA - 25mm</t>
  </si>
  <si>
    <t>AE.9700</t>
  </si>
  <si>
    <t>FRENO DE LINEA DE VIDA - X3</t>
  </si>
  <si>
    <t>AE.9800</t>
  </si>
  <si>
    <t>PROTECTORES LINEA DE VIDA</t>
  </si>
  <si>
    <t>AE.9900</t>
  </si>
  <si>
    <t>PIN + PASADOR DE HENDIDURA SIMPLE - 15 x 60</t>
  </si>
  <si>
    <t>AE.10000</t>
  </si>
  <si>
    <t>PIN + PASADOR DE RESORTADO DOBLE - 15 x 110</t>
  </si>
  <si>
    <t>AE.10100</t>
  </si>
  <si>
    <t>PERNO HEXAGONAL G.8.8 - M18 x 150 - CON VAINA</t>
  </si>
  <si>
    <t>AE.10200</t>
  </si>
  <si>
    <t>PERNO HEXAGONAL G.8.8 - M16 x 90</t>
  </si>
  <si>
    <t>AE.10300</t>
  </si>
  <si>
    <t>PERNO HEXAGONAL G.8.8 - M14 x 150</t>
  </si>
  <si>
    <t>AE.10400</t>
  </si>
  <si>
    <t>PERNO HEXAGONAL G.8.8  - M14 x 120</t>
  </si>
  <si>
    <t>AE.10500</t>
  </si>
  <si>
    <t>PERNO HEXAGONAL G.8.8 - M12 x 170</t>
  </si>
  <si>
    <t>AE.10600</t>
  </si>
  <si>
    <t>PERNO HEXAGONAL G.8.8 - M12 x 140</t>
  </si>
  <si>
    <t>AE.10700</t>
  </si>
  <si>
    <t>PERNO HEXAGONAL G.8.8 - M12 x 130</t>
  </si>
  <si>
    <t>AE.10800</t>
  </si>
  <si>
    <t>PERNO HEXAGONAL G.8.8 - M12 x 90</t>
  </si>
  <si>
    <t>AE.10900</t>
  </si>
  <si>
    <t>PERNO HEXAGONAL G.8.8 - M12 x 70</t>
  </si>
  <si>
    <t>AE.11000</t>
  </si>
  <si>
    <t>PERNO HEXAGONAL G.8.8 - M10 x 120</t>
  </si>
  <si>
    <t>AE.11100</t>
  </si>
  <si>
    <t>PERNO HEXAGONAL G.8.8 - M10 x 90</t>
  </si>
  <si>
    <t>AE.11200</t>
  </si>
  <si>
    <t>PERNO HEXAGONAL G.8.8 - M10 x 40</t>
  </si>
  <si>
    <t>AE.11300</t>
  </si>
  <si>
    <t>PERNO HEXAGONAL G.8.8 - M10 x 25</t>
  </si>
  <si>
    <t>AE.11400</t>
  </si>
  <si>
    <t>PERNO HEXAGONAL G.5.8 - M8 x 70</t>
  </si>
  <si>
    <t>AE.11500</t>
  </si>
  <si>
    <t>CONTRAPESO DE 25KG</t>
  </si>
  <si>
    <t>AE.11600</t>
  </si>
  <si>
    <t>CONTRAPESO DE 5KG - CON PERNOS</t>
  </si>
  <si>
    <t>AE.11700</t>
  </si>
  <si>
    <t>CONTRAPESO DE 5KG - SIN PERNOS</t>
  </si>
  <si>
    <t>AE.11800</t>
  </si>
  <si>
    <t>PRENSA PARAPETO</t>
  </si>
  <si>
    <t>AE.11850</t>
  </si>
  <si>
    <t>VIGA I DE 3.00m</t>
  </si>
  <si>
    <t>AE.11900</t>
  </si>
  <si>
    <t xml:space="preserve">PLACA DE PRENSA PARAPETO </t>
  </si>
  <si>
    <t>AE.12000</t>
  </si>
  <si>
    <t>RODILLO PARA CABLE DE ACERO</t>
  </si>
  <si>
    <t>AE.12100</t>
  </si>
  <si>
    <t>CARTEL INNOVA</t>
  </si>
  <si>
    <t>AE.12200</t>
  </si>
  <si>
    <t>PROTECTOR DE MOTOR</t>
  </si>
  <si>
    <t>AE.12300</t>
  </si>
  <si>
    <t>PROTECTOR DE TABLERO</t>
  </si>
  <si>
    <t>EN.0100</t>
  </si>
  <si>
    <t>BARRA ROSCADA D=15 - 1.20m</t>
  </si>
  <si>
    <t>EN.0200</t>
  </si>
  <si>
    <t>BARRA ROSCADA D=15 - 1.00m</t>
  </si>
  <si>
    <t>EN.0300</t>
  </si>
  <si>
    <t>BARRA ROSCADA D=15 - 0.25m</t>
  </si>
  <si>
    <t>EN.0310</t>
  </si>
  <si>
    <t>BARRA ROSCADA D=15 - 1.50m</t>
  </si>
  <si>
    <t>EN.0320</t>
  </si>
  <si>
    <t xml:space="preserve">BARRA ASTM DE 1 1/4 X 500mm CON TUERCA Y ARANDELA </t>
  </si>
  <si>
    <t>EN.0325</t>
  </si>
  <si>
    <t xml:space="preserve">BARRA ASTM DE 1 1/4 X 300mm CON TUERCA Y ARANDELA </t>
  </si>
  <si>
    <t>EN.0330</t>
  </si>
  <si>
    <t xml:space="preserve">BARRA ASTM DE 1" X 300mm CON TUERCA Y ARANDELA </t>
  </si>
  <si>
    <t>EN.0331</t>
  </si>
  <si>
    <t xml:space="preserve">BARRA ASTM DE 1" X 400mm CON TUERCA Y ARANDELA </t>
  </si>
  <si>
    <t>EN.0400</t>
  </si>
  <si>
    <t>TUERCA D=15mm</t>
  </si>
  <si>
    <t>EN.0500</t>
  </si>
  <si>
    <t>SUPLEMENTO CABEZAL</t>
  </si>
  <si>
    <t>EN.0550</t>
  </si>
  <si>
    <t>CABEZAL PARA VIGA AJUSTABLE H20 - 600x38mm</t>
  </si>
  <si>
    <t>EN.0600</t>
  </si>
  <si>
    <t>ALINEADOR - 3.00m</t>
  </si>
  <si>
    <t>EN.0650</t>
  </si>
  <si>
    <t>ALINEADOR - 2.00m</t>
  </si>
  <si>
    <t>EN.0700</t>
  </si>
  <si>
    <t>LEGO. PANEL - 500 x 500mm</t>
  </si>
  <si>
    <t>EN.0800</t>
  </si>
  <si>
    <t>TEIDE. PANEL - 3.00 x 0.50m</t>
  </si>
  <si>
    <t>EN.0900</t>
  </si>
  <si>
    <t>TEIDE. PANEL - 3.00 x 0.60m</t>
  </si>
  <si>
    <t>EN.1000</t>
  </si>
  <si>
    <t>TEIDE. PANEL - 3.00 x 0.80m</t>
  </si>
  <si>
    <t>EN.1100</t>
  </si>
  <si>
    <t>TEIDE. PANEL - 3.00 x 1.00m</t>
  </si>
  <si>
    <t>EN.1200</t>
  </si>
  <si>
    <t>TEIDE. ESCUADRA INTERIOR - 3.00 x 0.38 x 0.30m</t>
  </si>
  <si>
    <t>EN.1300</t>
  </si>
  <si>
    <t>TEIDE. BARRA ROSACADA COLA DE CHANCHO D=15 - 0.20m</t>
  </si>
  <si>
    <t>EN.1350</t>
  </si>
  <si>
    <t>TEIDE. BARRA ROSACADA COLA DE CHANCHO D=15 - 0.25m</t>
  </si>
  <si>
    <t>EN.1360</t>
  </si>
  <si>
    <t>TEIDE. BARRA ROSACADA COLA DE CHANCHO D=15 - 0.30m</t>
  </si>
  <si>
    <t>EN.1400</t>
  </si>
  <si>
    <t>TEIDE. TUERCA D=15mm</t>
  </si>
  <si>
    <t>EN.1500</t>
  </si>
  <si>
    <t>TEIDE. MORDAZA</t>
  </si>
  <si>
    <t>EN.1600</t>
  </si>
  <si>
    <t>TEIDE. GANCHO DE ELEVACION</t>
  </si>
  <si>
    <t>EN.1700</t>
  </si>
  <si>
    <t>TEIDE. CONSOLA DE TRABAJO</t>
  </si>
  <si>
    <t>NA</t>
  </si>
  <si>
    <t>EN.1800</t>
  </si>
  <si>
    <t>TEIDE. CHAVETA ESCUADRA</t>
  </si>
  <si>
    <t>EN.1900</t>
  </si>
  <si>
    <t>TEIDE. CHAVETA RECTA</t>
  </si>
  <si>
    <t>EN.2000</t>
  </si>
  <si>
    <t>SG. PANEL - 1.50 x 0.90m</t>
  </si>
  <si>
    <t>EN.2100</t>
  </si>
  <si>
    <t>SG. PANEL - 1.50 x 0.45m</t>
  </si>
  <si>
    <t>EN.2200</t>
  </si>
  <si>
    <t>SG. PANEL - 1.50 x 0.30m</t>
  </si>
  <si>
    <t>EN.2300</t>
  </si>
  <si>
    <t>SG. ESCUADRA - INTERIOR</t>
  </si>
  <si>
    <t>EN.2400</t>
  </si>
  <si>
    <t>SG. ESCUADRA - EXTERIOR</t>
  </si>
  <si>
    <t>EN.2500</t>
  </si>
  <si>
    <t>SG. COMPENSADOR - 1500 x 50</t>
  </si>
  <si>
    <t>EN.2600</t>
  </si>
  <si>
    <t>SG. COMPENSADOR - 1500 x 300</t>
  </si>
  <si>
    <t>EN.2700</t>
  </si>
  <si>
    <t>SG. ALINEADOR - 1.00m</t>
  </si>
  <si>
    <t>EN.2800</t>
  </si>
  <si>
    <t xml:space="preserve">SG. UNION </t>
  </si>
  <si>
    <t>EN.2900</t>
  </si>
  <si>
    <t>VERSATECJ. COSTADO DE VIGA - 2.00 x 0.30m</t>
  </si>
  <si>
    <t>EN.3000</t>
  </si>
  <si>
    <t>VERSATECJ. COSTADO DE VIGA - 2.00 x 0.35m</t>
  </si>
  <si>
    <t>EN.3100</t>
  </si>
  <si>
    <t>VERSATECJ. COSTADO DE VIGA - 2.00 x 0.40m</t>
  </si>
  <si>
    <t>EN.3200</t>
  </si>
  <si>
    <t>VERSATECJ. SOPANDA EXTERNA - 4.00m</t>
  </si>
  <si>
    <t>EN.3300</t>
  </si>
  <si>
    <t>VERSATECJ. SOPANDA EXTERNA - 3.00m</t>
  </si>
  <si>
    <t>EN.3400</t>
  </si>
  <si>
    <t>VERSATECJ. SOPANDA EXTERNA - 2.00m</t>
  </si>
  <si>
    <t>EN.3500</t>
  </si>
  <si>
    <t>VERSATECJ. SOPANDA INTERNA - 4.00m</t>
  </si>
  <si>
    <t>EN.3600</t>
  </si>
  <si>
    <t>VERSATECJ. SOPANDA INTERNA - 3.00m</t>
  </si>
  <si>
    <t>EN.3700</t>
  </si>
  <si>
    <t>VERSATECJ. SOPANDA INTERNA - 2.00m</t>
  </si>
  <si>
    <t>EN.3800</t>
  </si>
  <si>
    <t>VERSATECJ. ARRIOSTRADOR PLUS - 4.00m</t>
  </si>
  <si>
    <t>EN.3900</t>
  </si>
  <si>
    <t>VERSATECJ. ARRIOSTRADOR PLUS - 2.00m</t>
  </si>
  <si>
    <t>EN.4000</t>
  </si>
  <si>
    <t>VERSATECJ. ARRIOSTRADOR PLUS - 1.00m</t>
  </si>
  <si>
    <t>EN.4100</t>
  </si>
  <si>
    <t>VERSATECJ. REMATE PARA LOSA</t>
  </si>
  <si>
    <t>EN.4200</t>
  </si>
  <si>
    <t>VERSATECJ. TABLERO TRICAPA - 980 x 500mm</t>
  </si>
  <si>
    <t>EN.4300</t>
  </si>
  <si>
    <t>VERSATECJ. ARRIOSTRADOR PARA VIGA</t>
  </si>
  <si>
    <t>EN.4400</t>
  </si>
  <si>
    <t>VERSATECJ. CIMBRA PARA VIGA</t>
  </si>
  <si>
    <t>RE.0100</t>
  </si>
  <si>
    <t>BAJANTE TUBO</t>
  </si>
  <si>
    <t>RE.0150</t>
  </si>
  <si>
    <t>ASA DE BAJANTE DE TUBO</t>
  </si>
  <si>
    <t>RE.0200</t>
  </si>
  <si>
    <t>BAJANTE BOCA</t>
  </si>
  <si>
    <t>RE.0250</t>
  </si>
  <si>
    <t>ASA DE BAJANTE DE BOCA</t>
  </si>
  <si>
    <t>RE.0260</t>
  </si>
  <si>
    <t>CADENA DE SUJECION PARA BAJANTE</t>
  </si>
  <si>
    <t>RE.0300</t>
  </si>
  <si>
    <t>BAJANTE METALICA</t>
  </si>
  <si>
    <t>RE.0400</t>
  </si>
  <si>
    <t>ESTRUCTURA PORTANTE</t>
  </si>
  <si>
    <t>RE.0450</t>
  </si>
  <si>
    <t>SARGENTO DE SUJECION PARA ESTRUCTURA PORTANTE</t>
  </si>
  <si>
    <t>RE.0460</t>
  </si>
  <si>
    <t>GRILLETE PARA LA ESTRUCTURA PORTANTE</t>
  </si>
  <si>
    <t>RE.0470</t>
  </si>
  <si>
    <t>CADENA DE SUJECION PARA  ESTRUCTURA PORTANTE</t>
  </si>
  <si>
    <t>RE.0500</t>
  </si>
  <si>
    <t>ARO DE MANIOBRA</t>
  </si>
  <si>
    <t>RE.0600</t>
  </si>
  <si>
    <t>BASTIDOR CON TORNO MANUAL</t>
  </si>
  <si>
    <t>RE.0700</t>
  </si>
  <si>
    <t>BALANCIN</t>
  </si>
  <si>
    <t>RE.0800</t>
  </si>
  <si>
    <t>PIN DE 3/8 CON SU ARMELLA Y TUERCA</t>
  </si>
  <si>
    <t>RE.0810</t>
  </si>
  <si>
    <t>CARTUCHOS DE PVC</t>
  </si>
  <si>
    <t>RE.0900</t>
  </si>
  <si>
    <t>PROLONGACION DE SOPORTE PARA CHUTE</t>
  </si>
  <si>
    <t>EV.0100</t>
  </si>
  <si>
    <t>CABINA ELEVADOR 3300mm x 1500mm - DERECHA</t>
  </si>
  <si>
    <t>EV.0200</t>
  </si>
  <si>
    <t>CABINA ELEVADOR 3300mm x 1500mm - IZQUIERDA</t>
  </si>
  <si>
    <t>EV.0300</t>
  </si>
  <si>
    <t>EV.0400</t>
  </si>
  <si>
    <t>PALANCA CORTA CORRIENTE</t>
  </si>
  <si>
    <t>EV.0500</t>
  </si>
  <si>
    <t>FRENO PARACAIDA</t>
  </si>
  <si>
    <t>EV.0600</t>
  </si>
  <si>
    <t xml:space="preserve">LUZ LED CABINA </t>
  </si>
  <si>
    <t>EV.0700</t>
  </si>
  <si>
    <t xml:space="preserve">LLAVE DE MANDO </t>
  </si>
  <si>
    <t>EV.0800</t>
  </si>
  <si>
    <t>LIMITADOR PUERTA</t>
  </si>
  <si>
    <t>EV.0900</t>
  </si>
  <si>
    <t>LIMITADOR PARADA</t>
  </si>
  <si>
    <t>EV.1000</t>
  </si>
  <si>
    <t xml:space="preserve">POLINES DE GUIA </t>
  </si>
  <si>
    <t>EV.1100</t>
  </si>
  <si>
    <t>ESCALERA METALICA 2270mm x 40mm</t>
  </si>
  <si>
    <t>EV.1200</t>
  </si>
  <si>
    <t>EV.1300</t>
  </si>
  <si>
    <t>PLATAFORMA DESCARGA 1000mm x 1400mm</t>
  </si>
  <si>
    <t>EV.1400</t>
  </si>
  <si>
    <t xml:space="preserve">PASAMANOS PLATAFORMA </t>
  </si>
  <si>
    <t>EV.1500</t>
  </si>
  <si>
    <t>PUERTA CARGA 2300mm x 1400mm</t>
  </si>
  <si>
    <t>EV.1600</t>
  </si>
  <si>
    <t>PUERTA DESCARGA 1340mm x 1400mm</t>
  </si>
  <si>
    <t>EV.1700</t>
  </si>
  <si>
    <t>PLACA UNION MOTOR-CABINA  230mm x 110mm</t>
  </si>
  <si>
    <t>EV.1800</t>
  </si>
  <si>
    <t xml:space="preserve">CABLE ACERO C/ GUARDACABO 13mm x 1320mm - CABINA </t>
  </si>
  <si>
    <t>EV.1900</t>
  </si>
  <si>
    <t>GRILLETES DE 5/8"</t>
  </si>
  <si>
    <t>EV.2000</t>
  </si>
  <si>
    <t>EV.2100</t>
  </si>
  <si>
    <t>EV.2200</t>
  </si>
  <si>
    <t xml:space="preserve">BASE MOTOR </t>
  </si>
  <si>
    <t>EV.2300</t>
  </si>
  <si>
    <t>COBERTOR MOTOR 1280mm x 400mm</t>
  </si>
  <si>
    <t>EV.2400</t>
  </si>
  <si>
    <t>PALANCA FRENO MOTOR</t>
  </si>
  <si>
    <t>EV.2500</t>
  </si>
  <si>
    <t>EV.2600</t>
  </si>
  <si>
    <t xml:space="preserve">TABLERO FUERZA </t>
  </si>
  <si>
    <t>EV.2700</t>
  </si>
  <si>
    <t xml:space="preserve">BASE TABLERO FUERZA 2500mm </t>
  </si>
  <si>
    <t>EV.2800</t>
  </si>
  <si>
    <t xml:space="preserve">MANDO TABLERO </t>
  </si>
  <si>
    <t>EV.2900</t>
  </si>
  <si>
    <t>SENSOR TABLERO</t>
  </si>
  <si>
    <t>EV.3000</t>
  </si>
  <si>
    <t>BASE CABINA ELVADOR 3300mm x 1500mm</t>
  </si>
  <si>
    <t>EV.3100</t>
  </si>
  <si>
    <t xml:space="preserve">BASE WINCHA 2230mm x 200mm </t>
  </si>
  <si>
    <t>EV.3200</t>
  </si>
  <si>
    <t>TOPE P/ RESORTE</t>
  </si>
  <si>
    <t>EV.3300</t>
  </si>
  <si>
    <t>RESORTE MECANICO</t>
  </si>
  <si>
    <t>EV.3400</t>
  </si>
  <si>
    <t>EXTENCION P/ BASE - 1570mm</t>
  </si>
  <si>
    <t>EV.3500</t>
  </si>
  <si>
    <t>BANCO DE RESISTENCIA</t>
  </si>
  <si>
    <t>EV.3600</t>
  </si>
  <si>
    <t>BARANDA PARA TECHO DE CABINA C/ ABERTURA  1590mm x 1250mm</t>
  </si>
  <si>
    <t>EV.3700</t>
  </si>
  <si>
    <t>BARANDA PARA TECHO DE CABINA C/ ABERTURA (LADO DE MOTOR) 970mm x 1230mm</t>
  </si>
  <si>
    <t>EV.3800</t>
  </si>
  <si>
    <t>BARANDA PARA TECHO DE CABINA S/ ABERTURA  1590mm x 1250mm</t>
  </si>
  <si>
    <t>EV.3900</t>
  </si>
  <si>
    <t>BARANDA PARA TECHO DE CABINA S/ ABERTURA (LADO DE MOTOR) 970mm x 1230mm</t>
  </si>
  <si>
    <t>EV.4000</t>
  </si>
  <si>
    <t>BARANDA PARA TECHO DE CABINA (LADO DE PUERTAS) 1500mm x 1100mm</t>
  </si>
  <si>
    <t>EV.4100</t>
  </si>
  <si>
    <t>REJA INTERMEDIA CONTORNO DE ELEVADOR 2000mmx 1200mm</t>
  </si>
  <si>
    <t>EV.4200</t>
  </si>
  <si>
    <t>REJA COSTADO PUERTA PRINCIPAL 2000mm x 1740mm - IZQUIERDA</t>
  </si>
  <si>
    <t>EV.4300</t>
  </si>
  <si>
    <t>REJA COSTADO PUERTA PRINCIPAL 2000mm x 1740mm - DERECHA</t>
  </si>
  <si>
    <t>EV.4400</t>
  </si>
  <si>
    <t>REJA COSTADO CONTORNO DE ELEVADOR 2000mmx 1150mm</t>
  </si>
  <si>
    <t>EV.4500</t>
  </si>
  <si>
    <t>REJA COSTADO PESAS CONTORNO ELEVADOR  2000mmx 1150mm - IZQUIERDA</t>
  </si>
  <si>
    <t>EV.4600</t>
  </si>
  <si>
    <t>REJA COSTADO PESAS CONTORNO ELEVADOR  2000mmx 1150mm - DERECHA</t>
  </si>
  <si>
    <t>EV.4700</t>
  </si>
  <si>
    <t xml:space="preserve">PUERTA PRINCIPAL REJA 1830mm x 3140mm - IZQUIERDA </t>
  </si>
  <si>
    <t>EV.4800</t>
  </si>
  <si>
    <t>PUERTA PRINCIPAL REJA 1830mm x 3140mm - DERECHA</t>
  </si>
  <si>
    <t>EV.4900</t>
  </si>
  <si>
    <t>PUERTA INTERNA REJA 2000mm x 730mm - IZQUIERDO</t>
  </si>
  <si>
    <t>EV.5000</t>
  </si>
  <si>
    <t>PUERTA INTERNA REJA 2000mm x 730mm - DERECHO</t>
  </si>
  <si>
    <t>EV.5100</t>
  </si>
  <si>
    <t>REJA ESQUINERA (LADO TABLERO) 2000MM x 500 - IZQUIERDA</t>
  </si>
  <si>
    <t>EV.5200</t>
  </si>
  <si>
    <t>REJA ESQUINERA (LADO TABLERO) 2000MM x 500 - DERECHA</t>
  </si>
  <si>
    <t>EV.5300</t>
  </si>
  <si>
    <t>REJA ESQUINERA (LADO PUERTA) 2000MM x 500 - IZQUIERDA</t>
  </si>
  <si>
    <t>EV.5400</t>
  </si>
  <si>
    <t xml:space="preserve">REJA ESQUINERA (LADO PUERTA) 2000MM x 500 - DERECHA </t>
  </si>
  <si>
    <t>EV.5500</t>
  </si>
  <si>
    <t xml:space="preserve">SOPORTE REJA </t>
  </si>
  <si>
    <t>EV.5600</t>
  </si>
  <si>
    <t>EV.5700</t>
  </si>
  <si>
    <t>EV.5800</t>
  </si>
  <si>
    <t>EV.5900</t>
  </si>
  <si>
    <t>EV.6000</t>
  </si>
  <si>
    <t>PLACA SUPERIOR (PUERTA ELEVADOR) - IZQUIERDO</t>
  </si>
  <si>
    <t>EV.6100</t>
  </si>
  <si>
    <t xml:space="preserve">PLACA SUPERIOR (PUERTA ELEVADOR) - DERECHA </t>
  </si>
  <si>
    <t>EV.6200</t>
  </si>
  <si>
    <t>PLACA UNION RIEL Y PUERTA PRINCIPAL</t>
  </si>
  <si>
    <t>EV.6300</t>
  </si>
  <si>
    <t>PLACA P/ ARRIOSTRE 350 x 90mm</t>
  </si>
  <si>
    <t>EV.6400</t>
  </si>
  <si>
    <t>PLACA P/ RESORTE MECANICO</t>
  </si>
  <si>
    <t>EV.6500</t>
  </si>
  <si>
    <t xml:space="preserve">ESCUADRA WINCHA C/ POLEA 2780mm x 1410mm </t>
  </si>
  <si>
    <t>EV.6600</t>
  </si>
  <si>
    <t>MASTIL INICIO 1500mm x 720mm</t>
  </si>
  <si>
    <t>EV.6700</t>
  </si>
  <si>
    <t>MASTIL DOBLE CREMALLERA 1500mm x 720mm</t>
  </si>
  <si>
    <t>EV.6800</t>
  </si>
  <si>
    <t xml:space="preserve">MASTIL SEGURIDAD PARADA S/ CREMALLERA </t>
  </si>
  <si>
    <t>EV.6850</t>
  </si>
  <si>
    <t>CUADRO DE ARRIOSTRE P/MASTIL</t>
  </si>
  <si>
    <t>EV.6900</t>
  </si>
  <si>
    <t xml:space="preserve">ARRIOSTRE P/ MASTIL </t>
  </si>
  <si>
    <t>EV.6925</t>
  </si>
  <si>
    <t>EXTENCION BASE P/ARRIOSTRE</t>
  </si>
  <si>
    <t>EV.6950</t>
  </si>
  <si>
    <t>SOPORTE DIAGONAL P /ARRIOSTRE</t>
  </si>
  <si>
    <t>EV.7000</t>
  </si>
  <si>
    <t>TUBO P/ ARRIOSTRE MASTIL - 1300mm</t>
  </si>
  <si>
    <t>EV.7025</t>
  </si>
  <si>
    <t>TUBO DE EXTENCION P/ ARRIOSTRE SIMPLE</t>
  </si>
  <si>
    <t>EV.7050</t>
  </si>
  <si>
    <t xml:space="preserve">TUBO DE EXTENCION P/ ARRIOSTRE CON  PLACA </t>
  </si>
  <si>
    <t>EV.7100</t>
  </si>
  <si>
    <t>BRAZO PORTA CABLE ELECTRICO 700mm x 11mm / CABINA</t>
  </si>
  <si>
    <t>BRAZO PORTA CABLE ELECTRICO / MASTIL</t>
  </si>
  <si>
    <t>EV.7300</t>
  </si>
  <si>
    <t>EV.7400</t>
  </si>
  <si>
    <t>EV.7500</t>
  </si>
  <si>
    <t>BRAZO P/ IZAJE MASTIL</t>
  </si>
  <si>
    <t>EV.7600</t>
  </si>
  <si>
    <t>BARRA LIMITADORA - 1980mm</t>
  </si>
  <si>
    <t>EV.7700</t>
  </si>
  <si>
    <t>BARRA LIMITADORA - 1660mm</t>
  </si>
  <si>
    <t>EV.7800</t>
  </si>
  <si>
    <t>BARRA LIMITADORA - 1570mm</t>
  </si>
  <si>
    <t>EV.7900</t>
  </si>
  <si>
    <t>TRANSFORMADOR P/ ELEVADOR 80KVA</t>
  </si>
  <si>
    <t>EV.8000</t>
  </si>
  <si>
    <t>TRANSFORMADOR P/ ELEVADOR 80KVA (CON ESTABILIZADOR)</t>
  </si>
  <si>
    <t>EV.8100</t>
  </si>
  <si>
    <t>CABLE ELECTRICO VULCANIZADO P/ ELEVADOR DE 5m</t>
  </si>
  <si>
    <t>EV.8150</t>
  </si>
  <si>
    <t>CABLE ELECTRICO VULCANIZADO P/ ELEVADOR DE 120m</t>
  </si>
  <si>
    <t>EV.8200</t>
  </si>
  <si>
    <t>CABLE ELECTRICO VULCANIZADO P/ ELEVADOR DE 70m</t>
  </si>
  <si>
    <t>EV.8300</t>
  </si>
  <si>
    <t>CABLE ELECTRICO VULCANIZADO P/ ELEVADOR DE 10m</t>
  </si>
  <si>
    <t>EV.8400</t>
  </si>
  <si>
    <t>CABLE ELECTRICO VULCANIZADO CON PROTECTOR P/ BANCO DE RESISTENCIA 3.20m</t>
  </si>
  <si>
    <t>EV.8500</t>
  </si>
  <si>
    <t>TROLER DISTRIBUIDOR DE CABLE ELECTRICO</t>
  </si>
  <si>
    <t>EV.8600</t>
  </si>
  <si>
    <t>MENNEKE ELEVADOR (24 PINES)</t>
  </si>
  <si>
    <t>EV.8700</t>
  </si>
  <si>
    <t>MENNEKE MOTOR (6 PINES)</t>
  </si>
  <si>
    <t>EV.8800</t>
  </si>
  <si>
    <t>MENNEKE BANCO (2 PINES)</t>
  </si>
  <si>
    <t>EV.8900</t>
  </si>
  <si>
    <t>MANDO WINCHE</t>
  </si>
  <si>
    <t>EV.9000</t>
  </si>
  <si>
    <t>MANDO DE CONTROL PARA PRUEBA DE GOTA (CAIDA)</t>
  </si>
  <si>
    <t>EV.9050</t>
  </si>
  <si>
    <t>TUERCA DE AJUSTE P/ARRIOSTRE</t>
  </si>
  <si>
    <t>EV.9100</t>
  </si>
  <si>
    <t>PERNO HEXAGONAL G.8.8 M24 x 170 (UNION MASTIL CHASIS C/ ARANDELA PLANA Y PRESION, S/ TUERCA)</t>
  </si>
  <si>
    <t>EV.9200</t>
  </si>
  <si>
    <t>PERNO HEXAGONAL G 8.8 M24 x 25 (UNION MASTIL DOBLE CREMALLERA)</t>
  </si>
  <si>
    <t>EV.9300</t>
  </si>
  <si>
    <t>PERNO HEXAGONAL G.8.8 M24 x 90 (UNION ARRIOSTRE C/ TUERCA NYLON)</t>
  </si>
  <si>
    <t>EV.9400</t>
  </si>
  <si>
    <t>PERNO HEXAGONAL G.8.8 M20 x 80 (UNION CABINA-MOTOR C/ TUERCA NYLON)</t>
  </si>
  <si>
    <t>EV.9500</t>
  </si>
  <si>
    <t>PERNO HEXAGONAL G.8.8 M16 x 90 (BRAZO ARRIOSTRE)</t>
  </si>
  <si>
    <t>EV.9600</t>
  </si>
  <si>
    <t xml:space="preserve">PERNO HEXAGONAL G.8.8 M12 x 40 (UNION BASE Y EXTENCION C/ ARANDELA PLANA Y PRESION) </t>
  </si>
  <si>
    <t>EV.9700</t>
  </si>
  <si>
    <t>PERNO HEXAGONAL G.8.8 M12 x 30 (C/ ARANDELA PLANA Y PRESION)</t>
  </si>
  <si>
    <t>EV.9800</t>
  </si>
  <si>
    <t>PERNO HEXAGONAL G.8.8 M12 x 80 (BRAZO GUIA C/ TUERCA DE NYLON)</t>
  </si>
  <si>
    <t>EV.9900</t>
  </si>
  <si>
    <t>PERNO "J" G.8.8  M10 x 80 (P/ BARRAS LIMITADORAS)</t>
  </si>
  <si>
    <t>EV.10000</t>
  </si>
  <si>
    <t>PERNO HEXAGONAL HILO CORRIDO G.8.8 M10 x 30 (BRAZO PORTA CABLE C/ TUERCA DE NYLON)</t>
  </si>
  <si>
    <t>EV.10100</t>
  </si>
  <si>
    <t>PERNO HEXAGONAL G.8.8 M8 x 70 (BARANDA C/ TUERCA DE NYLON)</t>
  </si>
  <si>
    <t>EV.10200</t>
  </si>
  <si>
    <t>PERNO HEXAGONAL HILO CORRIDO G.8.8 M8 x 35 (PLACA RIEL C/ TUERCA NYLON)</t>
  </si>
  <si>
    <t>EV.10300</t>
  </si>
  <si>
    <t>PERNO HEXAGONAL HILO CORRIDO G.8.8 M8 x 25 (RIEL C/ TUERCA NYLON)</t>
  </si>
  <si>
    <t>EV.10400</t>
  </si>
  <si>
    <t>ARANDELA CUADRADA 100mm x 900mm x 16mm  P/ ESPARRAGO DE 1" 1/4</t>
  </si>
  <si>
    <t>EV.10500</t>
  </si>
  <si>
    <t>ARANDELA CUADRADA 100mm x 100mm x 4.5mm P/ ESPARRAGO DE 1"</t>
  </si>
  <si>
    <t>EV.10600</t>
  </si>
  <si>
    <t>PIN SENSOR MOTOR 90mm x 40 mm</t>
  </si>
  <si>
    <t>EV.10700</t>
  </si>
  <si>
    <t xml:space="preserve">PIN BASE WINCHE 86mm x 30mm </t>
  </si>
  <si>
    <t>EV.10750</t>
  </si>
  <si>
    <t>PIN ESTRUCTURA ARRIOSTRE M20 X 95 (C/ PASADOR)</t>
  </si>
  <si>
    <t>EV.10800</t>
  </si>
  <si>
    <t>PIN ESTRUCTURA ARRIOSTRE M20 X 80 (C/ PASADOR)</t>
  </si>
  <si>
    <t>EV.10900</t>
  </si>
  <si>
    <t>PIN ESTRUCTURA ARRIOSTRE M20 X 70 (C/ PASADOR)</t>
  </si>
  <si>
    <t>EV.10950</t>
  </si>
  <si>
    <t>PIN ESTRUCTURA ARRIOSTRE M20 X 60 (C/ PASADOR)</t>
  </si>
  <si>
    <t>MA.0100</t>
  </si>
  <si>
    <t>PARIHUELA DE MADERA 96 x 120 x 17 cm</t>
  </si>
  <si>
    <t>MA.0200</t>
  </si>
  <si>
    <t>LISTON DE MADERA DE 2"x1"x1.10m</t>
  </si>
  <si>
    <t>MA.0250</t>
  </si>
  <si>
    <t>LISTON DE MADERA DE 2"x4"x1.03m</t>
  </si>
  <si>
    <t>MA.0300</t>
  </si>
  <si>
    <t xml:space="preserve">CANASTILLA DE METAL  1160 mm x 1160mm x 770mm </t>
  </si>
  <si>
    <t>MA.0400</t>
  </si>
  <si>
    <t xml:space="preserve">CANASTILLA DE METAL CON REJILLA   1160 mm x 1160mm x 840mm </t>
  </si>
  <si>
    <t>FAMILIA</t>
  </si>
  <si>
    <t>01 - ANDAMIO MULTIDIRECCIONAL</t>
  </si>
  <si>
    <t>02 - ESCALERA ACCESO</t>
  </si>
  <si>
    <t>03 - EQUIPO COLECTIVO</t>
  </si>
  <si>
    <t>04 - ANDAMIO AMERICANO</t>
  </si>
  <si>
    <t>05 - CONSUMIBLE</t>
  </si>
  <si>
    <t>06 - PUNTALES</t>
  </si>
  <si>
    <t>07 - ANDAMIO COLGANTE ELECTRICO</t>
  </si>
  <si>
    <t>08 - ENCOFRADO</t>
  </si>
  <si>
    <t>09 - RECICLAJE</t>
  </si>
  <si>
    <t>10 - ELEVADOR</t>
  </si>
  <si>
    <t>11 - MADERA</t>
  </si>
  <si>
    <t>CODIGO</t>
  </si>
  <si>
    <t>DISTRITO 18</t>
  </si>
  <si>
    <t>OBRA</t>
  </si>
  <si>
    <t>ESCUADRAS</t>
  </si>
  <si>
    <t>PUNTALES</t>
  </si>
  <si>
    <t>TRASPALETA</t>
  </si>
  <si>
    <t>TRANSPORTE</t>
  </si>
  <si>
    <t>01. DATOS GENERALES</t>
  </si>
  <si>
    <t>PASE PEDIDO</t>
  </si>
  <si>
    <t>AMELIA</t>
  </si>
  <si>
    <t>LUCERO</t>
  </si>
  <si>
    <t>LIZETH</t>
  </si>
  <si>
    <t>MARCO</t>
  </si>
  <si>
    <t>02. ANDAMIO DE FACHADA</t>
  </si>
  <si>
    <t>UBICACIÓN</t>
  </si>
  <si>
    <t>LONGITUD</t>
  </si>
  <si>
    <t>ANCHO</t>
  </si>
  <si>
    <t>TIPO DE SERVICIO</t>
  </si>
  <si>
    <t>SISTEMA ESTRUCTURAL</t>
  </si>
  <si>
    <t>BARANDILLA (3072 - 2072)</t>
  </si>
  <si>
    <t>BARANDILLA (732)</t>
  </si>
  <si>
    <t>DIAGONALES</t>
  </si>
  <si>
    <t>PLATAFORMA DE ACCESO</t>
  </si>
  <si>
    <t>PLATAFORMAS</t>
  </si>
  <si>
    <t>RODAPIES</t>
  </si>
  <si>
    <t>TUBO DE AMARRE</t>
  </si>
  <si>
    <t>RODAPIES LATERALES</t>
  </si>
  <si>
    <t>COBERTURA FACHADA</t>
  </si>
  <si>
    <t>LIMA</t>
  </si>
  <si>
    <t>SI</t>
  </si>
  <si>
    <t>CHI</t>
  </si>
  <si>
    <t>LIBRE</t>
  </si>
  <si>
    <t>COM</t>
  </si>
  <si>
    <t>NO</t>
  </si>
  <si>
    <t>ESP</t>
  </si>
  <si>
    <t>MALLA</t>
  </si>
  <si>
    <t>NEO</t>
  </si>
  <si>
    <t>LONA</t>
  </si>
  <si>
    <t>03. ANDAMIO DE TRABAJO</t>
  </si>
  <si>
    <t>DIMENSIONES</t>
  </si>
  <si>
    <t>TIPO APOYO</t>
  </si>
  <si>
    <t>PLATAFORMA ACCESO</t>
  </si>
  <si>
    <t>CANTIDAD DE PLATAFORMAS</t>
  </si>
  <si>
    <t>TIPO PLATAF.</t>
  </si>
  <si>
    <t>TIPO RODAPIE</t>
  </si>
  <si>
    <t>ARRIOSTRAMIENTO</t>
  </si>
  <si>
    <t>TODO</t>
  </si>
  <si>
    <t>ARRIBA</t>
  </si>
  <si>
    <t>04. ESCALERA DE ACCESO</t>
  </si>
  <si>
    <t>TIPO DE ESCALERA</t>
  </si>
  <si>
    <t>INGRESO</t>
  </si>
  <si>
    <t>TIPO DE ANCLAJE</t>
  </si>
  <si>
    <t>DESCANSO</t>
  </si>
  <si>
    <t>RECRECIMIENTO</t>
  </si>
  <si>
    <t>05. ESCUADRAS</t>
  </si>
  <si>
    <t>CAP. CARGA (Kg/m)</t>
  </si>
  <si>
    <t>TIPO PLAT</t>
  </si>
  <si>
    <t>TIPO ANCLAJE</t>
  </si>
  <si>
    <t>PERNO</t>
  </si>
  <si>
    <t>ESPARRAGO</t>
  </si>
  <si>
    <t>06. PLATAFORMA DE DESCARGA</t>
  </si>
  <si>
    <t>CAPACIDAD</t>
  </si>
  <si>
    <t>TIPO</t>
  </si>
  <si>
    <t>NUEVA</t>
  </si>
  <si>
    <t>ANTIGUA</t>
  </si>
  <si>
    <t>11. ANDAMIO ELECTRICO</t>
  </si>
  <si>
    <t>MOTOR - TABLERO</t>
  </si>
  <si>
    <t>TRANSFORMADOR</t>
  </si>
  <si>
    <t>ALT .EDIFICIO</t>
  </si>
  <si>
    <t>AT. ESTRUCTURA</t>
  </si>
  <si>
    <t>CONTRAPESO</t>
  </si>
  <si>
    <t>MANDO A DISTANCIA</t>
  </si>
  <si>
    <t>SENSOR PARADA</t>
  </si>
  <si>
    <t>LINEA DE VIDA</t>
  </si>
  <si>
    <t>CABLE ELÉCTRICO</t>
  </si>
  <si>
    <t>CABLE DE ACERO</t>
  </si>
  <si>
    <t>LONG. PLATAFORMA</t>
  </si>
  <si>
    <t>SEM63</t>
  </si>
  <si>
    <t>PARAPETO</t>
  </si>
  <si>
    <t>TEJIDA</t>
  </si>
  <si>
    <t>D</t>
  </si>
  <si>
    <t>SEM80</t>
  </si>
  <si>
    <t>NIVEL</t>
  </si>
  <si>
    <t>PESA</t>
  </si>
  <si>
    <t>TORCIDA</t>
  </si>
  <si>
    <t>G</t>
  </si>
  <si>
    <t>TIR80</t>
  </si>
  <si>
    <t>ESTANDAR</t>
  </si>
  <si>
    <t>AMBOS</t>
  </si>
  <si>
    <t>TIN80</t>
  </si>
  <si>
    <t>MULTI</t>
  </si>
  <si>
    <t>E</t>
  </si>
  <si>
    <t>08. PUNTALES</t>
  </si>
  <si>
    <t>APERTURA</t>
  </si>
  <si>
    <t>ESCOGIDO</t>
  </si>
  <si>
    <t>3m - VC</t>
  </si>
  <si>
    <t>3m - VO</t>
  </si>
  <si>
    <t>3m - A</t>
  </si>
  <si>
    <t>4m - V</t>
  </si>
  <si>
    <t>4m - A</t>
  </si>
  <si>
    <t>5m</t>
  </si>
  <si>
    <t>08. ELEVADOR</t>
  </si>
  <si>
    <t>ORIENTACION</t>
  </si>
  <si>
    <t>NUEVO</t>
  </si>
  <si>
    <t>IZQUIERDA</t>
  </si>
  <si>
    <t>DERECHA</t>
  </si>
  <si>
    <t>REGISTRO</t>
  </si>
  <si>
    <t>DATOS BASICOS</t>
  </si>
  <si>
    <t>APOYO TECNICO</t>
  </si>
  <si>
    <t>APOYO ADMINISTRATIVO</t>
  </si>
  <si>
    <t>PASE DE PEDIDO</t>
  </si>
  <si>
    <t>SERVICIO ADICIONAL</t>
  </si>
  <si>
    <t>OFICINA TECNICA</t>
  </si>
  <si>
    <t>ALMACEN</t>
  </si>
  <si>
    <t>Marco temporal</t>
  </si>
  <si>
    <t>PRO</t>
  </si>
  <si>
    <t>CLIENTE</t>
  </si>
  <si>
    <t>?</t>
  </si>
  <si>
    <t>UBI</t>
  </si>
  <si>
    <t>URG</t>
  </si>
  <si>
    <t>RUB</t>
  </si>
  <si>
    <t>APOY. TECNICO</t>
  </si>
  <si>
    <t>MODULACIÓN</t>
  </si>
  <si>
    <t>AND. TRAB.</t>
  </si>
  <si>
    <t>AND. FACH.</t>
  </si>
  <si>
    <t>ESC. ACC.</t>
  </si>
  <si>
    <t>ENCOF</t>
  </si>
  <si>
    <t>VIA</t>
  </si>
  <si>
    <t>NOTA</t>
  </si>
  <si>
    <t>VALORIZACION</t>
  </si>
  <si>
    <t>LIQUIDACION</t>
  </si>
  <si>
    <t>NOTA ADICIONAL</t>
  </si>
  <si>
    <t>ENVIAR AL CLIENTE</t>
  </si>
  <si>
    <t>ESTADO</t>
  </si>
  <si>
    <t>FECHA</t>
  </si>
  <si>
    <t>HORA</t>
  </si>
  <si>
    <t>CC</t>
  </si>
  <si>
    <t>DESPACHO</t>
  </si>
  <si>
    <t>TIPO SERVICIO</t>
  </si>
  <si>
    <t>HABILITACION</t>
  </si>
  <si>
    <t>NEW</t>
  </si>
  <si>
    <t>VAL ADEL</t>
  </si>
  <si>
    <t>ADN. TRAB.</t>
  </si>
  <si>
    <t>ADE</t>
  </si>
  <si>
    <t>OTROS</t>
  </si>
  <si>
    <t>CORRE</t>
  </si>
  <si>
    <t>COMIENZO</t>
  </si>
  <si>
    <t>RESPONSABLE</t>
  </si>
  <si>
    <t>COD</t>
  </si>
  <si>
    <t>TIME</t>
  </si>
  <si>
    <t>INICIO</t>
  </si>
  <si>
    <t>FIN</t>
  </si>
  <si>
    <t>ENTREGA</t>
  </si>
  <si>
    <t>OBSERVACIONES</t>
  </si>
  <si>
    <t>PEDIDO ENVIADO</t>
  </si>
  <si>
    <t>CORRELATIVO:</t>
  </si>
  <si>
    <t>V°B°</t>
  </si>
  <si>
    <t>REVISIÓN:</t>
  </si>
  <si>
    <t>Obra Nueva</t>
  </si>
  <si>
    <t>Info.- Despacho</t>
  </si>
  <si>
    <t>F. PASE PEDIDO</t>
  </si>
  <si>
    <t>Info.- AND. TRAB.</t>
  </si>
  <si>
    <t>F. ENTREGA</t>
  </si>
  <si>
    <t>Info.- ESCALERAS</t>
  </si>
  <si>
    <t>HORA OBRA</t>
  </si>
  <si>
    <t>Info.- ADE</t>
  </si>
  <si>
    <t>Info.- OTROS</t>
  </si>
  <si>
    <t>Alerta Espigas</t>
  </si>
  <si>
    <t>VENTA</t>
  </si>
  <si>
    <t>ALQUILER</t>
  </si>
  <si>
    <t>CANT.</t>
  </si>
  <si>
    <t>REV</t>
  </si>
  <si>
    <t>TOTAL</t>
  </si>
  <si>
    <t>P.U. (1)</t>
  </si>
  <si>
    <t>PARCIAL (1)</t>
  </si>
  <si>
    <t>P.U. (2)</t>
  </si>
  <si>
    <t>PARCIAL (2)</t>
  </si>
  <si>
    <t>P.U. (3)</t>
  </si>
  <si>
    <t>PARCIAL (3)</t>
  </si>
  <si>
    <t>TOTAL (Kg)</t>
  </si>
  <si>
    <t>SUBTOTAL</t>
  </si>
  <si>
    <t>TOTAL (t)</t>
  </si>
  <si>
    <t>DESCUENTO (%)</t>
  </si>
  <si>
    <t>RANGO TRANSPORTE</t>
  </si>
  <si>
    <t>IGV (18%)</t>
  </si>
  <si>
    <t>TABLA COTIZACION - GENERAL (POR PIEZAS)</t>
  </si>
  <si>
    <t>T 2</t>
  </si>
  <si>
    <t>T 3</t>
  </si>
  <si>
    <t>TABLA DE COTIZACION - ANDAMIO DE FACHADA</t>
  </si>
  <si>
    <t>UBICACION PROYECTO</t>
  </si>
  <si>
    <t xml:space="preserve">LONGITUD (mm) </t>
  </si>
  <si>
    <t>* TODA MODULACION INPAR COMENZARA CON VERTICALES DE 2M</t>
  </si>
  <si>
    <t>ANCHO (mm)</t>
  </si>
  <si>
    <t>* CALCULOS APROXIMADOS PARA TUBOS CON GANCHO (ANCLAJES)</t>
  </si>
  <si>
    <t>ALTURA ANDAMIO (m)</t>
  </si>
  <si>
    <t>* AND. FACHADA EN VOLADO, NO SE CONSIDERO ALTURAS INPARES</t>
  </si>
  <si>
    <t>ALTURA ENTREPISO (m)</t>
  </si>
  <si>
    <t>TIPO DE PLATAFORMA</t>
  </si>
  <si>
    <t>TIPO DE RODAPIE</t>
  </si>
  <si>
    <t>TUBO AMARRE</t>
  </si>
  <si>
    <t>DATOS</t>
  </si>
  <si>
    <t>T 1</t>
  </si>
  <si>
    <t>TABLA DE COTIZACIÓN - ESCUADRAS</t>
  </si>
  <si>
    <t>INFORMACION GENERAL</t>
  </si>
  <si>
    <t>SOBRECARGA (kg/m2)</t>
  </si>
  <si>
    <t>FACTOR SEGURIDAD</t>
  </si>
  <si>
    <t>ESCUADRAS CON PLATAFORMAS</t>
  </si>
  <si>
    <t>* CARGA MAXIMA ESCUADRA 3M = 182.50 KG/ML</t>
  </si>
  <si>
    <t>LONG. TRAMO (mm)</t>
  </si>
  <si>
    <t>* CARGA MAXIMA ESCUADRA 1M = 400 KG/ML</t>
  </si>
  <si>
    <t>TIPO PLATAFORMA</t>
  </si>
  <si>
    <t>* Distancia critica entre ejes (Perno M16x145) = 255mm --&gt; @minimo= 260mm</t>
  </si>
  <si>
    <t>CARGA SOLICITADA REAL - IZQ (Kg/m)</t>
  </si>
  <si>
    <t>CARGA SOLICITADA REAL - MED (Kg/m)</t>
  </si>
  <si>
    <t>CARGA SOLICITADA REAL - DER (Kg/m)</t>
  </si>
  <si>
    <t>ESCUADRAS SIN PLATAFORMAS</t>
  </si>
  <si>
    <t>LONG. TOTAL (m)</t>
  </si>
  <si>
    <t>TRAMO 1</t>
  </si>
  <si>
    <t>TRAMO 2</t>
  </si>
  <si>
    <t>TABLA DE COTIZACIÓN - PLATAFORMAS DE DESCARGA</t>
  </si>
  <si>
    <t>ANTIGÜEDAD</t>
  </si>
  <si>
    <t>TABLA DE COTIZACIÓN - ANDAMIO ELÉCTRICO</t>
  </si>
  <si>
    <t>TIPO DE MOTOR Y TABLERO</t>
  </si>
  <si>
    <t>* EL ANDAMIO EN ESQUINA SOLO TRABAJA CON MARCOS ALTOS</t>
  </si>
  <si>
    <t>TRANSFORMAFOR 380 A 220V</t>
  </si>
  <si>
    <t>* EL ANDAMIO DE 1M NO LLEVA SENSOR DE PARADA</t>
  </si>
  <si>
    <t>ALTURA EDIFICIO (m)</t>
  </si>
  <si>
    <t>* EL ITEM AE.20 (PIEZA CON POLEAS PARA COLGAR CABLE DE ACERO)</t>
  </si>
  <si>
    <t>MECANISMO DE SUSPENSION: PARAPETO - NIVEL - ESTANDAR - MULTI</t>
  </si>
  <si>
    <t>NO TRABAJA CON EL ITEM AE.118 (PRENSA PARAPETO)</t>
  </si>
  <si>
    <t>TIPO DE CONTRAPESO: PARAPETO - PESA - AMBOS</t>
  </si>
  <si>
    <t xml:space="preserve">* SE AGREGARON 2 UND EXTRAS DEL ITEM AE.27 (GRAPA PARA </t>
  </si>
  <si>
    <t>CABLE DE ACERO) PARA FIJAR LAS CONTRAPESAS</t>
  </si>
  <si>
    <t>SENSOR DE PARADA</t>
  </si>
  <si>
    <t>CABLE ACERADO</t>
  </si>
  <si>
    <t>DEPRECIA.</t>
  </si>
  <si>
    <t>A1</t>
  </si>
  <si>
    <t>A2</t>
  </si>
  <si>
    <t>A3</t>
  </si>
  <si>
    <t>B1</t>
  </si>
  <si>
    <t>B2</t>
  </si>
  <si>
    <t>C1</t>
  </si>
  <si>
    <t>C2</t>
  </si>
  <si>
    <t>C3</t>
  </si>
  <si>
    <t>D1</t>
  </si>
  <si>
    <t>D2</t>
  </si>
  <si>
    <t>E1</t>
  </si>
  <si>
    <t>E2</t>
  </si>
  <si>
    <t>F1</t>
  </si>
  <si>
    <t>F2</t>
  </si>
  <si>
    <t>G1</t>
  </si>
  <si>
    <t>G2</t>
  </si>
  <si>
    <t>G3</t>
  </si>
  <si>
    <t>H1</t>
  </si>
  <si>
    <t>H2</t>
  </si>
  <si>
    <t>TABLA DE COTIZACIÓN - PUNTALES</t>
  </si>
  <si>
    <t>CANTIDAD</t>
  </si>
  <si>
    <t>TIPO PUNTAL</t>
  </si>
  <si>
    <t>TABLA DE COTIZACIÓN DE ELEVADOR</t>
  </si>
  <si>
    <r>
      <rPr>
        <b/>
        <u/>
        <sz val="11"/>
        <color theme="1"/>
        <rFont val="Calibri"/>
        <family val="2"/>
        <scheme val="minor"/>
      </rPr>
      <t>NIVEL ULTIMA</t>
    </r>
    <r>
      <rPr>
        <sz val="11"/>
        <color theme="1"/>
        <rFont val="Calibri"/>
        <family val="2"/>
        <scheme val="minor"/>
      </rPr>
      <t xml:space="preserve"> DE LLEGADA CABINA (NPT)</t>
    </r>
  </si>
  <si>
    <r>
      <rPr>
        <b/>
        <u/>
        <sz val="11"/>
        <color theme="1"/>
        <rFont val="Calibri"/>
        <family val="2"/>
        <scheme val="minor"/>
      </rPr>
      <t>NIVEL INICIAL</t>
    </r>
    <r>
      <rPr>
        <sz val="11"/>
        <color theme="1"/>
        <rFont val="Calibri"/>
        <family val="2"/>
        <scheme val="minor"/>
      </rPr>
      <t xml:space="preserve"> DE LLEGADA CABINA (NPT)</t>
    </r>
  </si>
  <si>
    <t>ALTURA ENTREPISO TIPICO (m)</t>
  </si>
  <si>
    <t>ORDEN</t>
  </si>
  <si>
    <t>2 UND X ARRIOSTRE</t>
  </si>
  <si>
    <t>ARRIOSTRE</t>
  </si>
  <si>
    <t>SEGÚN SISTEMA DE PORTACABLES</t>
  </si>
  <si>
    <t>SEGÚN TENSION 380/220</t>
  </si>
  <si>
    <t>SI NECESITA GRUPO ELECTROGENO</t>
  </si>
  <si>
    <t>SI ES QUE LO SOLICITAN</t>
  </si>
  <si>
    <t>4 UND X ARRIOSTRE</t>
  </si>
  <si>
    <t>FALTA INFO</t>
  </si>
  <si>
    <t>ELEVA 1</t>
  </si>
  <si>
    <t>FACTOR</t>
  </si>
  <si>
    <t>* ALTURAS INPARES: BARADA SI - RODAPIE LONG SI - RODAPIE TRANS NO</t>
  </si>
  <si>
    <t>* NO CONSIDERA DIAGONAL PARA ANCHO DE 1020-1090</t>
  </si>
  <si>
    <t>VOLADO</t>
  </si>
  <si>
    <t>NORMAL</t>
  </si>
  <si>
    <t>COMBI</t>
  </si>
  <si>
    <t>* MARCO COMBI. ALTURA IMPAR COMIENZA CON VERTICALES DE 1M</t>
  </si>
  <si>
    <t>PROV</t>
  </si>
  <si>
    <t>GENERAL</t>
  </si>
  <si>
    <t>FACHADA</t>
  </si>
  <si>
    <t>ENCOFRADO</t>
  </si>
  <si>
    <t xml:space="preserve"> AND. TRABAJO</t>
  </si>
  <si>
    <t>ESCALERA</t>
  </si>
  <si>
    <t>PLAT. DESCAR</t>
  </si>
  <si>
    <t>ELEVADOR</t>
  </si>
  <si>
    <t>PRESTAMO</t>
  </si>
  <si>
    <t xml:space="preserve">  </t>
  </si>
  <si>
    <t>NIVEL DE URGENCIA
(Indicar motivos de la PRIORIDAD en "Otro")</t>
  </si>
  <si>
    <t>ESCU</t>
  </si>
  <si>
    <t>ACUERDO COMERCIAL</t>
  </si>
  <si>
    <t>SERVICIO</t>
  </si>
  <si>
    <t>TABLA DE COTIZACIÓN - ESCALERA DE ACCESO</t>
  </si>
  <si>
    <t>TABLA DE COTIZACION -- ANDAMIO DE TRABAJO</t>
  </si>
  <si>
    <t>TIPO DE APOYO</t>
  </si>
  <si>
    <t>TOTAL (Ton)</t>
  </si>
  <si>
    <t>TIPO DE VERTICALES</t>
  </si>
  <si>
    <t>NOTAS :</t>
  </si>
  <si>
    <t>DSCTO  (%)</t>
  </si>
  <si>
    <t xml:space="preserve"> SUBTOTAL</t>
  </si>
  <si>
    <t>ESCUADRA</t>
  </si>
  <si>
    <t>@ ESCUADRAS (mm)</t>
  </si>
  <si>
    <t>CANT. ESCUADRAS (X TRAMO)</t>
  </si>
  <si>
    <t>ALTURA TOTAL (m)</t>
  </si>
  <si>
    <t>TIPO DE INGRESO</t>
  </si>
  <si>
    <t>ANCHO DEL DESCANSO (mm)</t>
  </si>
  <si>
    <t>TIPO 1</t>
  </si>
  <si>
    <t>TIPO 2</t>
  </si>
  <si>
    <t>TIPO 3</t>
  </si>
  <si>
    <t>TIPO 4</t>
  </si>
  <si>
    <t>FERMIN</t>
  </si>
  <si>
    <t>ALUMINIO</t>
  </si>
  <si>
    <t>EUROPEA</t>
  </si>
  <si>
    <t>GURSAM 60</t>
  </si>
  <si>
    <t>GURSAM 120</t>
  </si>
  <si>
    <t>ALTURA DE ESCALERA EN OBRA (m)</t>
  </si>
  <si>
    <t>TUBO 0.5</t>
  </si>
  <si>
    <t>TUBO 1.0</t>
  </si>
  <si>
    <t>NOTA:</t>
  </si>
  <si>
    <t>* GURSAM 120 CON ZANCA Y PELDAÑOS SEPARADOS</t>
  </si>
  <si>
    <t>* GURSAM 60 CON ZANCA Y PELDAÑOS SOLDADAS</t>
  </si>
  <si>
    <t>GURSAM 60TIPO 1</t>
  </si>
  <si>
    <t>GURSAM 60TIPO 2</t>
  </si>
  <si>
    <t>GURSAM 60TIPO 3</t>
  </si>
  <si>
    <t>GURSAM 60TIPO 4</t>
  </si>
  <si>
    <t>FERMINTIPO 1</t>
  </si>
  <si>
    <t>FERMINTIPO 2</t>
  </si>
  <si>
    <t>FERMINTIPO 3</t>
  </si>
  <si>
    <t>FERMINTIPO 4</t>
  </si>
  <si>
    <t>1 JGO</t>
  </si>
  <si>
    <t>ALUMINIOTIPO 1</t>
  </si>
  <si>
    <t>ALUMINIOTIPO 2</t>
  </si>
  <si>
    <t>ALUMINIOTIPO 3</t>
  </si>
  <si>
    <t>ALUMINIOTIPO 4</t>
  </si>
  <si>
    <t>PP - Pase de Pedido</t>
  </si>
  <si>
    <t>LM - Lima</t>
  </si>
  <si>
    <t>Completo</t>
  </si>
  <si>
    <t>Alquiler</t>
  </si>
  <si>
    <t>No</t>
  </si>
  <si>
    <t>Si, enviar formulario</t>
  </si>
  <si>
    <t>* FALTA PERNOS O CONECTOR DE SUSPENSION</t>
  </si>
  <si>
    <t>EUROPEATIPO 1</t>
  </si>
  <si>
    <t>EUROPEATIPO 2</t>
  </si>
  <si>
    <t>EUROPEATIPO 3</t>
  </si>
  <si>
    <t>EUROPEATIPO 4</t>
  </si>
  <si>
    <t>OK</t>
  </si>
  <si>
    <t>GURSAM 120TIPO 11572</t>
  </si>
  <si>
    <t>GURSAM 120TIPO 21572</t>
  </si>
  <si>
    <t>GURSAM 120TIPO 31572</t>
  </si>
  <si>
    <t>GURSAM 120TIPO 41572</t>
  </si>
  <si>
    <t>GURSAM 120TIPO 11090</t>
  </si>
  <si>
    <t>GURSAM 120TIPO 21090</t>
  </si>
  <si>
    <t>GURSAM 120TIPO 31090</t>
  </si>
  <si>
    <t>GURSAM 120TIPO 41090</t>
  </si>
  <si>
    <t>GURSAM 120TIPO 1732</t>
  </si>
  <si>
    <t>GURSAM 120TIPO 2732</t>
  </si>
  <si>
    <t>GURSAM 120TIPO 3732</t>
  </si>
  <si>
    <t>GURSAM 120TIPO 4732</t>
  </si>
  <si>
    <t>GARRUCHA</t>
  </si>
  <si>
    <t>HUSILLOS</t>
  </si>
  <si>
    <t>CANT. DE PLATAFORMA</t>
  </si>
  <si>
    <t>IZAJE</t>
  </si>
  <si>
    <t>* PARA ALTURAS IMPARES, SE CONSIDERAN 2 LARGUEROS EN EL LADO MAS CORTO</t>
  </si>
  <si>
    <t>* NO SE CONSIDERARON RODAPIES PARA LOS TRAMOS CON ESCALERA DE ACCESO</t>
  </si>
  <si>
    <t>PARA IZAJE</t>
  </si>
  <si>
    <t>DIAGONAL LONGITUDINAL</t>
  </si>
  <si>
    <t>DIAGONAL ANCHO</t>
  </si>
  <si>
    <t>DIAGONAL LONGITUD</t>
  </si>
  <si>
    <t>CANT. DIAGONAL ANCHO</t>
  </si>
  <si>
    <t>T 4</t>
  </si>
  <si>
    <t>MM - Maria Morales</t>
  </si>
  <si>
    <t>EI - Encofrados Innova</t>
  </si>
  <si>
    <t>COGEPATS</t>
  </si>
  <si>
    <t>CON - Confirmado</t>
  </si>
  <si>
    <t>11:00:00 a.m.</t>
  </si>
  <si>
    <t>Urgente</t>
  </si>
  <si>
    <t>Ellos</t>
  </si>
  <si>
    <t>Amelia</t>
  </si>
  <si>
    <t>HECHO</t>
  </si>
  <si>
    <t>09:47 A.M</t>
  </si>
  <si>
    <t>10:26 a.m</t>
  </si>
  <si>
    <t>PESO (Kg)</t>
  </si>
  <si>
    <t>PESO (Ton)</t>
  </si>
  <si>
    <t>BASE</t>
  </si>
  <si>
    <t>CUADRO DE ARRIOSTRE</t>
  </si>
  <si>
    <t>TIPO ARRIOSTRE</t>
  </si>
  <si>
    <t>ARRIOSTRE PARA MASTIL</t>
  </si>
  <si>
    <t>CON ESTABILIZADOR</t>
  </si>
  <si>
    <t>SIN ESTABILIZADOR</t>
  </si>
  <si>
    <t>ANCLAJE BASE</t>
  </si>
  <si>
    <t>EXPANSION</t>
  </si>
  <si>
    <t>PASANTE</t>
  </si>
  <si>
    <t xml:space="preserve">BARRA ASTM DE 1 1/4 X 700mm CON TUERCA Y ARANDELA </t>
  </si>
  <si>
    <t>AVISAR CUANDO SALGA EL PEDIDO</t>
  </si>
  <si>
    <t>EN.2820</t>
  </si>
  <si>
    <t>VIGA H20 de 4.90m</t>
  </si>
  <si>
    <t>EN.2840</t>
  </si>
  <si>
    <t>VIGA H20 de 3.90m</t>
  </si>
  <si>
    <t>EN.2860</t>
  </si>
  <si>
    <t>VIGA H20 de 2.90m</t>
  </si>
  <si>
    <t>EN.2880</t>
  </si>
  <si>
    <t>VIGA H20 de 1.90m</t>
  </si>
  <si>
    <t>TIPO 5</t>
  </si>
  <si>
    <t>GURSAM 60TIPO 5</t>
  </si>
  <si>
    <t>FERMINTIPO 5</t>
  </si>
  <si>
    <t>PU.0350</t>
  </si>
  <si>
    <t>PUNTAL 3.00m - AZUL TIPO N</t>
  </si>
  <si>
    <t>3m - N</t>
  </si>
  <si>
    <t>ETAPA DEL MONTAJE</t>
  </si>
  <si>
    <t>ANCLAJE ARRIOSTRE</t>
  </si>
  <si>
    <t>ANCLAJE DE LA BASE</t>
  </si>
  <si>
    <t>ORIENTACION CABINA</t>
  </si>
  <si>
    <t>ETAPA MONTAJE</t>
  </si>
  <si>
    <t>ALTURA PISO UNO (m)</t>
  </si>
  <si>
    <t>CABINA ELEVADOR 2600mm x 1500mm - DERECHA</t>
  </si>
  <si>
    <t>CABINA ELEVADOR 2600mm x 1500mm - IZQUIERDA</t>
  </si>
  <si>
    <t>CABINA DE OPERADOR 2000mm x 730mm x 850mm - DERECHA</t>
  </si>
  <si>
    <t>CABINA DE OPERADOR 2000mm x 730mm x 850mm - IZQUIERDO</t>
  </si>
  <si>
    <t>EV.0210</t>
  </si>
  <si>
    <t>EV.0220</t>
  </si>
  <si>
    <t>EV.0230</t>
  </si>
  <si>
    <t>EV.0240</t>
  </si>
  <si>
    <t>TABLERO DIGITAL CABINA - 2600mm</t>
  </si>
  <si>
    <t>TABLERO DIGITAL CABINA - 3300mm</t>
  </si>
  <si>
    <t>EV.0310</t>
  </si>
  <si>
    <t>VENTILADOR DE CABINA</t>
  </si>
  <si>
    <t>ASIENTO DE OPERADOR</t>
  </si>
  <si>
    <t xml:space="preserve">EXTINTOR DE CABINA  DE 6KG </t>
  </si>
  <si>
    <t xml:space="preserve">BOTIQUIN DE PRIMEROS AUXILIOS </t>
  </si>
  <si>
    <t>EV.1110</t>
  </si>
  <si>
    <t>EV.1120</t>
  </si>
  <si>
    <t>EV.1130</t>
  </si>
  <si>
    <t>EV.1140</t>
  </si>
  <si>
    <t>TABLERO CONTROL MANDO P/ OPERACIÓN CABINA 3300mm</t>
  </si>
  <si>
    <t xml:space="preserve">TABLERO CONTROL MANDO P/ OPERACIÓN CABINA 2600mm </t>
  </si>
  <si>
    <t>EV.1210</t>
  </si>
  <si>
    <t>MOTOR (19.1KW) CABINA 3300mm</t>
  </si>
  <si>
    <t>MOTOR (19.1KW) CABINA 2600mm</t>
  </si>
  <si>
    <t>EV.2050</t>
  </si>
  <si>
    <t xml:space="preserve">MOTOR DE WINCHE 220V </t>
  </si>
  <si>
    <t>MOTOR DE WINCHE 380V</t>
  </si>
  <si>
    <t>EV.2110</t>
  </si>
  <si>
    <t>COBERTOR CABINA DE OPERADOR - 880mm x 400mm</t>
  </si>
  <si>
    <t>EV.2310</t>
  </si>
  <si>
    <t>TABLERO CONTROL P/ ELEVADOR CABINA DE 3300mm</t>
  </si>
  <si>
    <t>TABLERO CONTROL P/ ELEVADOR CABINA DE 2600mm</t>
  </si>
  <si>
    <t>EV.2510</t>
  </si>
  <si>
    <t xml:space="preserve">LIMITADORES DE RECORRIDO </t>
  </si>
  <si>
    <t xml:space="preserve">LIMITADORES DE PUERTA </t>
  </si>
  <si>
    <t xml:space="preserve">LIMITADORES DE ESCOTILLA </t>
  </si>
  <si>
    <t>EV.2910</t>
  </si>
  <si>
    <t>EV.2911</t>
  </si>
  <si>
    <t xml:space="preserve">BASE CABINA ELEVADOR (2600mm) 2840mm x 1070mm </t>
  </si>
  <si>
    <t>BASE INTERMEDIA DE 2000mm X 1070mm</t>
  </si>
  <si>
    <t>EXTENCION COSTADO DE BASE ELEVADOR C/ANGULAR de 1070mm x 770mm</t>
  </si>
  <si>
    <t>EXTENCION COSTADO DE BASE ELEVADOR S/ANGULAR 1070mm x 770mm</t>
  </si>
  <si>
    <t>EV.3010</t>
  </si>
  <si>
    <t>EV.3020</t>
  </si>
  <si>
    <t>EV.3030</t>
  </si>
  <si>
    <t>EV.3040</t>
  </si>
  <si>
    <t>BASE DE RESORTE MECANICO PARA CABINA 3300mm</t>
  </si>
  <si>
    <t>BASE DE RESORTE MECANICO PARA CABINA 2600mm</t>
  </si>
  <si>
    <t>EV.3210</t>
  </si>
  <si>
    <t>EV.3220</t>
  </si>
  <si>
    <t>BARANDA PARA TECHO DE CABINA C/ ABERTURA (LADO DE MOTOR) 730mm x 1240mm</t>
  </si>
  <si>
    <t>BARANDA PARA TECHO DE CABINA 2600mm C/ ABERTURA (LADO DE MOTOR) 650mm x 1230mm</t>
  </si>
  <si>
    <t>EV.3710</t>
  </si>
  <si>
    <t>EV.3720</t>
  </si>
  <si>
    <t>BARANDA PARA TECHO DE CABINA 2600MM (LADO CABINA DE OPERADOR) 1240mm x 1240mm</t>
  </si>
  <si>
    <t>EV.4010</t>
  </si>
  <si>
    <t xml:space="preserve">REJA CONTORNO DE MASTIL (2600mm) DE 80mm x 2000mm - DERECHA </t>
  </si>
  <si>
    <t>REJA CONTORNO DE MASTIL (2600mm) DE  80mm x 2000mm - IZQUIERDA</t>
  </si>
  <si>
    <t>REJA CONTORNO DE MASTIL (2600mm) DE  1200mm x 2000mm - IZQUIERDA</t>
  </si>
  <si>
    <t>EV.4110</t>
  </si>
  <si>
    <t>EV.4120</t>
  </si>
  <si>
    <t>EV.4130</t>
  </si>
  <si>
    <t>EV.4140</t>
  </si>
  <si>
    <t xml:space="preserve">REJA COSTADO PUERTA DE DESCARGA (2600mm) 2000mm x 1610mm - DERECHA </t>
  </si>
  <si>
    <t>REJA COSTADO PUERTA DE DESCARGA (2600mm) 2000mm x 1610mm - IZQUIERDA</t>
  </si>
  <si>
    <t>REJA COSTADO PUERTA DESCARGA (2600mm) S/RIEL  2000mm x 800mm - IZQUIERDA</t>
  </si>
  <si>
    <t>REJA COSTADO PUERTA DESCARGA (2600mm) S/RIEL  2000mm x 800mm - DERECHA</t>
  </si>
  <si>
    <t>EV.4310</t>
  </si>
  <si>
    <t>EV.4320</t>
  </si>
  <si>
    <t>REJA LATERIAL CABINA DE OPERADOR (2600mm) 2000mm x 660mm - IZQUIERDA</t>
  </si>
  <si>
    <t xml:space="preserve">REJA LATERIAL CABINA DE OPERADOR (2600mm) 2000mm x 660mm - DERECHA </t>
  </si>
  <si>
    <t xml:space="preserve">REJA FRONTAL CABINA DE OPERADOR (2600mm) 2000mm x 1300mm  - DERECHA </t>
  </si>
  <si>
    <t>REJA FRONTAL CABINA DE OPERADOR (2600mm) 2000mm x 1300mm - IZQUIERDA</t>
  </si>
  <si>
    <t>REJA COSTADO DE PUERTA PRINCIPAL C/ RIEL  (2600mm) 2000mm x 800mm - DERECHA</t>
  </si>
  <si>
    <t>REJA COSTADO DE PUERTA PRINCIPAL C/ RIEL  (2600mm) 2000mm x 800mm - IZQUIERDA</t>
  </si>
  <si>
    <t>EV.5410</t>
  </si>
  <si>
    <t>EV.5420</t>
  </si>
  <si>
    <t>EV.5430</t>
  </si>
  <si>
    <t>EV.5440</t>
  </si>
  <si>
    <t>EV.5450</t>
  </si>
  <si>
    <t>EV.5460</t>
  </si>
  <si>
    <t>RIEL P/ PUERTA PRINCIPAL - LADO A</t>
  </si>
  <si>
    <t>RIEL P/ PUERTA PRINCIPAL - LADO B</t>
  </si>
  <si>
    <t>EV.5610</t>
  </si>
  <si>
    <t>PESAS C/ POLEAS (PUERTA PRINCIPAL 3300mm) DE 465mm x 140mm</t>
  </si>
  <si>
    <t>EV.5710</t>
  </si>
  <si>
    <t>PLACA SUPERIOR (PUERTA PRINCIPAL DE REJA) - IZQUIERDO</t>
  </si>
  <si>
    <t xml:space="preserve">PLACA SUPERIOR (PUERTA PRINCIPAL DE REJA) - DERECHA </t>
  </si>
  <si>
    <t>EXTENCION BASE P/ARRIOSTRE SIMPLE</t>
  </si>
  <si>
    <t xml:space="preserve">EXTENCION BASE P/ARRIOSTRE CON  PLACA </t>
  </si>
  <si>
    <t>BRAZO PORTA CABLE ELECTRICO PARA CILINDRO           / CABINA</t>
  </si>
  <si>
    <t>BRAZO P/ ARRIOSTRE MASTIL TIPO 1</t>
  </si>
  <si>
    <t>BRAZO P/ ARRIOSTRE MASTIL TIPO 2</t>
  </si>
  <si>
    <t>EV.7410</t>
  </si>
  <si>
    <t>EV.7110</t>
  </si>
  <si>
    <t>EV.7120</t>
  </si>
  <si>
    <t>BRAZO GUIA CABLE ELECTRICO TIPO 1 / MASTIL</t>
  </si>
  <si>
    <t>BRAZO GUIA CABLE ELECTRICO TIPO 2 / MASTIL</t>
  </si>
  <si>
    <t>EV.7310</t>
  </si>
  <si>
    <t xml:space="preserve">GENERADOR </t>
  </si>
  <si>
    <t>CABLE ELECTRICO VULCANIZADO P/ ELEVADOR DE 80m</t>
  </si>
  <si>
    <t>EV.8160</t>
  </si>
  <si>
    <t>CUBO PARA CABLE ELECTRICO - 2210mm x 800mm</t>
  </si>
  <si>
    <t>CUBO PARA CABLE ELECTRICO - 2000mm x 600mm</t>
  </si>
  <si>
    <t>EV.8510</t>
  </si>
  <si>
    <t>EV.8520</t>
  </si>
  <si>
    <t>PESAS C/ POLEAS (PUERTA PRINCIPAL 2600mm) DE 3550mm x 175mm</t>
  </si>
  <si>
    <t>TIPO DE ARRIOSTRE</t>
  </si>
  <si>
    <t>TIPO ANCLAJE DE ARRIOSTRE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</si>
</sst>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-[$S/-280A]* #,##0.00_-;\-[$S/-280A]* #,##0.00_-;_-[$S/-280A]* &quot;-&quot;??_-;_-@_-"/>
    <numFmt numFmtId="167" formatCode="#,##0.00\ \K\g\.;\-#,##0.00\ \K\g\."/>
    <numFmt numFmtId="168" formatCode="_-[$S/-280A]\ * #,##0.00_-;\-[$S/-280A]\ * #,##0.00_-;_-[$S/-280A]\ * &quot;-&quot;??_-;_-@_-"/>
    <numFmt numFmtId="169" formatCode="0.0"/>
    <numFmt numFmtId="170" formatCode="_ * #,##0.00_ ;_ * \-#,##0.00_ ;_ * &quot;-&quot;??_ ;_ @_ "/>
    <numFmt numFmtId="171" formatCode="_ * #,##0_ ;_ * \-#,##0_ ;_ * &quot;-&quot;??_ ;_ @_ "/>
    <numFmt numFmtId="172" formatCode="0000"/>
    <numFmt numFmtId="173" formatCode="#,##0.00&quot; t&quot;"/>
    <numFmt numFmtId="174" formatCode="_-&quot;S/&quot;* #,##0.00000_-;\-&quot;S/&quot;* #,##0.00000_-;_-&quot;S/&quot;* &quot;-&quot;??_-;_-@_-"/>
    <numFmt numFmtId="175" formatCode="_(* #,##0.0_);_(* \(#,##0.0\);_(* &quot;-&quot;??_);_(@_)"/>
    <numFmt numFmtId="176" formatCode="_-&quot;S/&quot;* #,##0.00_-;\-&quot;S/&quot;* #,##0.00_-;_-&quot;S/&quot;* &quot;-&quot;??_-;_-@_-"/>
    <numFmt numFmtId="177" formatCode="_-* #,##0_-;\-* #,##0_-;_-* &quot;-&quot;??_-;_-@_-"/>
  </numFmts>
  <fonts count="4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b/>
      <sz val="8"/>
      <color theme="1"/>
      <name val="Arial"/>
      <family val="2"/>
    </font>
    <font>
      <b/>
      <sz val="8"/>
      <color theme="1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sz val="10"/>
      <color rgb="FFBFE0F6"/>
      <name val="Arial"/>
      <family val="2"/>
    </font>
    <font>
      <b/>
      <sz val="10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b/>
      <sz val="8"/>
      <color rgb="FFFFFFFF"/>
      <name val="Calibri"/>
      <family val="2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/>
      <name val="Arial Black"/>
      <family val="2"/>
    </font>
    <font>
      <sz val="14"/>
      <color theme="1"/>
      <name val="Arial Black"/>
      <family val="2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9"/>
      <name val="Calibri"/>
      <family val="2"/>
      <scheme val="minor"/>
    </font>
    <font>
      <sz val="10"/>
      <color rgb="FF5A3286"/>
      <name val="Arial"/>
      <family val="2"/>
    </font>
    <font>
      <sz val="10"/>
      <color rgb="FFFFCFC9"/>
      <name val="Arial"/>
      <family val="2"/>
    </font>
    <font>
      <sz val="10"/>
      <color rgb="FFD4EDBC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5FF7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06666"/>
        <bgColor indexed="64"/>
      </patternFill>
    </fill>
    <fill>
      <patternFill patternType="solid">
        <fgColor rgb="FF34A85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81C5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rgb="FFFBBC0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00000"/>
      </right>
      <top/>
      <bottom/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indexed="64"/>
      </left>
      <right style="medium">
        <color rgb="FFC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2" tint="-9.9978637043366805E-2"/>
      </left>
      <right/>
      <top style="medium">
        <color theme="2" tint="-9.9978637043366805E-2"/>
      </top>
      <bottom style="medium">
        <color theme="2" tint="-9.9978637043366805E-2"/>
      </bottom>
      <diagonal/>
    </border>
    <border>
      <left/>
      <right style="medium">
        <color theme="2" tint="-9.9978637043366805E-2"/>
      </right>
      <top style="medium">
        <color theme="2" tint="-9.9978637043366805E-2"/>
      </top>
      <bottom style="medium">
        <color theme="2" tint="-9.9978637043366805E-2"/>
      </bottom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2" tint="-0.249977111117893"/>
      </right>
      <top style="thin">
        <color theme="2" tint="-0.249977111117893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6">
    <xf numFmtId="0" fontId="0" fillId="0" borderId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0" fontId="5" fillId="0" borderId="0" applyFont="0" applyFill="0" applyBorder="0" applyAlignment="0" applyProtection="0"/>
  </cellStyleXfs>
  <cellXfs count="5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/>
    </xf>
    <xf numFmtId="0" fontId="7" fillId="0" borderId="0" xfId="0" applyFont="1"/>
    <xf numFmtId="0" fontId="0" fillId="0" borderId="0" xfId="0" applyAlignment="1">
      <alignment horizontal="right"/>
    </xf>
    <xf numFmtId="0" fontId="9" fillId="0" borderId="0" xfId="0" applyFont="1" applyAlignment="1">
      <alignment horizontal="center" vertical="center"/>
    </xf>
    <xf numFmtId="0" fontId="3" fillId="6" borderId="10" xfId="0" applyFont="1" applyFill="1" applyBorder="1" applyAlignment="1">
      <alignment horizontal="left" vertical="center" indent="1"/>
    </xf>
    <xf numFmtId="0" fontId="3" fillId="6" borderId="11" xfId="0" applyFont="1" applyFill="1" applyBorder="1" applyAlignment="1">
      <alignment vertical="center"/>
    </xf>
    <xf numFmtId="0" fontId="3" fillId="6" borderId="12" xfId="0" applyFont="1" applyFill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 vertical="center" wrapText="1"/>
    </xf>
    <xf numFmtId="169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/>
    <xf numFmtId="0" fontId="3" fillId="3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3" fillId="6" borderId="16" xfId="0" applyFont="1" applyFill="1" applyBorder="1" applyAlignment="1">
      <alignment vertical="center"/>
    </xf>
    <xf numFmtId="0" fontId="3" fillId="6" borderId="17" xfId="0" applyFont="1" applyFill="1" applyBorder="1" applyAlignment="1">
      <alignment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15" xfId="0" applyBorder="1" applyAlignment="1">
      <alignment vertical="center" wrapText="1"/>
    </xf>
    <xf numFmtId="1" fontId="0" fillId="0" borderId="15" xfId="0" applyNumberFormat="1" applyBorder="1" applyAlignment="1">
      <alignment horizontal="left"/>
    </xf>
    <xf numFmtId="0" fontId="15" fillId="0" borderId="29" xfId="0" applyFont="1" applyBorder="1"/>
    <xf numFmtId="0" fontId="14" fillId="2" borderId="25" xfId="0" applyFont="1" applyFill="1" applyBorder="1" applyAlignment="1">
      <alignment horizontal="center"/>
    </xf>
    <xf numFmtId="0" fontId="15" fillId="0" borderId="29" xfId="0" applyFont="1" applyBorder="1" applyAlignment="1">
      <alignment vertical="center"/>
    </xf>
    <xf numFmtId="0" fontId="17" fillId="16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29" xfId="0" applyFont="1" applyBorder="1" applyAlignment="1">
      <alignment wrapText="1"/>
    </xf>
    <xf numFmtId="0" fontId="19" fillId="9" borderId="29" xfId="0" applyFont="1" applyFill="1" applyBorder="1" applyAlignment="1">
      <alignment wrapText="1"/>
    </xf>
    <xf numFmtId="0" fontId="20" fillId="18" borderId="29" xfId="0" applyFont="1" applyFill="1" applyBorder="1" applyAlignment="1">
      <alignment wrapText="1"/>
    </xf>
    <xf numFmtId="0" fontId="19" fillId="20" borderId="29" xfId="0" applyFont="1" applyFill="1" applyBorder="1" applyAlignment="1">
      <alignment wrapText="1"/>
    </xf>
    <xf numFmtId="0" fontId="15" fillId="21" borderId="29" xfId="0" applyFont="1" applyFill="1" applyBorder="1" applyAlignment="1">
      <alignment horizontal="right" wrapText="1"/>
    </xf>
    <xf numFmtId="171" fontId="0" fillId="22" borderId="0" xfId="5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vertical="center"/>
    </xf>
    <xf numFmtId="164" fontId="0" fillId="0" borderId="0" xfId="3" applyFont="1" applyBorder="1" applyAlignment="1">
      <alignment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center" indent="1"/>
    </xf>
    <xf numFmtId="0" fontId="24" fillId="23" borderId="33" xfId="0" applyFont="1" applyFill="1" applyBorder="1" applyAlignment="1">
      <alignment horizontal="left" vertical="center" wrapText="1" indent="1"/>
    </xf>
    <xf numFmtId="172" fontId="25" fillId="9" borderId="34" xfId="0" applyNumberFormat="1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16" fontId="0" fillId="0" borderId="6" xfId="0" applyNumberFormat="1" applyBorder="1" applyAlignment="1">
      <alignment horizontal="center" vertical="center"/>
    </xf>
    <xf numFmtId="0" fontId="3" fillId="0" borderId="0" xfId="0" applyFont="1" applyAlignment="1">
      <alignment vertical="center"/>
    </xf>
    <xf numFmtId="171" fontId="0" fillId="22" borderId="0" xfId="5" applyNumberFormat="1" applyFont="1" applyFill="1" applyBorder="1" applyAlignment="1">
      <alignment horizontal="left" vertical="center"/>
    </xf>
    <xf numFmtId="164" fontId="0" fillId="0" borderId="0" xfId="3" applyFont="1" applyFill="1" applyBorder="1" applyAlignment="1">
      <alignment vertical="center"/>
    </xf>
    <xf numFmtId="14" fontId="0" fillId="0" borderId="6" xfId="0" applyNumberFormat="1" applyBorder="1" applyAlignment="1">
      <alignment horizontal="center" vertical="center"/>
    </xf>
    <xf numFmtId="0" fontId="29" fillId="2" borderId="6" xfId="0" applyFont="1" applyFill="1" applyBorder="1" applyAlignment="1">
      <alignment vertical="center"/>
    </xf>
    <xf numFmtId="14" fontId="30" fillId="2" borderId="6" xfId="0" applyNumberFormat="1" applyFont="1" applyFill="1" applyBorder="1" applyAlignment="1">
      <alignment horizontal="center" vertical="center"/>
    </xf>
    <xf numFmtId="165" fontId="0" fillId="0" borderId="0" xfId="2" applyFont="1" applyAlignment="1">
      <alignment horizontal="left" vertical="center"/>
    </xf>
    <xf numFmtId="46" fontId="30" fillId="2" borderId="6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22" borderId="0" xfId="2" applyFont="1" applyFill="1" applyBorder="1" applyAlignment="1">
      <alignment horizontal="left" vertical="center"/>
    </xf>
    <xf numFmtId="0" fontId="27" fillId="3" borderId="6" xfId="0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173" fontId="0" fillId="0" borderId="6" xfId="0" applyNumberFormat="1" applyBorder="1" applyAlignment="1">
      <alignment horizontal="center" vertical="center"/>
    </xf>
    <xf numFmtId="171" fontId="3" fillId="0" borderId="0" xfId="0" applyNumberFormat="1" applyFont="1" applyAlignment="1">
      <alignment horizontal="left" vertical="center"/>
    </xf>
    <xf numFmtId="167" fontId="0" fillId="25" borderId="1" xfId="0" applyNumberFormat="1" applyFill="1" applyBorder="1" applyAlignment="1">
      <alignment vertical="center"/>
    </xf>
    <xf numFmtId="167" fontId="0" fillId="25" borderId="2" xfId="0" applyNumberFormat="1" applyFill="1" applyBorder="1" applyAlignment="1">
      <alignment vertical="center"/>
    </xf>
    <xf numFmtId="1" fontId="4" fillId="26" borderId="6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1" fontId="0" fillId="0" borderId="37" xfId="0" applyNumberFormat="1" applyBorder="1" applyAlignment="1">
      <alignment vertical="center"/>
    </xf>
    <xf numFmtId="0" fontId="0" fillId="0" borderId="6" xfId="0" applyBorder="1" applyAlignment="1">
      <alignment horizontal="left" vertical="center" indent="2"/>
    </xf>
    <xf numFmtId="0" fontId="8" fillId="0" borderId="8" xfId="0" applyFont="1" applyBorder="1" applyAlignment="1">
      <alignment horizontal="left" vertical="top"/>
    </xf>
    <xf numFmtId="0" fontId="0" fillId="0" borderId="9" xfId="0" applyBorder="1" applyAlignment="1">
      <alignment vertical="center"/>
    </xf>
    <xf numFmtId="171" fontId="9" fillId="22" borderId="6" xfId="5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 indent="1"/>
    </xf>
    <xf numFmtId="0" fontId="0" fillId="0" borderId="6" xfId="0" applyBorder="1" applyAlignment="1">
      <alignment vertical="center"/>
    </xf>
    <xf numFmtId="171" fontId="9" fillId="0" borderId="6" xfId="5" applyNumberFormat="1" applyFont="1" applyFill="1" applyBorder="1" applyAlignment="1">
      <alignment horizontal="center" vertical="center"/>
    </xf>
    <xf numFmtId="171" fontId="0" fillId="0" borderId="6" xfId="5" applyNumberFormat="1" applyFont="1" applyFill="1" applyBorder="1" applyAlignment="1" applyProtection="1">
      <alignment horizontal="center"/>
    </xf>
    <xf numFmtId="171" fontId="9" fillId="22" borderId="38" xfId="5" applyNumberFormat="1" applyFont="1" applyFill="1" applyBorder="1" applyAlignment="1">
      <alignment horizontal="center" vertical="center"/>
    </xf>
    <xf numFmtId="167" fontId="0" fillId="0" borderId="39" xfId="0" applyNumberFormat="1" applyBorder="1" applyAlignment="1">
      <alignment vertical="center"/>
    </xf>
    <xf numFmtId="167" fontId="0" fillId="0" borderId="38" xfId="0" applyNumberFormat="1" applyBorder="1" applyAlignment="1">
      <alignment vertical="center"/>
    </xf>
    <xf numFmtId="164" fontId="0" fillId="0" borderId="9" xfId="3" applyFont="1" applyBorder="1" applyAlignment="1">
      <alignment vertical="center"/>
    </xf>
    <xf numFmtId="164" fontId="0" fillId="0" borderId="38" xfId="3" applyFont="1" applyBorder="1" applyAlignment="1">
      <alignment vertical="center"/>
    </xf>
    <xf numFmtId="164" fontId="0" fillId="0" borderId="6" xfId="3" applyFont="1" applyBorder="1" applyAlignment="1">
      <alignment vertical="center"/>
    </xf>
    <xf numFmtId="1" fontId="0" fillId="0" borderId="33" xfId="0" applyNumberFormat="1" applyBorder="1" applyAlignment="1">
      <alignment vertical="center"/>
    </xf>
    <xf numFmtId="171" fontId="0" fillId="0" borderId="6" xfId="5" applyNumberFormat="1" applyFont="1" applyFill="1" applyBorder="1" applyAlignment="1" applyProtection="1">
      <alignment horizontal="left"/>
    </xf>
    <xf numFmtId="171" fontId="9" fillId="22" borderId="0" xfId="5" applyNumberFormat="1" applyFont="1" applyFill="1" applyBorder="1" applyAlignment="1">
      <alignment horizontal="center" vertical="center"/>
    </xf>
    <xf numFmtId="167" fontId="2" fillId="27" borderId="9" xfId="0" applyNumberFormat="1" applyFont="1" applyFill="1" applyBorder="1" applyAlignment="1">
      <alignment vertical="center"/>
    </xf>
    <xf numFmtId="167" fontId="2" fillId="27" borderId="38" xfId="0" applyNumberFormat="1" applyFont="1" applyFill="1" applyBorder="1" applyAlignment="1">
      <alignment vertical="center"/>
    </xf>
    <xf numFmtId="167" fontId="0" fillId="28" borderId="39" xfId="0" applyNumberFormat="1" applyFill="1" applyBorder="1" applyAlignment="1">
      <alignment horizontal="center" vertical="center"/>
    </xf>
    <xf numFmtId="164" fontId="0" fillId="28" borderId="38" xfId="3" applyFont="1" applyFill="1" applyBorder="1" applyAlignment="1">
      <alignment vertical="center"/>
    </xf>
    <xf numFmtId="164" fontId="0" fillId="29" borderId="9" xfId="3" applyFont="1" applyFill="1" applyBorder="1" applyAlignment="1">
      <alignment horizontal="center" vertical="center"/>
    </xf>
    <xf numFmtId="164" fontId="0" fillId="29" borderId="6" xfId="3" applyFont="1" applyFill="1" applyBorder="1" applyAlignment="1">
      <alignment vertical="center"/>
    </xf>
    <xf numFmtId="164" fontId="34" fillId="28" borderId="39" xfId="3" applyFont="1" applyFill="1" applyBorder="1" applyAlignment="1">
      <alignment horizontal="center" vertical="center"/>
    </xf>
    <xf numFmtId="164" fontId="34" fillId="29" borderId="9" xfId="3" applyFont="1" applyFill="1" applyBorder="1" applyAlignment="1">
      <alignment horizontal="center" vertical="center"/>
    </xf>
    <xf numFmtId="9" fontId="0" fillId="28" borderId="39" xfId="4" applyFont="1" applyFill="1" applyBorder="1" applyAlignment="1">
      <alignment vertical="center"/>
    </xf>
    <xf numFmtId="9" fontId="0" fillId="29" borderId="9" xfId="4" applyFont="1" applyFill="1" applyBorder="1" applyAlignment="1">
      <alignment vertical="center"/>
    </xf>
    <xf numFmtId="164" fontId="0" fillId="0" borderId="39" xfId="3" applyFont="1" applyBorder="1" applyAlignment="1">
      <alignment vertical="center"/>
    </xf>
    <xf numFmtId="0" fontId="0" fillId="0" borderId="40" xfId="0" applyBorder="1" applyAlignment="1">
      <alignment vertical="center"/>
    </xf>
    <xf numFmtId="164" fontId="3" fillId="2" borderId="9" xfId="3" applyFont="1" applyFill="1" applyBorder="1" applyAlignment="1">
      <alignment vertical="center"/>
    </xf>
    <xf numFmtId="164" fontId="3" fillId="2" borderId="38" xfId="3" applyFont="1" applyFill="1" applyBorder="1" applyAlignment="1">
      <alignment vertical="center"/>
    </xf>
    <xf numFmtId="164" fontId="3" fillId="2" borderId="6" xfId="3" applyFont="1" applyFill="1" applyBorder="1" applyAlignment="1">
      <alignment vertical="center"/>
    </xf>
    <xf numFmtId="0" fontId="2" fillId="5" borderId="0" xfId="0" applyFont="1" applyFill="1" applyAlignment="1">
      <alignment horizontal="left" vertical="center" indent="1"/>
    </xf>
    <xf numFmtId="0" fontId="2" fillId="5" borderId="42" xfId="0" applyFont="1" applyFill="1" applyBorder="1" applyAlignment="1">
      <alignment vertical="center"/>
    </xf>
    <xf numFmtId="167" fontId="0" fillId="25" borderId="5" xfId="0" applyNumberFormat="1" applyFill="1" applyBorder="1" applyAlignment="1">
      <alignment vertical="center"/>
    </xf>
    <xf numFmtId="0" fontId="6" fillId="4" borderId="6" xfId="0" applyFont="1" applyFill="1" applyBorder="1" applyAlignment="1">
      <alignment horizontal="center" vertical="center"/>
    </xf>
    <xf numFmtId="1" fontId="4" fillId="2" borderId="6" xfId="2" applyNumberFormat="1" applyFont="1" applyFill="1" applyBorder="1" applyAlignment="1">
      <alignment horizontal="center" vertical="center"/>
    </xf>
    <xf numFmtId="0" fontId="4" fillId="25" borderId="7" xfId="0" applyFont="1" applyFill="1" applyBorder="1" applyAlignment="1">
      <alignment vertical="center"/>
    </xf>
    <xf numFmtId="0" fontId="4" fillId="25" borderId="7" xfId="0" applyFont="1" applyFill="1" applyBorder="1" applyAlignment="1">
      <alignment horizontal="center" vertical="center"/>
    </xf>
    <xf numFmtId="1" fontId="4" fillId="4" borderId="6" xfId="2" applyNumberFormat="1" applyFont="1" applyFill="1" applyBorder="1" applyAlignment="1">
      <alignment horizontal="center" vertical="center"/>
    </xf>
    <xf numFmtId="167" fontId="11" fillId="3" borderId="4" xfId="0" applyNumberFormat="1" applyFont="1" applyFill="1" applyBorder="1" applyAlignment="1">
      <alignment horizontal="left" vertical="center"/>
    </xf>
    <xf numFmtId="167" fontId="11" fillId="3" borderId="6" xfId="0" applyNumberFormat="1" applyFont="1" applyFill="1" applyBorder="1" applyAlignment="1">
      <alignment horizontal="left" vertical="center"/>
    </xf>
    <xf numFmtId="167" fontId="33" fillId="27" borderId="4" xfId="0" applyNumberFormat="1" applyFont="1" applyFill="1" applyBorder="1" applyAlignment="1">
      <alignment horizontal="left" vertical="center"/>
    </xf>
    <xf numFmtId="167" fontId="33" fillId="27" borderId="43" xfId="0" applyNumberFormat="1" applyFont="1" applyFill="1" applyBorder="1" applyAlignment="1">
      <alignment horizontal="left" vertical="center"/>
    </xf>
    <xf numFmtId="167" fontId="11" fillId="28" borderId="4" xfId="0" applyNumberFormat="1" applyFont="1" applyFill="1" applyBorder="1" applyAlignment="1">
      <alignment horizontal="left" vertical="center"/>
    </xf>
    <xf numFmtId="167" fontId="11" fillId="28" borderId="43" xfId="0" applyNumberFormat="1" applyFont="1" applyFill="1" applyBorder="1" applyAlignment="1">
      <alignment horizontal="left" vertical="center"/>
    </xf>
    <xf numFmtId="167" fontId="11" fillId="29" borderId="4" xfId="0" applyNumberFormat="1" applyFont="1" applyFill="1" applyBorder="1" applyAlignment="1">
      <alignment horizontal="left" vertical="center"/>
    </xf>
    <xf numFmtId="167" fontId="11" fillId="29" borderId="7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71" fontId="9" fillId="0" borderId="6" xfId="5" applyNumberFormat="1" applyFont="1" applyFill="1" applyBorder="1" applyAlignment="1" applyProtection="1">
      <alignment horizontal="center"/>
    </xf>
    <xf numFmtId="0" fontId="0" fillId="0" borderId="8" xfId="0" applyBorder="1" applyAlignment="1">
      <alignment vertical="center"/>
    </xf>
    <xf numFmtId="167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vertical="center"/>
    </xf>
    <xf numFmtId="0" fontId="2" fillId="5" borderId="33" xfId="0" applyFont="1" applyFill="1" applyBorder="1" applyAlignment="1">
      <alignment horizontal="left" vertical="center" indent="1"/>
    </xf>
    <xf numFmtId="2" fontId="0" fillId="3" borderId="6" xfId="0" applyNumberFormat="1" applyFill="1" applyBorder="1" applyAlignment="1">
      <alignment horizontal="right" vertical="center" indent="1"/>
    </xf>
    <xf numFmtId="0" fontId="0" fillId="3" borderId="6" xfId="0" applyFill="1" applyBorder="1" applyAlignment="1">
      <alignment horizontal="center" vertical="center"/>
    </xf>
    <xf numFmtId="2" fontId="0" fillId="22" borderId="6" xfId="0" applyNumberFormat="1" applyFill="1" applyBorder="1" applyAlignment="1">
      <alignment horizontal="right" vertical="center" indent="1"/>
    </xf>
    <xf numFmtId="0" fontId="0" fillId="0" borderId="33" xfId="0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69" fontId="0" fillId="0" borderId="6" xfId="0" applyNumberFormat="1" applyBorder="1" applyAlignment="1">
      <alignment horizontal="center" vertical="center"/>
    </xf>
    <xf numFmtId="169" fontId="0" fillId="0" borderId="33" xfId="0" applyNumberFormat="1" applyBorder="1" applyAlignment="1">
      <alignment horizontal="center" vertical="center"/>
    </xf>
    <xf numFmtId="1" fontId="4" fillId="2" borderId="38" xfId="2" applyNumberFormat="1" applyFont="1" applyFill="1" applyBorder="1" applyAlignment="1">
      <alignment horizontal="center" vertical="center"/>
    </xf>
    <xf numFmtId="167" fontId="11" fillId="3" borderId="43" xfId="0" applyNumberFormat="1" applyFont="1" applyFill="1" applyBorder="1" applyAlignment="1">
      <alignment horizontal="left" vertical="center"/>
    </xf>
    <xf numFmtId="167" fontId="33" fillId="27" borderId="45" xfId="0" applyNumberFormat="1" applyFont="1" applyFill="1" applyBorder="1" applyAlignment="1">
      <alignment horizontal="left" vertical="center"/>
    </xf>
    <xf numFmtId="1" fontId="0" fillId="0" borderId="6" xfId="0" applyNumberFormat="1" applyBorder="1" applyAlignment="1">
      <alignment vertical="center"/>
    </xf>
    <xf numFmtId="171" fontId="0" fillId="0" borderId="6" xfId="5" applyNumberFormat="1" applyFont="1" applyFill="1" applyBorder="1" applyAlignment="1">
      <alignment horizontal="left"/>
    </xf>
    <xf numFmtId="171" fontId="9" fillId="22" borderId="46" xfId="5" applyNumberFormat="1" applyFont="1" applyFill="1" applyBorder="1" applyAlignment="1">
      <alignment horizontal="center" vertical="center"/>
    </xf>
    <xf numFmtId="171" fontId="0" fillId="0" borderId="47" xfId="5" applyNumberFormat="1" applyFont="1" applyFill="1" applyBorder="1" applyAlignment="1">
      <alignment horizontal="left"/>
    </xf>
    <xf numFmtId="171" fontId="0" fillId="0" borderId="6" xfId="5" applyNumberFormat="1" applyFont="1" applyFill="1" applyBorder="1" applyAlignment="1">
      <alignment horizontal="center" vertical="center"/>
    </xf>
    <xf numFmtId="1" fontId="0" fillId="30" borderId="6" xfId="0" applyNumberFormat="1" applyFill="1" applyBorder="1" applyAlignment="1">
      <alignment vertical="center"/>
    </xf>
    <xf numFmtId="171" fontId="0" fillId="30" borderId="6" xfId="5" applyNumberFormat="1" applyFont="1" applyFill="1" applyBorder="1" applyAlignment="1">
      <alignment horizontal="center" vertical="center"/>
    </xf>
    <xf numFmtId="171" fontId="9" fillId="30" borderId="46" xfId="5" applyNumberFormat="1" applyFont="1" applyFill="1" applyBorder="1" applyAlignment="1">
      <alignment horizontal="center" vertical="center"/>
    </xf>
    <xf numFmtId="171" fontId="9" fillId="30" borderId="38" xfId="5" applyNumberFormat="1" applyFont="1" applyFill="1" applyBorder="1" applyAlignment="1">
      <alignment horizontal="center" vertical="center"/>
    </xf>
    <xf numFmtId="167" fontId="0" fillId="30" borderId="39" xfId="0" applyNumberFormat="1" applyFill="1" applyBorder="1" applyAlignment="1">
      <alignment vertical="center"/>
    </xf>
    <xf numFmtId="167" fontId="0" fillId="30" borderId="38" xfId="0" applyNumberFormat="1" applyFill="1" applyBorder="1" applyAlignment="1">
      <alignment vertical="center"/>
    </xf>
    <xf numFmtId="164" fontId="0" fillId="30" borderId="9" xfId="3" applyFont="1" applyFill="1" applyBorder="1" applyAlignment="1">
      <alignment vertical="center"/>
    </xf>
    <xf numFmtId="164" fontId="0" fillId="30" borderId="38" xfId="3" applyFont="1" applyFill="1" applyBorder="1" applyAlignment="1">
      <alignment vertical="center"/>
    </xf>
    <xf numFmtId="164" fontId="0" fillId="30" borderId="6" xfId="3" applyFont="1" applyFill="1" applyBorder="1" applyAlignment="1">
      <alignment vertical="center"/>
    </xf>
    <xf numFmtId="171" fontId="3" fillId="22" borderId="0" xfId="5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0" fontId="2" fillId="5" borderId="37" xfId="0" applyFont="1" applyFill="1" applyBorder="1" applyAlignment="1">
      <alignment horizontal="left" vertical="center" indent="1"/>
    </xf>
    <xf numFmtId="0" fontId="35" fillId="3" borderId="6" xfId="0" applyFont="1" applyFill="1" applyBorder="1" applyAlignment="1">
      <alignment horizontal="right" vertical="center" indent="1"/>
    </xf>
    <xf numFmtId="0" fontId="3" fillId="3" borderId="46" xfId="0" quotePrefix="1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 indent="2"/>
    </xf>
    <xf numFmtId="0" fontId="0" fillId="0" borderId="7" xfId="0" applyBorder="1" applyAlignment="1">
      <alignment horizontal="center" vertical="center"/>
    </xf>
    <xf numFmtId="0" fontId="0" fillId="0" borderId="48" xfId="0" quotePrefix="1" applyBorder="1" applyAlignment="1">
      <alignment horizontal="right" vertical="center" indent="2"/>
    </xf>
    <xf numFmtId="1" fontId="0" fillId="0" borderId="48" xfId="0" applyNumberFormat="1" applyBorder="1" applyAlignment="1">
      <alignment horizontal="center" vertical="center"/>
    </xf>
    <xf numFmtId="0" fontId="0" fillId="28" borderId="6" xfId="0" quotePrefix="1" applyFill="1" applyBorder="1" applyAlignment="1">
      <alignment horizontal="right" vertical="center" indent="2"/>
    </xf>
    <xf numFmtId="174" fontId="0" fillId="0" borderId="0" xfId="3" applyNumberFormat="1" applyFont="1" applyFill="1" applyBorder="1" applyAlignment="1">
      <alignment vertical="center"/>
    </xf>
    <xf numFmtId="0" fontId="0" fillId="28" borderId="6" xfId="0" applyFill="1" applyBorder="1" applyAlignment="1">
      <alignment horizontal="center" vertical="center"/>
    </xf>
    <xf numFmtId="1" fontId="4" fillId="2" borderId="5" xfId="2" applyNumberFormat="1" applyFont="1" applyFill="1" applyBorder="1" applyAlignment="1">
      <alignment horizontal="center" vertical="center"/>
    </xf>
    <xf numFmtId="167" fontId="11" fillId="3" borderId="44" xfId="0" applyNumberFormat="1" applyFont="1" applyFill="1" applyBorder="1" applyAlignment="1">
      <alignment horizontal="left" vertical="center"/>
    </xf>
    <xf numFmtId="167" fontId="33" fillId="27" borderId="49" xfId="0" applyNumberFormat="1" applyFont="1" applyFill="1" applyBorder="1" applyAlignment="1">
      <alignment horizontal="left" vertical="center"/>
    </xf>
    <xf numFmtId="167" fontId="11" fillId="28" borderId="49" xfId="0" applyNumberFormat="1" applyFont="1" applyFill="1" applyBorder="1" applyAlignment="1">
      <alignment horizontal="left" vertical="center"/>
    </xf>
    <xf numFmtId="167" fontId="11" fillId="29" borderId="49" xfId="0" applyNumberFormat="1" applyFont="1" applyFill="1" applyBorder="1" applyAlignment="1">
      <alignment horizontal="left" vertical="center"/>
    </xf>
    <xf numFmtId="167" fontId="11" fillId="29" borderId="50" xfId="0" applyNumberFormat="1" applyFont="1" applyFill="1" applyBorder="1" applyAlignment="1">
      <alignment horizontal="left" vertical="center"/>
    </xf>
    <xf numFmtId="171" fontId="9" fillId="22" borderId="51" xfId="5" applyNumberFormat="1" applyFont="1" applyFill="1" applyBorder="1" applyAlignment="1">
      <alignment horizontal="center" vertical="center"/>
    </xf>
    <xf numFmtId="167" fontId="0" fillId="0" borderId="9" xfId="0" applyNumberFormat="1" applyBorder="1" applyAlignment="1">
      <alignment vertical="center"/>
    </xf>
    <xf numFmtId="164" fontId="0" fillId="0" borderId="8" xfId="3" applyFont="1" applyBorder="1" applyAlignment="1">
      <alignment vertical="center"/>
    </xf>
    <xf numFmtId="171" fontId="0" fillId="22" borderId="6" xfId="5" applyNumberFormat="1" applyFont="1" applyFill="1" applyBorder="1" applyAlignment="1">
      <alignment horizontal="center" vertical="center"/>
    </xf>
    <xf numFmtId="0" fontId="0" fillId="30" borderId="6" xfId="0" applyFill="1" applyBorder="1" applyAlignment="1">
      <alignment vertical="center"/>
    </xf>
    <xf numFmtId="171" fontId="9" fillId="30" borderId="6" xfId="5" applyNumberFormat="1" applyFont="1" applyFill="1" applyBorder="1" applyAlignment="1">
      <alignment horizontal="center" vertical="center"/>
    </xf>
    <xf numFmtId="171" fontId="9" fillId="30" borderId="51" xfId="5" applyNumberFormat="1" applyFont="1" applyFill="1" applyBorder="1" applyAlignment="1">
      <alignment horizontal="center" vertical="center"/>
    </xf>
    <xf numFmtId="167" fontId="0" fillId="30" borderId="9" xfId="0" applyNumberFormat="1" applyFill="1" applyBorder="1" applyAlignment="1">
      <alignment vertical="center"/>
    </xf>
    <xf numFmtId="164" fontId="0" fillId="30" borderId="8" xfId="3" applyFont="1" applyFill="1" applyBorder="1" applyAlignment="1">
      <alignment vertical="center"/>
    </xf>
    <xf numFmtId="167" fontId="0" fillId="0" borderId="52" xfId="0" applyNumberFormat="1" applyBorder="1" applyAlignment="1">
      <alignment vertical="center"/>
    </xf>
    <xf numFmtId="167" fontId="0" fillId="0" borderId="53" xfId="0" applyNumberFormat="1" applyBorder="1" applyAlignment="1">
      <alignment vertical="center"/>
    </xf>
    <xf numFmtId="164" fontId="0" fillId="0" borderId="52" xfId="3" applyFont="1" applyBorder="1" applyAlignment="1">
      <alignment vertical="center"/>
    </xf>
    <xf numFmtId="164" fontId="0" fillId="0" borderId="53" xfId="3" applyFont="1" applyBorder="1" applyAlignment="1">
      <alignment vertical="center"/>
    </xf>
    <xf numFmtId="164" fontId="0" fillId="0" borderId="54" xfId="3" applyFont="1" applyBorder="1" applyAlignment="1">
      <alignment vertical="center"/>
    </xf>
    <xf numFmtId="0" fontId="2" fillId="5" borderId="41" xfId="0" applyFont="1" applyFill="1" applyBorder="1" applyAlignment="1">
      <alignment vertical="center"/>
    </xf>
    <xf numFmtId="0" fontId="2" fillId="5" borderId="55" xfId="0" applyFont="1" applyFill="1" applyBorder="1" applyAlignment="1">
      <alignment vertical="center"/>
    </xf>
    <xf numFmtId="2" fontId="0" fillId="0" borderId="6" xfId="0" applyNumberFormat="1" applyBorder="1" applyAlignment="1">
      <alignment horizontal="right" indent="1"/>
    </xf>
    <xf numFmtId="169" fontId="0" fillId="0" borderId="6" xfId="5" applyNumberFormat="1" applyFont="1" applyFill="1" applyBorder="1" applyAlignment="1">
      <alignment horizontal="center" vertical="center"/>
    </xf>
    <xf numFmtId="2" fontId="0" fillId="22" borderId="6" xfId="0" applyNumberFormat="1" applyFill="1" applyBorder="1" applyAlignment="1">
      <alignment horizontal="right" indent="1"/>
    </xf>
    <xf numFmtId="2" fontId="0" fillId="22" borderId="6" xfId="5" applyNumberFormat="1" applyFont="1" applyFill="1" applyBorder="1" applyAlignment="1">
      <alignment horizontal="center" vertical="center"/>
    </xf>
    <xf numFmtId="167" fontId="33" fillId="27" borderId="56" xfId="0" applyNumberFormat="1" applyFont="1" applyFill="1" applyBorder="1" applyAlignment="1">
      <alignment horizontal="left" vertical="center"/>
    </xf>
    <xf numFmtId="167" fontId="11" fillId="28" borderId="56" xfId="0" applyNumberFormat="1" applyFont="1" applyFill="1" applyBorder="1" applyAlignment="1">
      <alignment horizontal="left" vertical="center"/>
    </xf>
    <xf numFmtId="167" fontId="11" fillId="29" borderId="56" xfId="0" applyNumberFormat="1" applyFont="1" applyFill="1" applyBorder="1" applyAlignment="1">
      <alignment horizontal="left" vertical="center"/>
    </xf>
    <xf numFmtId="167" fontId="13" fillId="0" borderId="0" xfId="0" applyNumberFormat="1" applyFont="1" applyAlignment="1">
      <alignment vertical="center"/>
    </xf>
    <xf numFmtId="164" fontId="13" fillId="0" borderId="0" xfId="3" applyFont="1" applyBorder="1" applyAlignment="1">
      <alignment vertical="center"/>
    </xf>
    <xf numFmtId="0" fontId="13" fillId="0" borderId="0" xfId="0" applyFont="1" applyAlignment="1">
      <alignment vertical="center"/>
    </xf>
    <xf numFmtId="2" fontId="0" fillId="0" borderId="0" xfId="0" applyNumberFormat="1" applyAlignment="1">
      <alignment horizontal="left"/>
    </xf>
    <xf numFmtId="2" fontId="0" fillId="0" borderId="0" xfId="0" applyNumberFormat="1" applyAlignment="1">
      <alignment horizontal="right"/>
    </xf>
    <xf numFmtId="171" fontId="0" fillId="22" borderId="0" xfId="5" applyNumberFormat="1" applyFont="1" applyFill="1" applyBorder="1" applyAlignment="1">
      <alignment horizontal="left"/>
    </xf>
    <xf numFmtId="0" fontId="2" fillId="5" borderId="37" xfId="0" applyFont="1" applyFill="1" applyBorder="1" applyAlignment="1">
      <alignment vertical="center"/>
    </xf>
    <xf numFmtId="0" fontId="2" fillId="5" borderId="57" xfId="0" applyFont="1" applyFill="1" applyBorder="1" applyAlignment="1">
      <alignment vertical="center"/>
    </xf>
    <xf numFmtId="0" fontId="0" fillId="22" borderId="0" xfId="0" applyFill="1"/>
    <xf numFmtId="0" fontId="0" fillId="22" borderId="0" xfId="0" applyFill="1" applyAlignment="1">
      <alignment horizontal="right" vertical="center"/>
    </xf>
    <xf numFmtId="2" fontId="0" fillId="22" borderId="8" xfId="0" applyNumberFormat="1" applyFill="1" applyBorder="1" applyAlignment="1">
      <alignment vertical="center"/>
    </xf>
    <xf numFmtId="2" fontId="0" fillId="22" borderId="46" xfId="0" applyNumberFormat="1" applyFill="1" applyBorder="1" applyAlignment="1">
      <alignment vertical="center"/>
    </xf>
    <xf numFmtId="2" fontId="0" fillId="22" borderId="9" xfId="0" applyNumberFormat="1" applyFill="1" applyBorder="1" applyAlignment="1">
      <alignment horizontal="right" vertical="center" indent="1"/>
    </xf>
    <xf numFmtId="0" fontId="0" fillId="22" borderId="6" xfId="0" applyFill="1" applyBorder="1" applyAlignment="1">
      <alignment horizontal="center"/>
    </xf>
    <xf numFmtId="171" fontId="0" fillId="22" borderId="0" xfId="5" applyNumberFormat="1" applyFont="1" applyFill="1" applyAlignment="1">
      <alignment horizontal="left"/>
    </xf>
    <xf numFmtId="175" fontId="0" fillId="22" borderId="6" xfId="2" applyNumberFormat="1" applyFont="1" applyFill="1" applyBorder="1" applyAlignment="1">
      <alignment horizontal="center"/>
    </xf>
    <xf numFmtId="169" fontId="0" fillId="0" borderId="0" xfId="0" applyNumberFormat="1"/>
    <xf numFmtId="0" fontId="13" fillId="22" borderId="0" xfId="0" applyFont="1" applyFill="1"/>
    <xf numFmtId="10" fontId="13" fillId="22" borderId="0" xfId="0" applyNumberFormat="1" applyFont="1" applyFill="1"/>
    <xf numFmtId="171" fontId="0" fillId="0" borderId="0" xfId="5" applyNumberFormat="1" applyFont="1" applyAlignment="1">
      <alignment horizontal="left"/>
    </xf>
    <xf numFmtId="1" fontId="4" fillId="2" borderId="58" xfId="2" applyNumberFormat="1" applyFont="1" applyFill="1" applyBorder="1" applyAlignment="1">
      <alignment horizontal="center" vertical="center"/>
    </xf>
    <xf numFmtId="0" fontId="0" fillId="22" borderId="6" xfId="0" applyFill="1" applyBorder="1" applyAlignment="1">
      <alignment horizontal="left" vertical="center"/>
    </xf>
    <xf numFmtId="0" fontId="0" fillId="22" borderId="8" xfId="0" applyFill="1" applyBorder="1"/>
    <xf numFmtId="0" fontId="0" fillId="22" borderId="46" xfId="0" applyFill="1" applyBorder="1"/>
    <xf numFmtId="0" fontId="0" fillId="22" borderId="9" xfId="0" applyFill="1" applyBorder="1"/>
    <xf numFmtId="171" fontId="0" fillId="22" borderId="6" xfId="5" applyNumberFormat="1" applyFont="1" applyFill="1" applyBorder="1" applyAlignment="1">
      <alignment horizontal="left"/>
    </xf>
    <xf numFmtId="1" fontId="0" fillId="22" borderId="6" xfId="5" applyNumberFormat="1" applyFont="1" applyFill="1" applyBorder="1"/>
    <xf numFmtId="1" fontId="0" fillId="22" borderId="0" xfId="0" applyNumberFormat="1" applyFill="1"/>
    <xf numFmtId="0" fontId="9" fillId="22" borderId="6" xfId="5" applyNumberFormat="1" applyFont="1" applyFill="1" applyBorder="1" applyAlignment="1">
      <alignment horizontal="center" vertical="center"/>
    </xf>
    <xf numFmtId="164" fontId="0" fillId="0" borderId="41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22" borderId="0" xfId="0" applyFill="1" applyAlignment="1">
      <alignment horizontal="left"/>
    </xf>
    <xf numFmtId="0" fontId="0" fillId="22" borderId="0" xfId="0" applyFill="1" applyAlignment="1">
      <alignment horizontal="right"/>
    </xf>
    <xf numFmtId="2" fontId="0" fillId="22" borderId="0" xfId="0" applyNumberFormat="1" applyFill="1" applyAlignment="1">
      <alignment horizontal="left" indent="15"/>
    </xf>
    <xf numFmtId="1" fontId="0" fillId="22" borderId="6" xfId="5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/>
    </xf>
    <xf numFmtId="1" fontId="0" fillId="0" borderId="37" xfId="0" applyNumberFormat="1" applyBorder="1" applyAlignment="1">
      <alignment horizontal="center" vertical="center"/>
    </xf>
    <xf numFmtId="0" fontId="37" fillId="2" borderId="60" xfId="0" applyFont="1" applyFill="1" applyBorder="1" applyAlignment="1">
      <alignment horizontal="center" vertical="center"/>
    </xf>
    <xf numFmtId="9" fontId="38" fillId="0" borderId="61" xfId="4" applyFont="1" applyFill="1" applyBorder="1" applyAlignment="1">
      <alignment vertical="center"/>
    </xf>
    <xf numFmtId="0" fontId="2" fillId="5" borderId="59" xfId="0" applyFont="1" applyFill="1" applyBorder="1" applyAlignment="1">
      <alignment horizontal="center" vertical="center"/>
    </xf>
    <xf numFmtId="0" fontId="2" fillId="5" borderId="35" xfId="0" applyFont="1" applyFill="1" applyBorder="1" applyAlignment="1">
      <alignment horizontal="center" vertical="center"/>
    </xf>
    <xf numFmtId="17" fontId="2" fillId="5" borderId="35" xfId="0" applyNumberFormat="1" applyFont="1" applyFill="1" applyBorder="1" applyAlignment="1">
      <alignment horizontal="center" vertical="center" wrapText="1"/>
    </xf>
    <xf numFmtId="0" fontId="2" fillId="5" borderId="62" xfId="0" applyFont="1" applyFill="1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8" fillId="0" borderId="6" xfId="0" applyFont="1" applyBorder="1" applyAlignment="1">
      <alignment horizontal="left" vertical="top"/>
    </xf>
    <xf numFmtId="167" fontId="0" fillId="0" borderId="6" xfId="1" applyNumberFormat="1" applyFont="1" applyFill="1" applyBorder="1" applyAlignment="1">
      <alignment horizontal="center" vertical="center"/>
    </xf>
    <xf numFmtId="166" fontId="0" fillId="0" borderId="6" xfId="0" applyNumberFormat="1" applyBorder="1" applyAlignment="1">
      <alignment vertical="center"/>
    </xf>
    <xf numFmtId="0" fontId="0" fillId="0" borderId="6" xfId="0" applyBorder="1" applyAlignment="1">
      <alignment horizontal="left" vertical="center" wrapText="1"/>
    </xf>
    <xf numFmtId="0" fontId="8" fillId="0" borderId="6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left" vertical="center"/>
    </xf>
    <xf numFmtId="167" fontId="9" fillId="0" borderId="6" xfId="0" applyNumberFormat="1" applyFont="1" applyBorder="1" applyAlignment="1">
      <alignment horizontal="center" vertical="center"/>
    </xf>
    <xf numFmtId="168" fontId="0" fillId="4" borderId="6" xfId="0" applyNumberFormat="1" applyFill="1" applyBorder="1"/>
    <xf numFmtId="168" fontId="0" fillId="0" borderId="6" xfId="0" applyNumberFormat="1" applyBorder="1" applyAlignment="1">
      <alignment vertical="center"/>
    </xf>
    <xf numFmtId="1" fontId="0" fillId="0" borderId="6" xfId="0" applyNumberFormat="1" applyBorder="1" applyAlignment="1">
      <alignment horizontal="left" vertical="center"/>
    </xf>
    <xf numFmtId="171" fontId="9" fillId="0" borderId="46" xfId="5" applyNumberFormat="1" applyFont="1" applyFill="1" applyBorder="1" applyAlignment="1">
      <alignment horizontal="center" vertical="center"/>
    </xf>
    <xf numFmtId="171" fontId="9" fillId="0" borderId="38" xfId="5" applyNumberFormat="1" applyFont="1" applyFill="1" applyBorder="1" applyAlignment="1">
      <alignment horizontal="center" vertical="center"/>
    </xf>
    <xf numFmtId="164" fontId="0" fillId="0" borderId="9" xfId="3" applyFont="1" applyFill="1" applyBorder="1" applyAlignment="1">
      <alignment vertical="center"/>
    </xf>
    <xf numFmtId="164" fontId="0" fillId="0" borderId="38" xfId="3" applyFont="1" applyFill="1" applyBorder="1" applyAlignment="1">
      <alignment vertical="center"/>
    </xf>
    <xf numFmtId="164" fontId="0" fillId="0" borderId="6" xfId="3" applyFont="1" applyFill="1" applyBorder="1" applyAlignment="1">
      <alignment vertical="center"/>
    </xf>
    <xf numFmtId="171" fontId="9" fillId="0" borderId="6" xfId="5" applyNumberFormat="1" applyFont="1" applyFill="1" applyBorder="1" applyAlignment="1">
      <alignment horizontal="left"/>
    </xf>
    <xf numFmtId="167" fontId="39" fillId="31" borderId="6" xfId="0" applyNumberFormat="1" applyFont="1" applyFill="1" applyBorder="1" applyAlignment="1">
      <alignment horizontal="center" vertical="center" wrapText="1"/>
    </xf>
    <xf numFmtId="167" fontId="39" fillId="29" borderId="6" xfId="0" applyNumberFormat="1" applyFont="1" applyFill="1" applyBorder="1" applyAlignment="1">
      <alignment horizontal="center" vertical="center" wrapText="1"/>
    </xf>
    <xf numFmtId="167" fontId="39" fillId="6" borderId="6" xfId="0" applyNumberFormat="1" applyFont="1" applyFill="1" applyBorder="1" applyAlignment="1">
      <alignment horizontal="center" vertical="center" wrapText="1"/>
    </xf>
    <xf numFmtId="167" fontId="39" fillId="2" borderId="6" xfId="0" applyNumberFormat="1" applyFont="1" applyFill="1" applyBorder="1" applyAlignment="1">
      <alignment horizontal="center" vertical="center" wrapText="1"/>
    </xf>
    <xf numFmtId="2" fontId="0" fillId="22" borderId="48" xfId="0" applyNumberFormat="1" applyFill="1" applyBorder="1" applyAlignment="1">
      <alignment horizontal="right" vertical="center" indent="1"/>
    </xf>
    <xf numFmtId="0" fontId="0" fillId="0" borderId="48" xfId="0" applyBorder="1" applyAlignment="1">
      <alignment horizontal="center" vertical="center"/>
    </xf>
    <xf numFmtId="2" fontId="0" fillId="22" borderId="7" xfId="0" applyNumberFormat="1" applyFill="1" applyBorder="1" applyAlignment="1">
      <alignment horizontal="right" vertical="center" indent="1"/>
    </xf>
    <xf numFmtId="2" fontId="0" fillId="0" borderId="63" xfId="0" applyNumberFormat="1" applyBorder="1" applyAlignment="1">
      <alignment horizontal="right" vertical="center" indent="1"/>
    </xf>
    <xf numFmtId="0" fontId="0" fillId="0" borderId="63" xfId="0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4" fillId="25" borderId="6" xfId="0" applyFont="1" applyFill="1" applyBorder="1" applyAlignment="1">
      <alignment horizontal="center" vertical="center"/>
    </xf>
    <xf numFmtId="1" fontId="4" fillId="2" borderId="46" xfId="2" applyNumberFormat="1" applyFont="1" applyFill="1" applyBorder="1" applyAlignment="1">
      <alignment horizontal="center" vertical="center"/>
    </xf>
    <xf numFmtId="167" fontId="11" fillId="3" borderId="0" xfId="0" applyNumberFormat="1" applyFont="1" applyFill="1" applyAlignment="1">
      <alignment horizontal="center" vertical="center"/>
    </xf>
    <xf numFmtId="167" fontId="33" fillId="27" borderId="65" xfId="0" applyNumberFormat="1" applyFont="1" applyFill="1" applyBorder="1" applyAlignment="1">
      <alignment horizontal="left" vertical="center"/>
    </xf>
    <xf numFmtId="167" fontId="33" fillId="27" borderId="3" xfId="0" applyNumberFormat="1" applyFont="1" applyFill="1" applyBorder="1" applyAlignment="1">
      <alignment horizontal="left" vertical="center"/>
    </xf>
    <xf numFmtId="167" fontId="11" fillId="28" borderId="65" xfId="0" applyNumberFormat="1" applyFont="1" applyFill="1" applyBorder="1" applyAlignment="1">
      <alignment horizontal="left" vertical="center"/>
    </xf>
    <xf numFmtId="167" fontId="11" fillId="28" borderId="3" xfId="0" applyNumberFormat="1" applyFont="1" applyFill="1" applyBorder="1" applyAlignment="1">
      <alignment horizontal="left" vertical="center"/>
    </xf>
    <xf numFmtId="167" fontId="11" fillId="29" borderId="65" xfId="0" applyNumberFormat="1" applyFont="1" applyFill="1" applyBorder="1" applyAlignment="1">
      <alignment horizontal="left" vertical="center"/>
    </xf>
    <xf numFmtId="1" fontId="0" fillId="25" borderId="5" xfId="2" applyNumberFormat="1" applyFont="1" applyFill="1" applyBorder="1" applyAlignment="1">
      <alignment horizontal="center" vertical="center"/>
    </xf>
    <xf numFmtId="22" fontId="15" fillId="12" borderId="29" xfId="0" applyNumberFormat="1" applyFont="1" applyFill="1" applyBorder="1" applyAlignment="1">
      <alignment horizontal="right" wrapText="1"/>
    </xf>
    <xf numFmtId="0" fontId="19" fillId="36" borderId="29" xfId="0" applyFont="1" applyFill="1" applyBorder="1" applyAlignment="1">
      <alignment wrapText="1"/>
    </xf>
    <xf numFmtId="0" fontId="15" fillId="12" borderId="29" xfId="0" applyFont="1" applyFill="1" applyBorder="1" applyAlignment="1">
      <alignment wrapText="1"/>
    </xf>
    <xf numFmtId="0" fontId="19" fillId="19" borderId="29" xfId="0" applyFont="1" applyFill="1" applyBorder="1" applyAlignment="1">
      <alignment vertical="center"/>
    </xf>
    <xf numFmtId="0" fontId="20" fillId="37" borderId="29" xfId="0" applyFont="1" applyFill="1" applyBorder="1" applyAlignment="1">
      <alignment wrapText="1"/>
    </xf>
    <xf numFmtId="14" fontId="15" fillId="12" borderId="29" xfId="0" applyNumberFormat="1" applyFont="1" applyFill="1" applyBorder="1" applyAlignment="1">
      <alignment horizontal="right" wrapText="1"/>
    </xf>
    <xf numFmtId="0" fontId="15" fillId="12" borderId="29" xfId="0" applyFont="1" applyFill="1" applyBorder="1" applyAlignment="1">
      <alignment horizontal="right" wrapText="1"/>
    </xf>
    <xf numFmtId="0" fontId="21" fillId="12" borderId="29" xfId="0" applyFont="1" applyFill="1" applyBorder="1" applyAlignment="1">
      <alignment wrapText="1"/>
    </xf>
    <xf numFmtId="0" fontId="40" fillId="12" borderId="29" xfId="0" applyFont="1" applyFill="1" applyBorder="1" applyAlignment="1">
      <alignment wrapText="1"/>
    </xf>
    <xf numFmtId="0" fontId="41" fillId="12" borderId="29" xfId="0" applyFont="1" applyFill="1" applyBorder="1" applyAlignment="1">
      <alignment wrapText="1"/>
    </xf>
    <xf numFmtId="0" fontId="16" fillId="36" borderId="25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/>
    </xf>
    <xf numFmtId="0" fontId="15" fillId="7" borderId="66" xfId="0" applyFont="1" applyFill="1" applyBorder="1"/>
    <xf numFmtId="0" fontId="15" fillId="0" borderId="27" xfId="0" applyFont="1" applyBorder="1"/>
    <xf numFmtId="0" fontId="15" fillId="10" borderId="27" xfId="0" applyFont="1" applyFill="1" applyBorder="1"/>
    <xf numFmtId="0" fontId="17" fillId="12" borderId="67" xfId="0" applyFont="1" applyFill="1" applyBorder="1" applyAlignment="1">
      <alignment vertical="center"/>
    </xf>
    <xf numFmtId="0" fontId="17" fillId="13" borderId="67" xfId="0" applyFont="1" applyFill="1" applyBorder="1" applyAlignment="1">
      <alignment vertical="center"/>
    </xf>
    <xf numFmtId="0" fontId="17" fillId="13" borderId="67" xfId="0" applyFont="1" applyFill="1" applyBorder="1" applyAlignment="1">
      <alignment horizontal="center" vertical="center"/>
    </xf>
    <xf numFmtId="0" fontId="17" fillId="12" borderId="67" xfId="0" applyFont="1" applyFill="1" applyBorder="1" applyAlignment="1">
      <alignment horizontal="center" vertical="center"/>
    </xf>
    <xf numFmtId="0" fontId="17" fillId="14" borderId="67" xfId="0" applyFont="1" applyFill="1" applyBorder="1" applyAlignment="1">
      <alignment horizontal="center" vertical="center"/>
    </xf>
    <xf numFmtId="0" fontId="17" fillId="15" borderId="67" xfId="0" applyFont="1" applyFill="1" applyBorder="1" applyAlignment="1">
      <alignment vertical="center"/>
    </xf>
    <xf numFmtId="0" fontId="17" fillId="15" borderId="67" xfId="0" applyFont="1" applyFill="1" applyBorder="1" applyAlignment="1">
      <alignment horizontal="center" vertical="center"/>
    </xf>
    <xf numFmtId="0" fontId="17" fillId="2" borderId="67" xfId="0" applyFont="1" applyFill="1" applyBorder="1" applyAlignment="1">
      <alignment horizontal="center" vertical="center"/>
    </xf>
    <xf numFmtId="0" fontId="18" fillId="17" borderId="68" xfId="0" applyFont="1" applyFill="1" applyBorder="1" applyAlignment="1">
      <alignment horizontal="center" vertical="center"/>
    </xf>
    <xf numFmtId="0" fontId="15" fillId="17" borderId="68" xfId="0" applyFont="1" applyFill="1" applyBorder="1" applyAlignment="1">
      <alignment vertical="center"/>
    </xf>
    <xf numFmtId="167" fontId="0" fillId="0" borderId="6" xfId="0" applyNumberFormat="1" applyBorder="1" applyAlignment="1">
      <alignment vertical="center"/>
    </xf>
    <xf numFmtId="176" fontId="0" fillId="0" borderId="6" xfId="3" applyNumberFormat="1" applyFont="1" applyBorder="1" applyAlignment="1">
      <alignment vertical="center"/>
    </xf>
    <xf numFmtId="0" fontId="15" fillId="12" borderId="29" xfId="0" applyFont="1" applyFill="1" applyBorder="1" applyAlignment="1">
      <alignment horizontal="center" wrapText="1"/>
    </xf>
    <xf numFmtId="0" fontId="4" fillId="25" borderId="8" xfId="0" applyFont="1" applyFill="1" applyBorder="1" applyAlignment="1">
      <alignment horizontal="center" vertical="center"/>
    </xf>
    <xf numFmtId="171" fontId="10" fillId="3" borderId="6" xfId="5" applyNumberFormat="1" applyFont="1" applyFill="1" applyBorder="1" applyAlignment="1">
      <alignment horizontal="left" vertical="center"/>
    </xf>
    <xf numFmtId="167" fontId="11" fillId="3" borderId="6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5" borderId="33" xfId="0" applyFont="1" applyFill="1" applyBorder="1" applyAlignment="1">
      <alignment vertical="center" wrapText="1"/>
    </xf>
    <xf numFmtId="167" fontId="0" fillId="0" borderId="33" xfId="0" applyNumberFormat="1" applyBorder="1" applyAlignment="1">
      <alignment vertical="center"/>
    </xf>
    <xf numFmtId="167" fontId="0" fillId="0" borderId="33" xfId="0" applyNumberFormat="1" applyBorder="1" applyAlignment="1">
      <alignment horizontal="center" vertical="center"/>
    </xf>
    <xf numFmtId="167" fontId="11" fillId="29" borderId="3" xfId="0" applyNumberFormat="1" applyFont="1" applyFill="1" applyBorder="1" applyAlignment="1">
      <alignment horizontal="left" vertical="center"/>
    </xf>
    <xf numFmtId="167" fontId="33" fillId="27" borderId="7" xfId="0" applyNumberFormat="1" applyFont="1" applyFill="1" applyBorder="1" applyAlignment="1">
      <alignment horizontal="left" vertical="center"/>
    </xf>
    <xf numFmtId="167" fontId="11" fillId="28" borderId="7" xfId="0" applyNumberFormat="1" applyFont="1" applyFill="1" applyBorder="1" applyAlignment="1">
      <alignment horizontal="left" vertical="center"/>
    </xf>
    <xf numFmtId="167" fontId="11" fillId="3" borderId="7" xfId="0" applyNumberFormat="1" applyFont="1" applyFill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0" fillId="0" borderId="33" xfId="0" applyNumberFormat="1" applyBorder="1" applyAlignment="1">
      <alignment horizontal="center" vertical="center" wrapText="1"/>
    </xf>
    <xf numFmtId="0" fontId="4" fillId="25" borderId="35" xfId="0" applyFont="1" applyFill="1" applyBorder="1" applyAlignment="1">
      <alignment horizontal="center" vertical="center"/>
    </xf>
    <xf numFmtId="171" fontId="0" fillId="0" borderId="6" xfId="2" applyNumberFormat="1" applyFont="1" applyFill="1" applyBorder="1" applyAlignment="1">
      <alignment horizontal="center"/>
    </xf>
    <xf numFmtId="171" fontId="9" fillId="0" borderId="6" xfId="2" applyNumberFormat="1" applyFont="1" applyFill="1" applyBorder="1" applyAlignment="1">
      <alignment horizontal="center"/>
    </xf>
    <xf numFmtId="167" fontId="0" fillId="0" borderId="37" xfId="0" applyNumberFormat="1" applyBorder="1" applyAlignment="1">
      <alignment horizontal="left" vertical="center" wrapText="1"/>
    </xf>
    <xf numFmtId="0" fontId="0" fillId="0" borderId="56" xfId="0" applyBorder="1" applyAlignment="1">
      <alignment horizontal="center" vertical="center"/>
    </xf>
    <xf numFmtId="167" fontId="0" fillId="30" borderId="6" xfId="0" applyNumberFormat="1" applyFill="1" applyBorder="1" applyAlignment="1">
      <alignment horizontal="center" vertical="center"/>
    </xf>
    <xf numFmtId="1" fontId="4" fillId="2" borderId="1" xfId="2" applyNumberFormat="1" applyFont="1" applyFill="1" applyBorder="1" applyAlignment="1">
      <alignment horizontal="center" vertical="center"/>
    </xf>
    <xf numFmtId="167" fontId="33" fillId="27" borderId="64" xfId="0" applyNumberFormat="1" applyFont="1" applyFill="1" applyBorder="1" applyAlignment="1">
      <alignment horizontal="left" vertical="center"/>
    </xf>
    <xf numFmtId="167" fontId="33" fillId="27" borderId="8" xfId="0" applyNumberFormat="1" applyFont="1" applyFill="1" applyBorder="1" applyAlignment="1">
      <alignment horizontal="left" vertical="center"/>
    </xf>
    <xf numFmtId="167" fontId="11" fillId="28" borderId="64" xfId="0" applyNumberFormat="1" applyFont="1" applyFill="1" applyBorder="1" applyAlignment="1">
      <alignment horizontal="left" vertical="center"/>
    </xf>
    <xf numFmtId="167" fontId="11" fillId="28" borderId="8" xfId="0" applyNumberFormat="1" applyFont="1" applyFill="1" applyBorder="1" applyAlignment="1">
      <alignment horizontal="left" vertical="center"/>
    </xf>
    <xf numFmtId="167" fontId="11" fillId="29" borderId="64" xfId="0" applyNumberFormat="1" applyFont="1" applyFill="1" applyBorder="1" applyAlignment="1">
      <alignment horizontal="left" vertical="center"/>
    </xf>
    <xf numFmtId="167" fontId="11" fillId="29" borderId="8" xfId="0" applyNumberFormat="1" applyFont="1" applyFill="1" applyBorder="1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69" xfId="0" applyBorder="1" applyAlignment="1">
      <alignment vertical="center"/>
    </xf>
    <xf numFmtId="167" fontId="2" fillId="27" borderId="64" xfId="0" applyNumberFormat="1" applyFont="1" applyFill="1" applyBorder="1" applyAlignment="1">
      <alignment vertical="center"/>
    </xf>
    <xf numFmtId="167" fontId="2" fillId="27" borderId="64" xfId="0" applyNumberFormat="1" applyFont="1" applyFill="1" applyBorder="1" applyAlignment="1">
      <alignment horizontal="left" vertical="center" indent="1"/>
    </xf>
    <xf numFmtId="167" fontId="11" fillId="3" borderId="3" xfId="0" applyNumberFormat="1" applyFont="1" applyFill="1" applyBorder="1" applyAlignment="1">
      <alignment horizontal="left" vertical="center"/>
    </xf>
    <xf numFmtId="177" fontId="0" fillId="0" borderId="8" xfId="2" applyNumberFormat="1" applyFont="1" applyBorder="1" applyAlignment="1">
      <alignment vertical="center"/>
    </xf>
    <xf numFmtId="177" fontId="0" fillId="30" borderId="8" xfId="2" applyNumberFormat="1" applyFont="1" applyFill="1" applyBorder="1" applyAlignment="1">
      <alignment vertical="center"/>
    </xf>
    <xf numFmtId="167" fontId="0" fillId="0" borderId="64" xfId="0" applyNumberFormat="1" applyBorder="1" applyAlignment="1">
      <alignment vertical="center"/>
    </xf>
    <xf numFmtId="167" fontId="0" fillId="30" borderId="64" xfId="0" applyNumberFormat="1" applyFill="1" applyBorder="1" applyAlignment="1">
      <alignment vertical="center"/>
    </xf>
    <xf numFmtId="167" fontId="0" fillId="0" borderId="37" xfId="0" applyNumberFormat="1" applyBorder="1" applyAlignment="1">
      <alignment vertical="center"/>
    </xf>
    <xf numFmtId="167" fontId="0" fillId="0" borderId="10" xfId="0" applyNumberFormat="1" applyBorder="1" applyAlignment="1">
      <alignment horizontal="left" vertical="center" indent="1"/>
    </xf>
    <xf numFmtId="167" fontId="11" fillId="3" borderId="8" xfId="0" applyNumberFormat="1" applyFont="1" applyFill="1" applyBorder="1" applyAlignment="1">
      <alignment horizontal="center" vertical="center"/>
    </xf>
    <xf numFmtId="164" fontId="0" fillId="0" borderId="8" xfId="3" applyFont="1" applyFill="1" applyBorder="1" applyAlignment="1">
      <alignment vertical="center"/>
    </xf>
    <xf numFmtId="171" fontId="9" fillId="30" borderId="6" xfId="5" applyNumberFormat="1" applyFont="1" applyFill="1" applyBorder="1" applyAlignment="1" applyProtection="1">
      <alignment horizontal="center"/>
    </xf>
    <xf numFmtId="0" fontId="0" fillId="30" borderId="8" xfId="0" applyFill="1" applyBorder="1" applyAlignment="1">
      <alignment vertical="center"/>
    </xf>
    <xf numFmtId="0" fontId="30" fillId="0" borderId="0" xfId="0" applyFont="1" applyAlignment="1">
      <alignment vertical="center"/>
    </xf>
    <xf numFmtId="176" fontId="0" fillId="0" borderId="38" xfId="3" applyNumberFormat="1" applyFont="1" applyFill="1" applyBorder="1" applyAlignment="1">
      <alignment vertical="center"/>
    </xf>
    <xf numFmtId="176" fontId="0" fillId="0" borderId="6" xfId="3" applyNumberFormat="1" applyFont="1" applyFill="1" applyBorder="1" applyAlignment="1">
      <alignment vertical="center"/>
    </xf>
    <xf numFmtId="167" fontId="0" fillId="28" borderId="39" xfId="0" applyNumberFormat="1" applyFill="1" applyBorder="1" applyAlignment="1">
      <alignment horizontal="left" vertical="center"/>
    </xf>
    <xf numFmtId="164" fontId="34" fillId="28" borderId="39" xfId="3" applyFont="1" applyFill="1" applyBorder="1" applyAlignment="1">
      <alignment horizontal="left" vertical="center"/>
    </xf>
    <xf numFmtId="9" fontId="0" fillId="28" borderId="39" xfId="4" applyFont="1" applyFill="1" applyBorder="1" applyAlignment="1">
      <alignment horizontal="left" vertical="center"/>
    </xf>
    <xf numFmtId="167" fontId="0" fillId="28" borderId="39" xfId="0" applyNumberFormat="1" applyFill="1" applyBorder="1" applyAlignment="1">
      <alignment horizontal="left" vertical="center" indent="1"/>
    </xf>
    <xf numFmtId="164" fontId="0" fillId="29" borderId="9" xfId="3" applyFont="1" applyFill="1" applyBorder="1" applyAlignment="1">
      <alignment horizontal="left" vertical="center"/>
    </xf>
    <xf numFmtId="164" fontId="34" fillId="29" borderId="9" xfId="3" applyFont="1" applyFill="1" applyBorder="1" applyAlignment="1">
      <alignment horizontal="left" vertical="center"/>
    </xf>
    <xf numFmtId="171" fontId="3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left" vertical="center"/>
    </xf>
    <xf numFmtId="0" fontId="0" fillId="35" borderId="7" xfId="0" quotePrefix="1" applyFill="1" applyBorder="1" applyAlignment="1">
      <alignment horizontal="right" vertical="center" indent="2"/>
    </xf>
    <xf numFmtId="0" fontId="0" fillId="35" borderId="0" xfId="0" applyFill="1" applyAlignment="1">
      <alignment vertical="center"/>
    </xf>
    <xf numFmtId="2" fontId="0" fillId="35" borderId="7" xfId="0" applyNumberFormat="1" applyFill="1" applyBorder="1" applyAlignment="1">
      <alignment horizontal="center" vertical="center"/>
    </xf>
    <xf numFmtId="0" fontId="0" fillId="35" borderId="6" xfId="0" quotePrefix="1" applyFill="1" applyBorder="1" applyAlignment="1">
      <alignment horizontal="right" vertical="center" indent="2"/>
    </xf>
    <xf numFmtId="2" fontId="0" fillId="35" borderId="6" xfId="0" applyNumberFormat="1" applyFill="1" applyBorder="1" applyAlignment="1">
      <alignment horizontal="center" vertical="center"/>
    </xf>
    <xf numFmtId="0" fontId="0" fillId="35" borderId="48" xfId="0" quotePrefix="1" applyFill="1" applyBorder="1" applyAlignment="1">
      <alignment horizontal="right" vertical="center" indent="2"/>
    </xf>
    <xf numFmtId="2" fontId="0" fillId="35" borderId="48" xfId="0" applyNumberFormat="1" applyFill="1" applyBorder="1" applyAlignment="1">
      <alignment horizontal="center" vertical="center"/>
    </xf>
    <xf numFmtId="2" fontId="0" fillId="35" borderId="48" xfId="0" applyNumberFormat="1" applyFill="1" applyBorder="1" applyAlignment="1">
      <alignment horizontal="center" vertical="center" wrapText="1"/>
    </xf>
    <xf numFmtId="2" fontId="0" fillId="22" borderId="6" xfId="0" applyNumberFormat="1" applyFill="1" applyBorder="1" applyAlignment="1">
      <alignment horizontal="right" vertical="center"/>
    </xf>
    <xf numFmtId="171" fontId="0" fillId="26" borderId="6" xfId="5" applyNumberFormat="1" applyFont="1" applyFill="1" applyBorder="1" applyAlignment="1" applyProtection="1">
      <alignment horizontal="left"/>
    </xf>
    <xf numFmtId="2" fontId="0" fillId="35" borderId="6" xfId="0" applyNumberFormat="1" applyFill="1" applyBorder="1" applyAlignment="1">
      <alignment horizontal="right" vertical="center"/>
    </xf>
    <xf numFmtId="171" fontId="0" fillId="35" borderId="6" xfId="5" applyNumberFormat="1" applyFont="1" applyFill="1" applyBorder="1" applyAlignment="1">
      <alignment horizontal="center" vertical="center"/>
    </xf>
    <xf numFmtId="0" fontId="0" fillId="35" borderId="6" xfId="0" applyFill="1" applyBorder="1" applyAlignment="1">
      <alignment horizontal="center" vertical="center"/>
    </xf>
    <xf numFmtId="22" fontId="15" fillId="0" borderId="29" xfId="0" applyNumberFormat="1" applyFont="1" applyBorder="1" applyAlignment="1">
      <alignment horizontal="right" wrapText="1"/>
    </xf>
    <xf numFmtId="14" fontId="15" fillId="0" borderId="29" xfId="0" applyNumberFormat="1" applyFont="1" applyBorder="1" applyAlignment="1">
      <alignment horizontal="right" wrapText="1"/>
    </xf>
    <xf numFmtId="0" fontId="15" fillId="0" borderId="29" xfId="0" applyFont="1" applyBorder="1" applyAlignment="1">
      <alignment horizontal="right" wrapText="1"/>
    </xf>
    <xf numFmtId="0" fontId="21" fillId="0" borderId="29" xfId="0" applyFont="1" applyBorder="1" applyAlignment="1">
      <alignment wrapText="1"/>
    </xf>
    <xf numFmtId="0" fontId="0" fillId="0" borderId="6" xfId="0" applyBorder="1" applyAlignment="1">
      <alignment horizontal="right" vertical="center"/>
    </xf>
    <xf numFmtId="171" fontId="9" fillId="0" borderId="0" xfId="2" applyNumberFormat="1" applyFont="1" applyFill="1" applyBorder="1" applyAlignment="1">
      <alignment horizontal="center"/>
    </xf>
    <xf numFmtId="2" fontId="0" fillId="34" borderId="6" xfId="0" applyNumberFormat="1" applyFill="1" applyBorder="1" applyAlignment="1">
      <alignment horizontal="right" vertical="center" indent="1"/>
    </xf>
    <xf numFmtId="0" fontId="0" fillId="34" borderId="6" xfId="0" applyFill="1" applyBorder="1" applyAlignment="1">
      <alignment horizontal="center" vertical="center"/>
    </xf>
    <xf numFmtId="2" fontId="0" fillId="32" borderId="6" xfId="0" applyNumberFormat="1" applyFill="1" applyBorder="1" applyAlignment="1">
      <alignment horizontal="right" vertical="center" indent="1"/>
    </xf>
    <xf numFmtId="0" fontId="0" fillId="32" borderId="6" xfId="0" applyFill="1" applyBorder="1" applyAlignment="1">
      <alignment horizontal="center" vertical="center"/>
    </xf>
    <xf numFmtId="2" fontId="0" fillId="33" borderId="6" xfId="0" applyNumberFormat="1" applyFill="1" applyBorder="1" applyAlignment="1">
      <alignment horizontal="right" vertical="center" indent="1"/>
    </xf>
    <xf numFmtId="0" fontId="0" fillId="33" borderId="6" xfId="0" applyFill="1" applyBorder="1" applyAlignment="1">
      <alignment horizontal="center" vertical="center"/>
    </xf>
    <xf numFmtId="2" fontId="0" fillId="38" borderId="6" xfId="0" applyNumberFormat="1" applyFill="1" applyBorder="1" applyAlignment="1">
      <alignment horizontal="right" vertical="center" indent="1"/>
    </xf>
    <xf numFmtId="0" fontId="0" fillId="38" borderId="6" xfId="0" applyFill="1" applyBorder="1" applyAlignment="1">
      <alignment horizontal="center" vertical="center"/>
    </xf>
    <xf numFmtId="169" fontId="0" fillId="0" borderId="6" xfId="0" applyNumberFormat="1" applyBorder="1" applyAlignment="1">
      <alignment vertical="center"/>
    </xf>
    <xf numFmtId="0" fontId="20" fillId="18" borderId="29" xfId="0" applyFont="1" applyFill="1" applyBorder="1" applyAlignment="1">
      <alignment vertical="center"/>
    </xf>
    <xf numFmtId="0" fontId="42" fillId="0" borderId="29" xfId="0" applyFont="1" applyBorder="1" applyAlignment="1">
      <alignment wrapText="1"/>
    </xf>
    <xf numFmtId="0" fontId="15" fillId="7" borderId="29" xfId="0" applyFont="1" applyFill="1" applyBorder="1" applyAlignment="1">
      <alignment horizontal="right" wrapText="1"/>
    </xf>
    <xf numFmtId="2" fontId="3" fillId="3" borderId="15" xfId="0" applyNumberFormat="1" applyFont="1" applyFill="1" applyBorder="1" applyAlignment="1">
      <alignment horizontal="center" wrapText="1"/>
    </xf>
    <xf numFmtId="167" fontId="0" fillId="22" borderId="9" xfId="5" applyNumberFormat="1" applyFont="1" applyFill="1" applyBorder="1" applyAlignment="1">
      <alignment vertical="center"/>
    </xf>
    <xf numFmtId="167" fontId="0" fillId="0" borderId="38" xfId="5" applyNumberFormat="1" applyFont="1" applyFill="1" applyBorder="1" applyAlignment="1">
      <alignment vertical="center"/>
    </xf>
    <xf numFmtId="166" fontId="0" fillId="0" borderId="9" xfId="3" applyNumberFormat="1" applyFont="1" applyFill="1" applyBorder="1" applyAlignment="1">
      <alignment vertical="center"/>
    </xf>
    <xf numFmtId="166" fontId="0" fillId="0" borderId="38" xfId="3" applyNumberFormat="1" applyFont="1" applyFill="1" applyBorder="1" applyAlignment="1">
      <alignment vertical="center"/>
    </xf>
    <xf numFmtId="166" fontId="0" fillId="0" borderId="9" xfId="3" applyNumberFormat="1" applyFont="1" applyBorder="1" applyAlignment="1">
      <alignment vertical="center"/>
    </xf>
    <xf numFmtId="166" fontId="0" fillId="0" borderId="41" xfId="3" applyNumberFormat="1" applyFont="1" applyFill="1" applyBorder="1" applyAlignment="1">
      <alignment vertical="center"/>
    </xf>
    <xf numFmtId="0" fontId="0" fillId="2" borderId="6" xfId="0" applyFill="1" applyBorder="1" applyAlignment="1">
      <alignment horizontal="left" vertical="center"/>
    </xf>
    <xf numFmtId="0" fontId="0" fillId="2" borderId="6" xfId="0" applyFill="1" applyBorder="1" applyAlignment="1">
      <alignment vertical="center"/>
    </xf>
    <xf numFmtId="167" fontId="0" fillId="2" borderId="6" xfId="1" applyNumberFormat="1" applyFont="1" applyFill="1" applyBorder="1" applyAlignment="1">
      <alignment horizontal="center" vertical="center"/>
    </xf>
    <xf numFmtId="166" fontId="0" fillId="2" borderId="6" xfId="0" applyNumberFormat="1" applyFill="1" applyBorder="1" applyAlignment="1">
      <alignment vertical="center"/>
    </xf>
    <xf numFmtId="168" fontId="0" fillId="2" borderId="6" xfId="0" applyNumberFormat="1" applyFill="1" applyBorder="1" applyAlignment="1">
      <alignment vertical="center"/>
    </xf>
    <xf numFmtId="167" fontId="0" fillId="0" borderId="5" xfId="0" applyNumberFormat="1" applyBorder="1" applyAlignment="1">
      <alignment horizontal="center" vertical="center"/>
    </xf>
    <xf numFmtId="177" fontId="0" fillId="0" borderId="5" xfId="2" applyNumberFormat="1" applyFont="1" applyBorder="1" applyAlignment="1">
      <alignment vertical="center"/>
    </xf>
    <xf numFmtId="167" fontId="0" fillId="0" borderId="70" xfId="0" applyNumberFormat="1" applyBorder="1" applyAlignment="1">
      <alignment vertical="center"/>
    </xf>
    <xf numFmtId="167" fontId="0" fillId="0" borderId="1" xfId="0" applyNumberFormat="1" applyBorder="1" applyAlignment="1">
      <alignment vertical="center"/>
    </xf>
    <xf numFmtId="164" fontId="0" fillId="0" borderId="5" xfId="3" applyFont="1" applyFill="1" applyBorder="1" applyAlignment="1">
      <alignment vertical="center"/>
    </xf>
    <xf numFmtId="164" fontId="0" fillId="0" borderId="1" xfId="3" applyFont="1" applyFill="1" applyBorder="1" applyAlignment="1">
      <alignment vertical="center"/>
    </xf>
    <xf numFmtId="0" fontId="0" fillId="0" borderId="71" xfId="0" applyBorder="1" applyAlignment="1">
      <alignment horizontal="left" vertical="center"/>
    </xf>
    <xf numFmtId="0" fontId="8" fillId="0" borderId="71" xfId="0" applyFont="1" applyBorder="1" applyAlignment="1">
      <alignment horizontal="left" vertical="top"/>
    </xf>
    <xf numFmtId="167" fontId="9" fillId="2" borderId="6" xfId="1" applyNumberFormat="1" applyFont="1" applyFill="1" applyBorder="1" applyAlignment="1">
      <alignment horizontal="center" vertical="center"/>
    </xf>
    <xf numFmtId="0" fontId="0" fillId="0" borderId="6" xfId="0" applyBorder="1"/>
    <xf numFmtId="0" fontId="4" fillId="4" borderId="6" xfId="0" applyFont="1" applyFill="1" applyBorder="1" applyAlignment="1">
      <alignment horizontal="center" vertical="center" textRotation="45"/>
    </xf>
    <xf numFmtId="0" fontId="4" fillId="31" borderId="6" xfId="0" applyFont="1" applyFill="1" applyBorder="1" applyAlignment="1">
      <alignment horizontal="center" vertical="center" textRotation="45"/>
    </xf>
    <xf numFmtId="0" fontId="4" fillId="39" borderId="6" xfId="0" applyFont="1" applyFill="1" applyBorder="1" applyAlignment="1">
      <alignment horizontal="center" vertical="center" textRotation="45"/>
    </xf>
    <xf numFmtId="0" fontId="4" fillId="39" borderId="41" xfId="0" applyFont="1" applyFill="1" applyBorder="1" applyAlignment="1">
      <alignment horizontal="center" vertical="center" textRotation="45"/>
    </xf>
    <xf numFmtId="171" fontId="9" fillId="0" borderId="6" xfId="5" applyNumberFormat="1" applyFont="1" applyFill="1" applyBorder="1" applyAlignment="1" applyProtection="1">
      <alignment horizontal="center" vertical="center"/>
    </xf>
    <xf numFmtId="167" fontId="9" fillId="0" borderId="6" xfId="1" applyNumberFormat="1" applyFont="1" applyFill="1" applyBorder="1" applyAlignment="1">
      <alignment horizontal="center" vertical="center"/>
    </xf>
    <xf numFmtId="171" fontId="9" fillId="22" borderId="6" xfId="5" applyNumberFormat="1" applyFont="1" applyFill="1" applyBorder="1" applyAlignment="1">
      <alignment vertical="center"/>
    </xf>
    <xf numFmtId="176" fontId="0" fillId="0" borderId="38" xfId="3" applyNumberFormat="1" applyFont="1" applyBorder="1" applyAlignment="1">
      <alignment vertical="center"/>
    </xf>
    <xf numFmtId="1" fontId="9" fillId="22" borderId="6" xfId="5" applyNumberFormat="1" applyFont="1" applyFill="1" applyBorder="1" applyAlignment="1">
      <alignment vertical="center"/>
    </xf>
    <xf numFmtId="2" fontId="0" fillId="2" borderId="72" xfId="0" applyNumberFormat="1" applyFill="1" applyBorder="1" applyAlignment="1">
      <alignment horizontal="right" vertical="center" indent="1"/>
    </xf>
    <xf numFmtId="0" fontId="0" fillId="0" borderId="73" xfId="0" applyBorder="1" applyAlignment="1">
      <alignment vertical="center"/>
    </xf>
    <xf numFmtId="171" fontId="0" fillId="2" borderId="74" xfId="5" applyNumberFormat="1" applyFont="1" applyFill="1" applyBorder="1" applyAlignment="1" applyProtection="1">
      <alignment horizontal="center"/>
    </xf>
    <xf numFmtId="2" fontId="0" fillId="22" borderId="75" xfId="0" applyNumberFormat="1" applyFill="1" applyBorder="1" applyAlignment="1">
      <alignment horizontal="right" vertical="center" indent="1"/>
    </xf>
    <xf numFmtId="171" fontId="0" fillId="0" borderId="76" xfId="5" applyNumberFormat="1" applyFont="1" applyFill="1" applyBorder="1" applyAlignment="1" applyProtection="1">
      <alignment horizontal="center"/>
    </xf>
    <xf numFmtId="2" fontId="0" fillId="22" borderId="77" xfId="0" applyNumberFormat="1" applyFill="1" applyBorder="1" applyAlignment="1">
      <alignment horizontal="right" vertical="center" indent="1"/>
    </xf>
    <xf numFmtId="0" fontId="0" fillId="0" borderId="78" xfId="0" applyBorder="1" applyAlignment="1">
      <alignment vertical="center"/>
    </xf>
    <xf numFmtId="171" fontId="0" fillId="0" borderId="79" xfId="5" applyNumberFormat="1" applyFont="1" applyFill="1" applyBorder="1" applyAlignment="1" applyProtection="1">
      <alignment horizontal="center"/>
    </xf>
    <xf numFmtId="2" fontId="0" fillId="22" borderId="72" xfId="0" applyNumberFormat="1" applyFill="1" applyBorder="1" applyAlignment="1">
      <alignment horizontal="right" vertical="center" indent="1"/>
    </xf>
    <xf numFmtId="170" fontId="0" fillId="0" borderId="74" xfId="5" applyFont="1" applyFill="1" applyBorder="1" applyAlignment="1" applyProtection="1">
      <alignment horizontal="center"/>
    </xf>
    <xf numFmtId="170" fontId="0" fillId="0" borderId="76" xfId="5" applyFont="1" applyFill="1" applyBorder="1" applyAlignment="1" applyProtection="1">
      <alignment horizontal="center"/>
    </xf>
    <xf numFmtId="170" fontId="0" fillId="0" borderId="79" xfId="5" applyFont="1" applyFill="1" applyBorder="1" applyAlignment="1" applyProtection="1">
      <alignment horizontal="center"/>
    </xf>
    <xf numFmtId="2" fontId="0" fillId="22" borderId="80" xfId="0" applyNumberFormat="1" applyFill="1" applyBorder="1" applyAlignment="1">
      <alignment horizontal="right" vertical="center" indent="1"/>
    </xf>
    <xf numFmtId="170" fontId="0" fillId="0" borderId="81" xfId="5" applyFont="1" applyFill="1" applyBorder="1" applyAlignment="1" applyProtection="1">
      <alignment horizontal="center"/>
    </xf>
    <xf numFmtId="0" fontId="0" fillId="6" borderId="6" xfId="0" applyFill="1" applyBorder="1" applyAlignment="1">
      <alignment horizontal="left" vertical="center" indent="2"/>
    </xf>
    <xf numFmtId="0" fontId="8" fillId="6" borderId="8" xfId="0" applyFont="1" applyFill="1" applyBorder="1" applyAlignment="1">
      <alignment horizontal="left" vertical="top"/>
    </xf>
    <xf numFmtId="0" fontId="0" fillId="2" borderId="6" xfId="0" applyFill="1" applyBorder="1" applyAlignment="1">
      <alignment horizontal="left" vertical="center" indent="2"/>
    </xf>
    <xf numFmtId="0" fontId="8" fillId="2" borderId="8" xfId="0" applyFont="1" applyFill="1" applyBorder="1" applyAlignment="1">
      <alignment horizontal="left" vertical="top"/>
    </xf>
    <xf numFmtId="0" fontId="0" fillId="2" borderId="9" xfId="0" applyFill="1" applyBorder="1" applyAlignment="1">
      <alignment vertical="center"/>
    </xf>
    <xf numFmtId="171" fontId="9" fillId="2" borderId="6" xfId="5" applyNumberFormat="1" applyFont="1" applyFill="1" applyBorder="1" applyAlignment="1">
      <alignment horizontal="center" vertical="center"/>
    </xf>
    <xf numFmtId="0" fontId="0" fillId="0" borderId="82" xfId="0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0" fillId="2" borderId="82" xfId="0" applyFill="1" applyBorder="1" applyAlignment="1">
      <alignment horizontal="left" vertical="center"/>
    </xf>
    <xf numFmtId="0" fontId="0" fillId="2" borderId="83" xfId="0" applyFill="1" applyBorder="1" applyAlignment="1">
      <alignment horizontal="left" vertical="center"/>
    </xf>
    <xf numFmtId="164" fontId="0" fillId="0" borderId="41" xfId="3" applyFont="1" applyFill="1" applyBorder="1" applyAlignment="1">
      <alignment vertical="center"/>
    </xf>
    <xf numFmtId="0" fontId="0" fillId="0" borderId="47" xfId="0" applyBorder="1" applyAlignment="1">
      <alignment horizontal="left" vertical="center"/>
    </xf>
    <xf numFmtId="171" fontId="9" fillId="0" borderId="51" xfId="5" applyNumberFormat="1" applyFont="1" applyFill="1" applyBorder="1" applyAlignment="1">
      <alignment horizontal="center" vertical="center"/>
    </xf>
    <xf numFmtId="167" fontId="0" fillId="0" borderId="9" xfId="5" applyNumberFormat="1" applyFont="1" applyFill="1" applyBorder="1" applyAlignment="1">
      <alignment vertical="center"/>
    </xf>
    <xf numFmtId="164" fontId="0" fillId="40" borderId="38" xfId="3" applyFont="1" applyFill="1" applyBorder="1" applyAlignment="1">
      <alignment vertical="center"/>
    </xf>
    <xf numFmtId="167" fontId="0" fillId="0" borderId="6" xfId="0" applyNumberFormat="1" applyBorder="1" applyAlignment="1">
      <alignment horizontal="center" vertical="center" wrapText="1"/>
    </xf>
    <xf numFmtId="164" fontId="4" fillId="29" borderId="64" xfId="3" applyFont="1" applyFill="1" applyBorder="1" applyAlignment="1">
      <alignment horizontal="center" vertical="center"/>
    </xf>
    <xf numFmtId="164" fontId="4" fillId="29" borderId="6" xfId="3" applyFont="1" applyFill="1" applyBorder="1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0" fontId="4" fillId="25" borderId="4" xfId="0" applyFont="1" applyFill="1" applyBorder="1" applyAlignment="1">
      <alignment horizontal="center" vertical="center"/>
    </xf>
    <xf numFmtId="167" fontId="2" fillId="27" borderId="9" xfId="0" applyNumberFormat="1" applyFont="1" applyFill="1" applyBorder="1" applyAlignment="1">
      <alignment horizontal="left" vertical="center" indent="1"/>
    </xf>
    <xf numFmtId="173" fontId="2" fillId="27" borderId="38" xfId="0" applyNumberFormat="1" applyFont="1" applyFill="1" applyBorder="1" applyAlignment="1">
      <alignment horizontal="center" vertical="center"/>
    </xf>
    <xf numFmtId="164" fontId="0" fillId="28" borderId="38" xfId="3" applyFont="1" applyFill="1" applyBorder="1" applyAlignment="1">
      <alignment horizontal="center" vertical="center"/>
    </xf>
    <xf numFmtId="164" fontId="0" fillId="29" borderId="6" xfId="3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/>
    </xf>
    <xf numFmtId="0" fontId="23" fillId="24" borderId="6" xfId="0" applyFont="1" applyFill="1" applyBorder="1" applyAlignment="1">
      <alignment horizontal="left" vertical="center"/>
    </xf>
    <xf numFmtId="167" fontId="2" fillId="27" borderId="64" xfId="0" applyNumberFormat="1" applyFont="1" applyFill="1" applyBorder="1" applyAlignment="1">
      <alignment horizontal="center" vertical="center"/>
    </xf>
    <xf numFmtId="167" fontId="2" fillId="27" borderId="8" xfId="0" applyNumberFormat="1" applyFont="1" applyFill="1" applyBorder="1" applyAlignment="1">
      <alignment horizontal="center" vertical="center"/>
    </xf>
    <xf numFmtId="167" fontId="4" fillId="28" borderId="64" xfId="0" applyNumberFormat="1" applyFont="1" applyFill="1" applyBorder="1" applyAlignment="1">
      <alignment horizontal="center" vertical="center"/>
    </xf>
    <xf numFmtId="167" fontId="4" fillId="28" borderId="8" xfId="0" applyNumberFormat="1" applyFont="1" applyFill="1" applyBorder="1" applyAlignment="1">
      <alignment horizontal="center" vertical="center"/>
    </xf>
    <xf numFmtId="0" fontId="16" fillId="11" borderId="22" xfId="0" applyFont="1" applyFill="1" applyBorder="1" applyAlignment="1">
      <alignment horizontal="center"/>
    </xf>
    <xf numFmtId="0" fontId="16" fillId="11" borderId="23" xfId="0" applyFont="1" applyFill="1" applyBorder="1" applyAlignment="1">
      <alignment horizontal="center"/>
    </xf>
    <xf numFmtId="0" fontId="16" fillId="11" borderId="28" xfId="0" applyFont="1" applyFill="1" applyBorder="1" applyAlignment="1">
      <alignment horizontal="center"/>
    </xf>
    <xf numFmtId="0" fontId="0" fillId="3" borderId="5" xfId="0" applyFill="1" applyBorder="1" applyAlignment="1">
      <alignment horizontal="right" vertical="center"/>
    </xf>
    <xf numFmtId="0" fontId="0" fillId="3" borderId="35" xfId="0" applyFill="1" applyBorder="1" applyAlignment="1">
      <alignment horizontal="right" vertical="center"/>
    </xf>
    <xf numFmtId="0" fontId="0" fillId="3" borderId="7" xfId="0" applyFill="1" applyBorder="1" applyAlignment="1">
      <alignment horizontal="right" vertical="center"/>
    </xf>
    <xf numFmtId="0" fontId="26" fillId="0" borderId="5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7" fillId="3" borderId="5" xfId="0" applyFont="1" applyFill="1" applyBorder="1" applyAlignment="1">
      <alignment horizontal="center" vertical="center" wrapText="1"/>
    </xf>
    <xf numFmtId="0" fontId="27" fillId="3" borderId="35" xfId="0" applyFont="1" applyFill="1" applyBorder="1" applyAlignment="1">
      <alignment horizontal="center" vertical="center" wrapText="1"/>
    </xf>
    <xf numFmtId="0" fontId="27" fillId="3" borderId="7" xfId="0" applyFont="1" applyFill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/>
    </xf>
    <xf numFmtId="0" fontId="14" fillId="7" borderId="23" xfId="0" applyFont="1" applyFill="1" applyBorder="1" applyAlignment="1">
      <alignment horizontal="center"/>
    </xf>
    <xf numFmtId="0" fontId="14" fillId="7" borderId="24" xfId="0" applyFont="1" applyFill="1" applyBorder="1" applyAlignment="1">
      <alignment horizontal="center"/>
    </xf>
    <xf numFmtId="0" fontId="14" fillId="2" borderId="22" xfId="0" applyFont="1" applyFill="1" applyBorder="1" applyAlignment="1">
      <alignment horizontal="center"/>
    </xf>
    <xf numFmtId="0" fontId="14" fillId="2" borderId="23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center"/>
    </xf>
    <xf numFmtId="0" fontId="14" fillId="8" borderId="26" xfId="0" applyFont="1" applyFill="1" applyBorder="1" applyAlignment="1">
      <alignment horizontal="center"/>
    </xf>
    <xf numFmtId="0" fontId="14" fillId="8" borderId="23" xfId="0" applyFont="1" applyFill="1" applyBorder="1" applyAlignment="1">
      <alignment horizontal="center"/>
    </xf>
    <xf numFmtId="0" fontId="14" fillId="8" borderId="24" xfId="0" applyFont="1" applyFill="1" applyBorder="1" applyAlignment="1">
      <alignment horizontal="center"/>
    </xf>
    <xf numFmtId="0" fontId="16" fillId="9" borderId="22" xfId="0" applyFont="1" applyFill="1" applyBorder="1" applyAlignment="1">
      <alignment horizontal="center"/>
    </xf>
    <xf numFmtId="0" fontId="16" fillId="9" borderId="23" xfId="0" applyFont="1" applyFill="1" applyBorder="1" applyAlignment="1">
      <alignment horizontal="center"/>
    </xf>
    <xf numFmtId="0" fontId="16" fillId="9" borderId="28" xfId="0" applyFont="1" applyFill="1" applyBorder="1" applyAlignment="1">
      <alignment horizontal="center"/>
    </xf>
    <xf numFmtId="0" fontId="16" fillId="5" borderId="30" xfId="0" applyFont="1" applyFill="1" applyBorder="1" applyAlignment="1">
      <alignment horizontal="center"/>
    </xf>
    <xf numFmtId="0" fontId="16" fillId="5" borderId="31" xfId="0" applyFont="1" applyFill="1" applyBorder="1" applyAlignment="1">
      <alignment horizontal="center"/>
    </xf>
    <xf numFmtId="0" fontId="16" fillId="5" borderId="32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 wrapText="1"/>
    </xf>
    <xf numFmtId="167" fontId="0" fillId="0" borderId="64" xfId="0" applyNumberFormat="1" applyBorder="1" applyAlignment="1">
      <alignment horizontal="left" vertical="center" wrapText="1" indent="1"/>
    </xf>
    <xf numFmtId="164" fontId="4" fillId="29" borderId="8" xfId="3" applyFont="1" applyFill="1" applyBorder="1" applyAlignment="1">
      <alignment horizontal="center" vertical="center"/>
    </xf>
    <xf numFmtId="167" fontId="2" fillId="27" borderId="64" xfId="0" applyNumberFormat="1" applyFont="1" applyFill="1" applyBorder="1" applyAlignment="1">
      <alignment horizontal="left" vertical="center" indent="1"/>
    </xf>
    <xf numFmtId="173" fontId="2" fillId="27" borderId="38" xfId="0" applyNumberFormat="1" applyFont="1" applyFill="1" applyBorder="1" applyAlignment="1">
      <alignment horizontal="right" vertical="center"/>
    </xf>
    <xf numFmtId="167" fontId="0" fillId="0" borderId="70" xfId="0" applyNumberFormat="1" applyBorder="1" applyAlignment="1">
      <alignment horizontal="center" vertical="center" wrapText="1"/>
    </xf>
    <xf numFmtId="167" fontId="0" fillId="0" borderId="65" xfId="0" applyNumberFormat="1" applyBorder="1" applyAlignment="1">
      <alignment horizontal="center" vertical="center" wrapText="1"/>
    </xf>
    <xf numFmtId="0" fontId="4" fillId="25" borderId="6" xfId="0" applyFont="1" applyFill="1" applyBorder="1" applyAlignment="1">
      <alignment horizontal="center" vertical="center"/>
    </xf>
    <xf numFmtId="167" fontId="2" fillId="27" borderId="70" xfId="0" applyNumberFormat="1" applyFont="1" applyFill="1" applyBorder="1" applyAlignment="1">
      <alignment vertical="center"/>
    </xf>
    <xf numFmtId="167" fontId="2" fillId="27" borderId="65" xfId="0" applyNumberFormat="1" applyFont="1" applyFill="1" applyBorder="1" applyAlignment="1">
      <alignment vertical="center"/>
    </xf>
    <xf numFmtId="173" fontId="2" fillId="27" borderId="58" xfId="0" applyNumberFormat="1" applyFont="1" applyFill="1" applyBorder="1" applyAlignment="1">
      <alignment horizontal="right" vertical="center"/>
    </xf>
    <xf numFmtId="173" fontId="2" fillId="27" borderId="43" xfId="0" applyNumberFormat="1" applyFont="1" applyFill="1" applyBorder="1" applyAlignment="1">
      <alignment horizontal="right" vertical="center"/>
    </xf>
    <xf numFmtId="167" fontId="0" fillId="0" borderId="13" xfId="0" applyNumberFormat="1" applyBorder="1" applyAlignment="1">
      <alignment horizontal="left" vertical="center" indent="1"/>
    </xf>
    <xf numFmtId="167" fontId="0" fillId="0" borderId="33" xfId="0" applyNumberFormat="1" applyBorder="1" applyAlignment="1">
      <alignment horizontal="left" vertical="center" wrapText="1"/>
    </xf>
    <xf numFmtId="167" fontId="2" fillId="27" borderId="64" xfId="0" applyNumberFormat="1" applyFont="1" applyFill="1" applyBorder="1" applyAlignment="1">
      <alignment vertical="center"/>
    </xf>
    <xf numFmtId="167" fontId="0" fillId="0" borderId="64" xfId="0" applyNumberFormat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/>
    </xf>
    <xf numFmtId="0" fontId="4" fillId="25" borderId="7" xfId="0" applyFont="1" applyFill="1" applyBorder="1" applyAlignment="1">
      <alignment horizontal="center" vertical="center"/>
    </xf>
    <xf numFmtId="0" fontId="0" fillId="22" borderId="0" xfId="0" applyFill="1" applyAlignment="1">
      <alignment horizontal="right" vertical="center"/>
    </xf>
    <xf numFmtId="2" fontId="0" fillId="22" borderId="6" xfId="0" applyNumberFormat="1" applyFill="1" applyBorder="1" applyAlignment="1">
      <alignment horizontal="right" vertical="center" indent="1"/>
    </xf>
    <xf numFmtId="169" fontId="0" fillId="2" borderId="6" xfId="0" applyNumberForma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0" fontId="0" fillId="41" borderId="0" xfId="0" applyFill="1" applyAlignment="1">
      <alignment vertical="center"/>
    </xf>
    <xf numFmtId="0" fontId="0" fillId="0" borderId="6" xfId="0" applyFill="1" applyBorder="1" applyAlignment="1">
      <alignment vertical="center"/>
    </xf>
    <xf numFmtId="0" fontId="0" fillId="34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2" borderId="0" xfId="0" applyFill="1" applyAlignment="1">
      <alignment vertical="center"/>
    </xf>
  </cellXfs>
  <cellStyles count="6">
    <cellStyle name="Millares" xfId="2" builtinId="3"/>
    <cellStyle name="Millares 2" xfId="5" xr:uid="{55571931-7196-4C0E-BB8F-5BC3A74D8608}"/>
    <cellStyle name="Millares 4" xfId="1" xr:uid="{010EA886-F85C-44F7-A771-F79EB18C8473}"/>
    <cellStyle name="Moneda" xfId="3" builtinId="4"/>
    <cellStyle name="Normal" xfId="0" builtinId="0"/>
    <cellStyle name="Porcentaje" xfId="4" builtinId="5"/>
  </cellStyles>
  <dxfs count="372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S/-280A]* #,##0.00_-;\-[$S/-280A]* #,##0.00_-;_-[$S/-280A]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theme="0" tint="-0.249977111117893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[$S/-280A]* #,##0.00_-;\-[$S/-280A]* #,##0.00_-;_-[$S/-280A]* &quot;-&quot;??_-;_-@_-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S/-280A]* #,##0.00_-;\-[$S/-280A]* #,##0.00_-;_-[$S/-280A]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S/-280A]* #,##0.00_-;\-[$S/-280A]* #,##0.00_-;_-[$S/-280A]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#,##0.00\ \K\g\.;\-#,##0.00\ \K\g\.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#,##0.00\ \K\g\.;\-#,##0.00\ \K\g\.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auto="1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FF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theme="0" tint="-0.249977111117893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FF0000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FF0000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theme="0" tint="-0.249977111117893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FF0000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numFmt numFmtId="177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.00\ \K\g\.;\-#,##0.00\ \K\g\.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BFBFBF"/>
        </top>
      </border>
    </dxf>
    <dxf>
      <border outline="0">
        <top style="thin">
          <color rgb="FF000000"/>
        </top>
        <bottom style="thin">
          <color rgb="FFBFBFBF"/>
        </bottom>
      </border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top style="thin">
          <color indexed="64"/>
        </top>
        <bottom style="thin">
          <color theme="0" tint="-0.249977111117893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69696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medium">
          <color rgb="FFC00000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rgb="FFC00000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rgb="FFBFBFB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rgb="FFBFBFB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00FF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_-&quot;S/&quot;* #,##0.00_-;\-&quot;S/&quot;* #,##0.00_-;_-&quot;S/&quot;* &quot;-&quot;??_-;_-@_-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S/&quot;* #,##0.00_);_(&quot;S/&quot;* \(#,##0.00\);_(&quot;S/&quot;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.00\ \K\g\.;\-#,##0.00\ \K\g\.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_ * #,##0_ ;_ * \-#,##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theme="0" tint="-0.24997711111789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CC"/>
        </patternFill>
      </fill>
    </dxf>
    <dxf>
      <font>
        <color auto="1"/>
      </font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S/-280A]* #,##0.00_-;\-[$S/-280A]* #,##0.00_-;_-[$S/-280A]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#,##0.00\ \K\g\.;\-#,##0.00\ \K\g\.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 tint="-0.499984740745262"/>
        </left>
        <top style="thin">
          <color theme="0" tint="-0.499984740745262"/>
        </top>
      </border>
    </dxf>
    <dxf>
      <fill>
        <patternFill patternType="none">
          <fgColor indexed="64"/>
          <bgColor auto="1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00FFCC"/>
      <color rgb="FFFF9999"/>
      <color rgb="FFFF7C8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048" y="850391"/>
          <a:ext cx="1112235" cy="52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182880</xdr:colOff>
          <xdr:row>4</xdr:row>
          <xdr:rowOff>38100</xdr:rowOff>
        </xdr:from>
        <xdr:to>
          <xdr:col>10</xdr:col>
          <xdr:colOff>906780</xdr:colOff>
          <xdr:row>5</xdr:row>
          <xdr:rowOff>137160</xdr:rowOff>
        </xdr:to>
        <xdr:sp macro="" textlink="">
          <xdr:nvSpPr>
            <xdr:cNvPr id="5121" name="BtnImprimi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73" y="850391"/>
          <a:ext cx="1112235" cy="522000"/>
        </a:xfrm>
        <a:prstGeom prst="rect">
          <a:avLst/>
        </a:prstGeom>
      </xdr:spPr>
    </xdr:pic>
    <xdr:clientData/>
  </xdr:twoCellAnchor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73" y="850391"/>
          <a:ext cx="1112235" cy="52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4</xdr:row>
          <xdr:rowOff>38100</xdr:rowOff>
        </xdr:from>
        <xdr:to>
          <xdr:col>10</xdr:col>
          <xdr:colOff>952500</xdr:colOff>
          <xdr:row>5</xdr:row>
          <xdr:rowOff>137160</xdr:rowOff>
        </xdr:to>
        <xdr:sp macro="" textlink="">
          <xdr:nvSpPr>
            <xdr:cNvPr id="6145" name="BtnImprimi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73" y="850391"/>
          <a:ext cx="1112235" cy="522000"/>
        </a:xfrm>
        <a:prstGeom prst="rect">
          <a:avLst/>
        </a:prstGeom>
      </xdr:spPr>
    </xdr:pic>
    <xdr:clientData/>
  </xdr:twoCellAnchor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73" y="850391"/>
          <a:ext cx="1112235" cy="522000"/>
        </a:xfrm>
        <a:prstGeom prst="rect">
          <a:avLst/>
        </a:prstGeom>
      </xdr:spPr>
    </xdr:pic>
    <xdr:clientData/>
  </xdr:twoCellAnchor>
  <xdr:twoCellAnchor>
    <xdr:from>
      <xdr:col>2</xdr:col>
      <xdr:colOff>47273</xdr:colOff>
      <xdr:row>4</xdr:row>
      <xdr:rowOff>31241</xdr:rowOff>
    </xdr:from>
    <xdr:to>
      <xdr:col>2</xdr:col>
      <xdr:colOff>1159508</xdr:colOff>
      <xdr:row>6</xdr:row>
      <xdr:rowOff>172241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73" y="850391"/>
          <a:ext cx="1112235" cy="52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251460</xdr:colOff>
          <xdr:row>4</xdr:row>
          <xdr:rowOff>30480</xdr:rowOff>
        </xdr:from>
        <xdr:to>
          <xdr:col>10</xdr:col>
          <xdr:colOff>975360</xdr:colOff>
          <xdr:row>5</xdr:row>
          <xdr:rowOff>129540</xdr:rowOff>
        </xdr:to>
        <xdr:sp macro="" textlink="">
          <xdr:nvSpPr>
            <xdr:cNvPr id="7169" name="BtnImprimi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56029</xdr:colOff>
      <xdr:row>3</xdr:row>
      <xdr:rowOff>89647</xdr:rowOff>
    </xdr:from>
    <xdr:to>
      <xdr:col>25</xdr:col>
      <xdr:colOff>795617</xdr:colOff>
      <xdr:row>16</xdr:row>
      <xdr:rowOff>112059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pSpPr/>
      </xdr:nvGrpSpPr>
      <xdr:grpSpPr>
        <a:xfrm>
          <a:off x="14280664" y="474457"/>
          <a:ext cx="6210748" cy="2495102"/>
          <a:chOff x="13491882" y="425823"/>
          <a:chExt cx="5894384" cy="23190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491882" y="425823"/>
            <a:ext cx="2880000" cy="1824681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06266" y="425823"/>
            <a:ext cx="2880000" cy="2319049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238125</xdr:colOff>
      <xdr:row>1</xdr:row>
      <xdr:rowOff>4599</xdr:rowOff>
    </xdr:from>
    <xdr:to>
      <xdr:col>22</xdr:col>
      <xdr:colOff>552520</xdr:colOff>
      <xdr:row>9</xdr:row>
      <xdr:rowOff>18313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51349" y="103133"/>
          <a:ext cx="7714663" cy="144193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3</xdr:row>
      <xdr:rowOff>19050</xdr:rowOff>
    </xdr:from>
    <xdr:to>
      <xdr:col>22</xdr:col>
      <xdr:colOff>832125</xdr:colOff>
      <xdr:row>11</xdr:row>
      <xdr:rowOff>190300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12513945" y="386715"/>
          <a:ext cx="6128025" cy="1603810"/>
          <a:chOff x="12192000" y="400050"/>
          <a:chExt cx="5918475" cy="1600000"/>
        </a:xfrm>
      </xdr:grpSpPr>
      <xdr:pic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192000" y="400050"/>
            <a:ext cx="2880000" cy="1600000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230475" y="400050"/>
            <a:ext cx="2880000" cy="1086000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BB55FE2-0855-43BD-89C5-86C9C5417309}" name="TbPiezas" displayName="TbPiezas" ref="B4:H551" totalsRowShown="0" dataDxfId="369" tableBorderDxfId="368">
  <autoFilter ref="B4:H551" xr:uid="{7BB55FE2-0855-43BD-89C5-86C9C5417309}"/>
  <tableColumns count="7">
    <tableColumn id="1" xr3:uid="{656C2600-5F89-4379-AFCF-23045A9E9BAF}" name="ITEM" dataDxfId="367"/>
    <tableColumn id="2" xr3:uid="{975C23B3-5458-4F14-B21C-265E3985404A}" name="ORDEN" dataDxfId="366"/>
    <tableColumn id="3" xr3:uid="{543A4FCE-05BF-4BF3-B644-D845ED4D1CB8}" name="FAMILIA" dataDxfId="365"/>
    <tableColumn id="4" xr3:uid="{6FAE19A8-7FE3-44E4-960E-AF522C81546C}" name="DESCRIPCION" dataDxfId="364"/>
    <tableColumn id="5" xr3:uid="{407FCDDD-88E2-4A60-8CEC-F28A275AA65A}" name="PESO" dataDxfId="363"/>
    <tableColumn id="6" xr3:uid="{25EFBF1A-0C4E-424F-95A9-A1784D69F7B3}" name="VENTA" dataDxfId="362"/>
    <tableColumn id="7" xr3:uid="{5B8197BE-A0BB-4A58-BEF6-E71F07E1A77E}" name="ALQUILER" dataDxfId="361">
      <calculatedColumnFormula>+TbPiezas[[#This Row],[VENTA]]*$G$2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9161B0-2EC1-4798-B285-0791FA392F0A}" name="TbAlquiler" displayName="TbAlquiler" ref="H17:Z562" totalsRowShown="0" headerRowDxfId="352" dataDxfId="351" tableBorderDxfId="350" headerRowCellStyle="Moneda" dataCellStyle="Moneda">
  <autoFilter ref="H17:Z562" xr:uid="{9C9161B0-2EC1-4798-B285-0791FA392F0A}"/>
  <tableColumns count="19">
    <tableColumn id="1" xr3:uid="{E63ECBD7-7FEC-4E31-B6ED-A15CB1BF967D}" name="ITEM" dataDxfId="349">
      <calculatedColumnFormula>+C18</calculatedColumnFormula>
    </tableColumn>
    <tableColumn id="2" xr3:uid="{F8B6324B-6E06-418E-8A30-15EC209469C0}" name="REV" dataDxfId="348">
      <calculatedColumnFormula>+IF(C18=H18,"ok","mal")</calculatedColumnFormula>
    </tableColumn>
    <tableColumn id="3" xr3:uid="{FFFF2C58-6315-444F-B87D-2806C9C33F0F}" name="GENERAL" dataDxfId="347" dataCellStyle="Millares 2">
      <calculatedColumnFormula>IFERROR(VLOOKUP($H18,TG[],3,FALSE),"NA")</calculatedColumnFormula>
    </tableColumn>
    <tableColumn id="4" xr3:uid="{95A33CD2-8D2E-43A4-86C9-570DD1DB15D4}" name="FACHADA" dataDxfId="346" dataCellStyle="Millares 2">
      <calculatedColumnFormula>IFERROR(VLOOKUP($H18,TF[],3,FALSE),"NA")</calculatedColumnFormula>
    </tableColumn>
    <tableColumn id="5" xr3:uid="{08683D2E-A22D-42B8-B6CE-31FCB86E061C}" name=" AND. TRABAJO" dataDxfId="345" dataCellStyle="Millares 2">
      <calculatedColumnFormula>IFERROR(VLOOKUP($H18,TT[],3,FALSE),"NA")</calculatedColumnFormula>
    </tableColumn>
    <tableColumn id="6" xr3:uid="{379FF406-A9EA-4118-8F5A-5AEFD2E39DE6}" name="ESCALERA" dataDxfId="344" dataCellStyle="Millares 2">
      <calculatedColumnFormula>IFERROR(VLOOKUP($H18,TES[],3,FALSE),"NA")</calculatedColumnFormula>
    </tableColumn>
    <tableColumn id="7" xr3:uid="{867E408C-0F52-40F0-B7B7-0F72F7CDCA18}" name="ESCUADRAS" dataDxfId="343" dataCellStyle="Millares 2">
      <calculatedColumnFormula>IFERROR(VLOOKUP($H18,TEC[],3,FALSE),"NA")</calculatedColumnFormula>
    </tableColumn>
    <tableColumn id="20" xr3:uid="{1D5C795F-34F2-49CA-A63B-B23FC9DA312E}" name="PUNTALES" dataDxfId="342" dataCellStyle="Millares 2">
      <calculatedColumnFormula>IFERROR(VLOOKUP($H18,TP[],3,FALSE),"NA")</calculatedColumnFormula>
    </tableColumn>
    <tableColumn id="21" xr3:uid="{D1BEA547-1A82-4187-875D-555025424E82}" name="ENCOFRADO" dataDxfId="341" dataCellStyle="Millares 2">
      <calculatedColumnFormula>IFERROR(VLOOKUP($H18,TEN[],3,FALSE),"NA")</calculatedColumnFormula>
    </tableColumn>
    <tableColumn id="8" xr3:uid="{F5FBFCA9-E9CD-4442-8EB8-62B1F78EC64A}" name="PLAT. DESCAR" dataDxfId="340" dataCellStyle="Millares 2">
      <calculatedColumnFormula>IFERROR(VLOOKUP($H18,TD[],3,FALSE),"NA")</calculatedColumnFormula>
    </tableColumn>
    <tableColumn id="9" xr3:uid="{B3CCDB52-99B7-4DC1-944A-9F9232AFF74E}" name="ADE" dataDxfId="339" dataCellStyle="Millares 2">
      <calculatedColumnFormula>IFERROR(VLOOKUP($H18,TC[],3,FALSE),"NA")</calculatedColumnFormula>
    </tableColumn>
    <tableColumn id="11" xr3:uid="{C18C5C0E-E76A-440C-BE86-6EB1BF5EA944}" name="ELEVADOR" dataDxfId="338" dataCellStyle="Millares 2">
      <calculatedColumnFormula>IFERROR(VLOOKUP($H18,TEV[],3,FALSE),"NA")</calculatedColumnFormula>
    </tableColumn>
    <tableColumn id="19" xr3:uid="{7A1E138B-4565-47BA-A714-595358039DEE}" name="TOTAL" dataDxfId="337" dataCellStyle="Millares 2">
      <calculatedColumnFormula>SUM(TbAlquiler[[#This Row],[GENERAL]:[ELEVADOR]])</calculatedColumnFormula>
    </tableColumn>
    <tableColumn id="12" xr3:uid="{62642C03-5F87-45E3-964A-B55692A03A7E}" name="P.U. (1)" dataDxfId="336">
      <calculatedColumnFormula>IF(VLOOKUP(TbAlquiler[[#This Row],[ITEM]],TbPiezas[],5,FALSE)="NA",0,VLOOKUP(TbAlquiler[[#This Row],[ITEM]],TbPiezas[],5,FALSE))</calculatedColumnFormula>
    </tableColumn>
    <tableColumn id="13" xr3:uid="{A61DE7C7-DE84-40BB-87BF-2BE594DB2449}" name="PARCIAL (1)" dataDxfId="335">
      <calculatedColumnFormula>+TbAlquiler[[#This Row],[TOTAL]]*TbAlquiler[[#This Row],[P.U. (1)]]</calculatedColumnFormula>
    </tableColumn>
    <tableColumn id="14" xr3:uid="{D71F285F-4078-4ECD-9FA2-769B4392D498}" name="P.U. (2)" dataDxfId="334" dataCellStyle="Moneda">
      <calculatedColumnFormula>+VLOOKUP(TbAlquiler[[#This Row],[ITEM]],TbPiezas[],6,FALSE)</calculatedColumnFormula>
    </tableColumn>
    <tableColumn id="15" xr3:uid="{E5228765-A45E-4D2E-A070-27B792937A28}" name="PARCIAL (2)" dataDxfId="333" dataCellStyle="Moneda">
      <calculatedColumnFormula>+TbAlquiler[[#This Row],[TOTAL]]*TbAlquiler[[#This Row],[P.U. (2)]]</calculatedColumnFormula>
    </tableColumn>
    <tableColumn id="16" xr3:uid="{27D223B7-B3E3-4EAE-8B4F-5477A4F23E24}" name="P.U. (3)" dataDxfId="332" dataCellStyle="Moneda">
      <calculatedColumnFormula>+VLOOKUP(TbAlquiler[[#This Row],[ITEM]],TbPiezas[],7,FALSE)</calculatedColumnFormula>
    </tableColumn>
    <tableColumn id="17" xr3:uid="{DDE25316-28BD-4C50-A000-EBF6238551F7}" name="PARCIAL (3)" dataDxfId="331" dataCellStyle="Moneda">
      <calculatedColumnFormula>+TbAlquiler[[#This Row],[TOTAL]]*TbAlquiler[[#This Row],[P.U. (3)]]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94B511-48FA-4E4C-B026-A890A6ABD339}" name="TbVenta" displayName="TbVenta" ref="H17:Z24" totalsRowShown="0" headerRowDxfId="322" dataDxfId="321" tableBorderDxfId="320" headerRowCellStyle="Moneda" dataCellStyle="Moneda">
  <autoFilter ref="H17:Z24" xr:uid="{9C9161B0-2EC1-4798-B285-0791FA392F0A}"/>
  <tableColumns count="19">
    <tableColumn id="1" xr3:uid="{EF16070C-764B-485A-B92A-2E4E96D171B5}" name="ITEM" dataDxfId="319">
      <calculatedColumnFormula>+C18</calculatedColumnFormula>
    </tableColumn>
    <tableColumn id="2" xr3:uid="{0113D824-5E03-46DC-9875-C986A9704D7A}" name="REV" dataDxfId="318">
      <calculatedColumnFormula>+IF(C18=H18,"ok","mal")</calculatedColumnFormula>
    </tableColumn>
    <tableColumn id="3" xr3:uid="{C93EBA4A-24C7-4813-84B9-8908BA75E955}" name="GENERAL" dataDxfId="317" dataCellStyle="Millares 2">
      <calculatedColumnFormula>IFERROR(VLOOKUP($H18,TG[],3,FALSE),"NA")</calculatedColumnFormula>
    </tableColumn>
    <tableColumn id="4" xr3:uid="{12192591-6DF3-4CDB-A01A-83CC37B08732}" name="FACHADA" dataDxfId="316" dataCellStyle="Millares 2">
      <calculatedColumnFormula>IFERROR(VLOOKUP($H18,TF[],3,FALSE),"NA")</calculatedColumnFormula>
    </tableColumn>
    <tableColumn id="5" xr3:uid="{36A4E0E3-74FD-4D4D-BD9A-0AC24D8813EE}" name=" AND. TRABAJO" dataDxfId="315" dataCellStyle="Millares 2">
      <calculatedColumnFormula>IFERROR(VLOOKUP($H18,TT[],3,FALSE),"NA")</calculatedColumnFormula>
    </tableColumn>
    <tableColumn id="6" xr3:uid="{3C88DA3C-26EB-4306-ADD3-8E987B1AE6B9}" name="ESCALERA" dataDxfId="314" dataCellStyle="Millares 2">
      <calculatedColumnFormula>IFERROR(VLOOKUP($H18,TES[],3,FALSE),"NA")</calculatedColumnFormula>
    </tableColumn>
    <tableColumn id="7" xr3:uid="{8EEA0D65-FF6A-42AA-A432-4F63B8766E07}" name="ESCUADRAS" dataDxfId="313" dataCellStyle="Millares 2">
      <calculatedColumnFormula>IFERROR(VLOOKUP($H18,TEC[],3,FALSE),"NA")</calculatedColumnFormula>
    </tableColumn>
    <tableColumn id="20" xr3:uid="{0069854C-009D-4467-8B47-6BF11B79807B}" name="PUNTALES" dataDxfId="312" dataCellStyle="Millares 2">
      <calculatedColumnFormula>IFERROR(VLOOKUP($H18,TP[],3,FALSE),"NA")</calculatedColumnFormula>
    </tableColumn>
    <tableColumn id="21" xr3:uid="{E107D0DD-6502-4D9E-986C-11CF48C25168}" name="ENCOFRADO" dataDxfId="311" dataCellStyle="Millares 2">
      <calculatedColumnFormula>IFERROR(VLOOKUP($H18,TEN[],3,FALSE),"NA")</calculatedColumnFormula>
    </tableColumn>
    <tableColumn id="8" xr3:uid="{DEF8DCD9-9714-41D9-8420-2D95BCA273B1}" name="PLAT. DESCAR" dataDxfId="310" dataCellStyle="Millares 2">
      <calculatedColumnFormula>IFERROR(VLOOKUP($H18,TD[],3,FALSE),"NA")</calculatedColumnFormula>
    </tableColumn>
    <tableColumn id="9" xr3:uid="{547926E8-7F63-488B-91D6-B05A106F02E3}" name="ADE" dataDxfId="309" dataCellStyle="Millares 2">
      <calculatedColumnFormula>IFERROR(VLOOKUP($H18,TC[],3,FALSE),"NA")</calculatedColumnFormula>
    </tableColumn>
    <tableColumn id="11" xr3:uid="{039CFA96-3DC9-43C7-BE75-46882B7BB2C8}" name="ELEVADOR" dataDxfId="308" dataCellStyle="Millares 2">
      <calculatedColumnFormula>IFERROR(VLOOKUP($H18,TEV[],3,FALSE),"NA")</calculatedColumnFormula>
    </tableColumn>
    <tableColumn id="19" xr3:uid="{D07A365E-10CF-4843-A50A-0EB3D1BD28A2}" name="TOTAL" dataDxfId="307" dataCellStyle="Millares 2">
      <calculatedColumnFormula>SUM(TbVenta[[#This Row],[GENERAL]:[ELEVADOR]])</calculatedColumnFormula>
    </tableColumn>
    <tableColumn id="12" xr3:uid="{FA25B613-922A-4A77-9F5F-09F3874E9EFA}" name="P.U. (1)" dataDxfId="306">
      <calculatedColumnFormula>IF(VLOOKUP(TbVenta[[#This Row],[ITEM]],TbPiezas[],5,FALSE)="NA",0,VLOOKUP(TbVenta[[#This Row],[ITEM]],TbPiezas[],5,FALSE))</calculatedColumnFormula>
    </tableColumn>
    <tableColumn id="13" xr3:uid="{4763B268-10AC-4B89-B8F4-598D06481704}" name="PARCIAL (1)" dataDxfId="305">
      <calculatedColumnFormula>+TbVenta[[#This Row],[TOTAL]]*TbVenta[[#This Row],[P.U. (1)]]</calculatedColumnFormula>
    </tableColumn>
    <tableColumn id="14" xr3:uid="{43F08F88-1BF3-4024-8CB9-A87BF83A403F}" name="P.U. (2)" dataDxfId="304" dataCellStyle="Moneda">
      <calculatedColumnFormula>+VLOOKUP(TbVenta[[#This Row],[ITEM]],TbPiezas[],6,FALSE)</calculatedColumnFormula>
    </tableColumn>
    <tableColumn id="15" xr3:uid="{650904C2-22A4-4D6C-9294-EB45407B33EB}" name="PARCIAL (2)" dataDxfId="303" dataCellStyle="Moneda">
      <calculatedColumnFormula>+TbVenta[[#This Row],[TOTAL]]*TbVenta[[#This Row],[P.U. (2)]]</calculatedColumnFormula>
    </tableColumn>
    <tableColumn id="16" xr3:uid="{9AB6CA76-CE6A-413C-8F10-D1788974B18F}" name="P.U. (3)" dataDxfId="302" dataCellStyle="Moneda">
      <calculatedColumnFormula>+VLOOKUP(TbVenta[[#This Row],[ITEM]],TbPiezas[],7,FALSE)</calculatedColumnFormula>
    </tableColumn>
    <tableColumn id="17" xr3:uid="{3820427D-FE71-48D4-9C36-7708001B6C1A}" name="PARCIAL (3)" dataDxfId="301" dataCellStyle="Moneda">
      <calculatedColumnFormula>+TbVenta[[#This Row],[TOTAL]]*TbVenta[[#This Row],[P.U. (3)]]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A6DAF4A-2E21-4F24-9A26-701A1D1DBD47}" name="TbPrestamo" displayName="TbPrestamo" ref="H17:Z564" totalsRowShown="0" headerRowDxfId="280" dataDxfId="279" tableBorderDxfId="278" headerRowCellStyle="Moneda" dataCellStyle="Moneda">
  <autoFilter ref="H17:Z564" xr:uid="{9C9161B0-2EC1-4798-B285-0791FA392F0A}"/>
  <tableColumns count="19">
    <tableColumn id="1" xr3:uid="{0FAC1F9C-059D-497E-A12D-122101B102FF}" name="ITEM" dataDxfId="277">
      <calculatedColumnFormula>+C18</calculatedColumnFormula>
    </tableColumn>
    <tableColumn id="2" xr3:uid="{F609737C-6016-4744-A971-1924FAA577A9}" name="REV" dataDxfId="276">
      <calculatedColumnFormula>+IF(C18=H18,"ok","mal")</calculatedColumnFormula>
    </tableColumn>
    <tableColumn id="3" xr3:uid="{FC9BF042-30A8-47A9-A1DF-3D75ADE0B6F3}" name="GENERAL" dataDxfId="275" dataCellStyle="Millares 2">
      <calculatedColumnFormula>IFERROR(VLOOKUP($H18,TG[],3,FALSE),"NA")</calculatedColumnFormula>
    </tableColumn>
    <tableColumn id="4" xr3:uid="{A061EB65-C18F-4A0C-AB5F-D348A651AE93}" name="FACHADA" dataDxfId="274" dataCellStyle="Millares 2">
      <calculatedColumnFormula>IFERROR(VLOOKUP($H18,TF[],3,FALSE),"NA")</calculatedColumnFormula>
    </tableColumn>
    <tableColumn id="5" xr3:uid="{6918007E-E1A3-4697-A376-6E76A560248F}" name=" AND. TRABAJO" dataDxfId="273" dataCellStyle="Millares 2">
      <calculatedColumnFormula>IFERROR(VLOOKUP($H18,TT[],3,FALSE),"NA")</calculatedColumnFormula>
    </tableColumn>
    <tableColumn id="6" xr3:uid="{915280CF-2299-456E-B3CC-9E978DD317E1}" name="ESCALERA" dataDxfId="272" dataCellStyle="Millares 2">
      <calculatedColumnFormula>IFERROR(VLOOKUP($H18,TES[],3,FALSE),"NA")</calculatedColumnFormula>
    </tableColumn>
    <tableColumn id="7" xr3:uid="{7E8423F8-3E5E-425D-A2AE-818DAAC4467C}" name="ESCUADRAS" dataDxfId="271" dataCellStyle="Millares 2">
      <calculatedColumnFormula>IFERROR(VLOOKUP($H18,TEC[],3,FALSE),"NA")</calculatedColumnFormula>
    </tableColumn>
    <tableColumn id="20" xr3:uid="{B1113C4C-4442-4DD7-9993-4934807B7ED5}" name="PUNTALES" dataDxfId="270" dataCellStyle="Millares 2">
      <calculatedColumnFormula>IFERROR(VLOOKUP($H18,TP[],3,FALSE),"NA")</calculatedColumnFormula>
    </tableColumn>
    <tableColumn id="21" xr3:uid="{FE0EE710-2736-4267-AB16-7CF33A1C6405}" name="ENCOFRADO" dataDxfId="269" dataCellStyle="Millares 2">
      <calculatedColumnFormula>IFERROR(VLOOKUP($H18,TEN[],3,FALSE),"NA")</calculatedColumnFormula>
    </tableColumn>
    <tableColumn id="8" xr3:uid="{3B448974-2047-401A-A9F8-77AEC9E78E74}" name="PLAT. DESCAR" dataDxfId="268" dataCellStyle="Millares 2">
      <calculatedColumnFormula>IFERROR(VLOOKUP($H18,TD[],3,FALSE),"NA")</calculatedColumnFormula>
    </tableColumn>
    <tableColumn id="9" xr3:uid="{055944BB-63A0-47E6-BEE9-76482E0F2F7E}" name="ADE" dataDxfId="267" dataCellStyle="Millares 2">
      <calculatedColumnFormula>IFERROR(VLOOKUP($H18,TC[],3,FALSE),"NA")</calculatedColumnFormula>
    </tableColumn>
    <tableColumn id="11" xr3:uid="{A6A265EE-FC54-4B7B-9815-742B4D6018BB}" name="ELEVADOR" dataDxfId="266" dataCellStyle="Millares 2">
      <calculatedColumnFormula>IFERROR(VLOOKUP($H18,TEV[],3,FALSE),"NA")</calculatedColumnFormula>
    </tableColumn>
    <tableColumn id="19" xr3:uid="{718B5A09-2251-4A19-8A4A-70DC42DEEC51}" name="TOTAL" dataDxfId="265" dataCellStyle="Millares 2">
      <calculatedColumnFormula>SUM(TbPrestamo[[#This Row],[GENERAL]:[ELEVADOR]])</calculatedColumnFormula>
    </tableColumn>
    <tableColumn id="12" xr3:uid="{0DFFFE9A-3626-448B-9945-182591E38A69}" name="P.U. (1)" dataDxfId="264">
      <calculatedColumnFormula>IF(VLOOKUP(TbPrestamo[[#This Row],[ITEM]],TbPiezas[],5,FALSE)="NA",0,VLOOKUP(TbPrestamo[[#This Row],[ITEM]],TbPiezas[],5,FALSE))</calculatedColumnFormula>
    </tableColumn>
    <tableColumn id="13" xr3:uid="{AEB043B9-1860-42FC-A7D3-95E33C31CFE7}" name="PARCIAL (1)" dataDxfId="263">
      <calculatedColumnFormula>+TbPrestamo[[#This Row],[TOTAL]]*TbPrestamo[[#This Row],[P.U. (1)]]</calculatedColumnFormula>
    </tableColumn>
    <tableColumn id="14" xr3:uid="{E1594065-49B7-4E05-91FC-4080C87A01D6}" name="P.U. (2)" dataDxfId="262" dataCellStyle="Moneda">
      <calculatedColumnFormula>+VLOOKUP(TbPrestamo[[#This Row],[ITEM]],TbPiezas[],6,FALSE)</calculatedColumnFormula>
    </tableColumn>
    <tableColumn id="15" xr3:uid="{47C6B601-F479-44A2-BA37-9380213CF1FD}" name="PARCIAL (2)" dataDxfId="261" dataCellStyle="Moneda">
      <calculatedColumnFormula>+TbPrestamo[[#This Row],[TOTAL]]*TbPrestamo[[#This Row],[P.U. (2)]]</calculatedColumnFormula>
    </tableColumn>
    <tableColumn id="16" xr3:uid="{F4A119F5-5BBA-4F70-875B-6DC3C933188E}" name="P.U. (3)" dataDxfId="260" dataCellStyle="Moneda">
      <calculatedColumnFormula>+VLOOKUP(TbPrestamo[[#This Row],[ITEM]],TbPiezas[],7,FALSE)</calculatedColumnFormula>
    </tableColumn>
    <tableColumn id="17" xr3:uid="{8E2B79BD-F3C8-4752-9F3E-2CFEC8747252}" name="PARCIAL (3)" dataDxfId="259" dataCellStyle="Moneda">
      <calculatedColumnFormula>+TbPrestamo[[#This Row],[TOTAL]]*TbPrestamo[[#This Row],[P.U. (3)]]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4D75DB-65A0-4E37-9F2F-0A163694E4DF}" name="TG" displayName="TG" ref="I5:Q552" totalsRowShown="0" headerRowDxfId="258" headerRowBorderDxfId="257" tableBorderDxfId="256" totalsRowBorderDxfId="255">
  <autoFilter ref="I5:Q552" xr:uid="{1B4D75DB-65A0-4E37-9F2F-0A163694E4DF}">
    <filterColumn colId="2">
      <filters>
        <filter val="3"/>
        <filter val="6"/>
      </filters>
    </filterColumn>
  </autoFilter>
  <tableColumns count="9">
    <tableColumn id="10" xr3:uid="{934DE2AE-90AD-4290-A0D3-C2330319644D}" name="ITEM" dataDxfId="254" dataCellStyle="Millares 2">
      <calculatedColumnFormula>+B6</calculatedColumnFormula>
    </tableColumn>
    <tableColumn id="11" xr3:uid="{8AE2526C-193C-45CD-897F-F5EE5F114D5A}" name="REV" dataDxfId="253">
      <calculatedColumnFormula>+IF(B6=TG[[#This Row],[ITEM]],"ok","mal")</calculatedColumnFormula>
    </tableColumn>
    <tableColumn id="8" xr3:uid="{35D56774-8997-42C8-9A25-89255DE7C9AC}" name="TOTAL" dataDxfId="252" dataCellStyle="Millares 2">
      <calculatedColumnFormula>SUM(D6:H6)</calculatedColumnFormula>
    </tableColumn>
    <tableColumn id="2" xr3:uid="{90FAC118-FC85-4E9D-9E08-25BC03E2135C}" name="P.U. (1)" dataDxfId="251">
      <calculatedColumnFormula>IF(VLOOKUP(B6,TbPiezas[],5,0)="NA",0,VLOOKUP(B6,TbPiezas[],5,0))</calculatedColumnFormula>
    </tableColumn>
    <tableColumn id="3" xr3:uid="{563F452D-EBEA-4149-ABAD-D92939AD5376}" name="PARCIAL (1)" dataDxfId="250">
      <calculatedColumnFormula>TG[[#This Row],[TOTAL]]*TG[[#This Row],[P.U. (1)]]</calculatedColumnFormula>
    </tableColumn>
    <tableColumn id="4" xr3:uid="{A1DC1F7B-4908-44A4-BDDA-43DB06FCABFE}" name="P.U. (2)" dataDxfId="249" dataCellStyle="Moneda">
      <calculatedColumnFormula>+VLOOKUP(B6,TbPiezas[],6,0)</calculatedColumnFormula>
    </tableColumn>
    <tableColumn id="5" xr3:uid="{45D8A7FD-26F2-4373-8451-02B48461642D}" name="PARCIAL (2)" dataDxfId="248" dataCellStyle="Moneda">
      <calculatedColumnFormula>TG[[#This Row],[TOTAL]]*TG[[#This Row],[P.U. (2)]]</calculatedColumnFormula>
    </tableColumn>
    <tableColumn id="6" xr3:uid="{5A998CFE-AB1F-45C8-A604-ABDB4D766B8D}" name="P.U. (3)" dataDxfId="247" dataCellStyle="Moneda">
      <calculatedColumnFormula>+VLOOKUP(B6,TbPiezas[],7,0)</calculatedColumnFormula>
    </tableColumn>
    <tableColumn id="7" xr3:uid="{F8A328A7-879A-4075-A06E-5AE425F63F9E}" name="PARCIAL (3)" dataDxfId="246" dataCellStyle="Moneda">
      <calculatedColumnFormula>ROUND(TG[[#This Row],[TOTAL]]*TG[[#This Row],[P.U. (3)]],2)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5F2C4F-EAA7-4688-92DA-CB41557B70B8}" name="TF" displayName="TF" ref="R20:Z104" totalsRowShown="0" headerRowDxfId="217" headerRowBorderDxfId="216" tableBorderDxfId="215" totalsRowBorderDxfId="214">
  <autoFilter ref="R20:Z104" xr:uid="{F55F2C4F-EAA7-4688-92DA-CB41557B70B8}"/>
  <tableColumns count="9">
    <tableColumn id="1" xr3:uid="{E610FFAC-19FD-4B03-8279-7A4E8AD2A686}" name="ITEM" dataDxfId="213" dataCellStyle="Millares 2">
      <calculatedColumnFormula>+C21</calculatedColumnFormula>
    </tableColumn>
    <tableColumn id="9" xr3:uid="{34DAEF11-D364-4C22-858F-3E3EC598A98A}" name="REV" dataDxfId="212" dataCellStyle="Millares 2">
      <calculatedColumnFormula>+IF(C21=TF[[#This Row],[ITEM]],"ok","mal")</calculatedColumnFormula>
    </tableColumn>
    <tableColumn id="8" xr3:uid="{47C5BC2F-4A13-4C7D-AA33-E666447F4CB2}" name="TOTAL" dataDxfId="211" dataCellStyle="Millares 2">
      <calculatedColumnFormula>SUM(E21:Q21)</calculatedColumnFormula>
    </tableColumn>
    <tableColumn id="2" xr3:uid="{EF132C34-B749-4527-92CB-2D2ABBE1F374}" name="P.U. (1)" dataDxfId="210">
      <calculatedColumnFormula>IF(VLOOKUP(R21,TbPiezas[],5,0)="NA",0,VLOOKUP(R21,TbPiezas[],5,0))</calculatedColumnFormula>
    </tableColumn>
    <tableColumn id="3" xr3:uid="{824AF314-BCD6-486F-B52B-4FDE50E1012F}" name="PARCIAL (1)" dataDxfId="209">
      <calculatedColumnFormula>+TF[[#This Row],[TOTAL]]*TF[[#This Row],[P.U. (1)]]</calculatedColumnFormula>
    </tableColumn>
    <tableColumn id="4" xr3:uid="{A0D9C166-97BD-4D8C-8259-05F40AB75431}" name="P.U. (2)" dataDxfId="208" dataCellStyle="Moneda">
      <calculatedColumnFormula>+VLOOKUP(R21,TbPiezas[],6,0)</calculatedColumnFormula>
    </tableColumn>
    <tableColumn id="5" xr3:uid="{27DA8675-9EDC-4AA4-BB9C-C99B664165FE}" name="PARCIAL (2)" dataDxfId="207" dataCellStyle="Moneda">
      <calculatedColumnFormula>ROUND(TF[[#This Row],[TOTAL]]*TF[[#This Row],[P.U. (2)]],2)</calculatedColumnFormula>
    </tableColumn>
    <tableColumn id="6" xr3:uid="{96C71BD9-08AB-40D5-8123-18A3AC834274}" name="P.U. (3)" dataDxfId="206" dataCellStyle="Moneda">
      <calculatedColumnFormula>+VLOOKUP(R21,TbPiezas[],7,0)</calculatedColumnFormula>
    </tableColumn>
    <tableColumn id="7" xr3:uid="{050AA9FA-99FC-4FD9-9228-CC45B52D71F6}" name="PARCIAL (3)" dataDxfId="205" dataCellStyle="Moneda">
      <calculatedColumnFormula>ROUND(TF[[#This Row],[TOTAL]]*TF[[#This Row],[P.U. (3)]],2)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F34CF1D-8D19-497A-91F5-A0E87A6C0955}" name="TES" displayName="TES" ref="M12:U124" totalsRowShown="0" headerRowDxfId="121" dataDxfId="119" headerRowBorderDxfId="120" tableBorderDxfId="118" totalsRowBorderDxfId="117" dataCellStyle="Moneda">
  <autoFilter ref="M12:U124" xr:uid="{6F34CF1D-8D19-497A-91F5-A0E87A6C0955}">
    <filterColumn colId="2">
      <filters>
        <filter val="1"/>
        <filter val="10"/>
        <filter val="11"/>
        <filter val="2"/>
        <filter val="4"/>
        <filter val="5"/>
      </filters>
    </filterColumn>
  </autoFilter>
  <tableColumns count="9">
    <tableColumn id="1" xr3:uid="{0DCB17B1-0E60-43B8-BF7F-AD08D8D174A8}" name="ITEM" dataDxfId="116">
      <calculatedColumnFormula>+C13</calculatedColumnFormula>
    </tableColumn>
    <tableColumn id="2" xr3:uid="{7AE1583C-9FA6-4F3F-AD94-707BD2085A02}" name="REV" dataDxfId="115">
      <calculatedColumnFormula>+IF(TES[[#This Row],[ITEM]]=C13,"ok","mal")</calculatedColumnFormula>
    </tableColumn>
    <tableColumn id="3" xr3:uid="{6DDCB762-9C48-4B7B-9031-B10E6175634A}" name="TOTAL" dataDxfId="114" dataCellStyle="Millares">
      <calculatedColumnFormula>SUM(E13:L13)</calculatedColumnFormula>
    </tableColumn>
    <tableColumn id="4" xr3:uid="{9A78BA33-8440-4607-BE1E-89A4E3A4517F}" name="P.U. (1)" dataDxfId="113">
      <calculatedColumnFormula>IF(VLOOKUP(TES[[#This Row],[ITEM]],TbPiezas[],5,0)="NA",0,VLOOKUP(TES[[#This Row],[ITEM]],TbPiezas[],5,0))</calculatedColumnFormula>
    </tableColumn>
    <tableColumn id="5" xr3:uid="{B1366AE8-85EF-4E62-853C-1FC0F9B3C6AC}" name="PARCIAL (1)" dataDxfId="112">
      <calculatedColumnFormula>+TES[[#This Row],[TOTAL]]*TES[[#This Row],[P.U. (1)]]</calculatedColumnFormula>
    </tableColumn>
    <tableColumn id="6" xr3:uid="{3BA6C3F7-931D-45F1-A1D9-624C73F14A81}" name="P.U. (2)" dataDxfId="111" dataCellStyle="Moneda">
      <calculatedColumnFormula>+VLOOKUP(TES[[#This Row],[ITEM]],TbPiezas[],6,0)</calculatedColumnFormula>
    </tableColumn>
    <tableColumn id="7" xr3:uid="{12916B33-726C-4F4C-A428-EE2D206F426E}" name="PARCIAL (2)" dataDxfId="110" dataCellStyle="Moneda">
      <calculatedColumnFormula>+TES[[#This Row],[TOTAL]]*TES[[#This Row],[P.U. (2)]]</calculatedColumnFormula>
    </tableColumn>
    <tableColumn id="8" xr3:uid="{A6F3B9EB-EB75-4D34-899A-7BD7F0F560BD}" name="P.U. (3)" dataDxfId="109" dataCellStyle="Moneda">
      <calculatedColumnFormula>+VLOOKUP(TES[[#This Row],[ITEM]],TbPiezas[],7,0)</calculatedColumnFormula>
    </tableColumn>
    <tableColumn id="9" xr3:uid="{52CC268F-E82E-4E8A-9247-F8C3F494C881}" name="PARCIAL (3)" dataDxfId="108" dataCellStyle="Moneda">
      <calculatedColumnFormula>+TES[[#This Row],[P.U. (3)]]*TES[[#This Row],[TOTAL]]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73D3A3B-6ACC-4215-A777-247FB59A02C9}" name="TT" displayName="TT" ref="R18:Z100" totalsRowShown="0" headerRowDxfId="163" headerRowBorderDxfId="162" tableBorderDxfId="161" totalsRowBorderDxfId="160">
  <autoFilter ref="R18:Z100" xr:uid="{F55F2C4F-EAA7-4688-92DA-CB41557B70B8}"/>
  <tableColumns count="9">
    <tableColumn id="1" xr3:uid="{4361F02A-1281-4C50-96F1-D6C38AF225D9}" name="ITEM" dataDxfId="159" dataCellStyle="Millares 2">
      <calculatedColumnFormula>+C19</calculatedColumnFormula>
    </tableColumn>
    <tableColumn id="9" xr3:uid="{40FC2BA2-30D8-4BDE-9E6A-6229F59DE9DB}" name="REV" dataDxfId="158" dataCellStyle="Millares 2">
      <calculatedColumnFormula>+IF(C19=TT[[#This Row],[ITEM]],"ok","mal")</calculatedColumnFormula>
    </tableColumn>
    <tableColumn id="8" xr3:uid="{E59E829D-F69C-482A-A98E-DA900D1B62EB}" name="TOTAL" dataDxfId="157" dataCellStyle="Millares 2">
      <calculatedColumnFormula>SUM(E19:Q19)</calculatedColumnFormula>
    </tableColumn>
    <tableColumn id="2" xr3:uid="{44C33E1E-2C8C-448E-A4B8-52D1C0284E5C}" name="P.U. (1)" dataDxfId="156">
      <calculatedColumnFormula>IF(VLOOKUP(R19,TbPiezas[],5,0)="NA",0,VLOOKUP(R19,TbPiezas[],5,0))</calculatedColumnFormula>
    </tableColumn>
    <tableColumn id="3" xr3:uid="{D75ED76E-9A73-4D5B-9B63-6351F69B3E47}" name="PARCIAL (1)" dataDxfId="155">
      <calculatedColumnFormula>+TT[[#This Row],[TOTAL]]*TT[[#This Row],[P.U. (1)]]</calculatedColumnFormula>
    </tableColumn>
    <tableColumn id="4" xr3:uid="{F7025E28-0DBA-421B-8C38-424F07DD3D1F}" name="P.U. (2)" dataDxfId="154" dataCellStyle="Moneda">
      <calculatedColumnFormula>+VLOOKUP(R19,TbPiezas[],6,0)</calculatedColumnFormula>
    </tableColumn>
    <tableColumn id="5" xr3:uid="{9482D457-E698-4FEA-9F64-44418E9FC136}" name="PARCIAL (2)" dataDxfId="153" dataCellStyle="Moneda">
      <calculatedColumnFormula>ROUND(TT[[#This Row],[TOTAL]]*TT[[#This Row],[P.U. (2)]],2)</calculatedColumnFormula>
    </tableColumn>
    <tableColumn id="6" xr3:uid="{429B9F23-4E14-4B32-961F-0B9C95872ACD}" name="P.U. (3)" dataDxfId="152" dataCellStyle="Moneda">
      <calculatedColumnFormula>+VLOOKUP(R19,TbPiezas[],7,0)</calculatedColumnFormula>
    </tableColumn>
    <tableColumn id="7" xr3:uid="{ABA282F8-34C9-4950-A753-F788C6F08CF2}" name="PARCIAL (3)" dataDxfId="151" dataCellStyle="Moneda">
      <calculatedColumnFormula>ROUND(TT[[#This Row],[TOTAL]]*TT[[#This Row],[P.U. (3)]],2)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E6A499-61E5-4033-8FF7-F49D3B385937}" name="TEC" displayName="TEC" ref="O24:W50" totalsRowShown="0" headerRowBorderDxfId="102" tableBorderDxfId="101" totalsRowBorderDxfId="100">
  <autoFilter ref="O24:W50" xr:uid="{0CE6A499-61E5-4033-8FF7-F49D3B385937}"/>
  <tableColumns count="9">
    <tableColumn id="1" xr3:uid="{90B5340B-D1ED-4DE0-8484-F7D31A4B16B2}" name="ITEM" dataDxfId="99">
      <calculatedColumnFormula>+C25</calculatedColumnFormula>
    </tableColumn>
    <tableColumn id="2" xr3:uid="{25B9CF40-8C20-4187-8ACE-22110DB26B40}" name="REV" dataDxfId="98" dataCellStyle="Millares 2">
      <calculatedColumnFormula>+IF(TEC[[#This Row],[ITEM]]=C25,"ok","mal")</calculatedColumnFormula>
    </tableColumn>
    <tableColumn id="3" xr3:uid="{B015D092-13C8-433B-8E82-3BF9BE67C84C}" name="TOTAL" dataDxfId="97" dataCellStyle="Millares 2">
      <calculatedColumnFormula>SUM(E25:N25)</calculatedColumnFormula>
    </tableColumn>
    <tableColumn id="4" xr3:uid="{9BE26467-2381-4DF0-98C6-2D4F4A84F762}" name="P.U. (1)" dataDxfId="96">
      <calculatedColumnFormula>IF(VLOOKUP(C25,TbPiezas[],5,0)="NA",0,VLOOKUP(C25,TbPiezas[],5,0))</calculatedColumnFormula>
    </tableColumn>
    <tableColumn id="6" xr3:uid="{A3E10E45-9C75-49E4-B860-EA061A0B5337}" name="PARCIAL (1)" dataDxfId="95">
      <calculatedColumnFormula>+TEC[[#This Row],[TOTAL]]*TEC[[#This Row],[P.U. (1)]]</calculatedColumnFormula>
    </tableColumn>
    <tableColumn id="7" xr3:uid="{EC2E83C7-A500-44BE-9154-2AD51FD43FAE}" name="P.U. (2)" dataDxfId="94" dataCellStyle="Moneda">
      <calculatedColumnFormula>+VLOOKUP(C25,TbPiezas[],6,0)</calculatedColumnFormula>
    </tableColumn>
    <tableColumn id="8" xr3:uid="{FCCF16A6-8964-4619-B68A-533487948ED5}" name="PARCIAL (2)" dataDxfId="93" dataCellStyle="Moneda">
      <calculatedColumnFormula>+TEC[[#This Row],[TOTAL]]*TEC[[#This Row],[P.U. (2)]]</calculatedColumnFormula>
    </tableColumn>
    <tableColumn id="9" xr3:uid="{DABB128C-D6B7-4904-B654-B58B879DA21A}" name="P.U. (3)" dataDxfId="92" dataCellStyle="Moneda">
      <calculatedColumnFormula>+VLOOKUP(C25,TbPiezas[],7,0)</calculatedColumnFormula>
    </tableColumn>
    <tableColumn id="10" xr3:uid="{067D2056-D876-4549-AFC1-90E69F7FEEC8}" name="PARCIAL (3)" dataDxfId="91" dataCellStyle="Moneda">
      <calculatedColumnFormula>+TEC[[#This Row],[TOTAL]]*TEC[[#This Row],[P.U. (3)]]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D9EBA8-35BD-425A-9FF7-730BF61F21AD}" name="TP" displayName="TP" ref="J9:R21" totalsRowShown="0" headerRowBorderDxfId="90" tableBorderDxfId="89" totalsRowBorderDxfId="88">
  <autoFilter ref="J9:R21" xr:uid="{DED9EBA8-35BD-425A-9FF7-730BF61F21AD}">
    <filterColumn colId="2">
      <filters>
        <filter val="250"/>
      </filters>
    </filterColumn>
  </autoFilter>
  <tableColumns count="9">
    <tableColumn id="1" xr3:uid="{F107BDA4-84A6-4444-9A46-A553FDE3FA61}" name="ITEM" dataDxfId="87" dataCellStyle="Millares 2">
      <calculatedColumnFormula>+C10</calculatedColumnFormula>
    </tableColumn>
    <tableColumn id="9" xr3:uid="{4D458233-5CC2-470B-95C7-E1FDB23354BC}" name="REV" dataDxfId="86" dataCellStyle="Millares 2">
      <calculatedColumnFormula>+IF(TP[[#This Row],[ITEM]]=C10,"ok","mal")</calculatedColumnFormula>
    </tableColumn>
    <tableColumn id="8" xr3:uid="{DA8AD43C-3FAC-426A-AC8C-CB788A129E22}" name="TOTAL" dataDxfId="85" dataCellStyle="Millares 2">
      <calculatedColumnFormula>SUM(E10:I10)</calculatedColumnFormula>
    </tableColumn>
    <tableColumn id="2" xr3:uid="{953DE624-AFAE-4AD4-A902-8BECC899D392}" name="P.U. (1)" dataDxfId="84">
      <calculatedColumnFormula>IF(VLOOKUP(C10,TbPiezas[],5,0)="NA",0,VLOOKUP(C10,TbPiezas[],5,0))</calculatedColumnFormula>
    </tableColumn>
    <tableColumn id="3" xr3:uid="{88BC17B2-FEBF-4E48-B7A0-B342BB3CE5E7}" name="PARCIAL (1)" dataDxfId="83">
      <calculatedColumnFormula>+TP[[#This Row],[TOTAL]]*TP[[#This Row],[P.U. (1)]]</calculatedColumnFormula>
    </tableColumn>
    <tableColumn id="4" xr3:uid="{AB1538A2-433C-467F-B9D9-462F40F9B593}" name="P.U. (2)" dataDxfId="82" dataCellStyle="Moneda">
      <calculatedColumnFormula>+VLOOKUP(C10,TbPiezas[],6,0)</calculatedColumnFormula>
    </tableColumn>
    <tableColumn id="5" xr3:uid="{EF77806B-1061-4FCD-8776-7E6255FCB5C2}" name="PARCIAL (2)" dataDxfId="81" dataCellStyle="Moneda">
      <calculatedColumnFormula>+TP[[#This Row],[TOTAL]]*TP[[#This Row],[P.U. (2)]]</calculatedColumnFormula>
    </tableColumn>
    <tableColumn id="6" xr3:uid="{7CD5D3ED-44AD-4044-85FC-16CD913A3208}" name="P.U. (3)" dataDxfId="80" dataCellStyle="Moneda">
      <calculatedColumnFormula>+VLOOKUP(C10,TbPiezas[],7,0)</calculatedColumnFormula>
    </tableColumn>
    <tableColumn id="7" xr3:uid="{4174234C-5E7F-4F1B-84C8-F14B298065BB}" name="PARCIAL (3)" dataDxfId="79" dataCellStyle="Moneda">
      <calculatedColumnFormula>ROUND(TP[[#This Row],[TOTAL]]*TP[[#This Row],[P.U. (3)]],2)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F2F6F5-0D33-408D-A4F2-2E5782427BE6}" name="TEN" displayName="TEN" ref="I5:Q74" totalsRowShown="0" headerRowBorderDxfId="78" tableBorderDxfId="77" totalsRowBorderDxfId="76">
  <autoFilter ref="I5:Q74" xr:uid="{EAF2F6F5-0D33-408D-A4F2-2E5782427BE6}"/>
  <tableColumns count="9">
    <tableColumn id="10" xr3:uid="{CB709513-E2F1-4212-B52E-D4E13A5D0ECB}" name="ITEM" dataDxfId="75" dataCellStyle="Millares 2">
      <calculatedColumnFormula>+B6</calculatedColumnFormula>
    </tableColumn>
    <tableColumn id="11" xr3:uid="{FF6B8498-E20E-4624-A54D-CCD839F90C1F}" name="REV" dataDxfId="74">
      <calculatedColumnFormula>+IF(B6=TEN[[#This Row],[ITEM]],"ok","mal")</calculatedColumnFormula>
    </tableColumn>
    <tableColumn id="8" xr3:uid="{8FE45CC8-31D8-4260-BEDE-151C444919C1}" name="TOTAL" dataDxfId="73" dataCellStyle="Millares 2">
      <calculatedColumnFormula>SUM(D6:H6)</calculatedColumnFormula>
    </tableColumn>
    <tableColumn id="2" xr3:uid="{7895D2A4-8ABA-4A3B-B930-FCCC010E1A3F}" name="P.U. (1)" dataDxfId="72">
      <calculatedColumnFormula>IF(VLOOKUP(B6,TbPiezas[],5,0)="NA",0,VLOOKUP(B6,TbPiezas[],5,0))</calculatedColumnFormula>
    </tableColumn>
    <tableColumn id="3" xr3:uid="{458ADE41-06A7-4552-B477-07B0A7901F68}" name="PARCIAL (1)" dataDxfId="71">
      <calculatedColumnFormula>TEN[[#This Row],[TOTAL]]*TEN[[#This Row],[P.U. (1)]]</calculatedColumnFormula>
    </tableColumn>
    <tableColumn id="4" xr3:uid="{9E3A5BAF-D70B-43D1-893F-CAF01F828AEE}" name="P.U. (2)" dataDxfId="70" dataCellStyle="Moneda">
      <calculatedColumnFormula>+VLOOKUP(B6,TbPiezas[],6,0)</calculatedColumnFormula>
    </tableColumn>
    <tableColumn id="5" xr3:uid="{BC541117-B242-4E88-98D8-24A87C4BDE45}" name="PARCIAL (2)" dataDxfId="69" dataCellStyle="Moneda">
      <calculatedColumnFormula>TEN[[#This Row],[TOTAL]]*TEN[[#This Row],[P.U. (2)]]</calculatedColumnFormula>
    </tableColumn>
    <tableColumn id="6" xr3:uid="{5EEE3F7D-14EB-42A7-9C38-76AB8023E138}" name="P.U. (3)" dataDxfId="68" dataCellStyle="Moneda">
      <calculatedColumnFormula>+VLOOKUP(B6,TbPiezas[],7,0)</calculatedColumnFormula>
    </tableColumn>
    <tableColumn id="7" xr3:uid="{DB0A08B5-A891-4D23-B7D6-440566FEAE16}" name="PARCIAL (3)" dataDxfId="67" dataCellStyle="Moneda">
      <calculatedColumnFormula>ROUND(TEN[[#This Row],[TOTAL]]*TEN[[#This Row],[P.U. (3)]],2)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D206F19-7C36-4947-ACCD-98598EEC2587}" name="TD" displayName="TD" ref="I9:Q19" totalsRowShown="0" headerRowDxfId="65" headerRowBorderDxfId="64" tableBorderDxfId="63" totalsRowBorderDxfId="62">
  <autoFilter ref="I9:Q19" xr:uid="{ED206F19-7C36-4947-ACCD-98598EEC2587}"/>
  <tableColumns count="9">
    <tableColumn id="1" xr3:uid="{4E503124-E0EC-4D91-BCB0-939095B683F4}" name="ITEM" dataDxfId="61" dataCellStyle="Millares 2">
      <calculatedColumnFormula>+B10</calculatedColumnFormula>
    </tableColumn>
    <tableColumn id="9" xr3:uid="{4D024FE2-5FDB-482C-BCA8-4353305AEA6D}" name="REV" dataDxfId="60" dataCellStyle="Millares 2">
      <calculatedColumnFormula>+IF(TD[[#This Row],[ITEM]]=B10,"ok","mal")</calculatedColumnFormula>
    </tableColumn>
    <tableColumn id="8" xr3:uid="{D278DF62-3C3C-41F6-A580-08617CFC2D67}" name="TOTAL" dataDxfId="59" dataCellStyle="Millares 2">
      <calculatedColumnFormula>SUM(D10:H10)</calculatedColumnFormula>
    </tableColumn>
    <tableColumn id="2" xr3:uid="{3A0A9280-F74D-4C02-89E5-25AD3191E200}" name="P.U. (1)" dataDxfId="58">
      <calculatedColumnFormula>IF(VLOOKUP(B10,TbPiezas[],5,0)="NA",0,VLOOKUP(B10,TbPiezas[],5,0))</calculatedColumnFormula>
    </tableColumn>
    <tableColumn id="3" xr3:uid="{1935E7F6-F95C-4708-ABA6-E4B3EABB0DDC}" name="PARCIAL (1)" dataDxfId="57">
      <calculatedColumnFormula>TD[[#This Row],[TOTAL]]*TD[[#This Row],[P.U. (1)]]</calculatedColumnFormula>
    </tableColumn>
    <tableColumn id="4" xr3:uid="{AF4A3238-C780-4906-9395-526444085674}" name="P.U. (2)" dataDxfId="56" dataCellStyle="Moneda">
      <calculatedColumnFormula>+VLOOKUP(B10,TbPiezas[],6,0)</calculatedColumnFormula>
    </tableColumn>
    <tableColumn id="5" xr3:uid="{D1BCF0E1-F1B9-4E39-8235-B735A42C1828}" name="PARCIAL (2)" dataDxfId="55" dataCellStyle="Moneda">
      <calculatedColumnFormula>ROUND(TD[[#This Row],[TOTAL]]*TD[[#This Row],[P.U. (2)]],2)</calculatedColumnFormula>
    </tableColumn>
    <tableColumn id="6" xr3:uid="{19F52868-9987-42C2-9C0A-E5C256EBA496}" name="P.U. (3)" dataDxfId="54" dataCellStyle="Moneda">
      <calculatedColumnFormula>+VLOOKUP(B10,TbPiezas[],7,0)</calculatedColumnFormula>
    </tableColumn>
    <tableColumn id="7" xr3:uid="{194306F1-AB42-4C9C-A7D3-944FCC91CA92}" name="PARCIAL (3)" dataDxfId="53" dataCellStyle="Moneda">
      <calculatedColumnFormula>ROUND(TD[[#This Row],[TOTAL]]*TD[[#This Row],[P.U. (3)]],2)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F37AF6D-556E-46C3-B807-BDC3BF916997}" name="TC" displayName="TC" ref="P18:X153" totalsRowShown="0" headerRowBorderDxfId="52" tableBorderDxfId="51" totalsRowBorderDxfId="50">
  <autoFilter ref="P18:X153" xr:uid="{4F37AF6D-556E-46C3-B807-BDC3BF916997}"/>
  <tableColumns count="9">
    <tableColumn id="1" xr3:uid="{73153A4C-451D-4534-B083-BDB8936E77E0}" name="ITEM" dataDxfId="49" dataCellStyle="Millares 2">
      <calculatedColumnFormula>+B19</calculatedColumnFormula>
    </tableColumn>
    <tableColumn id="9" xr3:uid="{361F4C10-5B07-4669-8C3F-BFD9A62F477C}" name="REV" dataDxfId="48" dataCellStyle="Millares 2">
      <calculatedColumnFormula>+IF(TC[[#This Row],[ITEM]]=B19,"ok","mal")</calculatedColumnFormula>
    </tableColumn>
    <tableColumn id="8" xr3:uid="{4467554F-6DC2-42C9-AA9C-089D7F04BCA4}" name="TOTAL" dataDxfId="47" dataCellStyle="Millares 2">
      <calculatedColumnFormula>SUM(K19:O19)</calculatedColumnFormula>
    </tableColumn>
    <tableColumn id="2" xr3:uid="{62C47186-50FE-4D46-821C-A0400DB4024F}" name="P.U. (1)" dataDxfId="46">
      <calculatedColumnFormula>IF(VLOOKUP(B19,TbPiezas[],5,0)="NA",0,VLOOKUP(B19,TbPiezas[],5,0))</calculatedColumnFormula>
    </tableColumn>
    <tableColumn id="3" xr3:uid="{40C360BB-98C3-4E28-BA65-8D4C6553C9B0}" name="PARCIAL (1)" dataDxfId="45">
      <calculatedColumnFormula>TC[[#This Row],[TOTAL]]*TC[[#This Row],[P.U. (1)]]</calculatedColumnFormula>
    </tableColumn>
    <tableColumn id="4" xr3:uid="{443C21AC-A3BC-419C-B1A2-3AFCEF5A6C8B}" name="P.U. (2)" dataDxfId="44" dataCellStyle="Moneda">
      <calculatedColumnFormula>+VLOOKUP(B19,TbPiezas[],6,0)</calculatedColumnFormula>
    </tableColumn>
    <tableColumn id="5" xr3:uid="{56CC58DB-25E2-4656-8BC8-0F7A5580C794}" name="PARCIAL (2)" dataDxfId="43" dataCellStyle="Moneda">
      <calculatedColumnFormula>TC[[#This Row],[TOTAL]]*TC[[#This Row],[P.U. (2)]]</calculatedColumnFormula>
    </tableColumn>
    <tableColumn id="6" xr3:uid="{B317A515-B0A1-42CC-83CE-0ECFC0F0CC7F}" name="P.U. (3)" dataDxfId="42" dataCellStyle="Moneda">
      <calculatedColumnFormula>+VLOOKUP(B19,TbPiezas[],7,0)</calculatedColumnFormula>
    </tableColumn>
    <tableColumn id="7" xr3:uid="{94EDEAA6-EA80-4841-A6D6-646A13A41A28}" name="PARCIAL (3)" dataDxfId="41" dataCellStyle="Moneda">
      <calculatedColumnFormula>ROUND(TC[[#This Row],[TOTAL]]*TC[[#This Row],[P.U. (3)]],2)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92223D2-85F5-4A45-8DAB-BAB829C8F952}" name="TEV" displayName="TEV" ref="H16:P186" totalsRowShown="0" headerRowBorderDxfId="40">
  <autoFilter ref="H16:P186" xr:uid="{992223D2-85F5-4A45-8DAB-BAB829C8F952}">
    <filterColumn colId="2">
      <filters>
        <filter val="1"/>
        <filter val="10"/>
        <filter val="12"/>
        <filter val="14"/>
        <filter val="2"/>
        <filter val="20"/>
        <filter val="200"/>
        <filter val="22"/>
        <filter val="3"/>
        <filter val="4"/>
        <filter val="40"/>
        <filter val="50"/>
        <filter val="6"/>
        <filter val="8"/>
      </filters>
    </filterColumn>
  </autoFilter>
  <tableColumns count="9">
    <tableColumn id="1" xr3:uid="{CB24E6C0-98CB-40B1-B043-1241E588A4D7}" name="ITEM" dataDxfId="39"/>
    <tableColumn id="2" xr3:uid="{36099D30-BD9E-48A8-809C-5C25E19E0F0D}" name="REV" dataDxfId="38">
      <calculatedColumnFormula>+IF(TEV[[#This Row],[ITEM]]=C17,"ok","mal")</calculatedColumnFormula>
    </tableColumn>
    <tableColumn id="3" xr3:uid="{88ED4DC3-4FAB-4A69-84E1-A455CA50E2B6}" name="TOTAL" dataDxfId="37" dataCellStyle="Millares 2">
      <calculatedColumnFormula>+F17</calculatedColumnFormula>
    </tableColumn>
    <tableColumn id="4" xr3:uid="{4AB4B697-D2E9-47FB-A0CE-205EA6267E4A}" name="P.U. (1)" dataDxfId="36" dataCellStyle="Millares 2">
      <calculatedColumnFormula>IF(VLOOKUP(C17,TbPiezas[],5,0)="NA",0,VLOOKUP(C17,TbPiezas[],5,0))</calculatedColumnFormula>
    </tableColumn>
    <tableColumn id="5" xr3:uid="{80E99B25-0185-4EA9-8473-73A6C18CF221}" name="PARCIAL (1)" dataDxfId="35" dataCellStyle="Millares 2">
      <calculatedColumnFormula>IF(F17="",0,K17*F17)</calculatedColumnFormula>
    </tableColumn>
    <tableColumn id="6" xr3:uid="{D30B49BA-669B-4710-AEAA-D9455D14BDD4}" name="P.U. (2)" dataDxfId="34" dataCellStyle="Moneda">
      <calculatedColumnFormula>+VLOOKUP(C17,TbPiezas[],6,0)</calculatedColumnFormula>
    </tableColumn>
    <tableColumn id="7" xr3:uid="{945B9547-CDE0-4687-9E0A-22E72F41D230}" name="PARCIAL (2)" dataDxfId="33" dataCellStyle="Moneda">
      <calculatedColumnFormula>IF(F17="",0,ROUND(M17*F17,2))</calculatedColumnFormula>
    </tableColumn>
    <tableColumn id="8" xr3:uid="{A807C007-CFCB-44A6-B7A6-B8B91635A7EC}" name="P.U. (3)" dataDxfId="32" dataCellStyle="Moneda">
      <calculatedColumnFormula>+VLOOKUP(C17,TbPiezas[],7,0)</calculatedColumnFormula>
    </tableColumn>
    <tableColumn id="9" xr3:uid="{78BB155F-08C2-4EF1-B282-CDDAD9E2A070}" name="PARCIAL (3)" dataDxfId="31" dataCellStyle="Moneda">
      <calculatedColumnFormula>IF(F17="",0,ROUND(O17*F17,2))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A358-492A-49A8-9233-F884F612DA5F}">
  <sheetPr codeName="Hoja05">
    <tabColor rgb="FFFF0000"/>
  </sheetPr>
  <dimension ref="B1:L553"/>
  <sheetViews>
    <sheetView topLeftCell="A462" workbookViewId="0">
      <selection activeCell="E483" sqref="E483"/>
    </sheetView>
  </sheetViews>
  <sheetFormatPr baseColWidth="10" defaultColWidth="11.44140625" defaultRowHeight="14.4" x14ac:dyDescent="0.3"/>
  <cols>
    <col min="1" max="1" width="3.33203125" style="2" customWidth="1"/>
    <col min="2" max="2" width="11.44140625" style="2"/>
    <col min="3" max="3" width="8.44140625" style="2" customWidth="1"/>
    <col min="4" max="4" width="8.6640625" style="2" customWidth="1"/>
    <col min="5" max="5" width="79.5546875" style="2" customWidth="1"/>
    <col min="6" max="6" width="18.5546875" style="3" customWidth="1"/>
    <col min="7" max="7" width="13.33203125" customWidth="1"/>
    <col min="8" max="8" width="13.33203125" style="2" customWidth="1"/>
    <col min="9" max="16384" width="11.44140625" style="2"/>
  </cols>
  <sheetData>
    <row r="1" spans="2:12" ht="15" thickBot="1" x14ac:dyDescent="0.35"/>
    <row r="2" spans="2:12" ht="21.6" thickBot="1" x14ac:dyDescent="0.35">
      <c r="F2" s="228" t="s">
        <v>1262</v>
      </c>
      <c r="G2" s="229">
        <v>0.05</v>
      </c>
      <c r="H2"/>
    </row>
    <row r="4" spans="2:12" s="4" customFormat="1" ht="30" customHeight="1" x14ac:dyDescent="0.3">
      <c r="B4" s="230" t="s">
        <v>1</v>
      </c>
      <c r="C4" s="230" t="s">
        <v>1252</v>
      </c>
      <c r="D4" s="230" t="s">
        <v>978</v>
      </c>
      <c r="E4" s="231" t="s">
        <v>0</v>
      </c>
      <c r="F4" s="231" t="s">
        <v>2</v>
      </c>
      <c r="G4" s="232" t="s">
        <v>1158</v>
      </c>
      <c r="H4" s="233" t="s">
        <v>1159</v>
      </c>
      <c r="I4" s="2"/>
    </row>
    <row r="5" spans="2:12" x14ac:dyDescent="0.3">
      <c r="B5" s="234" t="s">
        <v>3</v>
      </c>
      <c r="C5" s="234">
        <v>1</v>
      </c>
      <c r="D5" s="234" t="s">
        <v>979</v>
      </c>
      <c r="E5" s="235" t="s">
        <v>4</v>
      </c>
      <c r="F5" s="236">
        <v>3.2999999999999972</v>
      </c>
      <c r="G5" s="237">
        <v>86.53</v>
      </c>
      <c r="H5" s="243">
        <f>+TbPiezas[[#This Row],[VENTA]]*$G$2</f>
        <v>4.3265000000000002</v>
      </c>
    </row>
    <row r="6" spans="2:12" x14ac:dyDescent="0.3">
      <c r="B6" s="234" t="s">
        <v>5</v>
      </c>
      <c r="C6" s="234">
        <v>2</v>
      </c>
      <c r="D6" s="234" t="s">
        <v>979</v>
      </c>
      <c r="E6" s="235" t="s">
        <v>6</v>
      </c>
      <c r="F6" s="236">
        <v>5.9000000000000057</v>
      </c>
      <c r="G6" s="237">
        <v>371.46</v>
      </c>
      <c r="H6" s="243">
        <f>+TbPiezas[[#This Row],[VENTA]]*$G$2</f>
        <v>18.573</v>
      </c>
    </row>
    <row r="7" spans="2:12" x14ac:dyDescent="0.3">
      <c r="B7" s="234" t="s">
        <v>7</v>
      </c>
      <c r="C7" s="234">
        <v>3</v>
      </c>
      <c r="D7" s="234" t="s">
        <v>979</v>
      </c>
      <c r="E7" s="235" t="s">
        <v>8</v>
      </c>
      <c r="F7" s="236">
        <v>1.8999999999999915</v>
      </c>
      <c r="G7" s="237">
        <v>78.02</v>
      </c>
      <c r="H7" s="243">
        <f>+TbPiezas[[#This Row],[VENTA]]*$G$2</f>
        <v>3.9009999999999998</v>
      </c>
    </row>
    <row r="8" spans="2:12" x14ac:dyDescent="0.3">
      <c r="B8" s="234" t="s">
        <v>9</v>
      </c>
      <c r="C8" s="234">
        <v>4</v>
      </c>
      <c r="D8" s="234" t="s">
        <v>979</v>
      </c>
      <c r="E8" s="235" t="s">
        <v>10</v>
      </c>
      <c r="F8" s="236">
        <v>44.3</v>
      </c>
      <c r="G8" s="237">
        <v>870.28</v>
      </c>
      <c r="H8" s="243">
        <f>+TbPiezas[[#This Row],[VENTA]]*$G$2</f>
        <v>43.514000000000003</v>
      </c>
      <c r="L8" s="2" t="s">
        <v>1278</v>
      </c>
    </row>
    <row r="9" spans="2:12" x14ac:dyDescent="0.3">
      <c r="B9" s="234" t="s">
        <v>11</v>
      </c>
      <c r="C9" s="234">
        <v>5</v>
      </c>
      <c r="D9" s="234" t="s">
        <v>979</v>
      </c>
      <c r="E9" s="235" t="s">
        <v>12</v>
      </c>
      <c r="F9" s="236">
        <v>23.899999999999991</v>
      </c>
      <c r="G9" s="237">
        <v>485.52</v>
      </c>
      <c r="H9" s="243">
        <f>+TbPiezas[[#This Row],[VENTA]]*$G$2</f>
        <v>24.276</v>
      </c>
    </row>
    <row r="10" spans="2:12" x14ac:dyDescent="0.3">
      <c r="B10" s="234" t="s">
        <v>13</v>
      </c>
      <c r="C10" s="234">
        <v>6</v>
      </c>
      <c r="D10" s="234" t="s">
        <v>979</v>
      </c>
      <c r="E10" s="235" t="s">
        <v>14</v>
      </c>
      <c r="F10" s="236">
        <v>11.700000000000003</v>
      </c>
      <c r="G10" s="237">
        <v>428.32</v>
      </c>
      <c r="H10" s="243">
        <f>+TbPiezas[[#This Row],[VENTA]]*$G$2</f>
        <v>21.416</v>
      </c>
    </row>
    <row r="11" spans="2:12" x14ac:dyDescent="0.3">
      <c r="B11" s="234" t="s">
        <v>15</v>
      </c>
      <c r="C11" s="234">
        <v>7</v>
      </c>
      <c r="D11" s="234" t="s">
        <v>979</v>
      </c>
      <c r="E11" s="235" t="s">
        <v>16</v>
      </c>
      <c r="F11" s="236">
        <v>7</v>
      </c>
      <c r="G11" s="237">
        <v>261.63</v>
      </c>
      <c r="H11" s="243">
        <f>+TbPiezas[[#This Row],[VENTA]]*$G$2</f>
        <v>13.0815</v>
      </c>
    </row>
    <row r="12" spans="2:12" x14ac:dyDescent="0.3">
      <c r="B12" s="234" t="s">
        <v>17</v>
      </c>
      <c r="C12" s="234">
        <v>8</v>
      </c>
      <c r="D12" s="234" t="s">
        <v>979</v>
      </c>
      <c r="E12" s="235" t="s">
        <v>18</v>
      </c>
      <c r="F12" s="236">
        <v>5.9</v>
      </c>
      <c r="G12" s="237">
        <v>212.52</v>
      </c>
      <c r="H12" s="243">
        <f>+TbPiezas[[#This Row],[VENTA]]*$G$2</f>
        <v>10.626000000000001</v>
      </c>
    </row>
    <row r="13" spans="2:12" x14ac:dyDescent="0.3">
      <c r="B13" s="234" t="s">
        <v>19</v>
      </c>
      <c r="C13" s="234">
        <v>9</v>
      </c>
      <c r="D13" s="234" t="s">
        <v>979</v>
      </c>
      <c r="E13" s="235" t="s">
        <v>20</v>
      </c>
      <c r="F13" s="236">
        <v>2.9</v>
      </c>
      <c r="G13" s="237">
        <v>143.16999999999999</v>
      </c>
      <c r="H13" s="243">
        <f>+TbPiezas[[#This Row],[VENTA]]*$G$2</f>
        <v>7.1585000000000001</v>
      </c>
    </row>
    <row r="14" spans="2:12" x14ac:dyDescent="0.3">
      <c r="B14" s="234" t="s">
        <v>21</v>
      </c>
      <c r="C14" s="234">
        <v>10</v>
      </c>
      <c r="D14" s="234" t="s">
        <v>979</v>
      </c>
      <c r="E14" s="235" t="s">
        <v>22</v>
      </c>
      <c r="F14" s="236">
        <v>1.5</v>
      </c>
      <c r="G14" s="237">
        <v>75.16</v>
      </c>
      <c r="H14" s="243">
        <f>+TbPiezas[[#This Row],[VENTA]]*$G$2</f>
        <v>3.758</v>
      </c>
    </row>
    <row r="15" spans="2:12" x14ac:dyDescent="0.3">
      <c r="B15" s="234" t="s">
        <v>23</v>
      </c>
      <c r="C15" s="234">
        <v>11</v>
      </c>
      <c r="D15" s="234" t="s">
        <v>979</v>
      </c>
      <c r="E15" s="235" t="s">
        <v>24</v>
      </c>
      <c r="F15" s="236">
        <v>0.8</v>
      </c>
      <c r="G15" s="237">
        <v>76.23</v>
      </c>
      <c r="H15" s="243">
        <f>+TbPiezas[[#This Row],[VENTA]]*$G$2</f>
        <v>3.8115000000000006</v>
      </c>
    </row>
    <row r="16" spans="2:12" x14ac:dyDescent="0.3">
      <c r="B16" s="234" t="s">
        <v>25</v>
      </c>
      <c r="C16" s="234">
        <v>12</v>
      </c>
      <c r="D16" s="234" t="s">
        <v>979</v>
      </c>
      <c r="E16" s="235" t="s">
        <v>26</v>
      </c>
      <c r="F16" s="236">
        <v>5.5</v>
      </c>
      <c r="G16" s="237">
        <v>133.75</v>
      </c>
      <c r="H16" s="243">
        <f>+TbPiezas[[#This Row],[VENTA]]*$G$2</f>
        <v>6.6875</v>
      </c>
    </row>
    <row r="17" spans="2:8" x14ac:dyDescent="0.3">
      <c r="B17" s="234" t="s">
        <v>27</v>
      </c>
      <c r="C17" s="234">
        <v>13</v>
      </c>
      <c r="D17" s="234" t="s">
        <v>979</v>
      </c>
      <c r="E17" s="235" t="s">
        <v>28</v>
      </c>
      <c r="F17" s="236">
        <v>11.200000000000003</v>
      </c>
      <c r="G17" s="237">
        <v>238.1</v>
      </c>
      <c r="H17" s="243">
        <f>+TbPiezas[[#This Row],[VENTA]]*$G$2</f>
        <v>11.905000000000001</v>
      </c>
    </row>
    <row r="18" spans="2:8" x14ac:dyDescent="0.3">
      <c r="B18" s="234" t="s">
        <v>29</v>
      </c>
      <c r="C18" s="234">
        <v>14</v>
      </c>
      <c r="D18" s="234" t="s">
        <v>979</v>
      </c>
      <c r="E18" s="235" t="s">
        <v>30</v>
      </c>
      <c r="F18" s="236">
        <v>10</v>
      </c>
      <c r="G18" s="237">
        <v>226.89</v>
      </c>
      <c r="H18" s="243">
        <f>+TbPiezas[[#This Row],[VENTA]]*$G$2</f>
        <v>11.3445</v>
      </c>
    </row>
    <row r="19" spans="2:8" x14ac:dyDescent="0.3">
      <c r="B19" s="234" t="s">
        <v>31</v>
      </c>
      <c r="C19" s="234">
        <v>15</v>
      </c>
      <c r="D19" s="234" t="s">
        <v>979</v>
      </c>
      <c r="E19" s="235" t="s">
        <v>32</v>
      </c>
      <c r="F19" s="236">
        <v>6.2000000000000028</v>
      </c>
      <c r="G19" s="237">
        <v>225.13</v>
      </c>
      <c r="H19" s="243">
        <f>+TbPiezas[[#This Row],[VENTA]]*$G$2</f>
        <v>11.256500000000001</v>
      </c>
    </row>
    <row r="20" spans="2:8" x14ac:dyDescent="0.3">
      <c r="B20" s="234" t="s">
        <v>33</v>
      </c>
      <c r="C20" s="234">
        <v>16</v>
      </c>
      <c r="D20" s="234" t="s">
        <v>979</v>
      </c>
      <c r="E20" s="235" t="s">
        <v>34</v>
      </c>
      <c r="F20" s="236">
        <v>4.0999999999999943</v>
      </c>
      <c r="G20" s="237">
        <v>204.03</v>
      </c>
      <c r="H20" s="243">
        <f>+TbPiezas[[#This Row],[VENTA]]*$G$2</f>
        <v>10.201500000000001</v>
      </c>
    </row>
    <row r="21" spans="2:8" x14ac:dyDescent="0.3">
      <c r="B21" s="234" t="s">
        <v>35</v>
      </c>
      <c r="C21" s="234">
        <v>17</v>
      </c>
      <c r="D21" s="234" t="s">
        <v>979</v>
      </c>
      <c r="E21" s="235" t="s">
        <v>36</v>
      </c>
      <c r="F21" s="236">
        <v>3.2999999999999972</v>
      </c>
      <c r="G21" s="237">
        <v>204.03</v>
      </c>
      <c r="H21" s="243">
        <f>+TbPiezas[[#This Row],[VENTA]]*$G$2</f>
        <v>10.201500000000001</v>
      </c>
    </row>
    <row r="22" spans="2:8" x14ac:dyDescent="0.3">
      <c r="B22" s="234" t="s">
        <v>37</v>
      </c>
      <c r="C22" s="234">
        <v>18</v>
      </c>
      <c r="D22" s="234" t="s">
        <v>979</v>
      </c>
      <c r="E22" s="235" t="s">
        <v>38</v>
      </c>
      <c r="F22" s="236">
        <v>2.3999999999999915</v>
      </c>
      <c r="G22" s="237">
        <v>158.74</v>
      </c>
      <c r="H22" s="243">
        <f>+TbPiezas[[#This Row],[VENTA]]*$G$2</f>
        <v>7.9370000000000012</v>
      </c>
    </row>
    <row r="23" spans="2:8" x14ac:dyDescent="0.3">
      <c r="B23" s="234" t="s">
        <v>39</v>
      </c>
      <c r="C23" s="234">
        <v>19</v>
      </c>
      <c r="D23" s="234" t="s">
        <v>979</v>
      </c>
      <c r="E23" s="235" t="s">
        <v>40</v>
      </c>
      <c r="F23" s="236">
        <v>4.5999999999999943</v>
      </c>
      <c r="G23" s="237">
        <v>158.74</v>
      </c>
      <c r="H23" s="243">
        <f>+TbPiezas[[#This Row],[VENTA]]*$G$2</f>
        <v>7.9370000000000012</v>
      </c>
    </row>
    <row r="24" spans="2:8" x14ac:dyDescent="0.3">
      <c r="B24" s="234" t="s">
        <v>41</v>
      </c>
      <c r="C24" s="234">
        <v>20</v>
      </c>
      <c r="D24" s="234" t="s">
        <v>979</v>
      </c>
      <c r="E24" s="235" t="s">
        <v>42</v>
      </c>
      <c r="F24" s="236">
        <v>3.7999999999999972</v>
      </c>
      <c r="G24" s="237">
        <v>132.06</v>
      </c>
      <c r="H24" s="243">
        <f>+TbPiezas[[#This Row],[VENTA]]*$G$2</f>
        <v>6.6030000000000006</v>
      </c>
    </row>
    <row r="25" spans="2:8" x14ac:dyDescent="0.3">
      <c r="B25" s="234" t="s">
        <v>43</v>
      </c>
      <c r="C25" s="234">
        <v>21</v>
      </c>
      <c r="D25" s="234" t="s">
        <v>979</v>
      </c>
      <c r="E25" s="235" t="s">
        <v>44</v>
      </c>
      <c r="F25" s="236">
        <v>1.9</v>
      </c>
      <c r="G25" s="237">
        <v>59.5</v>
      </c>
      <c r="H25" s="243">
        <f>+TbPiezas[[#This Row],[VENTA]]*$G$2</f>
        <v>2.9750000000000001</v>
      </c>
    </row>
    <row r="26" spans="2:8" x14ac:dyDescent="0.3">
      <c r="B26" s="234" t="s">
        <v>45</v>
      </c>
      <c r="C26" s="234">
        <v>22</v>
      </c>
      <c r="D26" s="234" t="s">
        <v>979</v>
      </c>
      <c r="E26" s="235" t="s">
        <v>46</v>
      </c>
      <c r="F26" s="236">
        <v>1.9</v>
      </c>
      <c r="G26" s="237">
        <v>59.5</v>
      </c>
      <c r="H26" s="243">
        <f>+TbPiezas[[#This Row],[VENTA]]*$G$2</f>
        <v>2.9750000000000001</v>
      </c>
    </row>
    <row r="27" spans="2:8" x14ac:dyDescent="0.3">
      <c r="B27" s="234" t="s">
        <v>47</v>
      </c>
      <c r="C27" s="234">
        <v>23</v>
      </c>
      <c r="D27" s="234" t="s">
        <v>979</v>
      </c>
      <c r="E27" s="235" t="s">
        <v>48</v>
      </c>
      <c r="F27" s="236">
        <v>19.399999999999991</v>
      </c>
      <c r="G27" s="237">
        <v>324.89</v>
      </c>
      <c r="H27" s="243">
        <f>+TbPiezas[[#This Row],[VENTA]]*$G$2</f>
        <v>16.244499999999999</v>
      </c>
    </row>
    <row r="28" spans="2:8" x14ac:dyDescent="0.3">
      <c r="B28" s="234" t="s">
        <v>49</v>
      </c>
      <c r="C28" s="234">
        <v>24</v>
      </c>
      <c r="D28" s="234" t="s">
        <v>979</v>
      </c>
      <c r="E28" s="235" t="s">
        <v>50</v>
      </c>
      <c r="F28" s="236">
        <v>14.399999999999991</v>
      </c>
      <c r="G28" s="237">
        <v>268.19</v>
      </c>
      <c r="H28" s="243">
        <f>+TbPiezas[[#This Row],[VENTA]]*$G$2</f>
        <v>13.409500000000001</v>
      </c>
    </row>
    <row r="29" spans="2:8" x14ac:dyDescent="0.3">
      <c r="B29" s="234" t="s">
        <v>51</v>
      </c>
      <c r="C29" s="234">
        <v>25</v>
      </c>
      <c r="D29" s="234" t="s">
        <v>979</v>
      </c>
      <c r="E29" s="235" t="s">
        <v>52</v>
      </c>
      <c r="F29" s="236">
        <v>14.4</v>
      </c>
      <c r="G29" s="237">
        <v>268.19</v>
      </c>
      <c r="H29" s="243">
        <f>+TbPiezas[[#This Row],[VENTA]]*$G$2</f>
        <v>13.409500000000001</v>
      </c>
    </row>
    <row r="30" spans="2:8" x14ac:dyDescent="0.3">
      <c r="B30" s="234" t="s">
        <v>53</v>
      </c>
      <c r="C30" s="234">
        <v>26</v>
      </c>
      <c r="D30" s="234" t="s">
        <v>979</v>
      </c>
      <c r="E30" s="235" t="s">
        <v>54</v>
      </c>
      <c r="F30" s="236">
        <v>75.599999999999994</v>
      </c>
      <c r="G30" s="237">
        <v>1621.32</v>
      </c>
      <c r="H30" s="243">
        <f>+TbPiezas[[#This Row],[VENTA]]*$G$2</f>
        <v>81.066000000000003</v>
      </c>
    </row>
    <row r="31" spans="2:8" x14ac:dyDescent="0.3">
      <c r="B31" s="234" t="s">
        <v>55</v>
      </c>
      <c r="C31" s="234">
        <v>27</v>
      </c>
      <c r="D31" s="234" t="s">
        <v>979</v>
      </c>
      <c r="E31" s="235" t="s">
        <v>56</v>
      </c>
      <c r="F31" s="236">
        <v>63</v>
      </c>
      <c r="G31" s="237">
        <v>1351.1</v>
      </c>
      <c r="H31" s="243">
        <f>+TbPiezas[[#This Row],[VENTA]]*$G$2</f>
        <v>67.554999999999993</v>
      </c>
    </row>
    <row r="32" spans="2:8" x14ac:dyDescent="0.3">
      <c r="B32" s="234" t="s">
        <v>57</v>
      </c>
      <c r="C32" s="234">
        <v>28</v>
      </c>
      <c r="D32" s="234" t="s">
        <v>979</v>
      </c>
      <c r="E32" s="235" t="s">
        <v>58</v>
      </c>
      <c r="F32" s="236">
        <v>54.6</v>
      </c>
      <c r="G32" s="237">
        <v>1170.95</v>
      </c>
      <c r="H32" s="243">
        <f>+TbPiezas[[#This Row],[VENTA]]*$G$2</f>
        <v>58.547500000000007</v>
      </c>
    </row>
    <row r="33" spans="2:8" x14ac:dyDescent="0.3">
      <c r="B33" s="234" t="s">
        <v>59</v>
      </c>
      <c r="C33" s="234">
        <v>29</v>
      </c>
      <c r="D33" s="234" t="s">
        <v>979</v>
      </c>
      <c r="E33" s="235" t="s">
        <v>60</v>
      </c>
      <c r="F33" s="236">
        <v>30.399999999999991</v>
      </c>
      <c r="G33" s="237">
        <v>720.59</v>
      </c>
      <c r="H33" s="243">
        <f>+TbPiezas[[#This Row],[VENTA]]*$G$2</f>
        <v>36.029500000000006</v>
      </c>
    </row>
    <row r="34" spans="2:8" x14ac:dyDescent="0.3">
      <c r="B34" s="234" t="s">
        <v>61</v>
      </c>
      <c r="C34" s="234">
        <v>30</v>
      </c>
      <c r="D34" s="234" t="s">
        <v>979</v>
      </c>
      <c r="E34" s="235" t="s">
        <v>62</v>
      </c>
      <c r="F34" s="236">
        <v>12.5</v>
      </c>
      <c r="G34" s="237">
        <v>810.02</v>
      </c>
      <c r="H34" s="243">
        <f>+TbPiezas[[#This Row],[VENTA]]*$G$2</f>
        <v>40.501000000000005</v>
      </c>
    </row>
    <row r="35" spans="2:8" x14ac:dyDescent="0.3">
      <c r="B35" s="234" t="s">
        <v>63</v>
      </c>
      <c r="C35" s="234">
        <v>31</v>
      </c>
      <c r="D35" s="234" t="s">
        <v>979</v>
      </c>
      <c r="E35" s="235" t="s">
        <v>64</v>
      </c>
      <c r="F35" s="236">
        <v>11.799999999999997</v>
      </c>
      <c r="G35" s="237">
        <v>276.36</v>
      </c>
      <c r="H35" s="243">
        <f>+TbPiezas[[#This Row],[VENTA]]*$G$2</f>
        <v>13.818000000000001</v>
      </c>
    </row>
    <row r="36" spans="2:8" x14ac:dyDescent="0.3">
      <c r="B36" s="234" t="s">
        <v>65</v>
      </c>
      <c r="C36" s="234">
        <v>32</v>
      </c>
      <c r="D36" s="234" t="s">
        <v>979</v>
      </c>
      <c r="E36" s="235" t="s">
        <v>66</v>
      </c>
      <c r="F36" s="236">
        <v>7.7999999999999972</v>
      </c>
      <c r="G36" s="237">
        <v>255.03</v>
      </c>
      <c r="H36" s="243">
        <f>+TbPiezas[[#This Row],[VENTA]]*$G$2</f>
        <v>12.7515</v>
      </c>
    </row>
    <row r="37" spans="2:8" x14ac:dyDescent="0.3">
      <c r="B37" s="234" t="s">
        <v>67</v>
      </c>
      <c r="C37" s="234">
        <v>33</v>
      </c>
      <c r="D37" s="234" t="s">
        <v>979</v>
      </c>
      <c r="E37" s="235" t="s">
        <v>68</v>
      </c>
      <c r="F37" s="236">
        <v>0.5</v>
      </c>
      <c r="G37" s="237">
        <v>105.43</v>
      </c>
      <c r="H37" s="243">
        <f>+TbPiezas[[#This Row],[VENTA]]*$G$2</f>
        <v>5.2715000000000005</v>
      </c>
    </row>
    <row r="38" spans="2:8" x14ac:dyDescent="0.3">
      <c r="B38" s="234" t="s">
        <v>69</v>
      </c>
      <c r="C38" s="234">
        <v>34</v>
      </c>
      <c r="D38" s="234" t="s">
        <v>979</v>
      </c>
      <c r="E38" s="235" t="s">
        <v>70</v>
      </c>
      <c r="F38" s="236">
        <v>10.91</v>
      </c>
      <c r="G38" s="237">
        <v>808.35</v>
      </c>
      <c r="H38" s="243">
        <f>+TbPiezas[[#This Row],[VENTA]]*$G$2</f>
        <v>40.417500000000004</v>
      </c>
    </row>
    <row r="39" spans="2:8" x14ac:dyDescent="0.3">
      <c r="B39" s="234" t="s">
        <v>71</v>
      </c>
      <c r="C39" s="234">
        <v>35</v>
      </c>
      <c r="D39" s="234" t="s">
        <v>979</v>
      </c>
      <c r="E39" s="235" t="s">
        <v>72</v>
      </c>
      <c r="F39" s="236">
        <v>4.2999999999999972</v>
      </c>
      <c r="G39" s="237">
        <v>519.13</v>
      </c>
      <c r="H39" s="243">
        <f>+TbPiezas[[#This Row],[VENTA]]*$G$2</f>
        <v>25.956500000000002</v>
      </c>
    </row>
    <row r="40" spans="2:8" x14ac:dyDescent="0.3">
      <c r="B40" s="234" t="s">
        <v>73</v>
      </c>
      <c r="C40" s="234">
        <v>36</v>
      </c>
      <c r="D40" s="234" t="s">
        <v>979</v>
      </c>
      <c r="E40" s="235" t="s">
        <v>74</v>
      </c>
      <c r="F40" s="236">
        <v>3.2999999999999972</v>
      </c>
      <c r="G40" s="237">
        <v>259.56</v>
      </c>
      <c r="H40" s="243">
        <f>+TbPiezas[[#This Row],[VENTA]]*$G$2</f>
        <v>12.978000000000002</v>
      </c>
    </row>
    <row r="41" spans="2:8" x14ac:dyDescent="0.3">
      <c r="B41" s="234" t="s">
        <v>75</v>
      </c>
      <c r="C41" s="234">
        <v>37</v>
      </c>
      <c r="D41" s="234" t="s">
        <v>979</v>
      </c>
      <c r="E41" s="235" t="s">
        <v>76</v>
      </c>
      <c r="F41" s="236">
        <v>5</v>
      </c>
      <c r="G41" s="237">
        <v>139.11000000000001</v>
      </c>
      <c r="H41" s="243">
        <f>+TbPiezas[[#This Row],[VENTA]]*$G$2</f>
        <v>6.9555000000000007</v>
      </c>
    </row>
    <row r="42" spans="2:8" x14ac:dyDescent="0.3">
      <c r="B42" s="234" t="s">
        <v>77</v>
      </c>
      <c r="C42" s="234">
        <v>38</v>
      </c>
      <c r="D42" s="234" t="s">
        <v>979</v>
      </c>
      <c r="E42" s="235" t="s">
        <v>78</v>
      </c>
      <c r="F42" s="236">
        <v>3.5</v>
      </c>
      <c r="G42" s="237">
        <v>136.57</v>
      </c>
      <c r="H42" s="243">
        <f>+TbPiezas[[#This Row],[VENTA]]*$G$2</f>
        <v>6.8285</v>
      </c>
    </row>
    <row r="43" spans="2:8" x14ac:dyDescent="0.3">
      <c r="B43" s="234" t="s">
        <v>79</v>
      </c>
      <c r="C43" s="234">
        <v>39</v>
      </c>
      <c r="D43" s="234" t="s">
        <v>979</v>
      </c>
      <c r="E43" s="235" t="s">
        <v>80</v>
      </c>
      <c r="F43" s="236">
        <v>2.5999999999999943</v>
      </c>
      <c r="G43" s="237">
        <v>128.38</v>
      </c>
      <c r="H43" s="243">
        <f>+TbPiezas[[#This Row],[VENTA]]*$G$2</f>
        <v>6.4190000000000005</v>
      </c>
    </row>
    <row r="44" spans="2:8" x14ac:dyDescent="0.3">
      <c r="B44" s="234" t="s">
        <v>81</v>
      </c>
      <c r="C44" s="234">
        <v>40</v>
      </c>
      <c r="D44" s="234" t="s">
        <v>979</v>
      </c>
      <c r="E44" s="235" t="s">
        <v>82</v>
      </c>
      <c r="F44" s="236">
        <v>1.4000000000000057</v>
      </c>
      <c r="G44" s="237">
        <v>109.33</v>
      </c>
      <c r="H44" s="243">
        <f>+TbPiezas[[#This Row],[VENTA]]*$G$2</f>
        <v>5.4664999999999999</v>
      </c>
    </row>
    <row r="45" spans="2:8" x14ac:dyDescent="0.3">
      <c r="B45" s="234" t="s">
        <v>83</v>
      </c>
      <c r="C45" s="234">
        <v>41</v>
      </c>
      <c r="D45" s="234" t="s">
        <v>979</v>
      </c>
      <c r="E45" s="235" t="s">
        <v>84</v>
      </c>
      <c r="F45" s="236">
        <v>0.79999999999999716</v>
      </c>
      <c r="G45" s="237">
        <v>91.83</v>
      </c>
      <c r="H45" s="243">
        <f>+TbPiezas[[#This Row],[VENTA]]*$G$2</f>
        <v>4.5914999999999999</v>
      </c>
    </row>
    <row r="46" spans="2:8" x14ac:dyDescent="0.3">
      <c r="B46" s="234" t="s">
        <v>85</v>
      </c>
      <c r="C46" s="234">
        <v>42</v>
      </c>
      <c r="D46" s="234" t="s">
        <v>979</v>
      </c>
      <c r="E46" s="235" t="s">
        <v>86</v>
      </c>
      <c r="F46" s="236">
        <v>7.5</v>
      </c>
      <c r="G46" s="237">
        <v>139.11000000000001</v>
      </c>
      <c r="H46" s="243">
        <f>+TbPiezas[[#This Row],[VENTA]]*$G$2</f>
        <v>6.9555000000000007</v>
      </c>
    </row>
    <row r="47" spans="2:8" x14ac:dyDescent="0.3">
      <c r="B47" s="234" t="s">
        <v>87</v>
      </c>
      <c r="C47" s="234">
        <v>43</v>
      </c>
      <c r="D47" s="234" t="s">
        <v>979</v>
      </c>
      <c r="E47" s="235" t="s">
        <v>88</v>
      </c>
      <c r="F47" s="236">
        <v>5.7999999999999972</v>
      </c>
      <c r="G47" s="237">
        <v>136.57</v>
      </c>
      <c r="H47" s="243">
        <f>+TbPiezas[[#This Row],[VENTA]]*$G$2</f>
        <v>6.8285</v>
      </c>
    </row>
    <row r="48" spans="2:8" x14ac:dyDescent="0.3">
      <c r="B48" s="234" t="s">
        <v>89</v>
      </c>
      <c r="C48" s="234">
        <v>44</v>
      </c>
      <c r="D48" s="234" t="s">
        <v>979</v>
      </c>
      <c r="E48" s="235" t="s">
        <v>90</v>
      </c>
      <c r="F48" s="236">
        <v>4.7999999999999972</v>
      </c>
      <c r="G48" s="237">
        <v>128.38</v>
      </c>
      <c r="H48" s="243">
        <f>+TbPiezas[[#This Row],[VENTA]]*$G$2</f>
        <v>6.4190000000000005</v>
      </c>
    </row>
    <row r="49" spans="2:8" x14ac:dyDescent="0.3">
      <c r="B49" s="234" t="s">
        <v>91</v>
      </c>
      <c r="C49" s="234">
        <v>45</v>
      </c>
      <c r="D49" s="234" t="s">
        <v>979</v>
      </c>
      <c r="E49" s="235" t="s">
        <v>92</v>
      </c>
      <c r="F49" s="236">
        <v>2.7000000000000028</v>
      </c>
      <c r="G49" s="237">
        <v>124.8</v>
      </c>
      <c r="H49" s="243">
        <f>+TbPiezas[[#This Row],[VENTA]]*$G$2</f>
        <v>6.24</v>
      </c>
    </row>
    <row r="50" spans="2:8" x14ac:dyDescent="0.3">
      <c r="B50" s="234" t="s">
        <v>93</v>
      </c>
      <c r="C50" s="234">
        <v>46</v>
      </c>
      <c r="D50" s="234" t="s">
        <v>979</v>
      </c>
      <c r="E50" s="235" t="s">
        <v>94</v>
      </c>
      <c r="F50" s="236">
        <v>1.2999999999999972</v>
      </c>
      <c r="G50" s="237">
        <v>109.33</v>
      </c>
      <c r="H50" s="243">
        <f>+TbPiezas[[#This Row],[VENTA]]*$G$2</f>
        <v>5.4664999999999999</v>
      </c>
    </row>
    <row r="51" spans="2:8" x14ac:dyDescent="0.3">
      <c r="B51" s="234" t="s">
        <v>95</v>
      </c>
      <c r="C51" s="234">
        <v>47</v>
      </c>
      <c r="D51" s="234" t="s">
        <v>979</v>
      </c>
      <c r="E51" s="235" t="s">
        <v>96</v>
      </c>
      <c r="F51" s="236">
        <v>2.0999999999999943</v>
      </c>
      <c r="G51" s="237">
        <v>91.83</v>
      </c>
      <c r="H51" s="243">
        <f>+TbPiezas[[#This Row],[VENTA]]*$G$2</f>
        <v>4.5914999999999999</v>
      </c>
    </row>
    <row r="52" spans="2:8" x14ac:dyDescent="0.3">
      <c r="B52" s="234" t="s">
        <v>97</v>
      </c>
      <c r="C52" s="234">
        <v>48</v>
      </c>
      <c r="D52" s="234" t="s">
        <v>979</v>
      </c>
      <c r="E52" s="235" t="s">
        <v>98</v>
      </c>
      <c r="F52" s="236">
        <v>10.5</v>
      </c>
      <c r="G52" s="237">
        <v>139.11000000000001</v>
      </c>
      <c r="H52" s="243">
        <f>+TbPiezas[[#This Row],[VENTA]]*$G$2</f>
        <v>6.9555000000000007</v>
      </c>
    </row>
    <row r="53" spans="2:8" x14ac:dyDescent="0.3">
      <c r="B53" s="234" t="s">
        <v>99</v>
      </c>
      <c r="C53" s="234">
        <v>49</v>
      </c>
      <c r="D53" s="234" t="s">
        <v>979</v>
      </c>
      <c r="E53" s="235" t="s">
        <v>100</v>
      </c>
      <c r="F53" s="236">
        <v>8.7999999999999972</v>
      </c>
      <c r="G53" s="237">
        <v>136.57</v>
      </c>
      <c r="H53" s="243">
        <f>+TbPiezas[[#This Row],[VENTA]]*$G$2</f>
        <v>6.8285</v>
      </c>
    </row>
    <row r="54" spans="2:8" x14ac:dyDescent="0.3">
      <c r="B54" s="234" t="s">
        <v>101</v>
      </c>
      <c r="C54" s="234">
        <v>50</v>
      </c>
      <c r="D54" s="234" t="s">
        <v>979</v>
      </c>
      <c r="E54" s="235" t="s">
        <v>102</v>
      </c>
      <c r="F54" s="236">
        <v>5</v>
      </c>
      <c r="G54" s="237">
        <v>128.38</v>
      </c>
      <c r="H54" s="243">
        <f>+TbPiezas[[#This Row],[VENTA]]*$G$2</f>
        <v>6.4190000000000005</v>
      </c>
    </row>
    <row r="55" spans="2:8" x14ac:dyDescent="0.3">
      <c r="B55" s="234" t="s">
        <v>103</v>
      </c>
      <c r="C55" s="234">
        <v>51</v>
      </c>
      <c r="D55" s="234" t="s">
        <v>979</v>
      </c>
      <c r="E55" s="235" t="s">
        <v>104</v>
      </c>
      <c r="F55" s="236">
        <v>3.3999999999999915</v>
      </c>
      <c r="G55" s="237">
        <v>124.8</v>
      </c>
      <c r="H55" s="243">
        <f>+TbPiezas[[#This Row],[VENTA]]*$G$2</f>
        <v>6.24</v>
      </c>
    </row>
    <row r="56" spans="2:8" x14ac:dyDescent="0.3">
      <c r="B56" s="234" t="s">
        <v>105</v>
      </c>
      <c r="C56" s="234">
        <v>52</v>
      </c>
      <c r="D56" s="234" t="s">
        <v>979</v>
      </c>
      <c r="E56" s="235" t="s">
        <v>106</v>
      </c>
      <c r="F56" s="236">
        <v>4.0999999999999943</v>
      </c>
      <c r="G56" s="237">
        <v>109.33</v>
      </c>
      <c r="H56" s="243">
        <f>+TbPiezas[[#This Row],[VENTA]]*$G$2</f>
        <v>5.4664999999999999</v>
      </c>
    </row>
    <row r="57" spans="2:8" x14ac:dyDescent="0.3">
      <c r="B57" s="234" t="s">
        <v>107</v>
      </c>
      <c r="C57" s="234">
        <v>53</v>
      </c>
      <c r="D57" s="234" t="s">
        <v>979</v>
      </c>
      <c r="E57" s="235" t="s">
        <v>108</v>
      </c>
      <c r="F57" s="236">
        <v>0.5</v>
      </c>
      <c r="G57" s="237">
        <v>91.83</v>
      </c>
      <c r="H57" s="243">
        <f>+TbPiezas[[#This Row],[VENTA]]*$G$2</f>
        <v>4.5914999999999999</v>
      </c>
    </row>
    <row r="58" spans="2:8" x14ac:dyDescent="0.3">
      <c r="B58" s="234" t="s">
        <v>109</v>
      </c>
      <c r="C58" s="234">
        <v>54</v>
      </c>
      <c r="D58" s="234" t="s">
        <v>979</v>
      </c>
      <c r="E58" s="235" t="s">
        <v>110</v>
      </c>
      <c r="F58" s="236">
        <v>11.299999999999997</v>
      </c>
      <c r="G58" s="237">
        <v>316.13</v>
      </c>
      <c r="H58" s="243">
        <f>+TbPiezas[[#This Row],[VENTA]]*$G$2</f>
        <v>15.8065</v>
      </c>
    </row>
    <row r="59" spans="2:8" x14ac:dyDescent="0.3">
      <c r="B59" s="234" t="s">
        <v>111</v>
      </c>
      <c r="C59" s="234">
        <v>55</v>
      </c>
      <c r="D59" s="234" t="s">
        <v>979</v>
      </c>
      <c r="E59" s="235" t="s">
        <v>112</v>
      </c>
      <c r="F59" s="236">
        <v>10.899999999999991</v>
      </c>
      <c r="G59" s="237">
        <v>302.58</v>
      </c>
      <c r="H59" s="243">
        <f>+TbPiezas[[#This Row],[VENTA]]*$G$2</f>
        <v>15.129</v>
      </c>
    </row>
    <row r="60" spans="2:8" x14ac:dyDescent="0.3">
      <c r="B60" s="234" t="s">
        <v>113</v>
      </c>
      <c r="C60" s="234">
        <v>56</v>
      </c>
      <c r="D60" s="234" t="s">
        <v>979</v>
      </c>
      <c r="E60" s="235" t="s">
        <v>114</v>
      </c>
      <c r="F60" s="236">
        <v>7.5</v>
      </c>
      <c r="G60" s="237">
        <v>291.14</v>
      </c>
      <c r="H60" s="243">
        <f>+TbPiezas[[#This Row],[VENTA]]*$G$2</f>
        <v>14.557</v>
      </c>
    </row>
    <row r="61" spans="2:8" x14ac:dyDescent="0.3">
      <c r="B61" s="234" t="s">
        <v>115</v>
      </c>
      <c r="C61" s="234">
        <v>57</v>
      </c>
      <c r="D61" s="234" t="s">
        <v>979</v>
      </c>
      <c r="E61" s="235" t="s">
        <v>116</v>
      </c>
      <c r="F61" s="236">
        <v>6.5999999999999943</v>
      </c>
      <c r="G61" s="237">
        <v>280.58999999999997</v>
      </c>
      <c r="H61" s="243">
        <f>+TbPiezas[[#This Row],[VENTA]]*$G$2</f>
        <v>14.029499999999999</v>
      </c>
    </row>
    <row r="62" spans="2:8" x14ac:dyDescent="0.3">
      <c r="B62" s="234" t="s">
        <v>117</v>
      </c>
      <c r="C62" s="234">
        <v>58</v>
      </c>
      <c r="D62" s="234" t="s">
        <v>979</v>
      </c>
      <c r="E62" s="235" t="s">
        <v>118</v>
      </c>
      <c r="F62" s="236">
        <v>6</v>
      </c>
      <c r="G62" s="237">
        <v>280.58999999999997</v>
      </c>
      <c r="H62" s="243">
        <f>+TbPiezas[[#This Row],[VENTA]]*$G$2</f>
        <v>14.029499999999999</v>
      </c>
    </row>
    <row r="63" spans="2:8" x14ac:dyDescent="0.3">
      <c r="B63" s="234" t="s">
        <v>119</v>
      </c>
      <c r="C63" s="234">
        <v>59</v>
      </c>
      <c r="D63" s="234" t="s">
        <v>979</v>
      </c>
      <c r="E63" s="235" t="s">
        <v>120</v>
      </c>
      <c r="F63" s="236">
        <v>4.2000000000000028</v>
      </c>
      <c r="G63" s="237">
        <v>266.81</v>
      </c>
      <c r="H63" s="243">
        <f>+TbPiezas[[#This Row],[VENTA]]*$G$2</f>
        <v>13.3405</v>
      </c>
    </row>
    <row r="64" spans="2:8" x14ac:dyDescent="0.3">
      <c r="B64" s="234" t="s">
        <v>121</v>
      </c>
      <c r="C64" s="234">
        <v>60</v>
      </c>
      <c r="D64" s="234" t="s">
        <v>979</v>
      </c>
      <c r="E64" s="235" t="s">
        <v>122</v>
      </c>
      <c r="F64" s="236">
        <v>10.700000000000003</v>
      </c>
      <c r="G64" s="237">
        <v>316.13</v>
      </c>
      <c r="H64" s="243">
        <f>+TbPiezas[[#This Row],[VENTA]]*$G$2</f>
        <v>15.8065</v>
      </c>
    </row>
    <row r="65" spans="2:8" x14ac:dyDescent="0.3">
      <c r="B65" s="234" t="s">
        <v>123</v>
      </c>
      <c r="C65" s="234">
        <v>61</v>
      </c>
      <c r="D65" s="234" t="s">
        <v>979</v>
      </c>
      <c r="E65" s="235" t="s">
        <v>124</v>
      </c>
      <c r="F65" s="236">
        <v>9.2000000000000028</v>
      </c>
      <c r="G65" s="237">
        <v>302.58</v>
      </c>
      <c r="H65" s="243">
        <f>+TbPiezas[[#This Row],[VENTA]]*$G$2</f>
        <v>15.129</v>
      </c>
    </row>
    <row r="66" spans="2:8" x14ac:dyDescent="0.3">
      <c r="B66" s="234" t="s">
        <v>125</v>
      </c>
      <c r="C66" s="234">
        <v>62</v>
      </c>
      <c r="D66" s="234" t="s">
        <v>979</v>
      </c>
      <c r="E66" s="235" t="s">
        <v>126</v>
      </c>
      <c r="F66" s="236">
        <v>5.9000000000000057</v>
      </c>
      <c r="G66" s="237">
        <v>280.58999999999997</v>
      </c>
      <c r="H66" s="243">
        <f>+TbPiezas[[#This Row],[VENTA]]*$G$2</f>
        <v>14.029499999999999</v>
      </c>
    </row>
    <row r="67" spans="2:8" x14ac:dyDescent="0.3">
      <c r="B67" s="234" t="s">
        <v>127</v>
      </c>
      <c r="C67" s="234">
        <v>63</v>
      </c>
      <c r="D67" s="234" t="s">
        <v>979</v>
      </c>
      <c r="E67" s="235" t="s">
        <v>128</v>
      </c>
      <c r="F67" s="236">
        <v>5.9</v>
      </c>
      <c r="G67" s="237">
        <v>280.58999999999997</v>
      </c>
      <c r="H67" s="243">
        <f>+TbPiezas[[#This Row],[VENTA]]*$G$2</f>
        <v>14.029499999999999</v>
      </c>
    </row>
    <row r="68" spans="2:8" x14ac:dyDescent="0.3">
      <c r="B68" s="234" t="s">
        <v>129</v>
      </c>
      <c r="C68" s="234">
        <v>64</v>
      </c>
      <c r="D68" s="234" t="s">
        <v>979</v>
      </c>
      <c r="E68" s="235" t="s">
        <v>130</v>
      </c>
      <c r="F68" s="236">
        <v>18.599999999999994</v>
      </c>
      <c r="G68" s="237">
        <v>654.70000000000005</v>
      </c>
      <c r="H68" s="243">
        <f>+TbPiezas[[#This Row],[VENTA]]*$G$2</f>
        <v>32.735000000000007</v>
      </c>
    </row>
    <row r="69" spans="2:8" x14ac:dyDescent="0.3">
      <c r="B69" s="234" t="s">
        <v>131</v>
      </c>
      <c r="C69" s="234">
        <v>65</v>
      </c>
      <c r="D69" s="234" t="s">
        <v>979</v>
      </c>
      <c r="E69" s="235" t="s">
        <v>132</v>
      </c>
      <c r="F69" s="236">
        <v>15.2</v>
      </c>
      <c r="G69" s="237">
        <v>575.04</v>
      </c>
      <c r="H69" s="243">
        <f>+TbPiezas[[#This Row],[VENTA]]*$G$2</f>
        <v>28.751999999999999</v>
      </c>
    </row>
    <row r="70" spans="2:8" x14ac:dyDescent="0.3">
      <c r="B70" s="234" t="s">
        <v>133</v>
      </c>
      <c r="C70" s="234">
        <v>66</v>
      </c>
      <c r="D70" s="234" t="s">
        <v>979</v>
      </c>
      <c r="E70" s="235" t="s">
        <v>134</v>
      </c>
      <c r="F70" s="236">
        <v>11.799999999999997</v>
      </c>
      <c r="G70" s="237">
        <v>496.07</v>
      </c>
      <c r="H70" s="243">
        <f>+TbPiezas[[#This Row],[VENTA]]*$G$2</f>
        <v>24.8035</v>
      </c>
    </row>
    <row r="71" spans="2:8" x14ac:dyDescent="0.3">
      <c r="B71" s="234" t="s">
        <v>135</v>
      </c>
      <c r="C71" s="234">
        <v>67</v>
      </c>
      <c r="D71" s="234" t="s">
        <v>979</v>
      </c>
      <c r="E71" s="235" t="s">
        <v>136</v>
      </c>
      <c r="F71" s="236">
        <v>9.8999999999999915</v>
      </c>
      <c r="G71" s="237">
        <v>484.34</v>
      </c>
      <c r="H71" s="243">
        <f>+TbPiezas[[#This Row],[VENTA]]*$G$2</f>
        <v>24.216999999999999</v>
      </c>
    </row>
    <row r="72" spans="2:8" x14ac:dyDescent="0.3">
      <c r="B72" s="234" t="s">
        <v>137</v>
      </c>
      <c r="C72" s="234">
        <v>68</v>
      </c>
      <c r="D72" s="234" t="s">
        <v>979</v>
      </c>
      <c r="E72" s="235" t="s">
        <v>138</v>
      </c>
      <c r="F72" s="236">
        <v>5.7999999999999972</v>
      </c>
      <c r="G72" s="237">
        <v>452.11</v>
      </c>
      <c r="H72" s="243">
        <f>+TbPiezas[[#This Row],[VENTA]]*$G$2</f>
        <v>22.605500000000003</v>
      </c>
    </row>
    <row r="73" spans="2:8" x14ac:dyDescent="0.3">
      <c r="B73" s="234" t="s">
        <v>139</v>
      </c>
      <c r="C73" s="234">
        <v>69</v>
      </c>
      <c r="D73" s="234" t="s">
        <v>979</v>
      </c>
      <c r="E73" s="235" t="s">
        <v>140</v>
      </c>
      <c r="F73" s="236">
        <v>5.0999999999999943</v>
      </c>
      <c r="G73" s="237">
        <v>408.3</v>
      </c>
      <c r="H73" s="243">
        <f>+TbPiezas[[#This Row],[VENTA]]*$G$2</f>
        <v>20.415000000000003</v>
      </c>
    </row>
    <row r="74" spans="2:8" x14ac:dyDescent="0.3">
      <c r="B74" s="234" t="s">
        <v>141</v>
      </c>
      <c r="C74" s="234">
        <v>70</v>
      </c>
      <c r="D74" s="234" t="s">
        <v>979</v>
      </c>
      <c r="E74" s="235" t="s">
        <v>142</v>
      </c>
      <c r="F74" s="236">
        <v>24</v>
      </c>
      <c r="G74" s="237">
        <v>654.70000000000005</v>
      </c>
      <c r="H74" s="243">
        <f>+TbPiezas[[#This Row],[VENTA]]*$G$2</f>
        <v>32.735000000000007</v>
      </c>
    </row>
    <row r="75" spans="2:8" x14ac:dyDescent="0.3">
      <c r="B75" s="234" t="s">
        <v>143</v>
      </c>
      <c r="C75" s="234">
        <v>71</v>
      </c>
      <c r="D75" s="234" t="s">
        <v>979</v>
      </c>
      <c r="E75" s="235" t="s">
        <v>144</v>
      </c>
      <c r="F75" s="236">
        <v>19.700000000000003</v>
      </c>
      <c r="G75" s="237">
        <v>575.04</v>
      </c>
      <c r="H75" s="243">
        <f>+TbPiezas[[#This Row],[VENTA]]*$G$2</f>
        <v>28.751999999999999</v>
      </c>
    </row>
    <row r="76" spans="2:8" x14ac:dyDescent="0.3">
      <c r="B76" s="234" t="s">
        <v>145</v>
      </c>
      <c r="C76" s="234">
        <v>72</v>
      </c>
      <c r="D76" s="234" t="s">
        <v>979</v>
      </c>
      <c r="E76" s="235" t="s">
        <v>146</v>
      </c>
      <c r="F76" s="236">
        <v>17.700000000000003</v>
      </c>
      <c r="G76" s="237">
        <v>496.07</v>
      </c>
      <c r="H76" s="243">
        <f>+TbPiezas[[#This Row],[VENTA]]*$G$2</f>
        <v>24.8035</v>
      </c>
    </row>
    <row r="77" spans="2:8" x14ac:dyDescent="0.3">
      <c r="B77" s="234" t="s">
        <v>147</v>
      </c>
      <c r="C77" s="234">
        <v>73</v>
      </c>
      <c r="D77" s="234" t="s">
        <v>979</v>
      </c>
      <c r="E77" s="235" t="s">
        <v>148</v>
      </c>
      <c r="F77" s="236">
        <v>12.200000000000003</v>
      </c>
      <c r="G77" s="237">
        <v>484.34</v>
      </c>
      <c r="H77" s="243">
        <f>+TbPiezas[[#This Row],[VENTA]]*$G$2</f>
        <v>24.216999999999999</v>
      </c>
    </row>
    <row r="78" spans="2:8" x14ac:dyDescent="0.3">
      <c r="B78" s="234" t="s">
        <v>149</v>
      </c>
      <c r="C78" s="234">
        <v>74</v>
      </c>
      <c r="D78" s="234" t="s">
        <v>979</v>
      </c>
      <c r="E78" s="235" t="s">
        <v>150</v>
      </c>
      <c r="F78" s="236">
        <v>10.399999999999991</v>
      </c>
      <c r="G78" s="237">
        <v>452.11</v>
      </c>
      <c r="H78" s="243">
        <f>+TbPiezas[[#This Row],[VENTA]]*$G$2</f>
        <v>22.605500000000003</v>
      </c>
    </row>
    <row r="79" spans="2:8" x14ac:dyDescent="0.3">
      <c r="B79" s="234" t="s">
        <v>151</v>
      </c>
      <c r="C79" s="234">
        <v>75</v>
      </c>
      <c r="D79" s="234" t="s">
        <v>979</v>
      </c>
      <c r="E79" s="235" t="s">
        <v>152</v>
      </c>
      <c r="F79" s="236">
        <v>7.9000000000000057</v>
      </c>
      <c r="G79" s="237">
        <v>408.3</v>
      </c>
      <c r="H79" s="243">
        <f>+TbPiezas[[#This Row],[VENTA]]*$G$2</f>
        <v>20.415000000000003</v>
      </c>
    </row>
    <row r="80" spans="2:8" x14ac:dyDescent="0.3">
      <c r="B80" s="234" t="s">
        <v>153</v>
      </c>
      <c r="C80" s="234">
        <v>76</v>
      </c>
      <c r="D80" s="234" t="s">
        <v>979</v>
      </c>
      <c r="E80" s="235" t="s">
        <v>154</v>
      </c>
      <c r="F80" s="236">
        <v>17.799999999999997</v>
      </c>
      <c r="G80" s="237">
        <v>654.70000000000005</v>
      </c>
      <c r="H80" s="243">
        <f>+TbPiezas[[#This Row],[VENTA]]*$G$2</f>
        <v>32.735000000000007</v>
      </c>
    </row>
    <row r="81" spans="2:8" x14ac:dyDescent="0.3">
      <c r="B81" s="234" t="s">
        <v>155</v>
      </c>
      <c r="C81" s="234">
        <v>77</v>
      </c>
      <c r="D81" s="234" t="s">
        <v>979</v>
      </c>
      <c r="E81" s="235" t="s">
        <v>156</v>
      </c>
      <c r="F81" s="236">
        <v>14.599999999999994</v>
      </c>
      <c r="G81" s="237">
        <v>575.04</v>
      </c>
      <c r="H81" s="243">
        <f>+TbPiezas[[#This Row],[VENTA]]*$G$2</f>
        <v>28.751999999999999</v>
      </c>
    </row>
    <row r="82" spans="2:8" x14ac:dyDescent="0.3">
      <c r="B82" s="234" t="s">
        <v>157</v>
      </c>
      <c r="C82" s="234">
        <v>78</v>
      </c>
      <c r="D82" s="234" t="s">
        <v>979</v>
      </c>
      <c r="E82" s="235" t="s">
        <v>158</v>
      </c>
      <c r="F82" s="236">
        <v>12.299999999999997</v>
      </c>
      <c r="G82" s="237">
        <v>496.07</v>
      </c>
      <c r="H82" s="243">
        <f>+TbPiezas[[#This Row],[VENTA]]*$G$2</f>
        <v>24.8035</v>
      </c>
    </row>
    <row r="83" spans="2:8" x14ac:dyDescent="0.3">
      <c r="B83" s="234" t="s">
        <v>159</v>
      </c>
      <c r="C83" s="234">
        <v>79</v>
      </c>
      <c r="D83" s="234" t="s">
        <v>979</v>
      </c>
      <c r="E83" s="235" t="s">
        <v>160</v>
      </c>
      <c r="F83" s="236">
        <v>9.0500000000000007</v>
      </c>
      <c r="G83" s="237">
        <v>484.34</v>
      </c>
      <c r="H83" s="243">
        <f>+TbPiezas[[#This Row],[VENTA]]*$G$2</f>
        <v>24.216999999999999</v>
      </c>
    </row>
    <row r="84" spans="2:8" x14ac:dyDescent="0.3">
      <c r="B84" s="234" t="s">
        <v>161</v>
      </c>
      <c r="C84" s="234">
        <v>80</v>
      </c>
      <c r="D84" s="234" t="s">
        <v>979</v>
      </c>
      <c r="E84" s="235" t="s">
        <v>162</v>
      </c>
      <c r="F84" s="236">
        <v>7.71</v>
      </c>
      <c r="G84" s="237">
        <v>452.11</v>
      </c>
      <c r="H84" s="243">
        <f>+TbPiezas[[#This Row],[VENTA]]*$G$2</f>
        <v>22.605500000000003</v>
      </c>
    </row>
    <row r="85" spans="2:8" x14ac:dyDescent="0.3">
      <c r="B85" s="234" t="s">
        <v>163</v>
      </c>
      <c r="C85" s="234">
        <v>81</v>
      </c>
      <c r="D85" s="234" t="s">
        <v>979</v>
      </c>
      <c r="E85" s="235" t="s">
        <v>164</v>
      </c>
      <c r="F85" s="236">
        <v>4.3</v>
      </c>
      <c r="G85" s="237">
        <v>452.11</v>
      </c>
      <c r="H85" s="243">
        <f>+TbPiezas[[#This Row],[VENTA]]*$G$2</f>
        <v>22.605500000000003</v>
      </c>
    </row>
    <row r="86" spans="2:8" x14ac:dyDescent="0.3">
      <c r="B86" s="234" t="s">
        <v>165</v>
      </c>
      <c r="C86" s="234">
        <v>82</v>
      </c>
      <c r="D86" s="234" t="s">
        <v>979</v>
      </c>
      <c r="E86" s="235" t="s">
        <v>166</v>
      </c>
      <c r="F86" s="236">
        <v>5.86</v>
      </c>
      <c r="G86" s="237">
        <v>408.3</v>
      </c>
      <c r="H86" s="243">
        <f>+TbPiezas[[#This Row],[VENTA]]*$G$2</f>
        <v>20.415000000000003</v>
      </c>
    </row>
    <row r="87" spans="2:8" x14ac:dyDescent="0.3">
      <c r="B87" s="234" t="s">
        <v>167</v>
      </c>
      <c r="C87" s="234">
        <v>83</v>
      </c>
      <c r="D87" s="234" t="s">
        <v>979</v>
      </c>
      <c r="E87" s="235" t="s">
        <v>168</v>
      </c>
      <c r="F87" s="236">
        <v>43.499999999999986</v>
      </c>
      <c r="G87" s="237">
        <v>2658.2</v>
      </c>
      <c r="H87" s="243">
        <f>+TbPiezas[[#This Row],[VENTA]]*$G$2</f>
        <v>132.91</v>
      </c>
    </row>
    <row r="88" spans="2:8" x14ac:dyDescent="0.3">
      <c r="B88" s="234" t="s">
        <v>169</v>
      </c>
      <c r="C88" s="234">
        <v>84</v>
      </c>
      <c r="D88" s="234" t="s">
        <v>979</v>
      </c>
      <c r="E88" s="235" t="s">
        <v>170</v>
      </c>
      <c r="F88" s="236">
        <v>36.599999999999994</v>
      </c>
      <c r="G88" s="237">
        <v>2658.2</v>
      </c>
      <c r="H88" s="243">
        <f>+TbPiezas[[#This Row],[VENTA]]*$G$2</f>
        <v>132.91</v>
      </c>
    </row>
    <row r="89" spans="2:8" x14ac:dyDescent="0.3">
      <c r="B89" s="234" t="s">
        <v>171</v>
      </c>
      <c r="C89" s="234">
        <v>85</v>
      </c>
      <c r="D89" s="234" t="s">
        <v>979</v>
      </c>
      <c r="E89" s="235" t="s">
        <v>172</v>
      </c>
      <c r="F89" s="236">
        <v>31.099999999999994</v>
      </c>
      <c r="G89" s="237">
        <v>2658.2</v>
      </c>
      <c r="H89" s="243">
        <f>+TbPiezas[[#This Row],[VENTA]]*$G$2</f>
        <v>132.91</v>
      </c>
    </row>
    <row r="90" spans="2:8" x14ac:dyDescent="0.3">
      <c r="B90" s="234" t="s">
        <v>173</v>
      </c>
      <c r="C90" s="234">
        <v>86</v>
      </c>
      <c r="D90" s="234" t="s">
        <v>979</v>
      </c>
      <c r="E90" s="235" t="s">
        <v>174</v>
      </c>
      <c r="F90" s="236">
        <v>27</v>
      </c>
      <c r="G90" s="237">
        <v>2658.2</v>
      </c>
      <c r="H90" s="243">
        <f>+TbPiezas[[#This Row],[VENTA]]*$G$2</f>
        <v>132.91</v>
      </c>
    </row>
    <row r="91" spans="2:8" x14ac:dyDescent="0.3">
      <c r="B91" s="234" t="s">
        <v>175</v>
      </c>
      <c r="C91" s="234">
        <v>87</v>
      </c>
      <c r="D91" s="234" t="s">
        <v>979</v>
      </c>
      <c r="E91" s="235" t="s">
        <v>176</v>
      </c>
      <c r="F91" s="236">
        <v>30.399999999999991</v>
      </c>
      <c r="G91" s="237">
        <v>2101.1799999999998</v>
      </c>
      <c r="H91" s="243">
        <f>+TbPiezas[[#This Row],[VENTA]]*$G$2</f>
        <v>105.059</v>
      </c>
    </row>
    <row r="92" spans="2:8" x14ac:dyDescent="0.3">
      <c r="B92" s="234" t="s">
        <v>177</v>
      </c>
      <c r="C92" s="234">
        <v>88</v>
      </c>
      <c r="D92" s="234" t="s">
        <v>979</v>
      </c>
      <c r="E92" s="235" t="s">
        <v>178</v>
      </c>
      <c r="F92" s="236">
        <v>23.5</v>
      </c>
      <c r="G92" s="237">
        <v>2101.1799999999998</v>
      </c>
      <c r="H92" s="243">
        <f>+TbPiezas[[#This Row],[VENTA]]*$G$2</f>
        <v>105.059</v>
      </c>
    </row>
    <row r="93" spans="2:8" x14ac:dyDescent="0.3">
      <c r="B93" s="234" t="s">
        <v>179</v>
      </c>
      <c r="C93" s="234">
        <v>89</v>
      </c>
      <c r="D93" s="234" t="s">
        <v>979</v>
      </c>
      <c r="E93" s="235" t="s">
        <v>180</v>
      </c>
      <c r="F93" s="236">
        <v>18</v>
      </c>
      <c r="G93" s="237">
        <v>2101.1799999999998</v>
      </c>
      <c r="H93" s="243">
        <f>+TbPiezas[[#This Row],[VENTA]]*$G$2</f>
        <v>105.059</v>
      </c>
    </row>
    <row r="94" spans="2:8" x14ac:dyDescent="0.3">
      <c r="B94" s="234" t="s">
        <v>181</v>
      </c>
      <c r="C94" s="234">
        <v>90</v>
      </c>
      <c r="D94" s="234" t="s">
        <v>979</v>
      </c>
      <c r="E94" s="235" t="s">
        <v>182</v>
      </c>
      <c r="F94" s="236">
        <v>13.099999999999994</v>
      </c>
      <c r="G94" s="237">
        <v>557.03</v>
      </c>
      <c r="H94" s="243">
        <f>+TbPiezas[[#This Row],[VENTA]]*$G$2</f>
        <v>27.851500000000001</v>
      </c>
    </row>
    <row r="95" spans="2:8" x14ac:dyDescent="0.3">
      <c r="B95" s="234" t="s">
        <v>183</v>
      </c>
      <c r="C95" s="234">
        <v>91</v>
      </c>
      <c r="D95" s="234" t="s">
        <v>979</v>
      </c>
      <c r="E95" s="235" t="s">
        <v>184</v>
      </c>
      <c r="F95" s="236">
        <v>38.799999999999997</v>
      </c>
      <c r="G95" s="237">
        <v>2101.1799999999998</v>
      </c>
      <c r="H95" s="243">
        <f>+TbPiezas[[#This Row],[VENTA]]*$G$2</f>
        <v>105.059</v>
      </c>
    </row>
    <row r="96" spans="2:8" x14ac:dyDescent="0.3">
      <c r="B96" s="234" t="s">
        <v>185</v>
      </c>
      <c r="C96" s="234">
        <v>92</v>
      </c>
      <c r="D96" s="234" t="s">
        <v>979</v>
      </c>
      <c r="E96" s="235" t="s">
        <v>186</v>
      </c>
      <c r="F96" s="236">
        <v>29.599999999999994</v>
      </c>
      <c r="G96" s="237">
        <v>2101.1799999999998</v>
      </c>
      <c r="H96" s="243">
        <f>+TbPiezas[[#This Row],[VENTA]]*$G$2</f>
        <v>105.059</v>
      </c>
    </row>
    <row r="97" spans="2:8" x14ac:dyDescent="0.3">
      <c r="B97" s="234" t="s">
        <v>187</v>
      </c>
      <c r="C97" s="234">
        <v>93</v>
      </c>
      <c r="D97" s="234" t="s">
        <v>979</v>
      </c>
      <c r="E97" s="235" t="s">
        <v>188</v>
      </c>
      <c r="F97" s="236">
        <v>19.899999999999991</v>
      </c>
      <c r="G97" s="237">
        <v>1236.3399999999999</v>
      </c>
      <c r="H97" s="243">
        <f>+TbPiezas[[#This Row],[VENTA]]*$G$2</f>
        <v>61.817</v>
      </c>
    </row>
    <row r="98" spans="2:8" x14ac:dyDescent="0.3">
      <c r="B98" s="234" t="s">
        <v>189</v>
      </c>
      <c r="C98" s="234">
        <v>94</v>
      </c>
      <c r="D98" s="234" t="s">
        <v>979</v>
      </c>
      <c r="E98" s="235" t="s">
        <v>190</v>
      </c>
      <c r="F98" s="236">
        <v>9.2999999999999972</v>
      </c>
      <c r="G98" s="237">
        <v>677.95</v>
      </c>
      <c r="H98" s="243">
        <f>+TbPiezas[[#This Row],[VENTA]]*$G$2</f>
        <v>33.897500000000001</v>
      </c>
    </row>
    <row r="99" spans="2:8" x14ac:dyDescent="0.3">
      <c r="B99" s="234" t="s">
        <v>191</v>
      </c>
      <c r="C99" s="234">
        <v>95</v>
      </c>
      <c r="D99" s="234" t="s">
        <v>979</v>
      </c>
      <c r="E99" s="235" t="s">
        <v>192</v>
      </c>
      <c r="F99" s="236">
        <v>6.0999999999999943</v>
      </c>
      <c r="G99" s="237">
        <v>372.73</v>
      </c>
      <c r="H99" s="243">
        <f>+TbPiezas[[#This Row],[VENTA]]*$G$2</f>
        <v>18.636500000000002</v>
      </c>
    </row>
    <row r="100" spans="2:8" x14ac:dyDescent="0.3">
      <c r="B100" s="234" t="s">
        <v>193</v>
      </c>
      <c r="C100" s="234">
        <v>96</v>
      </c>
      <c r="D100" s="234" t="s">
        <v>979</v>
      </c>
      <c r="E100" s="235" t="s">
        <v>194</v>
      </c>
      <c r="F100" s="236">
        <v>1.2000000000000028</v>
      </c>
      <c r="G100" s="237">
        <v>90.1</v>
      </c>
      <c r="H100" s="243">
        <f>+TbPiezas[[#This Row],[VENTA]]*$G$2</f>
        <v>4.5049999999999999</v>
      </c>
    </row>
    <row r="101" spans="2:8" x14ac:dyDescent="0.3">
      <c r="B101" s="234" t="s">
        <v>195</v>
      </c>
      <c r="C101" s="234">
        <v>97</v>
      </c>
      <c r="D101" s="234" t="s">
        <v>979</v>
      </c>
      <c r="E101" s="235" t="s">
        <v>196</v>
      </c>
      <c r="F101" s="236">
        <v>1.2000000000000028</v>
      </c>
      <c r="G101" s="237">
        <v>118.69</v>
      </c>
      <c r="H101" s="243">
        <f>+TbPiezas[[#This Row],[VENTA]]*$G$2</f>
        <v>5.9344999999999999</v>
      </c>
    </row>
    <row r="102" spans="2:8" x14ac:dyDescent="0.3">
      <c r="B102" s="234" t="s">
        <v>197</v>
      </c>
      <c r="C102" s="234">
        <v>98</v>
      </c>
      <c r="D102" s="234" t="s">
        <v>979</v>
      </c>
      <c r="E102" s="235" t="s">
        <v>198</v>
      </c>
      <c r="F102" s="236">
        <v>1.7000000000000028</v>
      </c>
      <c r="G102" s="237">
        <v>59.23</v>
      </c>
      <c r="H102" s="243">
        <f>+TbPiezas[[#This Row],[VENTA]]*$G$2</f>
        <v>2.9615</v>
      </c>
    </row>
    <row r="103" spans="2:8" x14ac:dyDescent="0.3">
      <c r="B103" s="234" t="s">
        <v>199</v>
      </c>
      <c r="C103" s="234">
        <v>99</v>
      </c>
      <c r="D103" s="234" t="s">
        <v>979</v>
      </c>
      <c r="E103" s="235" t="s">
        <v>200</v>
      </c>
      <c r="F103" s="236">
        <v>5.7999999999999972</v>
      </c>
      <c r="G103" s="237">
        <v>304.92</v>
      </c>
      <c r="H103" s="243">
        <f>+TbPiezas[[#This Row],[VENTA]]*$G$2</f>
        <v>15.246000000000002</v>
      </c>
    </row>
    <row r="104" spans="2:8" x14ac:dyDescent="0.3">
      <c r="B104" s="234" t="s">
        <v>201</v>
      </c>
      <c r="C104" s="234">
        <v>100</v>
      </c>
      <c r="D104" s="234" t="s">
        <v>979</v>
      </c>
      <c r="E104" s="235" t="s">
        <v>202</v>
      </c>
      <c r="F104" s="236">
        <v>0.4</v>
      </c>
      <c r="G104" s="237">
        <v>44.75</v>
      </c>
      <c r="H104" s="243">
        <f>+TbPiezas[[#This Row],[VENTA]]*$G$2</f>
        <v>2.2375000000000003</v>
      </c>
    </row>
    <row r="105" spans="2:8" x14ac:dyDescent="0.3">
      <c r="B105" s="234" t="s">
        <v>203</v>
      </c>
      <c r="C105" s="234">
        <v>101</v>
      </c>
      <c r="D105" s="234" t="s">
        <v>979</v>
      </c>
      <c r="E105" s="235" t="s">
        <v>204</v>
      </c>
      <c r="F105" s="236">
        <v>0.5</v>
      </c>
      <c r="G105" s="237">
        <v>44.75</v>
      </c>
      <c r="H105" s="243">
        <f>+TbPiezas[[#This Row],[VENTA]]*$G$2</f>
        <v>2.2375000000000003</v>
      </c>
    </row>
    <row r="106" spans="2:8" x14ac:dyDescent="0.3">
      <c r="B106" s="234" t="s">
        <v>205</v>
      </c>
      <c r="C106" s="234">
        <v>102</v>
      </c>
      <c r="D106" s="234" t="s">
        <v>979</v>
      </c>
      <c r="E106" s="235" t="s">
        <v>206</v>
      </c>
      <c r="F106" s="236">
        <v>1.7999999999999972</v>
      </c>
      <c r="G106" s="237">
        <v>112.93</v>
      </c>
      <c r="H106" s="243">
        <f>+TbPiezas[[#This Row],[VENTA]]*$G$2</f>
        <v>5.6465000000000005</v>
      </c>
    </row>
    <row r="107" spans="2:8" x14ac:dyDescent="0.3">
      <c r="B107" s="234" t="s">
        <v>207</v>
      </c>
      <c r="C107" s="234">
        <v>103</v>
      </c>
      <c r="D107" s="234" t="s">
        <v>979</v>
      </c>
      <c r="E107" s="235" t="s">
        <v>208</v>
      </c>
      <c r="F107" s="236">
        <v>3.8</v>
      </c>
      <c r="G107" s="237">
        <v>173.65</v>
      </c>
      <c r="H107" s="243">
        <f>+TbPiezas[[#This Row],[VENTA]]*$G$2</f>
        <v>8.682500000000001</v>
      </c>
    </row>
    <row r="108" spans="2:8" x14ac:dyDescent="0.3">
      <c r="B108" s="234" t="s">
        <v>209</v>
      </c>
      <c r="C108" s="234">
        <v>104</v>
      </c>
      <c r="D108" s="234" t="s">
        <v>979</v>
      </c>
      <c r="E108" s="235" t="s">
        <v>210</v>
      </c>
      <c r="F108" s="236">
        <v>9.9999999999994316E-2</v>
      </c>
      <c r="G108" s="237">
        <v>9.91</v>
      </c>
      <c r="H108" s="243">
        <f>+TbPiezas[[#This Row],[VENTA]]*$G$2</f>
        <v>0.49550000000000005</v>
      </c>
    </row>
    <row r="109" spans="2:8" x14ac:dyDescent="0.3">
      <c r="B109" s="234" t="s">
        <v>211</v>
      </c>
      <c r="C109" s="234">
        <v>105</v>
      </c>
      <c r="D109" s="234" t="s">
        <v>979</v>
      </c>
      <c r="E109" s="235" t="s">
        <v>212</v>
      </c>
      <c r="F109" s="236">
        <v>9.9999999999994316E-2</v>
      </c>
      <c r="G109" s="237">
        <v>9.91</v>
      </c>
      <c r="H109" s="243">
        <f>+TbPiezas[[#This Row],[VENTA]]*$G$2</f>
        <v>0.49550000000000005</v>
      </c>
    </row>
    <row r="110" spans="2:8" x14ac:dyDescent="0.3">
      <c r="B110" s="234" t="s">
        <v>213</v>
      </c>
      <c r="C110" s="234">
        <v>106</v>
      </c>
      <c r="D110" s="234" t="s">
        <v>979</v>
      </c>
      <c r="E110" s="235" t="s">
        <v>214</v>
      </c>
      <c r="F110" s="236">
        <v>9.9999999999994316E-2</v>
      </c>
      <c r="G110" s="237">
        <v>9.91</v>
      </c>
      <c r="H110" s="243">
        <f>+TbPiezas[[#This Row],[VENTA]]*$G$2</f>
        <v>0.49550000000000005</v>
      </c>
    </row>
    <row r="111" spans="2:8" x14ac:dyDescent="0.3">
      <c r="B111" s="234" t="s">
        <v>215</v>
      </c>
      <c r="C111" s="234">
        <v>107</v>
      </c>
      <c r="D111" s="234" t="s">
        <v>980</v>
      </c>
      <c r="E111" s="235" t="s">
        <v>216</v>
      </c>
      <c r="F111" s="236">
        <v>38.200000000000003</v>
      </c>
      <c r="G111" s="237">
        <v>2188.16</v>
      </c>
      <c r="H111" s="243">
        <f>+TbPiezas[[#This Row],[VENTA]]*$G$2</f>
        <v>109.408</v>
      </c>
    </row>
    <row r="112" spans="2:8" x14ac:dyDescent="0.3">
      <c r="B112" s="234" t="s">
        <v>217</v>
      </c>
      <c r="C112" s="234">
        <v>108</v>
      </c>
      <c r="D112" s="234" t="s">
        <v>980</v>
      </c>
      <c r="E112" s="235" t="s">
        <v>218</v>
      </c>
      <c r="F112" s="236">
        <v>13.099999999999994</v>
      </c>
      <c r="G112" s="237">
        <v>285.07</v>
      </c>
      <c r="H112" s="243">
        <f>+TbPiezas[[#This Row],[VENTA]]*$G$2</f>
        <v>14.253500000000001</v>
      </c>
    </row>
    <row r="113" spans="2:8" x14ac:dyDescent="0.3">
      <c r="B113" s="234" t="s">
        <v>219</v>
      </c>
      <c r="C113" s="234">
        <v>109</v>
      </c>
      <c r="D113" s="234" t="s">
        <v>980</v>
      </c>
      <c r="E113" s="235" t="s">
        <v>220</v>
      </c>
      <c r="F113" s="236">
        <v>12.700000000000003</v>
      </c>
      <c r="G113" s="237">
        <v>285.07</v>
      </c>
      <c r="H113" s="243">
        <f>+TbPiezas[[#This Row],[VENTA]]*$G$2</f>
        <v>14.253500000000001</v>
      </c>
    </row>
    <row r="114" spans="2:8" x14ac:dyDescent="0.3">
      <c r="B114" s="234" t="s">
        <v>221</v>
      </c>
      <c r="C114" s="234">
        <v>110</v>
      </c>
      <c r="D114" s="234" t="s">
        <v>980</v>
      </c>
      <c r="E114" s="235" t="s">
        <v>222</v>
      </c>
      <c r="F114" s="236">
        <v>46.5</v>
      </c>
      <c r="G114" s="237">
        <v>2188.16</v>
      </c>
      <c r="H114" s="243">
        <f>+TbPiezas[[#This Row],[VENTA]]*$G$2</f>
        <v>109.408</v>
      </c>
    </row>
    <row r="115" spans="2:8" x14ac:dyDescent="0.3">
      <c r="B115" s="234" t="s">
        <v>223</v>
      </c>
      <c r="C115" s="234">
        <v>111</v>
      </c>
      <c r="D115" s="234" t="s">
        <v>980</v>
      </c>
      <c r="E115" s="235" t="s">
        <v>224</v>
      </c>
      <c r="F115" s="236">
        <v>6.5999999999999943</v>
      </c>
      <c r="G115" s="237">
        <v>285.07</v>
      </c>
      <c r="H115" s="243">
        <f>+TbPiezas[[#This Row],[VENTA]]*$G$2</f>
        <v>14.253500000000001</v>
      </c>
    </row>
    <row r="116" spans="2:8" x14ac:dyDescent="0.3">
      <c r="B116" s="234" t="s">
        <v>225</v>
      </c>
      <c r="C116" s="234">
        <v>112</v>
      </c>
      <c r="D116" s="234" t="s">
        <v>980</v>
      </c>
      <c r="E116" s="235" t="s">
        <v>226</v>
      </c>
      <c r="F116" s="236">
        <v>68.600000000000009</v>
      </c>
      <c r="G116" s="237">
        <v>2188.16</v>
      </c>
      <c r="H116" s="243">
        <f>+TbPiezas[[#This Row],[VENTA]]*$G$2</f>
        <v>109.408</v>
      </c>
    </row>
    <row r="117" spans="2:8" x14ac:dyDescent="0.3">
      <c r="B117" s="234" t="s">
        <v>227</v>
      </c>
      <c r="C117" s="234">
        <v>113</v>
      </c>
      <c r="D117" s="234" t="s">
        <v>980</v>
      </c>
      <c r="E117" s="235" t="s">
        <v>228</v>
      </c>
      <c r="F117" s="236">
        <v>61.8</v>
      </c>
      <c r="G117" s="237">
        <v>2188.16</v>
      </c>
      <c r="H117" s="243">
        <f>+TbPiezas[[#This Row],[VENTA]]*$G$2</f>
        <v>109.408</v>
      </c>
    </row>
    <row r="118" spans="2:8" x14ac:dyDescent="0.3">
      <c r="B118" s="234" t="s">
        <v>229</v>
      </c>
      <c r="C118" s="234">
        <v>114</v>
      </c>
      <c r="D118" s="234" t="s">
        <v>980</v>
      </c>
      <c r="E118" s="235" t="s">
        <v>230</v>
      </c>
      <c r="F118" s="236">
        <v>7.2999999999999972</v>
      </c>
      <c r="G118" s="237">
        <v>285.07</v>
      </c>
      <c r="H118" s="243">
        <f>+TbPiezas[[#This Row],[VENTA]]*$G$2</f>
        <v>14.253500000000001</v>
      </c>
    </row>
    <row r="119" spans="2:8" x14ac:dyDescent="0.3">
      <c r="B119" s="234" t="s">
        <v>231</v>
      </c>
      <c r="C119" s="234">
        <v>115</v>
      </c>
      <c r="D119" s="234" t="s">
        <v>980</v>
      </c>
      <c r="E119" s="235" t="s">
        <v>232</v>
      </c>
      <c r="F119" s="236">
        <v>4.8999999999999915</v>
      </c>
      <c r="G119" s="237">
        <v>285.07</v>
      </c>
      <c r="H119" s="243">
        <f>+TbPiezas[[#This Row],[VENTA]]*$G$2</f>
        <v>14.253500000000001</v>
      </c>
    </row>
    <row r="120" spans="2:8" x14ac:dyDescent="0.3">
      <c r="B120" s="234" t="s">
        <v>233</v>
      </c>
      <c r="C120" s="234">
        <v>116</v>
      </c>
      <c r="D120" s="234" t="s">
        <v>980</v>
      </c>
      <c r="E120" s="235" t="s">
        <v>234</v>
      </c>
      <c r="F120" s="236">
        <v>2.5</v>
      </c>
      <c r="G120" s="237">
        <v>208.2</v>
      </c>
      <c r="H120" s="243">
        <f>+TbPiezas[[#This Row],[VENTA]]*$G$2</f>
        <v>10.41</v>
      </c>
    </row>
    <row r="121" spans="2:8" x14ac:dyDescent="0.3">
      <c r="B121" s="234" t="s">
        <v>235</v>
      </c>
      <c r="C121" s="234">
        <v>117</v>
      </c>
      <c r="D121" s="234" t="s">
        <v>980</v>
      </c>
      <c r="E121" s="235" t="s">
        <v>236</v>
      </c>
      <c r="F121" s="236">
        <v>3.7999999999999972</v>
      </c>
      <c r="G121" s="237">
        <v>208.2</v>
      </c>
      <c r="H121" s="243">
        <f>+TbPiezas[[#This Row],[VENTA]]*$G$2</f>
        <v>10.41</v>
      </c>
    </row>
    <row r="122" spans="2:8" x14ac:dyDescent="0.3">
      <c r="B122" s="234" t="s">
        <v>237</v>
      </c>
      <c r="C122" s="234">
        <v>118</v>
      </c>
      <c r="D122" s="234" t="s">
        <v>980</v>
      </c>
      <c r="E122" s="235" t="s">
        <v>238</v>
      </c>
      <c r="F122" s="236">
        <v>1.7999999999999972</v>
      </c>
      <c r="G122" s="237">
        <v>208.2</v>
      </c>
      <c r="H122" s="243">
        <f>+TbPiezas[[#This Row],[VENTA]]*$G$2</f>
        <v>10.41</v>
      </c>
    </row>
    <row r="123" spans="2:8" x14ac:dyDescent="0.3">
      <c r="B123" s="234" t="s">
        <v>239</v>
      </c>
      <c r="C123" s="234">
        <v>119</v>
      </c>
      <c r="D123" s="234" t="s">
        <v>980</v>
      </c>
      <c r="E123" s="235" t="s">
        <v>240</v>
      </c>
      <c r="F123" s="236">
        <v>3.2000000000000028</v>
      </c>
      <c r="G123" s="237">
        <v>208.2</v>
      </c>
      <c r="H123" s="243">
        <f>+TbPiezas[[#This Row],[VENTA]]*$G$2</f>
        <v>10.41</v>
      </c>
    </row>
    <row r="124" spans="2:8" x14ac:dyDescent="0.3">
      <c r="B124" s="234" t="s">
        <v>241</v>
      </c>
      <c r="C124" s="234">
        <v>120</v>
      </c>
      <c r="D124" s="234" t="s">
        <v>980</v>
      </c>
      <c r="E124" s="235" t="s">
        <v>242</v>
      </c>
      <c r="F124" s="236">
        <v>56.499999999999986</v>
      </c>
      <c r="G124" s="237">
        <v>2297.56</v>
      </c>
      <c r="H124" s="243">
        <f>+TbPiezas[[#This Row],[VENTA]]*$G$2</f>
        <v>114.878</v>
      </c>
    </row>
    <row r="125" spans="2:8" x14ac:dyDescent="0.3">
      <c r="B125" s="234" t="s">
        <v>243</v>
      </c>
      <c r="C125" s="234">
        <v>121</v>
      </c>
      <c r="D125" s="234" t="s">
        <v>980</v>
      </c>
      <c r="E125" s="235" t="s">
        <v>244</v>
      </c>
      <c r="F125" s="236">
        <v>7.5</v>
      </c>
      <c r="G125" s="237">
        <v>299.33</v>
      </c>
      <c r="H125" s="243">
        <f>+TbPiezas[[#This Row],[VENTA]]*$G$2</f>
        <v>14.9665</v>
      </c>
    </row>
    <row r="126" spans="2:8" x14ac:dyDescent="0.3">
      <c r="B126" s="234" t="s">
        <v>245</v>
      </c>
      <c r="C126" s="234">
        <v>122</v>
      </c>
      <c r="D126" s="234" t="s">
        <v>980</v>
      </c>
      <c r="E126" s="235" t="s">
        <v>246</v>
      </c>
      <c r="F126" s="236">
        <v>14.700000000000003</v>
      </c>
      <c r="G126" s="237">
        <v>864.58</v>
      </c>
      <c r="H126" s="243">
        <f>+TbPiezas[[#This Row],[VENTA]]*$G$2</f>
        <v>43.229000000000006</v>
      </c>
    </row>
    <row r="127" spans="2:8" x14ac:dyDescent="0.3">
      <c r="B127" s="234" t="s">
        <v>247</v>
      </c>
      <c r="C127" s="234">
        <v>123</v>
      </c>
      <c r="D127" s="234" t="s">
        <v>980</v>
      </c>
      <c r="E127" s="238" t="s">
        <v>248</v>
      </c>
      <c r="F127" s="236">
        <v>8.6</v>
      </c>
      <c r="G127" s="237">
        <v>446.77</v>
      </c>
      <c r="H127" s="243">
        <f>+TbPiezas[[#This Row],[VENTA]]*$G$2</f>
        <v>22.3385</v>
      </c>
    </row>
    <row r="128" spans="2:8" x14ac:dyDescent="0.3">
      <c r="B128" s="234" t="s">
        <v>249</v>
      </c>
      <c r="C128" s="234">
        <v>124</v>
      </c>
      <c r="D128" s="234" t="s">
        <v>980</v>
      </c>
      <c r="E128" s="235" t="s">
        <v>250</v>
      </c>
      <c r="F128" s="236">
        <v>14.700000000000003</v>
      </c>
      <c r="G128" s="237">
        <v>864.58</v>
      </c>
      <c r="H128" s="243">
        <f>+TbPiezas[[#This Row],[VENTA]]*$G$2</f>
        <v>43.229000000000006</v>
      </c>
    </row>
    <row r="129" spans="2:8" x14ac:dyDescent="0.3">
      <c r="B129" s="234" t="s">
        <v>251</v>
      </c>
      <c r="C129" s="234">
        <v>125</v>
      </c>
      <c r="D129" s="234" t="s">
        <v>980</v>
      </c>
      <c r="E129" s="238" t="s">
        <v>252</v>
      </c>
      <c r="F129" s="236">
        <v>8.6</v>
      </c>
      <c r="G129" s="237">
        <v>446.77</v>
      </c>
      <c r="H129" s="243">
        <f>+TbPiezas[[#This Row],[VENTA]]*$G$2</f>
        <v>22.3385</v>
      </c>
    </row>
    <row r="130" spans="2:8" x14ac:dyDescent="0.3">
      <c r="B130" s="234" t="s">
        <v>253</v>
      </c>
      <c r="C130" s="234">
        <v>126</v>
      </c>
      <c r="D130" s="234" t="s">
        <v>980</v>
      </c>
      <c r="E130" s="235" t="s">
        <v>254</v>
      </c>
      <c r="F130" s="236">
        <v>3.3999999999999915</v>
      </c>
      <c r="G130" s="237">
        <v>241.71</v>
      </c>
      <c r="H130" s="243">
        <f>+TbPiezas[[#This Row],[VENTA]]*$G$2</f>
        <v>12.085500000000001</v>
      </c>
    </row>
    <row r="131" spans="2:8" x14ac:dyDescent="0.3">
      <c r="B131" s="234" t="s">
        <v>255</v>
      </c>
      <c r="C131" s="234">
        <v>127</v>
      </c>
      <c r="D131" s="234" t="s">
        <v>980</v>
      </c>
      <c r="E131" s="235" t="s">
        <v>256</v>
      </c>
      <c r="F131" s="236">
        <v>4</v>
      </c>
      <c r="G131" s="237">
        <v>110</v>
      </c>
      <c r="H131" s="243">
        <f>+TbPiezas[[#This Row],[VENTA]]*$G$2</f>
        <v>5.5</v>
      </c>
    </row>
    <row r="132" spans="2:8" x14ac:dyDescent="0.3">
      <c r="B132" s="234" t="s">
        <v>257</v>
      </c>
      <c r="C132" s="234">
        <v>128</v>
      </c>
      <c r="D132" s="234" t="s">
        <v>980</v>
      </c>
      <c r="E132" s="235" t="s">
        <v>258</v>
      </c>
      <c r="F132" s="236">
        <v>10.200000000000003</v>
      </c>
      <c r="G132" s="237">
        <v>864.58</v>
      </c>
      <c r="H132" s="243">
        <f>+TbPiezas[[#This Row],[VENTA]]*$G$2</f>
        <v>43.229000000000006</v>
      </c>
    </row>
    <row r="133" spans="2:8" x14ac:dyDescent="0.3">
      <c r="B133" s="234" t="s">
        <v>259</v>
      </c>
      <c r="C133" s="234">
        <v>129</v>
      </c>
      <c r="D133" s="234" t="s">
        <v>980</v>
      </c>
      <c r="E133" s="238" t="s">
        <v>260</v>
      </c>
      <c r="F133" s="236">
        <v>6.3</v>
      </c>
      <c r="G133" s="237">
        <v>446.77</v>
      </c>
      <c r="H133" s="243">
        <f>+TbPiezas[[#This Row],[VENTA]]*$G$2</f>
        <v>22.3385</v>
      </c>
    </row>
    <row r="134" spans="2:8" x14ac:dyDescent="0.3">
      <c r="B134" s="234" t="s">
        <v>261</v>
      </c>
      <c r="C134" s="234">
        <v>130</v>
      </c>
      <c r="D134" s="234" t="s">
        <v>980</v>
      </c>
      <c r="E134" s="235" t="s">
        <v>262</v>
      </c>
      <c r="F134" s="236">
        <v>9.9999999999994316E-2</v>
      </c>
      <c r="G134" s="237">
        <v>10.16</v>
      </c>
      <c r="H134" s="243">
        <f>+TbPiezas[[#This Row],[VENTA]]*$G$2</f>
        <v>0.50800000000000001</v>
      </c>
    </row>
    <row r="135" spans="2:8" x14ac:dyDescent="0.3">
      <c r="B135" s="234" t="s">
        <v>263</v>
      </c>
      <c r="C135" s="234">
        <v>131</v>
      </c>
      <c r="D135" s="234" t="s">
        <v>981</v>
      </c>
      <c r="E135" s="235" t="s">
        <v>264</v>
      </c>
      <c r="F135" s="236">
        <v>32.799999999999997</v>
      </c>
      <c r="G135" s="237">
        <v>1969.28</v>
      </c>
      <c r="H135" s="242">
        <v>70</v>
      </c>
    </row>
    <row r="136" spans="2:8" x14ac:dyDescent="0.3">
      <c r="B136" s="234" t="s">
        <v>265</v>
      </c>
      <c r="C136" s="234">
        <v>132</v>
      </c>
      <c r="D136" s="234" t="s">
        <v>981</v>
      </c>
      <c r="E136" s="235" t="s">
        <v>266</v>
      </c>
      <c r="F136" s="236">
        <v>10.7</v>
      </c>
      <c r="G136" s="237">
        <v>457.38</v>
      </c>
      <c r="H136" s="242">
        <v>25</v>
      </c>
    </row>
    <row r="137" spans="2:8" x14ac:dyDescent="0.3">
      <c r="B137" s="234" t="s">
        <v>267</v>
      </c>
      <c r="C137" s="234">
        <v>133</v>
      </c>
      <c r="D137" s="234" t="s">
        <v>981</v>
      </c>
      <c r="E137" s="235" t="s">
        <v>268</v>
      </c>
      <c r="F137" s="236">
        <v>13.9</v>
      </c>
      <c r="G137" s="237">
        <v>457.38</v>
      </c>
      <c r="H137" s="242">
        <v>25</v>
      </c>
    </row>
    <row r="138" spans="2:8" x14ac:dyDescent="0.3">
      <c r="B138" s="234" t="s">
        <v>269</v>
      </c>
      <c r="C138" s="234">
        <v>134</v>
      </c>
      <c r="D138" s="234" t="s">
        <v>981</v>
      </c>
      <c r="E138" s="235" t="s">
        <v>270</v>
      </c>
      <c r="F138" s="236">
        <v>20.700000000000003</v>
      </c>
      <c r="G138" s="237">
        <v>635.25</v>
      </c>
      <c r="H138" s="242">
        <v>25</v>
      </c>
    </row>
    <row r="139" spans="2:8" x14ac:dyDescent="0.3">
      <c r="B139" s="234" t="s">
        <v>271</v>
      </c>
      <c r="C139" s="234">
        <v>135</v>
      </c>
      <c r="D139" s="234" t="s">
        <v>981</v>
      </c>
      <c r="E139" s="235" t="s">
        <v>272</v>
      </c>
      <c r="F139" s="236">
        <v>7.5</v>
      </c>
      <c r="G139" s="237">
        <v>670.32</v>
      </c>
      <c r="H139" s="242">
        <v>25</v>
      </c>
    </row>
    <row r="140" spans="2:8" x14ac:dyDescent="0.3">
      <c r="B140" s="234" t="s">
        <v>273</v>
      </c>
      <c r="C140" s="234">
        <v>136</v>
      </c>
      <c r="D140" s="234" t="s">
        <v>981</v>
      </c>
      <c r="E140" s="235" t="s">
        <v>274</v>
      </c>
      <c r="F140" s="236">
        <v>203</v>
      </c>
      <c r="G140" s="237">
        <v>6098.4</v>
      </c>
      <c r="H140" s="243">
        <f>+TbPiezas[[#This Row],[VENTA]]*$G$2</f>
        <v>304.92</v>
      </c>
    </row>
    <row r="141" spans="2:8" x14ac:dyDescent="0.3">
      <c r="B141" s="234" t="s">
        <v>275</v>
      </c>
      <c r="C141" s="234">
        <v>137</v>
      </c>
      <c r="D141" s="234" t="s">
        <v>981</v>
      </c>
      <c r="E141" s="235" t="s">
        <v>276</v>
      </c>
      <c r="F141" s="236">
        <v>290</v>
      </c>
      <c r="G141" s="237">
        <v>8639.4</v>
      </c>
      <c r="H141" s="243">
        <f>+TbPiezas[[#This Row],[VENTA]]*$G$2</f>
        <v>431.97</v>
      </c>
    </row>
    <row r="142" spans="2:8" x14ac:dyDescent="0.3">
      <c r="B142" s="234" t="s">
        <v>277</v>
      </c>
      <c r="C142" s="234">
        <v>138</v>
      </c>
      <c r="D142" s="234" t="s">
        <v>981</v>
      </c>
      <c r="E142" s="76" t="s">
        <v>278</v>
      </c>
      <c r="F142" s="236">
        <v>13.1</v>
      </c>
      <c r="G142" s="237">
        <v>825.83</v>
      </c>
      <c r="H142" s="243">
        <f>+TbPiezas[[#This Row],[VENTA]]*$G$2</f>
        <v>41.291500000000006</v>
      </c>
    </row>
    <row r="143" spans="2:8" x14ac:dyDescent="0.3">
      <c r="B143" s="234" t="s">
        <v>279</v>
      </c>
      <c r="C143" s="234">
        <v>139</v>
      </c>
      <c r="D143" s="234" t="s">
        <v>981</v>
      </c>
      <c r="E143" s="76" t="s">
        <v>280</v>
      </c>
      <c r="F143" s="236">
        <v>12.2</v>
      </c>
      <c r="G143" s="237">
        <v>974.64</v>
      </c>
      <c r="H143" s="243">
        <f>+TbPiezas[[#This Row],[VENTA]]*$G$2</f>
        <v>48.731999999999999</v>
      </c>
    </row>
    <row r="144" spans="2:8" x14ac:dyDescent="0.3">
      <c r="B144" s="234" t="s">
        <v>281</v>
      </c>
      <c r="C144" s="234">
        <v>140</v>
      </c>
      <c r="D144" s="234" t="s">
        <v>981</v>
      </c>
      <c r="E144" s="76" t="s">
        <v>282</v>
      </c>
      <c r="F144" s="236">
        <v>12.2</v>
      </c>
      <c r="G144" s="237">
        <v>974.64</v>
      </c>
      <c r="H144" s="243">
        <f>+TbPiezas[[#This Row],[VENTA]]*$G$2</f>
        <v>48.731999999999999</v>
      </c>
    </row>
    <row r="145" spans="2:10" x14ac:dyDescent="0.3">
      <c r="B145" s="234" t="s">
        <v>283</v>
      </c>
      <c r="C145" s="234">
        <v>141</v>
      </c>
      <c r="D145" s="234" t="s">
        <v>981</v>
      </c>
      <c r="E145" s="76" t="s">
        <v>284</v>
      </c>
      <c r="F145" s="236">
        <v>12</v>
      </c>
      <c r="G145" s="237">
        <v>947.63</v>
      </c>
      <c r="H145" s="243">
        <f>+TbPiezas[[#This Row],[VENTA]]*$G$2</f>
        <v>47.381500000000003</v>
      </c>
    </row>
    <row r="146" spans="2:10" x14ac:dyDescent="0.3">
      <c r="B146" s="234" t="s">
        <v>285</v>
      </c>
      <c r="C146" s="234">
        <v>142</v>
      </c>
      <c r="D146" s="234" t="s">
        <v>981</v>
      </c>
      <c r="E146" s="76" t="s">
        <v>286</v>
      </c>
      <c r="F146" s="236">
        <v>13.1</v>
      </c>
      <c r="G146" s="237">
        <v>1114.8599999999999</v>
      </c>
      <c r="H146" s="243">
        <f>+TbPiezas[[#This Row],[VENTA]]*$G$2</f>
        <v>55.742999999999995</v>
      </c>
    </row>
    <row r="147" spans="2:10" x14ac:dyDescent="0.3">
      <c r="B147" s="234" t="s">
        <v>287</v>
      </c>
      <c r="C147" s="234">
        <v>143</v>
      </c>
      <c r="D147" s="234" t="s">
        <v>981</v>
      </c>
      <c r="E147" s="76" t="s">
        <v>288</v>
      </c>
      <c r="F147" s="236">
        <v>3.4</v>
      </c>
      <c r="G147" s="237">
        <v>228.69</v>
      </c>
      <c r="H147" s="243">
        <f>+TbPiezas[[#This Row],[VENTA]]*$G$2</f>
        <v>11.4345</v>
      </c>
    </row>
    <row r="148" spans="2:10" x14ac:dyDescent="0.3">
      <c r="B148" s="234" t="s">
        <v>289</v>
      </c>
      <c r="C148" s="234">
        <v>144</v>
      </c>
      <c r="D148" s="234" t="s">
        <v>981</v>
      </c>
      <c r="E148" s="76" t="s">
        <v>290</v>
      </c>
      <c r="F148" s="236">
        <v>0.15</v>
      </c>
      <c r="G148" s="237">
        <v>19.059999999999999</v>
      </c>
      <c r="H148" s="243">
        <f>+TbPiezas[[#This Row],[VENTA]]*$G$2</f>
        <v>0.95299999999999996</v>
      </c>
    </row>
    <row r="149" spans="2:10" x14ac:dyDescent="0.3">
      <c r="B149" s="234" t="s">
        <v>291</v>
      </c>
      <c r="C149" s="234">
        <v>145</v>
      </c>
      <c r="D149" s="234" t="s">
        <v>981</v>
      </c>
      <c r="E149" s="235" t="s">
        <v>292</v>
      </c>
      <c r="F149" s="236">
        <v>2.9000000000000057</v>
      </c>
      <c r="G149" s="237">
        <v>190.58</v>
      </c>
      <c r="H149" s="243">
        <f>+TbPiezas[[#This Row],[VENTA]]*$G$2</f>
        <v>9.5290000000000017</v>
      </c>
    </row>
    <row r="150" spans="2:10" x14ac:dyDescent="0.3">
      <c r="B150" s="234" t="s">
        <v>293</v>
      </c>
      <c r="C150" s="234">
        <v>146</v>
      </c>
      <c r="D150" s="234" t="s">
        <v>981</v>
      </c>
      <c r="E150" s="235" t="s">
        <v>294</v>
      </c>
      <c r="F150" s="236">
        <v>170</v>
      </c>
      <c r="G150" s="237">
        <v>8639.4</v>
      </c>
      <c r="H150" s="243">
        <f>+TbPiezas[[#This Row],[VENTA]]*$G$2</f>
        <v>431.97</v>
      </c>
    </row>
    <row r="151" spans="2:10" x14ac:dyDescent="0.3">
      <c r="B151" s="234" t="s">
        <v>295</v>
      </c>
      <c r="C151" s="234">
        <v>147</v>
      </c>
      <c r="D151" s="234" t="s">
        <v>982</v>
      </c>
      <c r="E151" s="235" t="s">
        <v>296</v>
      </c>
      <c r="F151" s="236">
        <v>6.5</v>
      </c>
      <c r="G151" s="237">
        <v>76.23</v>
      </c>
      <c r="H151" s="243">
        <f>+TbPiezas[[#This Row],[VENTA]]*$G$2</f>
        <v>3.8115000000000006</v>
      </c>
    </row>
    <row r="152" spans="2:10" x14ac:dyDescent="0.3">
      <c r="B152" s="234" t="s">
        <v>297</v>
      </c>
      <c r="C152" s="234">
        <v>148</v>
      </c>
      <c r="D152" s="234" t="s">
        <v>982</v>
      </c>
      <c r="E152" s="235" t="s">
        <v>298</v>
      </c>
      <c r="F152" s="236">
        <v>14.5</v>
      </c>
      <c r="G152" s="237">
        <v>241.4</v>
      </c>
      <c r="H152" s="243">
        <f>+TbPiezas[[#This Row],[VENTA]]*$G$2</f>
        <v>12.07</v>
      </c>
    </row>
    <row r="153" spans="2:10" x14ac:dyDescent="0.3">
      <c r="B153" s="234" t="s">
        <v>299</v>
      </c>
      <c r="C153" s="234">
        <v>149</v>
      </c>
      <c r="D153" s="234" t="s">
        <v>983</v>
      </c>
      <c r="E153" s="235" t="s">
        <v>300</v>
      </c>
      <c r="F153" s="236">
        <v>0.15000000000000568</v>
      </c>
      <c r="G153" s="237"/>
      <c r="H153" s="243">
        <f>+TbPiezas[[#This Row],[VENTA]]*$G$2</f>
        <v>0</v>
      </c>
    </row>
    <row r="154" spans="2:10" x14ac:dyDescent="0.3">
      <c r="B154" s="234" t="s">
        <v>301</v>
      </c>
      <c r="C154" s="234">
        <v>150</v>
      </c>
      <c r="D154" s="234" t="s">
        <v>983</v>
      </c>
      <c r="E154" s="235" t="s">
        <v>302</v>
      </c>
      <c r="F154" s="236">
        <v>0.25</v>
      </c>
      <c r="G154" s="237"/>
      <c r="H154" s="243">
        <f>+TbPiezas[[#This Row],[VENTA]]*$G$2</f>
        <v>0</v>
      </c>
    </row>
    <row r="155" spans="2:10" x14ac:dyDescent="0.3">
      <c r="B155" s="234" t="s">
        <v>303</v>
      </c>
      <c r="C155" s="234">
        <v>151</v>
      </c>
      <c r="D155" s="234" t="s">
        <v>983</v>
      </c>
      <c r="E155" s="235" t="s">
        <v>304</v>
      </c>
      <c r="F155" s="236">
        <v>0.1</v>
      </c>
      <c r="G155" s="237">
        <v>10.16</v>
      </c>
      <c r="H155" s="243">
        <f>+TbPiezas[[#This Row],[VENTA]]*$G$2</f>
        <v>0.50800000000000001</v>
      </c>
    </row>
    <row r="156" spans="2:10" x14ac:dyDescent="0.3">
      <c r="B156" s="234" t="s">
        <v>305</v>
      </c>
      <c r="C156" s="234">
        <v>152</v>
      </c>
      <c r="D156" s="234" t="s">
        <v>983</v>
      </c>
      <c r="E156" s="235" t="s">
        <v>306</v>
      </c>
      <c r="F156" s="236">
        <v>0.1</v>
      </c>
      <c r="G156" s="237">
        <v>10.16</v>
      </c>
      <c r="H156" s="243">
        <f>+TbPiezas[[#This Row],[VENTA]]*$G$2</f>
        <v>0.50800000000000001</v>
      </c>
    </row>
    <row r="157" spans="2:10" x14ac:dyDescent="0.3">
      <c r="B157" s="234" t="s">
        <v>307</v>
      </c>
      <c r="C157" s="234">
        <v>153</v>
      </c>
      <c r="D157" s="234" t="s">
        <v>983</v>
      </c>
      <c r="E157" s="239" t="s">
        <v>308</v>
      </c>
      <c r="F157" s="236">
        <v>1</v>
      </c>
      <c r="G157" s="237">
        <v>82.58</v>
      </c>
      <c r="H157" s="243">
        <f>+TbPiezas[[#This Row],[VENTA]]*$G$2</f>
        <v>4.1290000000000004</v>
      </c>
    </row>
    <row r="158" spans="2:10" x14ac:dyDescent="0.3">
      <c r="B158" s="234" t="s">
        <v>309</v>
      </c>
      <c r="C158" s="234">
        <v>154</v>
      </c>
      <c r="D158" s="234" t="s">
        <v>983</v>
      </c>
      <c r="E158" s="239" t="s">
        <v>310</v>
      </c>
      <c r="F158" s="236">
        <v>0.8</v>
      </c>
      <c r="G158" s="237">
        <v>69.88</v>
      </c>
      <c r="H158" s="243">
        <f>+TbPiezas[[#This Row],[VENTA]]*$G$2</f>
        <v>3.4939999999999998</v>
      </c>
    </row>
    <row r="159" spans="2:10" x14ac:dyDescent="0.3">
      <c r="B159" s="234" t="s">
        <v>311</v>
      </c>
      <c r="C159" s="234">
        <v>155</v>
      </c>
      <c r="D159" s="234" t="s">
        <v>983</v>
      </c>
      <c r="E159" s="239" t="s">
        <v>312</v>
      </c>
      <c r="F159" s="236">
        <v>0.6</v>
      </c>
      <c r="G159" s="237">
        <v>57.17</v>
      </c>
      <c r="H159" s="243">
        <f>+TbPiezas[[#This Row],[VENTA]]*$G$2</f>
        <v>2.8585000000000003</v>
      </c>
    </row>
    <row r="160" spans="2:10" x14ac:dyDescent="0.3">
      <c r="B160" s="234" t="s">
        <v>313</v>
      </c>
      <c r="C160" s="234">
        <v>156</v>
      </c>
      <c r="D160" s="234" t="s">
        <v>984</v>
      </c>
      <c r="E160" s="235" t="s">
        <v>314</v>
      </c>
      <c r="F160" s="236">
        <v>8.9</v>
      </c>
      <c r="G160" s="237">
        <v>180</v>
      </c>
      <c r="H160" s="242">
        <v>4.5</v>
      </c>
      <c r="J160" s="2">
        <f>0.22*30</f>
        <v>6.6</v>
      </c>
    </row>
    <row r="161" spans="2:10" x14ac:dyDescent="0.3">
      <c r="B161" s="234" t="s">
        <v>315</v>
      </c>
      <c r="C161" s="234">
        <v>157</v>
      </c>
      <c r="D161" s="234" t="s">
        <v>984</v>
      </c>
      <c r="E161" s="235" t="s">
        <v>316</v>
      </c>
      <c r="F161" s="236">
        <v>8.9</v>
      </c>
      <c r="G161" s="237">
        <v>180</v>
      </c>
      <c r="H161" s="242">
        <v>4.5</v>
      </c>
    </row>
    <row r="162" spans="2:10" x14ac:dyDescent="0.3">
      <c r="B162" s="234" t="s">
        <v>317</v>
      </c>
      <c r="C162" s="234">
        <v>158</v>
      </c>
      <c r="D162" s="234" t="s">
        <v>984</v>
      </c>
      <c r="E162" s="235" t="s">
        <v>318</v>
      </c>
      <c r="F162" s="236">
        <v>8.9</v>
      </c>
      <c r="G162" s="237">
        <v>180</v>
      </c>
      <c r="H162" s="242">
        <v>4.5</v>
      </c>
    </row>
    <row r="163" spans="2:10" x14ac:dyDescent="0.3">
      <c r="B163" s="234" t="s">
        <v>1396</v>
      </c>
      <c r="C163" s="234"/>
      <c r="D163" s="234" t="s">
        <v>984</v>
      </c>
      <c r="E163" s="240" t="s">
        <v>1397</v>
      </c>
      <c r="F163" s="409">
        <v>9</v>
      </c>
      <c r="G163" s="237">
        <v>180</v>
      </c>
      <c r="H163" s="242">
        <v>4.5</v>
      </c>
    </row>
    <row r="164" spans="2:10" x14ac:dyDescent="0.3">
      <c r="B164" s="234" t="s">
        <v>319</v>
      </c>
      <c r="C164" s="234">
        <v>159</v>
      </c>
      <c r="D164" s="234" t="s">
        <v>984</v>
      </c>
      <c r="E164" s="235" t="s">
        <v>320</v>
      </c>
      <c r="F164" s="236">
        <v>11.8</v>
      </c>
      <c r="G164" s="237">
        <v>200</v>
      </c>
      <c r="H164" s="242">
        <v>6.6</v>
      </c>
      <c r="J164" s="2">
        <f>0.35*30</f>
        <v>10.5</v>
      </c>
    </row>
    <row r="165" spans="2:10" x14ac:dyDescent="0.3">
      <c r="B165" s="234" t="s">
        <v>321</v>
      </c>
      <c r="C165" s="234">
        <v>160</v>
      </c>
      <c r="D165" s="234" t="s">
        <v>984</v>
      </c>
      <c r="E165" s="235" t="s">
        <v>322</v>
      </c>
      <c r="F165" s="236">
        <v>11.8</v>
      </c>
      <c r="G165" s="237">
        <v>200</v>
      </c>
      <c r="H165" s="242">
        <v>6.6</v>
      </c>
    </row>
    <row r="166" spans="2:10" x14ac:dyDescent="0.3">
      <c r="B166" s="234" t="s">
        <v>323</v>
      </c>
      <c r="C166" s="234">
        <v>161</v>
      </c>
      <c r="D166" s="234" t="s">
        <v>984</v>
      </c>
      <c r="E166" s="235" t="s">
        <v>324</v>
      </c>
      <c r="F166" s="236">
        <v>17.3</v>
      </c>
      <c r="G166" s="237">
        <v>300</v>
      </c>
      <c r="H166" s="242">
        <v>10.5</v>
      </c>
    </row>
    <row r="167" spans="2:10" x14ac:dyDescent="0.3">
      <c r="B167" s="234" t="s">
        <v>325</v>
      </c>
      <c r="C167" s="234">
        <v>162</v>
      </c>
      <c r="D167" s="234" t="s">
        <v>984</v>
      </c>
      <c r="E167" s="235" t="s">
        <v>326</v>
      </c>
      <c r="F167" s="236">
        <v>9.9999999999994316E-2</v>
      </c>
      <c r="G167" s="237">
        <v>30</v>
      </c>
      <c r="H167" s="243">
        <f>+TbPiezas[[#This Row],[VENTA]]*$G$2</f>
        <v>1.5</v>
      </c>
    </row>
    <row r="168" spans="2:10" x14ac:dyDescent="0.3">
      <c r="B168" s="234" t="s">
        <v>327</v>
      </c>
      <c r="C168" s="234">
        <v>163</v>
      </c>
      <c r="D168" s="234" t="s">
        <v>984</v>
      </c>
      <c r="E168" s="235" t="s">
        <v>328</v>
      </c>
      <c r="F168" s="236">
        <v>9.9999999999994316E-2</v>
      </c>
      <c r="G168" s="237">
        <v>30</v>
      </c>
      <c r="H168" s="243">
        <f>+TbPiezas[[#This Row],[VENTA]]*$G$2</f>
        <v>1.5</v>
      </c>
    </row>
    <row r="169" spans="2:10" x14ac:dyDescent="0.3">
      <c r="B169" s="234" t="s">
        <v>329</v>
      </c>
      <c r="C169" s="234">
        <v>164</v>
      </c>
      <c r="D169" s="234" t="s">
        <v>984</v>
      </c>
      <c r="E169" s="235" t="s">
        <v>330</v>
      </c>
      <c r="F169" s="236">
        <v>9.9999999999994316E-2</v>
      </c>
      <c r="G169" s="237">
        <v>30</v>
      </c>
      <c r="H169" s="243">
        <f>+TbPiezas[[#This Row],[VENTA]]*$G$2</f>
        <v>1.5</v>
      </c>
    </row>
    <row r="170" spans="2:10" x14ac:dyDescent="0.3">
      <c r="B170" s="234" t="s">
        <v>331</v>
      </c>
      <c r="C170" s="234">
        <v>165</v>
      </c>
      <c r="D170" s="234" t="s">
        <v>984</v>
      </c>
      <c r="E170" s="235" t="s">
        <v>332</v>
      </c>
      <c r="F170" s="236">
        <v>9.9999999999994316E-2</v>
      </c>
      <c r="G170" s="237">
        <v>30</v>
      </c>
      <c r="H170" s="243">
        <f>+TbPiezas[[#This Row],[VENTA]]*$G$2</f>
        <v>1.5</v>
      </c>
    </row>
    <row r="171" spans="2:10" x14ac:dyDescent="0.3">
      <c r="B171" s="234" t="s">
        <v>333</v>
      </c>
      <c r="C171" s="234">
        <v>166</v>
      </c>
      <c r="D171" s="234" t="s">
        <v>984</v>
      </c>
      <c r="E171" s="235" t="s">
        <v>334</v>
      </c>
      <c r="F171" s="236">
        <v>6.2999999999999972</v>
      </c>
      <c r="G171" s="237">
        <v>192.23</v>
      </c>
      <c r="H171" s="243">
        <f>+TbPiezas[[#This Row],[VENTA]]*$G$2</f>
        <v>9.6114999999999995</v>
      </c>
    </row>
    <row r="172" spans="2:10" x14ac:dyDescent="0.3">
      <c r="B172" s="234" t="s">
        <v>335</v>
      </c>
      <c r="C172" s="234">
        <v>167</v>
      </c>
      <c r="D172" s="234" t="s">
        <v>985</v>
      </c>
      <c r="E172" s="235" t="s">
        <v>336</v>
      </c>
      <c r="F172" s="236">
        <v>48.8</v>
      </c>
      <c r="G172" s="237">
        <v>3303.3</v>
      </c>
      <c r="H172" s="243">
        <f>+TbPiezas[[#This Row],[VENTA]]*$G$2</f>
        <v>165.16500000000002</v>
      </c>
    </row>
    <row r="173" spans="2:10" x14ac:dyDescent="0.3">
      <c r="B173" s="234" t="s">
        <v>337</v>
      </c>
      <c r="C173" s="234">
        <v>168</v>
      </c>
      <c r="D173" s="234" t="s">
        <v>985</v>
      </c>
      <c r="E173" s="235" t="s">
        <v>338</v>
      </c>
      <c r="F173" s="236">
        <v>48.8</v>
      </c>
      <c r="G173" s="237">
        <v>3303.3</v>
      </c>
      <c r="H173" s="243">
        <f>+TbPiezas[[#This Row],[VENTA]]*$G$2</f>
        <v>165.16500000000002</v>
      </c>
    </row>
    <row r="174" spans="2:10" x14ac:dyDescent="0.3">
      <c r="B174" s="234" t="s">
        <v>339</v>
      </c>
      <c r="C174" s="234">
        <v>169</v>
      </c>
      <c r="D174" s="234" t="s">
        <v>985</v>
      </c>
      <c r="E174" s="235" t="s">
        <v>340</v>
      </c>
      <c r="F174" s="236">
        <v>48.8</v>
      </c>
      <c r="G174" s="237">
        <v>3303.3</v>
      </c>
      <c r="H174" s="243">
        <f>+TbPiezas[[#This Row],[VENTA]]*$G$2</f>
        <v>165.16500000000002</v>
      </c>
    </row>
    <row r="175" spans="2:10" x14ac:dyDescent="0.3">
      <c r="B175" s="234" t="s">
        <v>341</v>
      </c>
      <c r="C175" s="234">
        <v>170</v>
      </c>
      <c r="D175" s="234" t="s">
        <v>985</v>
      </c>
      <c r="E175" s="235" t="s">
        <v>342</v>
      </c>
      <c r="F175" s="236">
        <v>48.8</v>
      </c>
      <c r="G175" s="237">
        <v>3303.3</v>
      </c>
      <c r="H175" s="243">
        <f>+TbPiezas[[#This Row],[VENTA]]*$G$2</f>
        <v>165.16500000000002</v>
      </c>
    </row>
    <row r="176" spans="2:10" x14ac:dyDescent="0.3">
      <c r="B176" s="234" t="s">
        <v>343</v>
      </c>
      <c r="C176" s="234">
        <v>171</v>
      </c>
      <c r="D176" s="234" t="s">
        <v>985</v>
      </c>
      <c r="E176" s="235" t="s">
        <v>344</v>
      </c>
      <c r="F176" s="236">
        <v>48.8</v>
      </c>
      <c r="G176" s="237">
        <v>3303.3</v>
      </c>
      <c r="H176" s="243">
        <f>+TbPiezas[[#This Row],[VENTA]]*$G$2</f>
        <v>165.16500000000002</v>
      </c>
    </row>
    <row r="177" spans="2:8" x14ac:dyDescent="0.3">
      <c r="B177" s="234" t="s">
        <v>345</v>
      </c>
      <c r="C177" s="234">
        <v>172</v>
      </c>
      <c r="D177" s="234" t="s">
        <v>985</v>
      </c>
      <c r="E177" s="235" t="s">
        <v>346</v>
      </c>
      <c r="F177" s="236">
        <v>13.299999999999997</v>
      </c>
      <c r="G177" s="237">
        <v>2369.94</v>
      </c>
      <c r="H177" s="243">
        <f>+TbPiezas[[#This Row],[VENTA]]*$G$2</f>
        <v>118.49700000000001</v>
      </c>
    </row>
    <row r="178" spans="2:8" x14ac:dyDescent="0.3">
      <c r="B178" s="234" t="s">
        <v>347</v>
      </c>
      <c r="C178" s="234">
        <v>173</v>
      </c>
      <c r="D178" s="234" t="s">
        <v>985</v>
      </c>
      <c r="E178" s="235" t="s">
        <v>348</v>
      </c>
      <c r="F178" s="236">
        <v>13.299999999999997</v>
      </c>
      <c r="G178" s="237">
        <v>2369.94</v>
      </c>
      <c r="H178" s="243">
        <f>+TbPiezas[[#This Row],[VENTA]]*$G$2</f>
        <v>118.49700000000001</v>
      </c>
    </row>
    <row r="179" spans="2:8" x14ac:dyDescent="0.3">
      <c r="B179" s="234" t="s">
        <v>349</v>
      </c>
      <c r="C179" s="234">
        <v>174</v>
      </c>
      <c r="D179" s="234" t="s">
        <v>985</v>
      </c>
      <c r="E179" s="235" t="s">
        <v>350</v>
      </c>
      <c r="F179" s="236">
        <v>13.299999999999997</v>
      </c>
      <c r="G179" s="237">
        <v>2369.94</v>
      </c>
      <c r="H179" s="243">
        <f>+TbPiezas[[#This Row],[VENTA]]*$G$2</f>
        <v>118.49700000000001</v>
      </c>
    </row>
    <row r="180" spans="2:8" x14ac:dyDescent="0.3">
      <c r="B180" s="234" t="s">
        <v>351</v>
      </c>
      <c r="C180" s="234">
        <v>175</v>
      </c>
      <c r="D180" s="234" t="s">
        <v>985</v>
      </c>
      <c r="E180" s="235" t="s">
        <v>352</v>
      </c>
      <c r="F180" s="236">
        <v>13.299999999999997</v>
      </c>
      <c r="G180" s="237">
        <v>2369.94</v>
      </c>
      <c r="H180" s="243">
        <f>+TbPiezas[[#This Row],[VENTA]]*$G$2</f>
        <v>118.49700000000001</v>
      </c>
    </row>
    <row r="181" spans="2:8" x14ac:dyDescent="0.3">
      <c r="B181" s="234" t="s">
        <v>353</v>
      </c>
      <c r="C181" s="234">
        <v>176</v>
      </c>
      <c r="D181" s="234" t="s">
        <v>985</v>
      </c>
      <c r="E181" s="235" t="s">
        <v>354</v>
      </c>
      <c r="F181" s="236">
        <v>13.299999999999997</v>
      </c>
      <c r="G181" s="237">
        <v>2369.94</v>
      </c>
      <c r="H181" s="243">
        <f>+TbPiezas[[#This Row],[VENTA]]*$G$2</f>
        <v>118.49700000000001</v>
      </c>
    </row>
    <row r="182" spans="2:8" x14ac:dyDescent="0.3">
      <c r="B182" s="234" t="s">
        <v>355</v>
      </c>
      <c r="C182" s="234">
        <v>177</v>
      </c>
      <c r="D182" s="234" t="s">
        <v>985</v>
      </c>
      <c r="E182" s="235" t="s">
        <v>356</v>
      </c>
      <c r="F182" s="236">
        <v>46.5</v>
      </c>
      <c r="G182" s="237">
        <v>5200</v>
      </c>
      <c r="H182" s="243">
        <f>+TbPiezas[[#This Row],[VENTA]]*$G$2</f>
        <v>260</v>
      </c>
    </row>
    <row r="183" spans="2:8" x14ac:dyDescent="0.3">
      <c r="B183" s="234" t="s">
        <v>357</v>
      </c>
      <c r="C183" s="234">
        <v>178</v>
      </c>
      <c r="D183" s="234" t="s">
        <v>985</v>
      </c>
      <c r="E183" s="235" t="s">
        <v>358</v>
      </c>
      <c r="F183" s="236">
        <v>46.4</v>
      </c>
      <c r="G183" s="237">
        <v>8500</v>
      </c>
      <c r="H183" s="243">
        <f>+TbPiezas[[#This Row],[VENTA]]*$G$2</f>
        <v>425</v>
      </c>
    </row>
    <row r="184" spans="2:8" x14ac:dyDescent="0.3">
      <c r="B184" s="234" t="s">
        <v>359</v>
      </c>
      <c r="C184" s="234">
        <v>179</v>
      </c>
      <c r="D184" s="234" t="s">
        <v>985</v>
      </c>
      <c r="E184" s="238" t="s">
        <v>360</v>
      </c>
      <c r="F184" s="236">
        <v>39.5</v>
      </c>
      <c r="G184" s="237">
        <v>2315.96</v>
      </c>
      <c r="H184" s="243">
        <f>+TbPiezas[[#This Row],[VENTA]]*$G$2</f>
        <v>115.798</v>
      </c>
    </row>
    <row r="185" spans="2:8" x14ac:dyDescent="0.3">
      <c r="B185" s="234" t="s">
        <v>361</v>
      </c>
      <c r="C185" s="234">
        <v>180</v>
      </c>
      <c r="D185" s="234" t="s">
        <v>985</v>
      </c>
      <c r="E185" s="238" t="s">
        <v>362</v>
      </c>
      <c r="F185" s="236">
        <v>36.4</v>
      </c>
      <c r="G185" s="237">
        <v>2137.81</v>
      </c>
      <c r="H185" s="243">
        <f>+TbPiezas[[#This Row],[VENTA]]*$G$2</f>
        <v>106.8905</v>
      </c>
    </row>
    <row r="186" spans="2:8" x14ac:dyDescent="0.3">
      <c r="B186" s="234" t="s">
        <v>363</v>
      </c>
      <c r="C186" s="234">
        <v>181</v>
      </c>
      <c r="D186" s="234" t="s">
        <v>985</v>
      </c>
      <c r="E186" s="235" t="s">
        <v>364</v>
      </c>
      <c r="F186" s="236">
        <v>27.099999999999994</v>
      </c>
      <c r="G186" s="237">
        <v>1238.74</v>
      </c>
      <c r="H186" s="243">
        <f>+TbPiezas[[#This Row],[VENTA]]*$G$2</f>
        <v>61.937000000000005</v>
      </c>
    </row>
    <row r="187" spans="2:8" x14ac:dyDescent="0.3">
      <c r="B187" s="234" t="s">
        <v>365</v>
      </c>
      <c r="C187" s="234">
        <v>182</v>
      </c>
      <c r="D187" s="234" t="s">
        <v>985</v>
      </c>
      <c r="E187" s="235" t="s">
        <v>366</v>
      </c>
      <c r="F187" s="236">
        <v>24.399999999999991</v>
      </c>
      <c r="G187" s="237">
        <v>1114.8599999999999</v>
      </c>
      <c r="H187" s="243">
        <f>+TbPiezas[[#This Row],[VENTA]]*$G$2</f>
        <v>55.742999999999995</v>
      </c>
    </row>
    <row r="188" spans="2:8" x14ac:dyDescent="0.3">
      <c r="B188" s="234" t="s">
        <v>367</v>
      </c>
      <c r="C188" s="234">
        <v>183</v>
      </c>
      <c r="D188" s="234" t="s">
        <v>985</v>
      </c>
      <c r="E188" s="235" t="s">
        <v>368</v>
      </c>
      <c r="F188" s="236">
        <v>21.700000000000003</v>
      </c>
      <c r="G188" s="237">
        <v>990.99</v>
      </c>
      <c r="H188" s="243">
        <f>+TbPiezas[[#This Row],[VENTA]]*$G$2</f>
        <v>49.549500000000002</v>
      </c>
    </row>
    <row r="189" spans="2:8" x14ac:dyDescent="0.3">
      <c r="B189" s="234" t="s">
        <v>369</v>
      </c>
      <c r="C189" s="234">
        <v>184</v>
      </c>
      <c r="D189" s="234" t="s">
        <v>985</v>
      </c>
      <c r="E189" s="235" t="s">
        <v>370</v>
      </c>
      <c r="F189" s="236">
        <v>19</v>
      </c>
      <c r="G189" s="237">
        <v>867.12</v>
      </c>
      <c r="H189" s="243">
        <f>+TbPiezas[[#This Row],[VENTA]]*$G$2</f>
        <v>43.356000000000002</v>
      </c>
    </row>
    <row r="190" spans="2:8" x14ac:dyDescent="0.3">
      <c r="B190" s="234" t="s">
        <v>371</v>
      </c>
      <c r="C190" s="234">
        <v>185</v>
      </c>
      <c r="D190" s="234" t="s">
        <v>985</v>
      </c>
      <c r="E190" s="235" t="s">
        <v>372</v>
      </c>
      <c r="F190" s="236">
        <v>16.299999999999997</v>
      </c>
      <c r="G190" s="237">
        <v>743.24</v>
      </c>
      <c r="H190" s="243">
        <f>+TbPiezas[[#This Row],[VENTA]]*$G$2</f>
        <v>37.161999999999999</v>
      </c>
    </row>
    <row r="191" spans="2:8" x14ac:dyDescent="0.3">
      <c r="B191" s="234" t="s">
        <v>373</v>
      </c>
      <c r="C191" s="234">
        <v>186</v>
      </c>
      <c r="D191" s="234" t="s">
        <v>985</v>
      </c>
      <c r="E191" s="235" t="s">
        <v>374</v>
      </c>
      <c r="F191" s="236">
        <v>13.599999999999994</v>
      </c>
      <c r="G191" s="237">
        <v>619.37</v>
      </c>
      <c r="H191" s="243">
        <f>+TbPiezas[[#This Row],[VENTA]]*$G$2</f>
        <v>30.968500000000002</v>
      </c>
    </row>
    <row r="192" spans="2:8" x14ac:dyDescent="0.3">
      <c r="B192" s="234" t="s">
        <v>375</v>
      </c>
      <c r="C192" s="234">
        <v>187</v>
      </c>
      <c r="D192" s="234" t="s">
        <v>985</v>
      </c>
      <c r="E192" s="235" t="s">
        <v>376</v>
      </c>
      <c r="F192" s="236">
        <v>10.799999999999997</v>
      </c>
      <c r="G192" s="237">
        <v>495.5</v>
      </c>
      <c r="H192" s="243">
        <f>+TbPiezas[[#This Row],[VENTA]]*$G$2</f>
        <v>24.775000000000002</v>
      </c>
    </row>
    <row r="193" spans="2:8" x14ac:dyDescent="0.3">
      <c r="B193" s="234" t="s">
        <v>377</v>
      </c>
      <c r="C193" s="234">
        <v>188</v>
      </c>
      <c r="D193" s="234" t="s">
        <v>985</v>
      </c>
      <c r="E193" s="235" t="s">
        <v>378</v>
      </c>
      <c r="F193" s="236">
        <v>8.2000000000000028</v>
      </c>
      <c r="G193" s="237">
        <v>371.62</v>
      </c>
      <c r="H193" s="243">
        <f>+TbPiezas[[#This Row],[VENTA]]*$G$2</f>
        <v>18.581</v>
      </c>
    </row>
    <row r="194" spans="2:8" x14ac:dyDescent="0.3">
      <c r="B194" s="234" t="s">
        <v>379</v>
      </c>
      <c r="C194" s="234">
        <v>189</v>
      </c>
      <c r="D194" s="234" t="s">
        <v>985</v>
      </c>
      <c r="E194" s="235" t="s">
        <v>380</v>
      </c>
      <c r="F194" s="236">
        <v>5.42</v>
      </c>
      <c r="G194" s="237">
        <v>247.75</v>
      </c>
      <c r="H194" s="243">
        <f>+TbPiezas[[#This Row],[VENTA]]*$G$2</f>
        <v>12.387500000000001</v>
      </c>
    </row>
    <row r="195" spans="2:8" x14ac:dyDescent="0.3">
      <c r="B195" s="234" t="s">
        <v>381</v>
      </c>
      <c r="C195" s="234">
        <v>190</v>
      </c>
      <c r="D195" s="234" t="s">
        <v>985</v>
      </c>
      <c r="E195" s="235" t="s">
        <v>382</v>
      </c>
      <c r="F195" s="236">
        <v>4.0999999999999943</v>
      </c>
      <c r="G195" s="237">
        <v>439.15</v>
      </c>
      <c r="H195" s="243">
        <f>+TbPiezas[[#This Row],[VENTA]]*$G$2</f>
        <v>21.9575</v>
      </c>
    </row>
    <row r="196" spans="2:8" x14ac:dyDescent="0.3">
      <c r="B196" s="234" t="s">
        <v>383</v>
      </c>
      <c r="C196" s="234">
        <v>191</v>
      </c>
      <c r="D196" s="234" t="s">
        <v>985</v>
      </c>
      <c r="E196" s="235" t="s">
        <v>384</v>
      </c>
      <c r="F196" s="236">
        <v>4.0999999999999943</v>
      </c>
      <c r="G196" s="237">
        <v>439.15</v>
      </c>
      <c r="H196" s="243">
        <f>+TbPiezas[[#This Row],[VENTA]]*$G$2</f>
        <v>21.9575</v>
      </c>
    </row>
    <row r="197" spans="2:8" x14ac:dyDescent="0.3">
      <c r="B197" s="234" t="s">
        <v>385</v>
      </c>
      <c r="C197" s="234">
        <v>192</v>
      </c>
      <c r="D197" s="234" t="s">
        <v>985</v>
      </c>
      <c r="E197" s="235" t="s">
        <v>386</v>
      </c>
      <c r="F197" s="236">
        <v>2.8999999999999915</v>
      </c>
      <c r="G197" s="237">
        <v>20.329999999999998</v>
      </c>
      <c r="H197" s="243">
        <f>+TbPiezas[[#This Row],[VENTA]]*$G$2</f>
        <v>1.0165</v>
      </c>
    </row>
    <row r="198" spans="2:8" x14ac:dyDescent="0.3">
      <c r="B198" s="234" t="s">
        <v>387</v>
      </c>
      <c r="C198" s="234">
        <v>193</v>
      </c>
      <c r="D198" s="234" t="s">
        <v>985</v>
      </c>
      <c r="E198" s="235" t="s">
        <v>388</v>
      </c>
      <c r="F198" s="236">
        <v>2.8999999999999915</v>
      </c>
      <c r="G198" s="237">
        <v>337.48</v>
      </c>
      <c r="H198" s="243">
        <f>+TbPiezas[[#This Row],[VENTA]]*$G$2</f>
        <v>16.874000000000002</v>
      </c>
    </row>
    <row r="199" spans="2:8" x14ac:dyDescent="0.3">
      <c r="B199" s="234" t="s">
        <v>389</v>
      </c>
      <c r="C199" s="234">
        <v>194</v>
      </c>
      <c r="D199" s="234" t="s">
        <v>985</v>
      </c>
      <c r="E199" s="235" t="s">
        <v>390</v>
      </c>
      <c r="F199" s="236">
        <v>3</v>
      </c>
      <c r="G199" s="237">
        <v>337.48</v>
      </c>
      <c r="H199" s="243">
        <f>+TbPiezas[[#This Row],[VENTA]]*$G$2</f>
        <v>16.874000000000002</v>
      </c>
    </row>
    <row r="200" spans="2:8" x14ac:dyDescent="0.3">
      <c r="B200" s="234" t="s">
        <v>391</v>
      </c>
      <c r="C200" s="234">
        <v>195</v>
      </c>
      <c r="D200" s="234" t="s">
        <v>985</v>
      </c>
      <c r="E200" s="235" t="s">
        <v>392</v>
      </c>
      <c r="F200" s="236">
        <v>1.2000000000000028</v>
      </c>
      <c r="G200" s="237">
        <v>210.09</v>
      </c>
      <c r="H200" s="243">
        <f>+TbPiezas[[#This Row],[VENTA]]*$G$2</f>
        <v>10.5045</v>
      </c>
    </row>
    <row r="201" spans="2:8" x14ac:dyDescent="0.3">
      <c r="B201" s="234" t="s">
        <v>393</v>
      </c>
      <c r="C201" s="234">
        <v>196</v>
      </c>
      <c r="D201" s="234" t="s">
        <v>985</v>
      </c>
      <c r="E201" s="235" t="s">
        <v>394</v>
      </c>
      <c r="F201" s="236">
        <v>1.7999999999999972</v>
      </c>
      <c r="G201" s="237">
        <v>337.48</v>
      </c>
      <c r="H201" s="243">
        <f>+TbPiezas[[#This Row],[VENTA]]*$G$2</f>
        <v>16.874000000000002</v>
      </c>
    </row>
    <row r="202" spans="2:8" x14ac:dyDescent="0.3">
      <c r="B202" s="234" t="s">
        <v>395</v>
      </c>
      <c r="C202" s="234">
        <v>197</v>
      </c>
      <c r="D202" s="234" t="s">
        <v>985</v>
      </c>
      <c r="E202" s="235" t="s">
        <v>396</v>
      </c>
      <c r="F202" s="236">
        <v>3.0999999999999943</v>
      </c>
      <c r="G202" s="237">
        <v>210.09</v>
      </c>
      <c r="H202" s="243">
        <f>+TbPiezas[[#This Row],[VENTA]]*$G$2</f>
        <v>10.5045</v>
      </c>
    </row>
    <row r="203" spans="2:8" x14ac:dyDescent="0.3">
      <c r="B203" s="234" t="s">
        <v>397</v>
      </c>
      <c r="C203" s="234">
        <v>198</v>
      </c>
      <c r="D203" s="234" t="s">
        <v>985</v>
      </c>
      <c r="E203" s="235" t="s">
        <v>398</v>
      </c>
      <c r="F203" s="236">
        <v>4.9999999999997158E-2</v>
      </c>
      <c r="G203" s="237">
        <v>32.22</v>
      </c>
      <c r="H203" s="243">
        <f>+TbPiezas[[#This Row],[VENTA]]*$G$2</f>
        <v>1.611</v>
      </c>
    </row>
    <row r="204" spans="2:8" x14ac:dyDescent="0.3">
      <c r="B204" s="234" t="s">
        <v>399</v>
      </c>
      <c r="C204" s="234">
        <v>199</v>
      </c>
      <c r="D204" s="234" t="s">
        <v>985</v>
      </c>
      <c r="E204" s="235" t="s">
        <v>400</v>
      </c>
      <c r="F204" s="236">
        <v>9.9999999999994316E-2</v>
      </c>
      <c r="G204" s="237">
        <v>8.08</v>
      </c>
      <c r="H204" s="243">
        <f>+TbPiezas[[#This Row],[VENTA]]*$G$2</f>
        <v>0.40400000000000003</v>
      </c>
    </row>
    <row r="205" spans="2:8" x14ac:dyDescent="0.3">
      <c r="B205" s="234" t="s">
        <v>401</v>
      </c>
      <c r="C205" s="234">
        <v>200</v>
      </c>
      <c r="D205" s="234" t="s">
        <v>985</v>
      </c>
      <c r="E205" s="235" t="s">
        <v>402</v>
      </c>
      <c r="F205" s="236">
        <v>0.1</v>
      </c>
      <c r="G205" s="237">
        <v>190.58</v>
      </c>
      <c r="H205" s="243">
        <f>+TbPiezas[[#This Row],[VENTA]]*$G$2</f>
        <v>9.5290000000000017</v>
      </c>
    </row>
    <row r="206" spans="2:8" x14ac:dyDescent="0.3">
      <c r="B206" s="234" t="s">
        <v>403</v>
      </c>
      <c r="C206" s="234">
        <v>201</v>
      </c>
      <c r="D206" s="234" t="s">
        <v>985</v>
      </c>
      <c r="E206" s="235" t="s">
        <v>404</v>
      </c>
      <c r="F206" s="236">
        <v>0.4</v>
      </c>
      <c r="G206" s="237">
        <v>101.64</v>
      </c>
      <c r="H206" s="243">
        <f>+TbPiezas[[#This Row],[VENTA]]*$G$2</f>
        <v>5.0820000000000007</v>
      </c>
    </row>
    <row r="207" spans="2:8" x14ac:dyDescent="0.3">
      <c r="B207" s="234" t="s">
        <v>405</v>
      </c>
      <c r="C207" s="234">
        <v>202</v>
      </c>
      <c r="D207" s="234" t="s">
        <v>985</v>
      </c>
      <c r="E207" s="235" t="s">
        <v>406</v>
      </c>
      <c r="F207" s="236">
        <v>14.9</v>
      </c>
      <c r="G207" s="237">
        <v>32.22</v>
      </c>
      <c r="H207" s="243">
        <f>+TbPiezas[[#This Row],[VENTA]]*$G$2</f>
        <v>1.611</v>
      </c>
    </row>
    <row r="208" spans="2:8" x14ac:dyDescent="0.3">
      <c r="B208" s="234" t="s">
        <v>407</v>
      </c>
      <c r="C208" s="234">
        <v>203</v>
      </c>
      <c r="D208" s="234" t="s">
        <v>985</v>
      </c>
      <c r="E208" s="235" t="s">
        <v>408</v>
      </c>
      <c r="F208" s="236">
        <v>4.9999999999997158E-2</v>
      </c>
      <c r="G208" s="237">
        <v>32.22</v>
      </c>
      <c r="H208" s="243">
        <f>+TbPiezas[[#This Row],[VENTA]]*$G$2</f>
        <v>1.611</v>
      </c>
    </row>
    <row r="209" spans="2:8" x14ac:dyDescent="0.3">
      <c r="B209" s="234" t="s">
        <v>409</v>
      </c>
      <c r="C209" s="234">
        <v>204</v>
      </c>
      <c r="D209" s="234" t="s">
        <v>985</v>
      </c>
      <c r="E209" s="235" t="s">
        <v>410</v>
      </c>
      <c r="F209" s="236">
        <v>4.9999999999997158E-2</v>
      </c>
      <c r="G209" s="237">
        <v>32.22</v>
      </c>
      <c r="H209" s="243">
        <f>+TbPiezas[[#This Row],[VENTA]]*$G$2</f>
        <v>1.611</v>
      </c>
    </row>
    <row r="210" spans="2:8" x14ac:dyDescent="0.3">
      <c r="B210" s="234" t="s">
        <v>411</v>
      </c>
      <c r="C210" s="234">
        <v>205</v>
      </c>
      <c r="D210" s="234" t="s">
        <v>985</v>
      </c>
      <c r="E210" s="235" t="s">
        <v>412</v>
      </c>
      <c r="F210" s="236">
        <v>4.9999999999997158E-2</v>
      </c>
      <c r="G210" s="237">
        <v>19.059999999999999</v>
      </c>
      <c r="H210" s="243">
        <f>+TbPiezas[[#This Row],[VENTA]]*$G$2</f>
        <v>0.95299999999999996</v>
      </c>
    </row>
    <row r="211" spans="2:8" x14ac:dyDescent="0.3">
      <c r="B211" s="234" t="s">
        <v>413</v>
      </c>
      <c r="C211" s="234">
        <v>206</v>
      </c>
      <c r="D211" s="234" t="s">
        <v>985</v>
      </c>
      <c r="E211" s="235" t="s">
        <v>414</v>
      </c>
      <c r="F211" s="236">
        <v>4.9999999999997158E-2</v>
      </c>
      <c r="G211" s="237">
        <v>19.059999999999999</v>
      </c>
      <c r="H211" s="243">
        <f>+TbPiezas[[#This Row],[VENTA]]*$G$2</f>
        <v>0.95299999999999996</v>
      </c>
    </row>
    <row r="212" spans="2:8" x14ac:dyDescent="0.3">
      <c r="B212" s="234" t="s">
        <v>415</v>
      </c>
      <c r="C212" s="234">
        <v>207</v>
      </c>
      <c r="D212" s="234" t="s">
        <v>985</v>
      </c>
      <c r="E212" s="235" t="s">
        <v>416</v>
      </c>
      <c r="F212" s="236">
        <v>0.39999999999999147</v>
      </c>
      <c r="G212" s="237">
        <v>19.059999999999999</v>
      </c>
      <c r="H212" s="243">
        <f>+TbPiezas[[#This Row],[VENTA]]*$G$2</f>
        <v>0.95299999999999996</v>
      </c>
    </row>
    <row r="213" spans="2:8" x14ac:dyDescent="0.3">
      <c r="B213" s="234" t="s">
        <v>417</v>
      </c>
      <c r="C213" s="234">
        <v>208</v>
      </c>
      <c r="D213" s="234" t="s">
        <v>985</v>
      </c>
      <c r="E213" s="235" t="s">
        <v>418</v>
      </c>
      <c r="F213" s="236">
        <v>28.700000000000003</v>
      </c>
      <c r="G213" s="237">
        <v>826.63</v>
      </c>
      <c r="H213" s="243">
        <f>+TbPiezas[[#This Row],[VENTA]]*$G$2</f>
        <v>41.331500000000005</v>
      </c>
    </row>
    <row r="214" spans="2:8" x14ac:dyDescent="0.3">
      <c r="B214" s="234" t="s">
        <v>419</v>
      </c>
      <c r="C214" s="234">
        <v>209</v>
      </c>
      <c r="D214" s="234" t="s">
        <v>985</v>
      </c>
      <c r="E214" s="235" t="s">
        <v>420</v>
      </c>
      <c r="F214" s="236">
        <v>25.700000000000003</v>
      </c>
      <c r="G214" s="237">
        <v>1099.78</v>
      </c>
      <c r="H214" s="243">
        <f>+TbPiezas[[#This Row],[VENTA]]*$G$2</f>
        <v>54.989000000000004</v>
      </c>
    </row>
    <row r="215" spans="2:8" x14ac:dyDescent="0.3">
      <c r="B215" s="234" t="s">
        <v>421</v>
      </c>
      <c r="C215" s="234">
        <v>210</v>
      </c>
      <c r="D215" s="234" t="s">
        <v>985</v>
      </c>
      <c r="E215" s="235" t="s">
        <v>422</v>
      </c>
      <c r="F215" s="236">
        <v>35</v>
      </c>
      <c r="G215" s="237">
        <v>826.63</v>
      </c>
      <c r="H215" s="243">
        <f>+TbPiezas[[#This Row],[VENTA]]*$G$2</f>
        <v>41.331500000000005</v>
      </c>
    </row>
    <row r="216" spans="2:8" x14ac:dyDescent="0.3">
      <c r="B216" s="234" t="s">
        <v>423</v>
      </c>
      <c r="C216" s="234">
        <v>211</v>
      </c>
      <c r="D216" s="234" t="s">
        <v>985</v>
      </c>
      <c r="E216" s="235" t="s">
        <v>424</v>
      </c>
      <c r="F216" s="236">
        <v>23.099999999999994</v>
      </c>
      <c r="G216" s="237">
        <v>1238.74</v>
      </c>
      <c r="H216" s="243">
        <f>+TbPiezas[[#This Row],[VENTA]]*$G$2</f>
        <v>61.937000000000005</v>
      </c>
    </row>
    <row r="217" spans="2:8" x14ac:dyDescent="0.3">
      <c r="B217" s="234" t="s">
        <v>425</v>
      </c>
      <c r="C217" s="234">
        <v>212</v>
      </c>
      <c r="D217" s="234" t="s">
        <v>985</v>
      </c>
      <c r="E217" s="235" t="s">
        <v>426</v>
      </c>
      <c r="F217" s="236">
        <v>6.7999999999999972</v>
      </c>
      <c r="G217" s="237">
        <v>825.83</v>
      </c>
      <c r="H217" s="243">
        <f>+TbPiezas[[#This Row],[VENTA]]*$G$2</f>
        <v>41.291500000000006</v>
      </c>
    </row>
    <row r="218" spans="2:8" x14ac:dyDescent="0.3">
      <c r="B218" s="234" t="s">
        <v>427</v>
      </c>
      <c r="C218" s="234">
        <v>213</v>
      </c>
      <c r="D218" s="234" t="s">
        <v>985</v>
      </c>
      <c r="E218" s="235" t="s">
        <v>428</v>
      </c>
      <c r="F218" s="236">
        <v>13.700000000000003</v>
      </c>
      <c r="G218" s="237">
        <v>1238.74</v>
      </c>
      <c r="H218" s="243">
        <f>+TbPiezas[[#This Row],[VENTA]]*$G$2</f>
        <v>61.937000000000005</v>
      </c>
    </row>
    <row r="219" spans="2:8" x14ac:dyDescent="0.3">
      <c r="B219" s="234" t="s">
        <v>429</v>
      </c>
      <c r="C219" s="234">
        <v>214</v>
      </c>
      <c r="D219" s="234" t="s">
        <v>985</v>
      </c>
      <c r="E219" s="235" t="s">
        <v>430</v>
      </c>
      <c r="F219" s="236">
        <v>16</v>
      </c>
      <c r="G219" s="237">
        <v>1651.65</v>
      </c>
      <c r="H219" s="243">
        <f>+TbPiezas[[#This Row],[VENTA]]*$G$2</f>
        <v>82.58250000000001</v>
      </c>
    </row>
    <row r="220" spans="2:8" x14ac:dyDescent="0.3">
      <c r="B220" s="234" t="s">
        <v>431</v>
      </c>
      <c r="C220" s="234">
        <v>215</v>
      </c>
      <c r="D220" s="234" t="s">
        <v>985</v>
      </c>
      <c r="E220" s="235" t="s">
        <v>432</v>
      </c>
      <c r="F220" s="236">
        <v>20.099999999999994</v>
      </c>
      <c r="G220" s="237">
        <v>2477.48</v>
      </c>
      <c r="H220" s="243">
        <f>+TbPiezas[[#This Row],[VENTA]]*$G$2</f>
        <v>123.87400000000001</v>
      </c>
    </row>
    <row r="221" spans="2:8" x14ac:dyDescent="0.3">
      <c r="B221" s="234" t="s">
        <v>433</v>
      </c>
      <c r="C221" s="234">
        <v>216</v>
      </c>
      <c r="D221" s="234" t="s">
        <v>985</v>
      </c>
      <c r="E221" s="235" t="s">
        <v>434</v>
      </c>
      <c r="F221" s="236">
        <v>7.2000000000000028</v>
      </c>
      <c r="G221" s="237">
        <v>929.05</v>
      </c>
      <c r="H221" s="243">
        <f>+TbPiezas[[#This Row],[VENTA]]*$G$2</f>
        <v>46.452500000000001</v>
      </c>
    </row>
    <row r="222" spans="2:8" x14ac:dyDescent="0.3">
      <c r="B222" s="234" t="s">
        <v>435</v>
      </c>
      <c r="C222" s="234">
        <v>217</v>
      </c>
      <c r="D222" s="234" t="s">
        <v>985</v>
      </c>
      <c r="E222" s="235" t="s">
        <v>436</v>
      </c>
      <c r="F222" s="236">
        <v>6.2000000000000028</v>
      </c>
      <c r="G222" s="237">
        <v>1238.74</v>
      </c>
      <c r="H222" s="243">
        <f>+TbPiezas[[#This Row],[VENTA]]*$G$2</f>
        <v>61.937000000000005</v>
      </c>
    </row>
    <row r="223" spans="2:8" x14ac:dyDescent="0.3">
      <c r="B223" s="234" t="s">
        <v>437</v>
      </c>
      <c r="C223" s="234">
        <v>218</v>
      </c>
      <c r="D223" s="234" t="s">
        <v>985</v>
      </c>
      <c r="E223" s="235" t="s">
        <v>438</v>
      </c>
      <c r="F223" s="236">
        <v>13.599999999999994</v>
      </c>
      <c r="G223" s="237">
        <v>1858.11</v>
      </c>
      <c r="H223" s="243">
        <f>+TbPiezas[[#This Row],[VENTA]]*$G$2</f>
        <v>92.905500000000004</v>
      </c>
    </row>
    <row r="224" spans="2:8" x14ac:dyDescent="0.3">
      <c r="B224" s="234" t="s">
        <v>439</v>
      </c>
      <c r="C224" s="234">
        <v>219</v>
      </c>
      <c r="D224" s="234" t="s">
        <v>985</v>
      </c>
      <c r="E224" s="235" t="s">
        <v>440</v>
      </c>
      <c r="F224" s="236">
        <v>7.7000000000000028</v>
      </c>
      <c r="G224" s="237">
        <v>929.05</v>
      </c>
      <c r="H224" s="243">
        <f>+TbPiezas[[#This Row],[VENTA]]*$G$2</f>
        <v>46.452500000000001</v>
      </c>
    </row>
    <row r="225" spans="2:8" x14ac:dyDescent="0.3">
      <c r="B225" s="234" t="s">
        <v>441</v>
      </c>
      <c r="C225" s="234">
        <v>220</v>
      </c>
      <c r="D225" s="234" t="s">
        <v>985</v>
      </c>
      <c r="E225" s="235" t="s">
        <v>442</v>
      </c>
      <c r="F225" s="236">
        <v>8.5999999999999943</v>
      </c>
      <c r="G225" s="237">
        <v>1238.74</v>
      </c>
      <c r="H225" s="243">
        <f>+TbPiezas[[#This Row],[VENTA]]*$G$2</f>
        <v>61.937000000000005</v>
      </c>
    </row>
    <row r="226" spans="2:8" x14ac:dyDescent="0.3">
      <c r="B226" s="234" t="s">
        <v>443</v>
      </c>
      <c r="C226" s="234">
        <v>221</v>
      </c>
      <c r="D226" s="234" t="s">
        <v>985</v>
      </c>
      <c r="E226" s="235" t="s">
        <v>444</v>
      </c>
      <c r="F226" s="236">
        <v>14</v>
      </c>
      <c r="G226" s="237">
        <v>1858.11</v>
      </c>
      <c r="H226" s="243">
        <f>+TbPiezas[[#This Row],[VENTA]]*$G$2</f>
        <v>92.905500000000004</v>
      </c>
    </row>
    <row r="227" spans="2:8" x14ac:dyDescent="0.3">
      <c r="B227" s="234" t="s">
        <v>445</v>
      </c>
      <c r="C227" s="234">
        <v>222</v>
      </c>
      <c r="D227" s="234" t="s">
        <v>985</v>
      </c>
      <c r="E227" s="235" t="s">
        <v>446</v>
      </c>
      <c r="F227" s="236">
        <v>10.9</v>
      </c>
      <c r="G227" s="237">
        <v>826.63</v>
      </c>
      <c r="H227" s="243">
        <f>+TbPiezas[[#This Row],[VENTA]]*$G$2</f>
        <v>41.331500000000005</v>
      </c>
    </row>
    <row r="228" spans="2:8" x14ac:dyDescent="0.3">
      <c r="B228" s="234" t="s">
        <v>447</v>
      </c>
      <c r="C228" s="234">
        <v>223</v>
      </c>
      <c r="D228" s="234" t="s">
        <v>985</v>
      </c>
      <c r="E228" s="235" t="s">
        <v>448</v>
      </c>
      <c r="F228" s="236">
        <v>4.5599999999999996</v>
      </c>
      <c r="G228" s="237">
        <v>614.11</v>
      </c>
      <c r="H228" s="243">
        <f>+TbPiezas[[#This Row],[VENTA]]*$G$2</f>
        <v>30.705500000000001</v>
      </c>
    </row>
    <row r="229" spans="2:8" x14ac:dyDescent="0.3">
      <c r="B229" s="234" t="s">
        <v>449</v>
      </c>
      <c r="C229" s="234">
        <v>224</v>
      </c>
      <c r="D229" s="234" t="s">
        <v>985</v>
      </c>
      <c r="E229" s="235" t="s">
        <v>450</v>
      </c>
      <c r="F229" s="236">
        <v>4.6399999999999997</v>
      </c>
      <c r="G229" s="237">
        <v>619.37</v>
      </c>
      <c r="H229" s="243">
        <f>+TbPiezas[[#This Row],[VENTA]]*$G$2</f>
        <v>30.968500000000002</v>
      </c>
    </row>
    <row r="230" spans="2:8" x14ac:dyDescent="0.3">
      <c r="B230" s="234" t="s">
        <v>451</v>
      </c>
      <c r="C230" s="234">
        <v>225</v>
      </c>
      <c r="D230" s="234" t="s">
        <v>985</v>
      </c>
      <c r="E230" s="235" t="s">
        <v>452</v>
      </c>
      <c r="F230" s="236">
        <v>15</v>
      </c>
      <c r="G230" s="237">
        <v>1715.18</v>
      </c>
      <c r="H230" s="243">
        <f>+TbPiezas[[#This Row],[VENTA]]*$G$2</f>
        <v>85.759000000000015</v>
      </c>
    </row>
    <row r="231" spans="2:8" x14ac:dyDescent="0.3">
      <c r="B231" s="234" t="s">
        <v>453</v>
      </c>
      <c r="C231" s="234">
        <v>226</v>
      </c>
      <c r="D231" s="234" t="s">
        <v>985</v>
      </c>
      <c r="E231" s="235" t="s">
        <v>454</v>
      </c>
      <c r="F231" s="236">
        <v>15</v>
      </c>
      <c r="G231" s="237">
        <v>1715.18</v>
      </c>
      <c r="H231" s="243">
        <f>+TbPiezas[[#This Row],[VENTA]]*$G$2</f>
        <v>85.759000000000015</v>
      </c>
    </row>
    <row r="232" spans="2:8" x14ac:dyDescent="0.3">
      <c r="B232" s="234" t="s">
        <v>455</v>
      </c>
      <c r="C232" s="234">
        <v>227</v>
      </c>
      <c r="D232" s="234" t="s">
        <v>985</v>
      </c>
      <c r="E232" s="235" t="s">
        <v>456</v>
      </c>
      <c r="F232" s="236">
        <v>15</v>
      </c>
      <c r="G232" s="237">
        <v>1715.18</v>
      </c>
      <c r="H232" s="243">
        <f>+TbPiezas[[#This Row],[VENTA]]*$G$2</f>
        <v>85.759000000000015</v>
      </c>
    </row>
    <row r="233" spans="2:8" x14ac:dyDescent="0.3">
      <c r="B233" s="234" t="s">
        <v>457</v>
      </c>
      <c r="C233" s="234">
        <v>228</v>
      </c>
      <c r="D233" s="234" t="s">
        <v>985</v>
      </c>
      <c r="E233" s="235" t="s">
        <v>458</v>
      </c>
      <c r="F233" s="236">
        <v>2.2999999999999972</v>
      </c>
      <c r="G233" s="237">
        <v>210.43</v>
      </c>
      <c r="H233" s="243">
        <f>+TbPiezas[[#This Row],[VENTA]]*$G$2</f>
        <v>10.521500000000001</v>
      </c>
    </row>
    <row r="234" spans="2:8" x14ac:dyDescent="0.3">
      <c r="B234" s="234" t="s">
        <v>459</v>
      </c>
      <c r="C234" s="234">
        <v>229</v>
      </c>
      <c r="D234" s="234" t="s">
        <v>985</v>
      </c>
      <c r="E234" s="235" t="s">
        <v>460</v>
      </c>
      <c r="F234" s="236">
        <v>1</v>
      </c>
      <c r="G234" s="237">
        <v>210.43</v>
      </c>
      <c r="H234" s="243">
        <f>+TbPiezas[[#This Row],[VENTA]]*$G$2</f>
        <v>10.521500000000001</v>
      </c>
    </row>
    <row r="235" spans="2:8" x14ac:dyDescent="0.3">
      <c r="B235" s="234" t="s">
        <v>461</v>
      </c>
      <c r="C235" s="234">
        <v>230</v>
      </c>
      <c r="D235" s="234" t="s">
        <v>985</v>
      </c>
      <c r="E235" s="235" t="s">
        <v>462</v>
      </c>
      <c r="F235" s="236">
        <v>0.5</v>
      </c>
      <c r="G235" s="237">
        <v>210.43</v>
      </c>
      <c r="H235" s="243">
        <f>+TbPiezas[[#This Row],[VENTA]]*$G$2</f>
        <v>10.521500000000001</v>
      </c>
    </row>
    <row r="236" spans="2:8" x14ac:dyDescent="0.3">
      <c r="B236" s="234" t="s">
        <v>463</v>
      </c>
      <c r="C236" s="234">
        <v>231</v>
      </c>
      <c r="D236" s="234" t="s">
        <v>985</v>
      </c>
      <c r="E236" s="235" t="s">
        <v>464</v>
      </c>
      <c r="F236" s="236">
        <v>1.2000000000000028</v>
      </c>
      <c r="G236" s="237">
        <v>337.48</v>
      </c>
      <c r="H236" s="243">
        <f>+TbPiezas[[#This Row],[VENTA]]*$G$2</f>
        <v>16.874000000000002</v>
      </c>
    </row>
    <row r="237" spans="2:8" x14ac:dyDescent="0.3">
      <c r="B237" s="234" t="s">
        <v>465</v>
      </c>
      <c r="C237" s="234">
        <v>232</v>
      </c>
      <c r="D237" s="234" t="s">
        <v>985</v>
      </c>
      <c r="E237" s="235" t="s">
        <v>466</v>
      </c>
      <c r="F237" s="236">
        <v>2.7000000000000028</v>
      </c>
      <c r="G237" s="237">
        <v>337.48</v>
      </c>
      <c r="H237" s="243">
        <f>+TbPiezas[[#This Row],[VENTA]]*$G$2</f>
        <v>16.874000000000002</v>
      </c>
    </row>
    <row r="238" spans="2:8" x14ac:dyDescent="0.3">
      <c r="B238" s="234" t="s">
        <v>467</v>
      </c>
      <c r="C238" s="234">
        <v>233</v>
      </c>
      <c r="D238" s="234" t="s">
        <v>985</v>
      </c>
      <c r="E238" s="235" t="s">
        <v>468</v>
      </c>
      <c r="F238" s="236">
        <v>18.5</v>
      </c>
      <c r="G238" s="237">
        <v>191.38</v>
      </c>
      <c r="H238" s="243">
        <f>+TbPiezas[[#This Row],[VENTA]]*$G$2</f>
        <v>9.5690000000000008</v>
      </c>
    </row>
    <row r="239" spans="2:8" x14ac:dyDescent="0.3">
      <c r="B239" s="234" t="s">
        <v>469</v>
      </c>
      <c r="C239" s="234">
        <v>234</v>
      </c>
      <c r="D239" s="234" t="s">
        <v>985</v>
      </c>
      <c r="E239" s="235" t="s">
        <v>470</v>
      </c>
      <c r="F239" s="236">
        <v>17.299999999999997</v>
      </c>
      <c r="G239" s="237">
        <v>191.38</v>
      </c>
      <c r="H239" s="243">
        <f>+TbPiezas[[#This Row],[VENTA]]*$G$2</f>
        <v>9.5690000000000008</v>
      </c>
    </row>
    <row r="240" spans="2:8" x14ac:dyDescent="0.3">
      <c r="B240" s="234" t="s">
        <v>471</v>
      </c>
      <c r="C240" s="234">
        <v>235</v>
      </c>
      <c r="D240" s="234" t="s">
        <v>985</v>
      </c>
      <c r="E240" s="235" t="s">
        <v>472</v>
      </c>
      <c r="F240" s="236">
        <v>21</v>
      </c>
      <c r="G240" s="237">
        <v>191.38</v>
      </c>
      <c r="H240" s="243">
        <f>+TbPiezas[[#This Row],[VENTA]]*$G$2</f>
        <v>9.5690000000000008</v>
      </c>
    </row>
    <row r="241" spans="2:8" x14ac:dyDescent="0.3">
      <c r="B241" s="234" t="s">
        <v>473</v>
      </c>
      <c r="C241" s="234">
        <v>236</v>
      </c>
      <c r="D241" s="234" t="s">
        <v>985</v>
      </c>
      <c r="E241" s="235" t="s">
        <v>474</v>
      </c>
      <c r="F241" s="236">
        <v>14.400000000000006</v>
      </c>
      <c r="G241" s="237">
        <v>191.38</v>
      </c>
      <c r="H241" s="243">
        <f>+TbPiezas[[#This Row],[VENTA]]*$G$2</f>
        <v>9.5690000000000008</v>
      </c>
    </row>
    <row r="242" spans="2:8" x14ac:dyDescent="0.3">
      <c r="B242" s="234" t="s">
        <v>475</v>
      </c>
      <c r="C242" s="234">
        <v>237</v>
      </c>
      <c r="D242" s="234" t="s">
        <v>985</v>
      </c>
      <c r="E242" s="235" t="s">
        <v>476</v>
      </c>
      <c r="F242" s="236">
        <v>13.200000000000003</v>
      </c>
      <c r="G242" s="237">
        <v>379.07</v>
      </c>
      <c r="H242" s="243">
        <f>+TbPiezas[[#This Row],[VENTA]]*$G$2</f>
        <v>18.953500000000002</v>
      </c>
    </row>
    <row r="243" spans="2:8" x14ac:dyDescent="0.3">
      <c r="B243" s="234" t="s">
        <v>477</v>
      </c>
      <c r="C243" s="234">
        <v>238</v>
      </c>
      <c r="D243" s="234" t="s">
        <v>985</v>
      </c>
      <c r="E243" s="235" t="s">
        <v>478</v>
      </c>
      <c r="F243" s="236">
        <v>5.0999999999999996</v>
      </c>
      <c r="G243" s="237">
        <v>150</v>
      </c>
      <c r="H243" s="243">
        <f>+TbPiezas[[#This Row],[VENTA]]*$G$2</f>
        <v>7.5</v>
      </c>
    </row>
    <row r="244" spans="2:8" x14ac:dyDescent="0.3">
      <c r="B244" s="234" t="s">
        <v>479</v>
      </c>
      <c r="C244" s="234">
        <v>239</v>
      </c>
      <c r="D244" s="234" t="s">
        <v>985</v>
      </c>
      <c r="E244" s="235" t="s">
        <v>480</v>
      </c>
      <c r="F244" s="236">
        <v>6.5</v>
      </c>
      <c r="G244" s="237">
        <v>150</v>
      </c>
      <c r="H244" s="243">
        <f>+TbPiezas[[#This Row],[VENTA]]*$G$2</f>
        <v>7.5</v>
      </c>
    </row>
    <row r="245" spans="2:8" x14ac:dyDescent="0.3">
      <c r="B245" s="234" t="s">
        <v>481</v>
      </c>
      <c r="C245" s="234">
        <v>240</v>
      </c>
      <c r="D245" s="234" t="s">
        <v>985</v>
      </c>
      <c r="E245" s="235" t="s">
        <v>482</v>
      </c>
      <c r="F245" s="236">
        <v>6.2000000000000028</v>
      </c>
      <c r="G245" s="237">
        <v>337.14</v>
      </c>
      <c r="H245" s="243">
        <f>+TbPiezas[[#This Row],[VENTA]]*$G$2</f>
        <v>16.856999999999999</v>
      </c>
    </row>
    <row r="246" spans="2:8" x14ac:dyDescent="0.3">
      <c r="B246" s="234" t="s">
        <v>483</v>
      </c>
      <c r="C246" s="234">
        <v>241</v>
      </c>
      <c r="D246" s="234" t="s">
        <v>985</v>
      </c>
      <c r="E246" s="235" t="s">
        <v>484</v>
      </c>
      <c r="F246" s="236">
        <v>6.8999999999999915</v>
      </c>
      <c r="G246" s="237">
        <v>375.25</v>
      </c>
      <c r="H246" s="243">
        <f>+TbPiezas[[#This Row],[VENTA]]*$G$2</f>
        <v>18.762499999999999</v>
      </c>
    </row>
    <row r="247" spans="2:8" x14ac:dyDescent="0.3">
      <c r="B247" s="234" t="s">
        <v>485</v>
      </c>
      <c r="C247" s="234">
        <v>242</v>
      </c>
      <c r="D247" s="234" t="s">
        <v>985</v>
      </c>
      <c r="E247" s="235" t="s">
        <v>486</v>
      </c>
      <c r="F247" s="236">
        <v>18.599999999999994</v>
      </c>
      <c r="G247" s="237">
        <v>553.12</v>
      </c>
      <c r="H247" s="243">
        <f>+TbPiezas[[#This Row],[VENTA]]*$G$2</f>
        <v>27.656000000000002</v>
      </c>
    </row>
    <row r="248" spans="2:8" x14ac:dyDescent="0.3">
      <c r="B248" s="234" t="s">
        <v>487</v>
      </c>
      <c r="C248" s="234">
        <v>243</v>
      </c>
      <c r="D248" s="234" t="s">
        <v>985</v>
      </c>
      <c r="E248" s="235" t="s">
        <v>488</v>
      </c>
      <c r="F248" s="236">
        <v>23.400000000000006</v>
      </c>
      <c r="G248" s="237">
        <v>553.12</v>
      </c>
      <c r="H248" s="243">
        <f>+TbPiezas[[#This Row],[VENTA]]*$G$2</f>
        <v>27.656000000000002</v>
      </c>
    </row>
    <row r="249" spans="2:8" x14ac:dyDescent="0.3">
      <c r="B249" s="234" t="s">
        <v>489</v>
      </c>
      <c r="C249" s="234">
        <v>244</v>
      </c>
      <c r="D249" s="234" t="s">
        <v>985</v>
      </c>
      <c r="E249" s="235" t="s">
        <v>490</v>
      </c>
      <c r="F249" s="236">
        <v>20.099999999999994</v>
      </c>
      <c r="G249" s="237">
        <v>553.12</v>
      </c>
      <c r="H249" s="243">
        <f>+TbPiezas[[#This Row],[VENTA]]*$G$2</f>
        <v>27.656000000000002</v>
      </c>
    </row>
    <row r="250" spans="2:8" x14ac:dyDescent="0.3">
      <c r="B250" s="234" t="s">
        <v>491</v>
      </c>
      <c r="C250" s="234">
        <v>245</v>
      </c>
      <c r="D250" s="234" t="s">
        <v>985</v>
      </c>
      <c r="E250" s="235" t="s">
        <v>492</v>
      </c>
      <c r="F250" s="236">
        <v>15.400000000000006</v>
      </c>
      <c r="G250" s="237">
        <v>553.12</v>
      </c>
      <c r="H250" s="243">
        <f>+TbPiezas[[#This Row],[VENTA]]*$G$2</f>
        <v>27.656000000000002</v>
      </c>
    </row>
    <row r="251" spans="2:8" x14ac:dyDescent="0.3">
      <c r="B251" s="234" t="s">
        <v>493</v>
      </c>
      <c r="C251" s="234">
        <v>246</v>
      </c>
      <c r="D251" s="234" t="s">
        <v>985</v>
      </c>
      <c r="E251" s="235" t="s">
        <v>494</v>
      </c>
      <c r="F251" s="236">
        <v>25.899999999999991</v>
      </c>
      <c r="G251" s="237">
        <v>1605.09</v>
      </c>
      <c r="H251" s="243">
        <f>+TbPiezas[[#This Row],[VENTA]]*$G$2</f>
        <v>80.254500000000007</v>
      </c>
    </row>
    <row r="252" spans="2:8" x14ac:dyDescent="0.3">
      <c r="B252" s="234" t="s">
        <v>495</v>
      </c>
      <c r="C252" s="234">
        <v>247</v>
      </c>
      <c r="D252" s="234" t="s">
        <v>985</v>
      </c>
      <c r="E252" s="235" t="s">
        <v>496</v>
      </c>
      <c r="F252" s="236">
        <v>20.700000000000003</v>
      </c>
      <c r="G252" s="237">
        <v>1284.07</v>
      </c>
      <c r="H252" s="243">
        <f>+TbPiezas[[#This Row],[VENTA]]*$G$2</f>
        <v>64.203500000000005</v>
      </c>
    </row>
    <row r="253" spans="2:8" x14ac:dyDescent="0.3">
      <c r="B253" s="234" t="s">
        <v>497</v>
      </c>
      <c r="C253" s="234">
        <v>248</v>
      </c>
      <c r="D253" s="234" t="s">
        <v>985</v>
      </c>
      <c r="E253" s="235" t="s">
        <v>498</v>
      </c>
      <c r="F253" s="236">
        <v>18.100000000000009</v>
      </c>
      <c r="G253" s="237">
        <v>1123.56</v>
      </c>
      <c r="H253" s="243">
        <f>+TbPiezas[[#This Row],[VENTA]]*$G$2</f>
        <v>56.177999999999997</v>
      </c>
    </row>
    <row r="254" spans="2:8" x14ac:dyDescent="0.3">
      <c r="B254" s="234" t="s">
        <v>499</v>
      </c>
      <c r="C254" s="234">
        <v>249</v>
      </c>
      <c r="D254" s="234" t="s">
        <v>985</v>
      </c>
      <c r="E254" s="238" t="s">
        <v>500</v>
      </c>
      <c r="F254" s="236">
        <v>10.350000000000001</v>
      </c>
      <c r="G254" s="237">
        <v>813.44</v>
      </c>
      <c r="H254" s="243">
        <f>+TbPiezas[[#This Row],[VENTA]]*$G$2</f>
        <v>40.672000000000004</v>
      </c>
    </row>
    <row r="255" spans="2:8" x14ac:dyDescent="0.3">
      <c r="B255" s="234" t="s">
        <v>501</v>
      </c>
      <c r="C255" s="234">
        <v>250</v>
      </c>
      <c r="D255" s="234" t="s">
        <v>985</v>
      </c>
      <c r="E255" s="235" t="s">
        <v>502</v>
      </c>
      <c r="F255" s="236">
        <v>0.20000000000000284</v>
      </c>
      <c r="G255" s="237">
        <v>88.94</v>
      </c>
      <c r="H255" s="243">
        <f>+TbPiezas[[#This Row],[VENTA]]*$G$2</f>
        <v>4.4470000000000001</v>
      </c>
    </row>
    <row r="256" spans="2:8" x14ac:dyDescent="0.3">
      <c r="B256" s="234" t="s">
        <v>503</v>
      </c>
      <c r="C256" s="234">
        <v>251</v>
      </c>
      <c r="D256" s="234" t="s">
        <v>985</v>
      </c>
      <c r="E256" s="235" t="s">
        <v>504</v>
      </c>
      <c r="F256" s="236">
        <v>0.20000000000000284</v>
      </c>
      <c r="G256" s="237">
        <v>88.94</v>
      </c>
      <c r="H256" s="243">
        <f>+TbPiezas[[#This Row],[VENTA]]*$G$2</f>
        <v>4.4470000000000001</v>
      </c>
    </row>
    <row r="257" spans="2:8" x14ac:dyDescent="0.3">
      <c r="B257" s="234" t="s">
        <v>505</v>
      </c>
      <c r="C257" s="234">
        <v>252</v>
      </c>
      <c r="D257" s="234" t="s">
        <v>985</v>
      </c>
      <c r="E257" s="235" t="s">
        <v>506</v>
      </c>
      <c r="F257" s="236">
        <v>0.5</v>
      </c>
      <c r="G257" s="237">
        <v>210.09</v>
      </c>
      <c r="H257" s="243">
        <f>+TbPiezas[[#This Row],[VENTA]]*$G$2</f>
        <v>10.5045</v>
      </c>
    </row>
    <row r="258" spans="2:8" x14ac:dyDescent="0.3">
      <c r="B258" s="234" t="s">
        <v>507</v>
      </c>
      <c r="C258" s="234">
        <v>253</v>
      </c>
      <c r="D258" s="234" t="s">
        <v>985</v>
      </c>
      <c r="E258" s="235" t="s">
        <v>508</v>
      </c>
      <c r="F258" s="236">
        <v>0.5</v>
      </c>
      <c r="G258" s="237">
        <v>210.09</v>
      </c>
      <c r="H258" s="243">
        <f>+TbPiezas[[#This Row],[VENTA]]*$G$2</f>
        <v>10.5045</v>
      </c>
    </row>
    <row r="259" spans="2:8" x14ac:dyDescent="0.3">
      <c r="B259" s="234" t="s">
        <v>509</v>
      </c>
      <c r="C259" s="234">
        <v>254</v>
      </c>
      <c r="D259" s="234" t="s">
        <v>985</v>
      </c>
      <c r="E259" s="235" t="s">
        <v>510</v>
      </c>
      <c r="F259" s="236">
        <v>0.5</v>
      </c>
      <c r="G259" s="237">
        <v>157.1</v>
      </c>
      <c r="H259" s="243">
        <f>+TbPiezas[[#This Row],[VENTA]]*$G$2</f>
        <v>7.8550000000000004</v>
      </c>
    </row>
    <row r="260" spans="2:8" x14ac:dyDescent="0.3">
      <c r="B260" s="234" t="s">
        <v>511</v>
      </c>
      <c r="C260" s="234">
        <v>255</v>
      </c>
      <c r="D260" s="234" t="s">
        <v>985</v>
      </c>
      <c r="E260" s="235" t="s">
        <v>512</v>
      </c>
      <c r="F260" s="236">
        <v>0.5</v>
      </c>
      <c r="G260" s="237">
        <v>19.059999999999999</v>
      </c>
      <c r="H260" s="243">
        <f>+TbPiezas[[#This Row],[VENTA]]*$G$2</f>
        <v>0.95299999999999996</v>
      </c>
    </row>
    <row r="261" spans="2:8" x14ac:dyDescent="0.3">
      <c r="B261" s="234" t="s">
        <v>513</v>
      </c>
      <c r="C261" s="234">
        <v>256</v>
      </c>
      <c r="D261" s="234" t="s">
        <v>985</v>
      </c>
      <c r="E261" s="235" t="s">
        <v>514</v>
      </c>
      <c r="F261" s="236">
        <v>2</v>
      </c>
      <c r="G261" s="237">
        <v>19.059999999999999</v>
      </c>
      <c r="H261" s="243">
        <f>+TbPiezas[[#This Row],[VENTA]]*$G$2</f>
        <v>0.95299999999999996</v>
      </c>
    </row>
    <row r="262" spans="2:8" x14ac:dyDescent="0.3">
      <c r="B262" s="234" t="s">
        <v>515</v>
      </c>
      <c r="C262" s="234">
        <v>257</v>
      </c>
      <c r="D262" s="234" t="s">
        <v>985</v>
      </c>
      <c r="E262" s="235" t="s">
        <v>516</v>
      </c>
      <c r="F262" s="236">
        <v>4.3999999999999915</v>
      </c>
      <c r="G262" s="237">
        <v>312.10000000000002</v>
      </c>
      <c r="H262" s="243">
        <f>+TbPiezas[[#This Row],[VENTA]]*$G$2</f>
        <v>15.605000000000002</v>
      </c>
    </row>
    <row r="263" spans="2:8" x14ac:dyDescent="0.3">
      <c r="B263" s="234" t="s">
        <v>517</v>
      </c>
      <c r="C263" s="234">
        <v>258</v>
      </c>
      <c r="D263" s="234" t="s">
        <v>985</v>
      </c>
      <c r="E263" s="235" t="s">
        <v>518</v>
      </c>
      <c r="F263" s="236">
        <v>3.7999999999999972</v>
      </c>
      <c r="G263" s="237">
        <v>312.10000000000002</v>
      </c>
      <c r="H263" s="243">
        <f>+TbPiezas[[#This Row],[VENTA]]*$G$2</f>
        <v>15.605000000000002</v>
      </c>
    </row>
    <row r="264" spans="2:8" x14ac:dyDescent="0.3">
      <c r="B264" s="234" t="s">
        <v>519</v>
      </c>
      <c r="C264" s="234">
        <v>259</v>
      </c>
      <c r="D264" s="234" t="s">
        <v>985</v>
      </c>
      <c r="E264" s="235" t="s">
        <v>520</v>
      </c>
      <c r="F264" s="236">
        <v>9.9999999999994316E-2</v>
      </c>
      <c r="G264" s="237">
        <v>63.53</v>
      </c>
      <c r="H264" s="243">
        <f>+TbPiezas[[#This Row],[VENTA]]*$G$2</f>
        <v>3.1765000000000003</v>
      </c>
    </row>
    <row r="265" spans="2:8" x14ac:dyDescent="0.3">
      <c r="B265" s="234" t="s">
        <v>521</v>
      </c>
      <c r="C265" s="234">
        <v>260</v>
      </c>
      <c r="D265" s="234" t="s">
        <v>985</v>
      </c>
      <c r="E265" s="235" t="s">
        <v>522</v>
      </c>
      <c r="F265" s="236">
        <v>19.2</v>
      </c>
      <c r="G265" s="237">
        <v>1040.03</v>
      </c>
      <c r="H265" s="243">
        <f>+TbPiezas[[#This Row],[VENTA]]*$G$2</f>
        <v>52.0015</v>
      </c>
    </row>
    <row r="266" spans="2:8" x14ac:dyDescent="0.3">
      <c r="B266" s="234" t="s">
        <v>523</v>
      </c>
      <c r="C266" s="234">
        <v>261</v>
      </c>
      <c r="D266" s="234" t="s">
        <v>985</v>
      </c>
      <c r="E266" s="238" t="s">
        <v>524</v>
      </c>
      <c r="F266" s="236">
        <v>17.22</v>
      </c>
      <c r="G266" s="237">
        <v>960.03</v>
      </c>
      <c r="H266" s="243">
        <f>+TbPiezas[[#This Row],[VENTA]]*$G$2</f>
        <v>48.0015</v>
      </c>
    </row>
    <row r="267" spans="2:8" x14ac:dyDescent="0.3">
      <c r="B267" s="234" t="s">
        <v>525</v>
      </c>
      <c r="C267" s="234">
        <v>262</v>
      </c>
      <c r="D267" s="234" t="s">
        <v>985</v>
      </c>
      <c r="E267" s="235" t="s">
        <v>526</v>
      </c>
      <c r="F267" s="236">
        <v>12.299999999999997</v>
      </c>
      <c r="G267" s="237">
        <v>635.25</v>
      </c>
      <c r="H267" s="243">
        <f>+TbPiezas[[#This Row],[VENTA]]*$G$2</f>
        <v>31.762500000000003</v>
      </c>
    </row>
    <row r="268" spans="2:8" x14ac:dyDescent="0.3">
      <c r="B268" s="234" t="s">
        <v>527</v>
      </c>
      <c r="C268" s="234">
        <v>263</v>
      </c>
      <c r="D268" s="234" t="s">
        <v>985</v>
      </c>
      <c r="E268" s="235" t="s">
        <v>528</v>
      </c>
      <c r="F268" s="236">
        <v>12.299999999999997</v>
      </c>
      <c r="G268" s="237">
        <v>508.2</v>
      </c>
      <c r="H268" s="243">
        <f>+TbPiezas[[#This Row],[VENTA]]*$G$2</f>
        <v>25.41</v>
      </c>
    </row>
    <row r="269" spans="2:8" x14ac:dyDescent="0.3">
      <c r="B269" s="234" t="s">
        <v>529</v>
      </c>
      <c r="C269" s="234">
        <v>264</v>
      </c>
      <c r="D269" s="234" t="s">
        <v>985</v>
      </c>
      <c r="E269" s="235" t="s">
        <v>530</v>
      </c>
      <c r="F269" s="236">
        <v>9.8400000000000034</v>
      </c>
      <c r="G269" s="237">
        <v>444.68</v>
      </c>
      <c r="H269" s="243">
        <f>+TbPiezas[[#This Row],[VENTA]]*$G$2</f>
        <v>22.234000000000002</v>
      </c>
    </row>
    <row r="270" spans="2:8" x14ac:dyDescent="0.3">
      <c r="B270" s="234" t="s">
        <v>531</v>
      </c>
      <c r="C270" s="234">
        <v>265</v>
      </c>
      <c r="D270" s="234" t="s">
        <v>985</v>
      </c>
      <c r="E270" s="235" t="s">
        <v>532</v>
      </c>
      <c r="F270" s="236">
        <v>8.61</v>
      </c>
      <c r="G270" s="237">
        <v>381.15</v>
      </c>
      <c r="H270" s="243">
        <f>+TbPiezas[[#This Row],[VENTA]]*$G$2</f>
        <v>19.057500000000001</v>
      </c>
    </row>
    <row r="271" spans="2:8" x14ac:dyDescent="0.3">
      <c r="B271" s="234" t="s">
        <v>533</v>
      </c>
      <c r="C271" s="234">
        <v>266</v>
      </c>
      <c r="D271" s="234" t="s">
        <v>985</v>
      </c>
      <c r="E271" s="235" t="s">
        <v>534</v>
      </c>
      <c r="F271" s="236">
        <v>7.3799999999999955</v>
      </c>
      <c r="G271" s="237">
        <v>317.63</v>
      </c>
      <c r="H271" s="243">
        <f>+TbPiezas[[#This Row],[VENTA]]*$G$2</f>
        <v>15.881500000000001</v>
      </c>
    </row>
    <row r="272" spans="2:8" x14ac:dyDescent="0.3">
      <c r="B272" s="234" t="s">
        <v>535</v>
      </c>
      <c r="C272" s="234">
        <v>267</v>
      </c>
      <c r="D272" s="234" t="s">
        <v>985</v>
      </c>
      <c r="E272" s="235" t="s">
        <v>536</v>
      </c>
      <c r="F272" s="236">
        <v>20</v>
      </c>
      <c r="G272" s="237">
        <v>635.25</v>
      </c>
      <c r="H272" s="243">
        <f>+TbPiezas[[#This Row],[VENTA]]*$G$2</f>
        <v>31.762500000000003</v>
      </c>
    </row>
    <row r="273" spans="2:8" x14ac:dyDescent="0.3">
      <c r="B273" s="234" t="s">
        <v>537</v>
      </c>
      <c r="C273" s="234">
        <v>268</v>
      </c>
      <c r="D273" s="234" t="s">
        <v>985</v>
      </c>
      <c r="E273" s="235" t="s">
        <v>538</v>
      </c>
      <c r="F273" s="236">
        <v>16</v>
      </c>
      <c r="G273" s="237">
        <v>508.2</v>
      </c>
      <c r="H273" s="243">
        <f>+TbPiezas[[#This Row],[VENTA]]*$G$2</f>
        <v>25.41</v>
      </c>
    </row>
    <row r="274" spans="2:8" x14ac:dyDescent="0.3">
      <c r="B274" s="234" t="s">
        <v>539</v>
      </c>
      <c r="C274" s="234">
        <v>269</v>
      </c>
      <c r="D274" s="234" t="s">
        <v>985</v>
      </c>
      <c r="E274" s="235" t="s">
        <v>540</v>
      </c>
      <c r="F274" s="236">
        <v>15</v>
      </c>
      <c r="G274" s="237">
        <v>444.68</v>
      </c>
      <c r="H274" s="243">
        <f>+TbPiezas[[#This Row],[VENTA]]*$G$2</f>
        <v>22.234000000000002</v>
      </c>
    </row>
    <row r="275" spans="2:8" x14ac:dyDescent="0.3">
      <c r="B275" s="234" t="s">
        <v>541</v>
      </c>
      <c r="C275" s="234">
        <v>270</v>
      </c>
      <c r="D275" s="234" t="s">
        <v>985</v>
      </c>
      <c r="E275" s="235" t="s">
        <v>542</v>
      </c>
      <c r="F275" s="236">
        <v>12</v>
      </c>
      <c r="G275" s="237">
        <v>381.15</v>
      </c>
      <c r="H275" s="243">
        <f>+TbPiezas[[#This Row],[VENTA]]*$G$2</f>
        <v>19.057500000000001</v>
      </c>
    </row>
    <row r="276" spans="2:8" x14ac:dyDescent="0.3">
      <c r="B276" s="234" t="s">
        <v>543</v>
      </c>
      <c r="C276" s="234">
        <v>271</v>
      </c>
      <c r="D276" s="234" t="s">
        <v>985</v>
      </c>
      <c r="E276" s="235" t="s">
        <v>544</v>
      </c>
      <c r="F276" s="236">
        <v>10</v>
      </c>
      <c r="G276" s="237">
        <v>317.63</v>
      </c>
      <c r="H276" s="243">
        <f>+TbPiezas[[#This Row],[VENTA]]*$G$2</f>
        <v>15.881500000000001</v>
      </c>
    </row>
    <row r="277" spans="2:8" x14ac:dyDescent="0.3">
      <c r="B277" s="234" t="s">
        <v>545</v>
      </c>
      <c r="C277" s="234">
        <v>272</v>
      </c>
      <c r="D277" s="234" t="s">
        <v>985</v>
      </c>
      <c r="E277" s="235" t="s">
        <v>546</v>
      </c>
      <c r="F277" s="236">
        <v>0.5</v>
      </c>
      <c r="G277" s="237">
        <v>464.53</v>
      </c>
      <c r="H277" s="243">
        <f>+TbPiezas[[#This Row],[VENTA]]*$G$2</f>
        <v>23.226500000000001</v>
      </c>
    </row>
    <row r="278" spans="2:8" x14ac:dyDescent="0.3">
      <c r="B278" s="234" t="s">
        <v>547</v>
      </c>
      <c r="C278" s="234">
        <v>273</v>
      </c>
      <c r="D278" s="234" t="s">
        <v>985</v>
      </c>
      <c r="E278" s="235" t="s">
        <v>548</v>
      </c>
      <c r="F278" s="236">
        <v>0.5</v>
      </c>
      <c r="G278" s="237">
        <v>464.53</v>
      </c>
      <c r="H278" s="243">
        <f>+TbPiezas[[#This Row],[VENTA]]*$G$2</f>
        <v>23.226500000000001</v>
      </c>
    </row>
    <row r="279" spans="2:8" x14ac:dyDescent="0.3">
      <c r="B279" s="234" t="s">
        <v>549</v>
      </c>
      <c r="C279" s="234">
        <v>274</v>
      </c>
      <c r="D279" s="234" t="s">
        <v>985</v>
      </c>
      <c r="E279" s="235" t="s">
        <v>550</v>
      </c>
      <c r="F279" s="236">
        <v>0.5</v>
      </c>
      <c r="G279" s="237">
        <v>464.53</v>
      </c>
      <c r="H279" s="243">
        <f>+TbPiezas[[#This Row],[VENTA]]*$G$2</f>
        <v>23.226500000000001</v>
      </c>
    </row>
    <row r="280" spans="2:8" x14ac:dyDescent="0.3">
      <c r="B280" s="234" t="s">
        <v>551</v>
      </c>
      <c r="C280" s="234">
        <v>275</v>
      </c>
      <c r="D280" s="234" t="s">
        <v>985</v>
      </c>
      <c r="E280" s="235" t="s">
        <v>552</v>
      </c>
      <c r="F280" s="236">
        <v>9.9999999999994316E-2</v>
      </c>
      <c r="G280" s="237">
        <v>10.16</v>
      </c>
      <c r="H280" s="243">
        <f>+TbPiezas[[#This Row],[VENTA]]*$G$2</f>
        <v>0.50800000000000001</v>
      </c>
    </row>
    <row r="281" spans="2:8" x14ac:dyDescent="0.3">
      <c r="B281" s="234" t="s">
        <v>553</v>
      </c>
      <c r="C281" s="234">
        <v>276</v>
      </c>
      <c r="D281" s="234" t="s">
        <v>985</v>
      </c>
      <c r="E281" s="235" t="s">
        <v>554</v>
      </c>
      <c r="F281" s="236">
        <v>9.9999999999994316E-2</v>
      </c>
      <c r="G281" s="237">
        <v>10.16</v>
      </c>
      <c r="H281" s="243">
        <f>+TbPiezas[[#This Row],[VENTA]]*$G$2</f>
        <v>0.50800000000000001</v>
      </c>
    </row>
    <row r="282" spans="2:8" x14ac:dyDescent="0.3">
      <c r="B282" s="234" t="s">
        <v>555</v>
      </c>
      <c r="C282" s="234">
        <v>277</v>
      </c>
      <c r="D282" s="234" t="s">
        <v>985</v>
      </c>
      <c r="E282" s="235" t="s">
        <v>556</v>
      </c>
      <c r="F282" s="236">
        <v>9.9999999999994316E-2</v>
      </c>
      <c r="G282" s="237">
        <v>10.16</v>
      </c>
      <c r="H282" s="243">
        <f>+TbPiezas[[#This Row],[VENTA]]*$G$2</f>
        <v>0.50800000000000001</v>
      </c>
    </row>
    <row r="283" spans="2:8" x14ac:dyDescent="0.3">
      <c r="B283" s="234" t="s">
        <v>557</v>
      </c>
      <c r="C283" s="234">
        <v>278</v>
      </c>
      <c r="D283" s="234" t="s">
        <v>985</v>
      </c>
      <c r="E283" s="235" t="s">
        <v>558</v>
      </c>
      <c r="F283" s="236">
        <v>9.9999999999994316E-2</v>
      </c>
      <c r="G283" s="237">
        <v>10.16</v>
      </c>
      <c r="H283" s="243">
        <f>+TbPiezas[[#This Row],[VENTA]]*$G$2</f>
        <v>0.50800000000000001</v>
      </c>
    </row>
    <row r="284" spans="2:8" x14ac:dyDescent="0.3">
      <c r="B284" s="234" t="s">
        <v>559</v>
      </c>
      <c r="C284" s="234">
        <v>279</v>
      </c>
      <c r="D284" s="234" t="s">
        <v>985</v>
      </c>
      <c r="E284" s="235" t="s">
        <v>560</v>
      </c>
      <c r="F284" s="236">
        <v>9.9999999999994316E-2</v>
      </c>
      <c r="G284" s="237">
        <v>10.16</v>
      </c>
      <c r="H284" s="243">
        <f>+TbPiezas[[#This Row],[VENTA]]*$G$2</f>
        <v>0.50800000000000001</v>
      </c>
    </row>
    <row r="285" spans="2:8" x14ac:dyDescent="0.3">
      <c r="B285" s="234" t="s">
        <v>561</v>
      </c>
      <c r="C285" s="234">
        <v>280</v>
      </c>
      <c r="D285" s="234" t="s">
        <v>985</v>
      </c>
      <c r="E285" s="235" t="s">
        <v>562</v>
      </c>
      <c r="F285" s="236">
        <v>9.9999999999994316E-2</v>
      </c>
      <c r="G285" s="237">
        <v>10.16</v>
      </c>
      <c r="H285" s="243">
        <f>+TbPiezas[[#This Row],[VENTA]]*$G$2</f>
        <v>0.50800000000000001</v>
      </c>
    </row>
    <row r="286" spans="2:8" x14ac:dyDescent="0.3">
      <c r="B286" s="234" t="s">
        <v>563</v>
      </c>
      <c r="C286" s="234">
        <v>281</v>
      </c>
      <c r="D286" s="234" t="s">
        <v>985</v>
      </c>
      <c r="E286" s="235" t="s">
        <v>564</v>
      </c>
      <c r="F286" s="236">
        <v>9.9999999999994316E-2</v>
      </c>
      <c r="G286" s="237">
        <v>10.16</v>
      </c>
      <c r="H286" s="243">
        <f>+TbPiezas[[#This Row],[VENTA]]*$G$2</f>
        <v>0.50800000000000001</v>
      </c>
    </row>
    <row r="287" spans="2:8" x14ac:dyDescent="0.3">
      <c r="B287" s="234" t="s">
        <v>565</v>
      </c>
      <c r="C287" s="234">
        <v>282</v>
      </c>
      <c r="D287" s="234" t="s">
        <v>985</v>
      </c>
      <c r="E287" s="235" t="s">
        <v>566</v>
      </c>
      <c r="F287" s="236">
        <v>9.9999999999994316E-2</v>
      </c>
      <c r="G287" s="237">
        <v>10.16</v>
      </c>
      <c r="H287" s="243">
        <f>+TbPiezas[[#This Row],[VENTA]]*$G$2</f>
        <v>0.50800000000000001</v>
      </c>
    </row>
    <row r="288" spans="2:8" x14ac:dyDescent="0.3">
      <c r="B288" s="234" t="s">
        <v>567</v>
      </c>
      <c r="C288" s="234">
        <v>283</v>
      </c>
      <c r="D288" s="234" t="s">
        <v>985</v>
      </c>
      <c r="E288" s="235" t="s">
        <v>568</v>
      </c>
      <c r="F288" s="236">
        <v>9.9999999999994316E-2</v>
      </c>
      <c r="G288" s="237">
        <v>10.16</v>
      </c>
      <c r="H288" s="243">
        <f>+TbPiezas[[#This Row],[VENTA]]*$G$2</f>
        <v>0.50800000000000001</v>
      </c>
    </row>
    <row r="289" spans="2:8" x14ac:dyDescent="0.3">
      <c r="B289" s="234" t="s">
        <v>569</v>
      </c>
      <c r="C289" s="234">
        <v>284</v>
      </c>
      <c r="D289" s="234" t="s">
        <v>985</v>
      </c>
      <c r="E289" s="235" t="s">
        <v>570</v>
      </c>
      <c r="F289" s="236">
        <v>9.9999999999994316E-2</v>
      </c>
      <c r="G289" s="237">
        <v>10.16</v>
      </c>
      <c r="H289" s="243">
        <f>+TbPiezas[[#This Row],[VENTA]]*$G$2</f>
        <v>0.50800000000000001</v>
      </c>
    </row>
    <row r="290" spans="2:8" x14ac:dyDescent="0.3">
      <c r="B290" s="234" t="s">
        <v>571</v>
      </c>
      <c r="C290" s="234">
        <v>285</v>
      </c>
      <c r="D290" s="234" t="s">
        <v>985</v>
      </c>
      <c r="E290" s="235" t="s">
        <v>572</v>
      </c>
      <c r="F290" s="236">
        <v>9.9999999999994316E-2</v>
      </c>
      <c r="G290" s="237">
        <v>10.16</v>
      </c>
      <c r="H290" s="243">
        <f>+TbPiezas[[#This Row],[VENTA]]*$G$2</f>
        <v>0.50800000000000001</v>
      </c>
    </row>
    <row r="291" spans="2:8" x14ac:dyDescent="0.3">
      <c r="B291" s="234" t="s">
        <v>573</v>
      </c>
      <c r="C291" s="234">
        <v>286</v>
      </c>
      <c r="D291" s="234" t="s">
        <v>985</v>
      </c>
      <c r="E291" s="235" t="s">
        <v>574</v>
      </c>
      <c r="F291" s="236">
        <v>9.9999999999994316E-2</v>
      </c>
      <c r="G291" s="237">
        <v>10.16</v>
      </c>
      <c r="H291" s="243">
        <f>+TbPiezas[[#This Row],[VENTA]]*$G$2</f>
        <v>0.50800000000000001</v>
      </c>
    </row>
    <row r="292" spans="2:8" x14ac:dyDescent="0.3">
      <c r="B292" s="234" t="s">
        <v>575</v>
      </c>
      <c r="C292" s="234">
        <v>287</v>
      </c>
      <c r="D292" s="234" t="s">
        <v>985</v>
      </c>
      <c r="E292" s="235" t="s">
        <v>576</v>
      </c>
      <c r="F292" s="236">
        <v>9.9999999999994316E-2</v>
      </c>
      <c r="G292" s="237">
        <v>10.16</v>
      </c>
      <c r="H292" s="243">
        <f>+TbPiezas[[#This Row],[VENTA]]*$G$2</f>
        <v>0.50800000000000001</v>
      </c>
    </row>
    <row r="293" spans="2:8" x14ac:dyDescent="0.3">
      <c r="B293" s="234" t="s">
        <v>577</v>
      </c>
      <c r="C293" s="234">
        <v>288</v>
      </c>
      <c r="D293" s="234" t="s">
        <v>985</v>
      </c>
      <c r="E293" s="235" t="s">
        <v>578</v>
      </c>
      <c r="F293" s="236">
        <v>9.9999999999994316E-2</v>
      </c>
      <c r="G293" s="237">
        <v>10.16</v>
      </c>
      <c r="H293" s="243">
        <f>+TbPiezas[[#This Row],[VENTA]]*$G$2</f>
        <v>0.50800000000000001</v>
      </c>
    </row>
    <row r="294" spans="2:8" x14ac:dyDescent="0.3">
      <c r="B294" s="234" t="s">
        <v>579</v>
      </c>
      <c r="C294" s="234">
        <v>289</v>
      </c>
      <c r="D294" s="234" t="s">
        <v>985</v>
      </c>
      <c r="E294" s="235" t="s">
        <v>580</v>
      </c>
      <c r="F294" s="236">
        <v>9.9999999999994316E-2</v>
      </c>
      <c r="G294" s="237">
        <v>10.16</v>
      </c>
      <c r="H294" s="243">
        <f>+TbPiezas[[#This Row],[VENTA]]*$G$2</f>
        <v>0.50800000000000001</v>
      </c>
    </row>
    <row r="295" spans="2:8" x14ac:dyDescent="0.3">
      <c r="B295" s="234" t="s">
        <v>581</v>
      </c>
      <c r="C295" s="234">
        <v>290</v>
      </c>
      <c r="D295" s="234" t="s">
        <v>985</v>
      </c>
      <c r="E295" s="235" t="s">
        <v>582</v>
      </c>
      <c r="F295" s="236">
        <v>9.9999999999994316E-2</v>
      </c>
      <c r="G295" s="237">
        <v>10.16</v>
      </c>
      <c r="H295" s="243">
        <f>+TbPiezas[[#This Row],[VENTA]]*$G$2</f>
        <v>0.50800000000000001</v>
      </c>
    </row>
    <row r="296" spans="2:8" x14ac:dyDescent="0.3">
      <c r="B296" s="234" t="s">
        <v>583</v>
      </c>
      <c r="C296" s="234">
        <v>291</v>
      </c>
      <c r="D296" s="234" t="s">
        <v>985</v>
      </c>
      <c r="E296" s="235" t="s">
        <v>584</v>
      </c>
      <c r="F296" s="236">
        <v>9.9999999999994316E-2</v>
      </c>
      <c r="G296" s="237">
        <v>10.16</v>
      </c>
      <c r="H296" s="243">
        <f>+TbPiezas[[#This Row],[VENTA]]*$G$2</f>
        <v>0.50800000000000001</v>
      </c>
    </row>
    <row r="297" spans="2:8" x14ac:dyDescent="0.3">
      <c r="B297" s="234" t="s">
        <v>585</v>
      </c>
      <c r="C297" s="234">
        <v>292</v>
      </c>
      <c r="D297" s="234" t="s">
        <v>985</v>
      </c>
      <c r="E297" s="235" t="s">
        <v>586</v>
      </c>
      <c r="F297" s="236">
        <v>25</v>
      </c>
      <c r="G297" s="237">
        <v>229.52</v>
      </c>
      <c r="H297" s="243">
        <f>+TbPiezas[[#This Row],[VENTA]]*$G$2</f>
        <v>11.476000000000001</v>
      </c>
    </row>
    <row r="298" spans="2:8" x14ac:dyDescent="0.3">
      <c r="B298" s="234" t="s">
        <v>587</v>
      </c>
      <c r="C298" s="234">
        <v>293</v>
      </c>
      <c r="D298" s="234" t="s">
        <v>985</v>
      </c>
      <c r="E298" s="235" t="s">
        <v>588</v>
      </c>
      <c r="F298" s="236">
        <v>11.799999999999997</v>
      </c>
      <c r="G298" s="237">
        <v>229.52</v>
      </c>
      <c r="H298" s="243">
        <f>+TbPiezas[[#This Row],[VENTA]]*$G$2</f>
        <v>11.476000000000001</v>
      </c>
    </row>
    <row r="299" spans="2:8" x14ac:dyDescent="0.3">
      <c r="B299" s="234" t="s">
        <v>589</v>
      </c>
      <c r="C299" s="234">
        <v>294</v>
      </c>
      <c r="D299" s="234" t="s">
        <v>985</v>
      </c>
      <c r="E299" s="235" t="s">
        <v>590</v>
      </c>
      <c r="F299" s="236">
        <v>11.799999999999997</v>
      </c>
      <c r="G299" s="237">
        <v>229.52</v>
      </c>
      <c r="H299" s="243">
        <f>+TbPiezas[[#This Row],[VENTA]]*$G$2</f>
        <v>11.476000000000001</v>
      </c>
    </row>
    <row r="300" spans="2:8" x14ac:dyDescent="0.3">
      <c r="B300" s="234" t="s">
        <v>591</v>
      </c>
      <c r="C300" s="234">
        <v>295</v>
      </c>
      <c r="D300" s="234" t="s">
        <v>985</v>
      </c>
      <c r="E300" s="235" t="s">
        <v>592</v>
      </c>
      <c r="F300" s="236">
        <v>28.899999999999991</v>
      </c>
      <c r="G300" s="237">
        <v>1099.44</v>
      </c>
      <c r="H300" s="243">
        <f>+TbPiezas[[#This Row],[VENTA]]*$G$2</f>
        <v>54.972000000000008</v>
      </c>
    </row>
    <row r="301" spans="2:8" x14ac:dyDescent="0.3">
      <c r="B301" s="234" t="s">
        <v>593</v>
      </c>
      <c r="C301" s="234">
        <v>296</v>
      </c>
      <c r="D301" s="234" t="s">
        <v>985</v>
      </c>
      <c r="E301" s="76" t="s">
        <v>594</v>
      </c>
      <c r="F301" s="236">
        <v>74.099999999999994</v>
      </c>
      <c r="G301" s="237">
        <v>3176.25</v>
      </c>
      <c r="H301" s="243">
        <f>+TbPiezas[[#This Row],[VENTA]]*$G$2</f>
        <v>158.8125</v>
      </c>
    </row>
    <row r="302" spans="2:8" x14ac:dyDescent="0.3">
      <c r="B302" s="234" t="s">
        <v>595</v>
      </c>
      <c r="C302" s="234">
        <v>297</v>
      </c>
      <c r="D302" s="234" t="s">
        <v>985</v>
      </c>
      <c r="E302" s="235" t="s">
        <v>596</v>
      </c>
      <c r="F302" s="236">
        <v>0.5</v>
      </c>
      <c r="G302" s="237">
        <v>157.1</v>
      </c>
      <c r="H302" s="243">
        <f>+TbPiezas[[#This Row],[VENTA]]*$G$2</f>
        <v>7.8550000000000004</v>
      </c>
    </row>
    <row r="303" spans="2:8" x14ac:dyDescent="0.3">
      <c r="B303" s="234" t="s">
        <v>597</v>
      </c>
      <c r="C303" s="234">
        <v>298</v>
      </c>
      <c r="D303" s="234" t="s">
        <v>985</v>
      </c>
      <c r="E303" s="235" t="s">
        <v>598</v>
      </c>
      <c r="F303" s="236">
        <v>7.0999999999999943</v>
      </c>
      <c r="G303" s="237">
        <v>381.15</v>
      </c>
      <c r="H303" s="243">
        <f>+TbPiezas[[#This Row],[VENTA]]*$G$2</f>
        <v>19.057500000000001</v>
      </c>
    </row>
    <row r="304" spans="2:8" x14ac:dyDescent="0.3">
      <c r="B304" s="234" t="s">
        <v>599</v>
      </c>
      <c r="C304" s="234">
        <v>299</v>
      </c>
      <c r="D304" s="234" t="s">
        <v>985</v>
      </c>
      <c r="E304" s="235" t="s">
        <v>600</v>
      </c>
      <c r="F304" s="236">
        <v>0.5</v>
      </c>
      <c r="G304" s="237">
        <v>88.94</v>
      </c>
      <c r="H304" s="243">
        <f>+TbPiezas[[#This Row],[VENTA]]*$G$2</f>
        <v>4.4470000000000001</v>
      </c>
    </row>
    <row r="305" spans="2:8" x14ac:dyDescent="0.3">
      <c r="B305" s="234" t="s">
        <v>601</v>
      </c>
      <c r="C305" s="234">
        <v>300</v>
      </c>
      <c r="D305" s="234" t="s">
        <v>985</v>
      </c>
      <c r="E305" s="235" t="s">
        <v>602</v>
      </c>
      <c r="F305" s="236">
        <v>0.75</v>
      </c>
      <c r="G305" s="237">
        <v>200</v>
      </c>
      <c r="H305" s="243">
        <f>+TbPiezas[[#This Row],[VENTA]]*$G$2</f>
        <v>10</v>
      </c>
    </row>
    <row r="306" spans="2:8" x14ac:dyDescent="0.3">
      <c r="B306" s="234" t="s">
        <v>603</v>
      </c>
      <c r="C306" s="234">
        <v>301</v>
      </c>
      <c r="D306" s="234" t="s">
        <v>985</v>
      </c>
      <c r="E306" s="235" t="s">
        <v>604</v>
      </c>
      <c r="F306" s="236">
        <v>0.1</v>
      </c>
      <c r="G306" s="237">
        <v>200</v>
      </c>
      <c r="H306" s="243">
        <f>+TbPiezas[[#This Row],[VENTA]]*$G$2</f>
        <v>10</v>
      </c>
    </row>
    <row r="307" spans="2:8" x14ac:dyDescent="0.3">
      <c r="B307" s="234" t="s">
        <v>605</v>
      </c>
      <c r="C307" s="234">
        <v>302</v>
      </c>
      <c r="D307" s="234" t="s">
        <v>986</v>
      </c>
      <c r="E307" s="235" t="s">
        <v>606</v>
      </c>
      <c r="F307" s="236">
        <v>2.4</v>
      </c>
      <c r="G307" s="237">
        <v>102.82</v>
      </c>
      <c r="H307" s="243">
        <f>+TbPiezas[[#This Row],[VENTA]]*$G$2</f>
        <v>5.141</v>
      </c>
    </row>
    <row r="308" spans="2:8" x14ac:dyDescent="0.3">
      <c r="B308" s="234" t="s">
        <v>607</v>
      </c>
      <c r="C308" s="234">
        <v>303</v>
      </c>
      <c r="D308" s="234" t="s">
        <v>986</v>
      </c>
      <c r="E308" s="235" t="s">
        <v>608</v>
      </c>
      <c r="F308" s="236">
        <v>2</v>
      </c>
      <c r="G308" s="237">
        <v>85.68</v>
      </c>
      <c r="H308" s="243">
        <f>+TbPiezas[[#This Row],[VENTA]]*$G$2</f>
        <v>4.2840000000000007</v>
      </c>
    </row>
    <row r="309" spans="2:8" x14ac:dyDescent="0.3">
      <c r="B309" s="234" t="s">
        <v>609</v>
      </c>
      <c r="C309" s="234">
        <v>304</v>
      </c>
      <c r="D309" s="234" t="s">
        <v>986</v>
      </c>
      <c r="E309" s="235" t="s">
        <v>610</v>
      </c>
      <c r="F309" s="236">
        <v>0.5</v>
      </c>
      <c r="G309" s="237">
        <v>40.020000000000003</v>
      </c>
      <c r="H309" s="243">
        <f>+TbPiezas[[#This Row],[VENTA]]*$G$2</f>
        <v>2.0010000000000003</v>
      </c>
    </row>
    <row r="310" spans="2:8" x14ac:dyDescent="0.3">
      <c r="B310" s="234" t="s">
        <v>611</v>
      </c>
      <c r="C310" s="234">
        <v>305</v>
      </c>
      <c r="D310" s="234" t="s">
        <v>986</v>
      </c>
      <c r="E310" s="235" t="s">
        <v>612</v>
      </c>
      <c r="F310" s="236">
        <v>3</v>
      </c>
      <c r="G310" s="237">
        <v>128.53</v>
      </c>
      <c r="H310" s="243">
        <f>+TbPiezas[[#This Row],[VENTA]]*$G$2</f>
        <v>6.4265000000000008</v>
      </c>
    </row>
    <row r="311" spans="2:8" x14ac:dyDescent="0.3">
      <c r="B311" s="234" t="s">
        <v>613</v>
      </c>
      <c r="C311" s="234">
        <v>306</v>
      </c>
      <c r="D311" s="234" t="s">
        <v>986</v>
      </c>
      <c r="E311" s="76" t="s">
        <v>614</v>
      </c>
      <c r="F311" s="236">
        <v>2.2999999999999998</v>
      </c>
      <c r="G311" s="237">
        <v>107.99</v>
      </c>
      <c r="H311" s="243">
        <f>+TbPiezas[[#This Row],[VENTA]]*$G$2</f>
        <v>5.3994999999999997</v>
      </c>
    </row>
    <row r="312" spans="2:8" x14ac:dyDescent="0.3">
      <c r="B312" s="389" t="s">
        <v>615</v>
      </c>
      <c r="C312" s="389">
        <v>307</v>
      </c>
      <c r="D312" s="389" t="s">
        <v>986</v>
      </c>
      <c r="E312" s="390" t="s">
        <v>1383</v>
      </c>
      <c r="F312" s="391">
        <v>1.7</v>
      </c>
      <c r="G312" s="392">
        <v>79.34</v>
      </c>
      <c r="H312" s="393">
        <f>+TbPiezas[[#This Row],[VENTA]]*$G$2</f>
        <v>3.9670000000000005</v>
      </c>
    </row>
    <row r="313" spans="2:8" x14ac:dyDescent="0.3">
      <c r="B313" s="234" t="s">
        <v>617</v>
      </c>
      <c r="C313" s="234">
        <v>308</v>
      </c>
      <c r="D313" s="234" t="s">
        <v>986</v>
      </c>
      <c r="E313" s="76" t="s">
        <v>618</v>
      </c>
      <c r="F313" s="236">
        <v>1.4</v>
      </c>
      <c r="G313" s="237">
        <v>82.58</v>
      </c>
      <c r="H313" s="243">
        <f>+TbPiezas[[#This Row],[VENTA]]*$G$2</f>
        <v>4.1290000000000004</v>
      </c>
    </row>
    <row r="314" spans="2:8" x14ac:dyDescent="0.3">
      <c r="B314" s="234" t="s">
        <v>619</v>
      </c>
      <c r="C314" s="234">
        <v>309</v>
      </c>
      <c r="D314" s="234" t="s">
        <v>986</v>
      </c>
      <c r="E314" s="76" t="s">
        <v>620</v>
      </c>
      <c r="F314" s="236">
        <v>1.8</v>
      </c>
      <c r="G314" s="237">
        <v>95.29</v>
      </c>
      <c r="H314" s="243">
        <f>+TbPiezas[[#This Row],[VENTA]]*$G$2</f>
        <v>4.7645000000000008</v>
      </c>
    </row>
    <row r="315" spans="2:8" x14ac:dyDescent="0.3">
      <c r="B315" s="234" t="s">
        <v>621</v>
      </c>
      <c r="C315" s="234">
        <v>310</v>
      </c>
      <c r="D315" s="234" t="s">
        <v>986</v>
      </c>
      <c r="E315" s="235" t="s">
        <v>622</v>
      </c>
      <c r="F315" s="236">
        <v>2</v>
      </c>
      <c r="G315" s="237">
        <v>85.68</v>
      </c>
      <c r="H315" s="243">
        <f>+TbPiezas[[#This Row],[VENTA]]*$G$2</f>
        <v>4.2840000000000007</v>
      </c>
    </row>
    <row r="316" spans="2:8" x14ac:dyDescent="0.3">
      <c r="B316" s="234" t="s">
        <v>623</v>
      </c>
      <c r="C316" s="234">
        <v>311</v>
      </c>
      <c r="D316" s="234" t="s">
        <v>986</v>
      </c>
      <c r="E316" s="235" t="s">
        <v>624</v>
      </c>
      <c r="F316" s="236">
        <v>0.79999999999999716</v>
      </c>
      <c r="G316" s="237">
        <v>63.53</v>
      </c>
      <c r="H316" s="243">
        <f>+TbPiezas[[#This Row],[VENTA]]*$G$2</f>
        <v>3.1765000000000003</v>
      </c>
    </row>
    <row r="317" spans="2:8" x14ac:dyDescent="0.3">
      <c r="B317" s="234" t="s">
        <v>625</v>
      </c>
      <c r="C317" s="234">
        <v>312</v>
      </c>
      <c r="D317" s="234" t="s">
        <v>986</v>
      </c>
      <c r="E317" s="235" t="s">
        <v>626</v>
      </c>
      <c r="F317" s="236">
        <v>5.5</v>
      </c>
      <c r="G317" s="237">
        <v>185</v>
      </c>
      <c r="H317" s="243">
        <f>+TbPiezas[[#This Row],[VENTA]]*$G$2</f>
        <v>9.25</v>
      </c>
    </row>
    <row r="318" spans="2:8" x14ac:dyDescent="0.3">
      <c r="B318" s="234" t="s">
        <v>627</v>
      </c>
      <c r="C318" s="234">
        <v>313</v>
      </c>
      <c r="D318" s="234" t="s">
        <v>986</v>
      </c>
      <c r="E318" s="235" t="s">
        <v>628</v>
      </c>
      <c r="F318" s="236">
        <v>17.399999999999991</v>
      </c>
      <c r="G318" s="237">
        <v>247.38</v>
      </c>
      <c r="H318" s="243">
        <f>+TbPiezas[[#This Row],[VENTA]]*$G$2</f>
        <v>12.369</v>
      </c>
    </row>
    <row r="319" spans="2:8" x14ac:dyDescent="0.3">
      <c r="B319" s="234" t="s">
        <v>629</v>
      </c>
      <c r="C319" s="234">
        <v>314</v>
      </c>
      <c r="D319" s="234" t="s">
        <v>986</v>
      </c>
      <c r="E319" s="235" t="s">
        <v>630</v>
      </c>
      <c r="F319" s="236">
        <v>11.6</v>
      </c>
      <c r="G319" s="237">
        <v>164.91</v>
      </c>
      <c r="H319" s="243">
        <f>+TbPiezas[[#This Row],[VENTA]]*$G$2</f>
        <v>8.2454999999999998</v>
      </c>
    </row>
    <row r="320" spans="2:8" x14ac:dyDescent="0.3">
      <c r="B320" s="234" t="s">
        <v>631</v>
      </c>
      <c r="C320" s="234">
        <v>315</v>
      </c>
      <c r="D320" s="234" t="s">
        <v>986</v>
      </c>
      <c r="E320" s="235" t="s">
        <v>632</v>
      </c>
      <c r="F320" s="236">
        <v>6.9</v>
      </c>
      <c r="G320" s="237">
        <v>127.05</v>
      </c>
      <c r="H320" s="243">
        <f>+TbPiezas[[#This Row],[VENTA]]*$G$2</f>
        <v>6.3525</v>
      </c>
    </row>
    <row r="321" spans="2:8" x14ac:dyDescent="0.3">
      <c r="B321" s="234" t="s">
        <v>633</v>
      </c>
      <c r="C321" s="234">
        <v>316</v>
      </c>
      <c r="D321" s="234" t="s">
        <v>986</v>
      </c>
      <c r="E321" s="235" t="s">
        <v>634</v>
      </c>
      <c r="F321" s="236">
        <v>127.5</v>
      </c>
      <c r="G321" s="237">
        <v>1905.75</v>
      </c>
      <c r="H321" s="243">
        <f>+TbPiezas[[#This Row],[VENTA]]*$G$2</f>
        <v>95.287500000000009</v>
      </c>
    </row>
    <row r="322" spans="2:8" x14ac:dyDescent="0.3">
      <c r="B322" s="234" t="s">
        <v>635</v>
      </c>
      <c r="C322" s="234">
        <v>317</v>
      </c>
      <c r="D322" s="234" t="s">
        <v>986</v>
      </c>
      <c r="E322" s="235" t="s">
        <v>636</v>
      </c>
      <c r="F322" s="236">
        <v>153</v>
      </c>
      <c r="G322" s="237">
        <v>2286.9</v>
      </c>
      <c r="H322" s="243">
        <f>+TbPiezas[[#This Row],[VENTA]]*$G$2</f>
        <v>114.34500000000001</v>
      </c>
    </row>
    <row r="323" spans="2:8" x14ac:dyDescent="0.3">
      <c r="B323" s="234" t="s">
        <v>637</v>
      </c>
      <c r="C323" s="234">
        <v>318</v>
      </c>
      <c r="D323" s="234" t="s">
        <v>986</v>
      </c>
      <c r="E323" s="235" t="s">
        <v>638</v>
      </c>
      <c r="F323" s="236">
        <v>204</v>
      </c>
      <c r="G323" s="237">
        <v>3049.2</v>
      </c>
      <c r="H323" s="243">
        <f>+TbPiezas[[#This Row],[VENTA]]*$G$2</f>
        <v>152.46</v>
      </c>
    </row>
    <row r="324" spans="2:8" x14ac:dyDescent="0.3">
      <c r="B324" s="234" t="s">
        <v>639</v>
      </c>
      <c r="C324" s="234">
        <v>319</v>
      </c>
      <c r="D324" s="234" t="s">
        <v>986</v>
      </c>
      <c r="E324" s="235" t="s">
        <v>640</v>
      </c>
      <c r="F324" s="236">
        <v>48.45</v>
      </c>
      <c r="G324" s="237">
        <v>3811.5</v>
      </c>
      <c r="H324" s="243">
        <f>+TbPiezas[[#This Row],[VENTA]]*$G$2</f>
        <v>190.57500000000002</v>
      </c>
    </row>
    <row r="325" spans="2:8" x14ac:dyDescent="0.3">
      <c r="B325" s="234" t="s">
        <v>641</v>
      </c>
      <c r="C325" s="234">
        <v>320</v>
      </c>
      <c r="D325" s="234" t="s">
        <v>986</v>
      </c>
      <c r="E325" s="235" t="s">
        <v>642</v>
      </c>
      <c r="F325" s="236">
        <v>9.5</v>
      </c>
      <c r="G325" s="237">
        <v>1905.75</v>
      </c>
      <c r="H325" s="243">
        <f>+TbPiezas[[#This Row],[VENTA]]*$G$2</f>
        <v>95.287500000000009</v>
      </c>
    </row>
    <row r="326" spans="2:8" x14ac:dyDescent="0.3">
      <c r="B326" s="234" t="s">
        <v>643</v>
      </c>
      <c r="C326" s="234">
        <v>321</v>
      </c>
      <c r="D326" s="234" t="s">
        <v>986</v>
      </c>
      <c r="E326" s="235" t="s">
        <v>644</v>
      </c>
      <c r="F326" s="236">
        <v>0.5</v>
      </c>
      <c r="G326" s="237">
        <v>27.42</v>
      </c>
      <c r="H326" s="243">
        <f>+TbPiezas[[#This Row],[VENTA]]*$G$2</f>
        <v>1.3710000000000002</v>
      </c>
    </row>
    <row r="327" spans="2:8" x14ac:dyDescent="0.3">
      <c r="B327" s="234" t="s">
        <v>645</v>
      </c>
      <c r="C327" s="234">
        <v>322</v>
      </c>
      <c r="D327" s="234" t="s">
        <v>986</v>
      </c>
      <c r="E327" s="235" t="s">
        <v>646</v>
      </c>
      <c r="F327" s="236">
        <v>0.4</v>
      </c>
      <c r="G327" s="237">
        <v>34.270000000000003</v>
      </c>
      <c r="H327" s="243">
        <f>+TbPiezas[[#This Row],[VENTA]]*$G$2</f>
        <v>1.7135000000000002</v>
      </c>
    </row>
    <row r="328" spans="2:8" x14ac:dyDescent="0.3">
      <c r="B328" s="234" t="s">
        <v>647</v>
      </c>
      <c r="C328" s="234">
        <v>323</v>
      </c>
      <c r="D328" s="234" t="s">
        <v>986</v>
      </c>
      <c r="E328" s="235" t="s">
        <v>648</v>
      </c>
      <c r="F328" s="236">
        <v>0.5</v>
      </c>
      <c r="G328" s="237">
        <v>41.13</v>
      </c>
      <c r="H328" s="243">
        <f>+TbPiezas[[#This Row],[VENTA]]*$G$2</f>
        <v>2.0565000000000002</v>
      </c>
    </row>
    <row r="329" spans="2:8" x14ac:dyDescent="0.3">
      <c r="B329" s="234" t="s">
        <v>649</v>
      </c>
      <c r="C329" s="234">
        <v>324</v>
      </c>
      <c r="D329" s="234" t="s">
        <v>986</v>
      </c>
      <c r="E329" s="235" t="s">
        <v>650</v>
      </c>
      <c r="F329" s="236">
        <v>0.5</v>
      </c>
      <c r="G329" s="237">
        <v>31.76</v>
      </c>
      <c r="H329" s="243">
        <f>+TbPiezas[[#This Row],[VENTA]]*$G$2</f>
        <v>1.5880000000000001</v>
      </c>
    </row>
    <row r="330" spans="2:8" x14ac:dyDescent="0.3">
      <c r="B330" s="234" t="s">
        <v>651</v>
      </c>
      <c r="C330" s="234">
        <v>325</v>
      </c>
      <c r="D330" s="234" t="s">
        <v>986</v>
      </c>
      <c r="E330" s="235" t="s">
        <v>652</v>
      </c>
      <c r="F330" s="236">
        <v>4.5999999999999996</v>
      </c>
      <c r="G330" s="237">
        <v>317.63</v>
      </c>
      <c r="H330" s="243">
        <f>+TbPiezas[[#This Row],[VENTA]]*$G$2</f>
        <v>15.881500000000001</v>
      </c>
    </row>
    <row r="331" spans="2:8" x14ac:dyDescent="0.3">
      <c r="B331" s="234" t="s">
        <v>653</v>
      </c>
      <c r="C331" s="234">
        <v>326</v>
      </c>
      <c r="D331" s="234" t="s">
        <v>986</v>
      </c>
      <c r="E331" s="235" t="s">
        <v>654</v>
      </c>
      <c r="F331" s="236">
        <v>11.299999999999997</v>
      </c>
      <c r="G331" s="237">
        <v>317.63</v>
      </c>
      <c r="H331" s="243">
        <f>+TbPiezas[[#This Row],[VENTA]]*$G$2</f>
        <v>15.881500000000001</v>
      </c>
    </row>
    <row r="332" spans="2:8" x14ac:dyDescent="0.3">
      <c r="B332" s="234" t="s">
        <v>655</v>
      </c>
      <c r="C332" s="234">
        <v>327</v>
      </c>
      <c r="D332" s="234" t="s">
        <v>986</v>
      </c>
      <c r="E332" s="235" t="s">
        <v>656</v>
      </c>
      <c r="F332" s="236" t="s">
        <v>657</v>
      </c>
      <c r="G332" s="237">
        <v>444.68</v>
      </c>
      <c r="H332" s="243">
        <f>+TbPiezas[[#This Row],[VENTA]]*$G$2</f>
        <v>22.234000000000002</v>
      </c>
    </row>
    <row r="333" spans="2:8" x14ac:dyDescent="0.3">
      <c r="B333" s="234" t="s">
        <v>658</v>
      </c>
      <c r="C333" s="234">
        <v>328</v>
      </c>
      <c r="D333" s="234" t="s">
        <v>986</v>
      </c>
      <c r="E333" s="235" t="s">
        <v>659</v>
      </c>
      <c r="F333" s="236" t="s">
        <v>657</v>
      </c>
      <c r="G333" s="237">
        <v>63.53</v>
      </c>
      <c r="H333" s="243">
        <f>+TbPiezas[[#This Row],[VENTA]]*$G$2</f>
        <v>3.1765000000000003</v>
      </c>
    </row>
    <row r="334" spans="2:8" x14ac:dyDescent="0.3">
      <c r="B334" s="234" t="s">
        <v>660</v>
      </c>
      <c r="C334" s="234">
        <v>329</v>
      </c>
      <c r="D334" s="234" t="s">
        <v>986</v>
      </c>
      <c r="E334" s="235" t="s">
        <v>661</v>
      </c>
      <c r="F334" s="236" t="s">
        <v>657</v>
      </c>
      <c r="G334" s="237">
        <v>63.53</v>
      </c>
      <c r="H334" s="243">
        <f>+TbPiezas[[#This Row],[VENTA]]*$G$2</f>
        <v>3.1765000000000003</v>
      </c>
    </row>
    <row r="335" spans="2:8" x14ac:dyDescent="0.3">
      <c r="B335" s="234" t="s">
        <v>662</v>
      </c>
      <c r="C335" s="234">
        <v>330</v>
      </c>
      <c r="D335" s="234" t="s">
        <v>986</v>
      </c>
      <c r="E335" s="235" t="s">
        <v>663</v>
      </c>
      <c r="F335" s="236">
        <v>40.700000000000003</v>
      </c>
      <c r="G335" s="237">
        <v>1003.91</v>
      </c>
      <c r="H335" s="243">
        <f>+TbPiezas[[#This Row],[VENTA]]*$G$2</f>
        <v>50.195500000000003</v>
      </c>
    </row>
    <row r="336" spans="2:8" x14ac:dyDescent="0.3">
      <c r="B336" s="234" t="s">
        <v>664</v>
      </c>
      <c r="C336" s="234">
        <v>331</v>
      </c>
      <c r="D336" s="234" t="s">
        <v>986</v>
      </c>
      <c r="E336" s="235" t="s">
        <v>665</v>
      </c>
      <c r="F336" s="236">
        <v>26</v>
      </c>
      <c r="G336" s="237">
        <v>738.5</v>
      </c>
      <c r="H336" s="243">
        <f>+TbPiezas[[#This Row],[VENTA]]*$G$2</f>
        <v>36.925000000000004</v>
      </c>
    </row>
    <row r="337" spans="2:8" x14ac:dyDescent="0.3">
      <c r="B337" s="234" t="s">
        <v>666</v>
      </c>
      <c r="C337" s="234">
        <v>332</v>
      </c>
      <c r="D337" s="234" t="s">
        <v>986</v>
      </c>
      <c r="E337" s="235" t="s">
        <v>667</v>
      </c>
      <c r="F337" s="236">
        <v>20.099999999999994</v>
      </c>
      <c r="G337" s="237">
        <v>588.53</v>
      </c>
      <c r="H337" s="243">
        <f>+TbPiezas[[#This Row],[VENTA]]*$G$2</f>
        <v>29.426500000000001</v>
      </c>
    </row>
    <row r="338" spans="2:8" x14ac:dyDescent="0.3">
      <c r="B338" s="234" t="s">
        <v>668</v>
      </c>
      <c r="C338" s="234">
        <v>333</v>
      </c>
      <c r="D338" s="234" t="s">
        <v>986</v>
      </c>
      <c r="E338" s="235" t="s">
        <v>669</v>
      </c>
      <c r="F338" s="236">
        <v>21.700000000000003</v>
      </c>
      <c r="G338" s="237">
        <v>646.25</v>
      </c>
      <c r="H338" s="243">
        <f>+TbPiezas[[#This Row],[VENTA]]*$G$2</f>
        <v>32.3125</v>
      </c>
    </row>
    <row r="339" spans="2:8" x14ac:dyDescent="0.3">
      <c r="B339" s="234" t="s">
        <v>670</v>
      </c>
      <c r="C339" s="234">
        <v>334</v>
      </c>
      <c r="D339" s="234" t="s">
        <v>986</v>
      </c>
      <c r="E339" s="235" t="s">
        <v>671</v>
      </c>
      <c r="F339" s="236">
        <v>9</v>
      </c>
      <c r="G339" s="237">
        <v>311.58999999999997</v>
      </c>
      <c r="H339" s="243">
        <f>+TbPiezas[[#This Row],[VENTA]]*$G$2</f>
        <v>15.579499999999999</v>
      </c>
    </row>
    <row r="340" spans="2:8" x14ac:dyDescent="0.3">
      <c r="B340" s="234" t="s">
        <v>672</v>
      </c>
      <c r="C340" s="234">
        <v>335</v>
      </c>
      <c r="D340" s="234" t="s">
        <v>986</v>
      </c>
      <c r="E340" s="235" t="s">
        <v>673</v>
      </c>
      <c r="F340" s="236">
        <v>10.599999999999994</v>
      </c>
      <c r="G340" s="237">
        <v>288.49</v>
      </c>
      <c r="H340" s="243">
        <f>+TbPiezas[[#This Row],[VENTA]]*$G$2</f>
        <v>14.424500000000002</v>
      </c>
    </row>
    <row r="341" spans="2:8" x14ac:dyDescent="0.3">
      <c r="B341" s="234" t="s">
        <v>674</v>
      </c>
      <c r="C341" s="234">
        <v>336</v>
      </c>
      <c r="D341" s="234" t="s">
        <v>986</v>
      </c>
      <c r="E341" s="235" t="s">
        <v>675</v>
      </c>
      <c r="F341" s="236">
        <v>10.200000000000003</v>
      </c>
      <c r="G341" s="237">
        <v>563.89</v>
      </c>
      <c r="H341" s="243">
        <f>+TbPiezas[[#This Row],[VENTA]]*$G$2</f>
        <v>28.194500000000001</v>
      </c>
    </row>
    <row r="342" spans="2:8" x14ac:dyDescent="0.3">
      <c r="B342" s="234" t="s">
        <v>676</v>
      </c>
      <c r="C342" s="234">
        <v>337</v>
      </c>
      <c r="D342" s="234" t="s">
        <v>986</v>
      </c>
      <c r="E342" s="235" t="s">
        <v>677</v>
      </c>
      <c r="F342" s="236">
        <v>7</v>
      </c>
      <c r="G342" s="237">
        <v>235.87</v>
      </c>
      <c r="H342" s="243">
        <f>+TbPiezas[[#This Row],[VENTA]]*$G$2</f>
        <v>11.793500000000002</v>
      </c>
    </row>
    <row r="343" spans="2:8" x14ac:dyDescent="0.3">
      <c r="B343" s="234" t="s">
        <v>678</v>
      </c>
      <c r="C343" s="234">
        <v>338</v>
      </c>
      <c r="D343" s="234" t="s">
        <v>986</v>
      </c>
      <c r="E343" s="235" t="s">
        <v>679</v>
      </c>
      <c r="F343" s="236">
        <v>0.20000000000000284</v>
      </c>
      <c r="G343" s="237">
        <v>43.83</v>
      </c>
      <c r="H343" s="243">
        <f>+TbPiezas[[#This Row],[VENTA]]*$G$2</f>
        <v>2.1915</v>
      </c>
    </row>
    <row r="344" spans="2:8" x14ac:dyDescent="0.3">
      <c r="B344" s="400" t="s">
        <v>1385</v>
      </c>
      <c r="C344" s="234">
        <v>339</v>
      </c>
      <c r="D344" s="400" t="s">
        <v>1385</v>
      </c>
      <c r="E344" s="401" t="s">
        <v>1386</v>
      </c>
      <c r="F344" s="402"/>
      <c r="G344" s="237">
        <v>565.36199999999997</v>
      </c>
      <c r="H344" s="243">
        <f>+TbPiezas[[#This Row],[VENTA]]*$G$2</f>
        <v>28.2681</v>
      </c>
    </row>
    <row r="345" spans="2:8" x14ac:dyDescent="0.3">
      <c r="B345" s="400" t="s">
        <v>1387</v>
      </c>
      <c r="C345" s="234">
        <v>340</v>
      </c>
      <c r="D345" s="400" t="s">
        <v>1387</v>
      </c>
      <c r="E345" s="401" t="s">
        <v>1388</v>
      </c>
      <c r="F345" s="402">
        <v>17</v>
      </c>
      <c r="G345" s="237">
        <v>449.98199999999997</v>
      </c>
      <c r="H345" s="243">
        <f>+TbPiezas[[#This Row],[VENTA]]*$G$2</f>
        <v>22.499099999999999</v>
      </c>
    </row>
    <row r="346" spans="2:8" x14ac:dyDescent="0.3">
      <c r="B346" s="400" t="s">
        <v>1389</v>
      </c>
      <c r="C346" s="234">
        <v>341</v>
      </c>
      <c r="D346" s="400" t="s">
        <v>1389</v>
      </c>
      <c r="E346" s="401" t="s">
        <v>1390</v>
      </c>
      <c r="F346" s="402"/>
      <c r="G346" s="237">
        <v>334.60199999999998</v>
      </c>
      <c r="H346" s="243">
        <f>+TbPiezas[[#This Row],[VENTA]]*$G$2</f>
        <v>16.7301</v>
      </c>
    </row>
    <row r="347" spans="2:8" x14ac:dyDescent="0.3">
      <c r="B347" s="400" t="s">
        <v>1391</v>
      </c>
      <c r="C347" s="234">
        <v>342</v>
      </c>
      <c r="D347" s="400" t="s">
        <v>1391</v>
      </c>
      <c r="E347" s="401" t="s">
        <v>1392</v>
      </c>
      <c r="F347" s="402"/>
      <c r="G347" s="237">
        <v>219.22199999999998</v>
      </c>
      <c r="H347" s="243">
        <f>+TbPiezas[[#This Row],[VENTA]]*$G$2</f>
        <v>10.9611</v>
      </c>
    </row>
    <row r="348" spans="2:8" x14ac:dyDescent="0.3">
      <c r="B348" s="234" t="s">
        <v>680</v>
      </c>
      <c r="C348" s="234">
        <v>343</v>
      </c>
      <c r="D348" s="234" t="s">
        <v>986</v>
      </c>
      <c r="E348" s="235" t="s">
        <v>681</v>
      </c>
      <c r="F348" s="236">
        <v>20.8</v>
      </c>
      <c r="G348" s="237">
        <v>254.1</v>
      </c>
      <c r="H348" s="243">
        <f>+TbPiezas[[#This Row],[VENTA]]*$G$2</f>
        <v>12.705</v>
      </c>
    </row>
    <row r="349" spans="2:8" x14ac:dyDescent="0.3">
      <c r="B349" s="234" t="s">
        <v>682</v>
      </c>
      <c r="C349" s="234">
        <v>344</v>
      </c>
      <c r="D349" s="234" t="s">
        <v>986</v>
      </c>
      <c r="E349" s="235" t="s">
        <v>683</v>
      </c>
      <c r="F349" s="236">
        <v>23</v>
      </c>
      <c r="G349" s="237">
        <v>285.86</v>
      </c>
      <c r="H349" s="243">
        <f>+TbPiezas[[#This Row],[VENTA]]*$G$2</f>
        <v>14.293000000000001</v>
      </c>
    </row>
    <row r="350" spans="2:8" x14ac:dyDescent="0.3">
      <c r="B350" s="234" t="s">
        <v>684</v>
      </c>
      <c r="C350" s="234">
        <v>345</v>
      </c>
      <c r="D350" s="234" t="s">
        <v>986</v>
      </c>
      <c r="E350" s="235" t="s">
        <v>685</v>
      </c>
      <c r="F350" s="236">
        <v>25.9</v>
      </c>
      <c r="G350" s="237">
        <v>317.63</v>
      </c>
      <c r="H350" s="243">
        <f>+TbPiezas[[#This Row],[VENTA]]*$G$2</f>
        <v>15.881500000000001</v>
      </c>
    </row>
    <row r="351" spans="2:8" x14ac:dyDescent="0.3">
      <c r="B351" s="234" t="s">
        <v>686</v>
      </c>
      <c r="C351" s="234">
        <v>346</v>
      </c>
      <c r="D351" s="234" t="s">
        <v>986</v>
      </c>
      <c r="E351" s="235" t="s">
        <v>687</v>
      </c>
      <c r="F351" s="236">
        <v>16.599999999999994</v>
      </c>
      <c r="G351" s="237">
        <v>777.67</v>
      </c>
      <c r="H351" s="243">
        <f>+TbPiezas[[#This Row],[VENTA]]*$G$2</f>
        <v>38.883499999999998</v>
      </c>
    </row>
    <row r="352" spans="2:8" x14ac:dyDescent="0.3">
      <c r="B352" s="234" t="s">
        <v>688</v>
      </c>
      <c r="C352" s="234">
        <v>347</v>
      </c>
      <c r="D352" s="234" t="s">
        <v>986</v>
      </c>
      <c r="E352" s="235" t="s">
        <v>689</v>
      </c>
      <c r="F352" s="236">
        <v>12.099999999999994</v>
      </c>
      <c r="G352" s="237">
        <v>705.81</v>
      </c>
      <c r="H352" s="243">
        <f>+TbPiezas[[#This Row],[VENTA]]*$G$2</f>
        <v>35.290500000000002</v>
      </c>
    </row>
    <row r="353" spans="2:8" x14ac:dyDescent="0.3">
      <c r="B353" s="234" t="s">
        <v>690</v>
      </c>
      <c r="C353" s="234">
        <v>348</v>
      </c>
      <c r="D353" s="234" t="s">
        <v>986</v>
      </c>
      <c r="E353" s="235" t="s">
        <v>691</v>
      </c>
      <c r="F353" s="236">
        <v>8.2000000000000028</v>
      </c>
      <c r="G353" s="237">
        <v>610.46</v>
      </c>
      <c r="H353" s="243">
        <f>+TbPiezas[[#This Row],[VENTA]]*$G$2</f>
        <v>30.523000000000003</v>
      </c>
    </row>
    <row r="354" spans="2:8" x14ac:dyDescent="0.3">
      <c r="B354" s="234" t="s">
        <v>692</v>
      </c>
      <c r="C354" s="234">
        <v>349</v>
      </c>
      <c r="D354" s="234" t="s">
        <v>986</v>
      </c>
      <c r="E354" s="235" t="s">
        <v>693</v>
      </c>
      <c r="F354" s="236">
        <v>11.700000000000003</v>
      </c>
      <c r="G354" s="237">
        <v>568.55999999999995</v>
      </c>
      <c r="H354" s="243">
        <f>+TbPiezas[[#This Row],[VENTA]]*$G$2</f>
        <v>28.427999999999997</v>
      </c>
    </row>
    <row r="355" spans="2:8" x14ac:dyDescent="0.3">
      <c r="B355" s="234" t="s">
        <v>694</v>
      </c>
      <c r="C355" s="234">
        <v>350</v>
      </c>
      <c r="D355" s="234" t="s">
        <v>986</v>
      </c>
      <c r="E355" s="235" t="s">
        <v>695</v>
      </c>
      <c r="F355" s="236">
        <v>8.5999999999999943</v>
      </c>
      <c r="G355" s="237">
        <v>499.23</v>
      </c>
      <c r="H355" s="243">
        <f>+TbPiezas[[#This Row],[VENTA]]*$G$2</f>
        <v>24.961500000000001</v>
      </c>
    </row>
    <row r="356" spans="2:8" x14ac:dyDescent="0.3">
      <c r="B356" s="234" t="s">
        <v>696</v>
      </c>
      <c r="C356" s="234">
        <v>351</v>
      </c>
      <c r="D356" s="234" t="s">
        <v>986</v>
      </c>
      <c r="E356" s="235" t="s">
        <v>697</v>
      </c>
      <c r="F356" s="236">
        <v>7.5</v>
      </c>
      <c r="G356" s="237">
        <v>423.29</v>
      </c>
      <c r="H356" s="243">
        <f>+TbPiezas[[#This Row],[VENTA]]*$G$2</f>
        <v>21.164500000000004</v>
      </c>
    </row>
    <row r="357" spans="2:8" x14ac:dyDescent="0.3">
      <c r="B357" s="234" t="s">
        <v>698</v>
      </c>
      <c r="C357" s="234">
        <v>352</v>
      </c>
      <c r="D357" s="234" t="s">
        <v>986</v>
      </c>
      <c r="E357" s="235" t="s">
        <v>699</v>
      </c>
      <c r="F357" s="236">
        <v>17.599999999999994</v>
      </c>
      <c r="G357" s="237">
        <v>923.91</v>
      </c>
      <c r="H357" s="243">
        <f>+TbPiezas[[#This Row],[VENTA]]*$G$2</f>
        <v>46.195500000000003</v>
      </c>
    </row>
    <row r="358" spans="2:8" x14ac:dyDescent="0.3">
      <c r="B358" s="234" t="s">
        <v>700</v>
      </c>
      <c r="C358" s="234">
        <v>353</v>
      </c>
      <c r="D358" s="234" t="s">
        <v>986</v>
      </c>
      <c r="E358" s="235" t="s">
        <v>701</v>
      </c>
      <c r="F358" s="236">
        <v>9.2999999999999972</v>
      </c>
      <c r="G358" s="237">
        <v>711.4</v>
      </c>
      <c r="H358" s="243">
        <f>+TbPiezas[[#This Row],[VENTA]]*$G$2</f>
        <v>35.57</v>
      </c>
    </row>
    <row r="359" spans="2:8" x14ac:dyDescent="0.3">
      <c r="B359" s="234" t="s">
        <v>702</v>
      </c>
      <c r="C359" s="234">
        <v>354</v>
      </c>
      <c r="D359" s="234" t="s">
        <v>986</v>
      </c>
      <c r="E359" s="235" t="s">
        <v>703</v>
      </c>
      <c r="F359" s="236">
        <v>4.2999999999999972</v>
      </c>
      <c r="G359" s="237">
        <v>153.97999999999999</v>
      </c>
      <c r="H359" s="243">
        <f>+TbPiezas[[#This Row],[VENTA]]*$G$2</f>
        <v>7.6989999999999998</v>
      </c>
    </row>
    <row r="360" spans="2:8" x14ac:dyDescent="0.3">
      <c r="B360" s="234" t="s">
        <v>704</v>
      </c>
      <c r="C360" s="234">
        <v>355</v>
      </c>
      <c r="D360" s="234" t="s">
        <v>986</v>
      </c>
      <c r="E360" s="235" t="s">
        <v>705</v>
      </c>
      <c r="F360" s="236">
        <v>9.6999999999999993</v>
      </c>
      <c r="G360" s="237">
        <v>1588.13</v>
      </c>
      <c r="H360" s="243">
        <f>+TbPiezas[[#This Row],[VENTA]]*$G$2</f>
        <v>79.406500000000008</v>
      </c>
    </row>
    <row r="361" spans="2:8" x14ac:dyDescent="0.3">
      <c r="B361" s="234" t="s">
        <v>706</v>
      </c>
      <c r="C361" s="234">
        <v>356</v>
      </c>
      <c r="D361" s="234" t="s">
        <v>986</v>
      </c>
      <c r="E361" s="235" t="s">
        <v>707</v>
      </c>
      <c r="F361" s="236">
        <v>3</v>
      </c>
      <c r="G361" s="237">
        <v>54</v>
      </c>
      <c r="H361" s="243">
        <f>+TbPiezas[[#This Row],[VENTA]]*$G$2</f>
        <v>2.7</v>
      </c>
    </row>
    <row r="362" spans="2:8" x14ac:dyDescent="0.3">
      <c r="B362" s="234" t="s">
        <v>708</v>
      </c>
      <c r="C362" s="234">
        <v>357</v>
      </c>
      <c r="D362" s="234" t="s">
        <v>986</v>
      </c>
      <c r="E362" s="235" t="s">
        <v>709</v>
      </c>
      <c r="F362" s="236">
        <v>7.5</v>
      </c>
      <c r="G362" s="237">
        <v>153.97999999999999</v>
      </c>
      <c r="H362" s="243">
        <f>+TbPiezas[[#This Row],[VENTA]]*$G$2</f>
        <v>7.6989999999999998</v>
      </c>
    </row>
    <row r="363" spans="2:8" x14ac:dyDescent="0.3">
      <c r="B363" s="234" t="s">
        <v>710</v>
      </c>
      <c r="C363" s="234">
        <v>358</v>
      </c>
      <c r="D363" s="234" t="s">
        <v>986</v>
      </c>
      <c r="E363" s="235" t="s">
        <v>711</v>
      </c>
      <c r="F363" s="236">
        <v>2.2999999999999972</v>
      </c>
      <c r="G363" s="237">
        <v>76.87</v>
      </c>
      <c r="H363" s="243">
        <f>+TbPiezas[[#This Row],[VENTA]]*$G$2</f>
        <v>3.8435000000000006</v>
      </c>
    </row>
    <row r="364" spans="2:8" x14ac:dyDescent="0.3">
      <c r="B364" s="234" t="s">
        <v>712</v>
      </c>
      <c r="C364" s="234">
        <v>359</v>
      </c>
      <c r="D364" s="234" t="s">
        <v>987</v>
      </c>
      <c r="E364" s="235" t="s">
        <v>713</v>
      </c>
      <c r="F364" s="236">
        <v>15.4</v>
      </c>
      <c r="G364" s="237">
        <v>479.16</v>
      </c>
      <c r="H364" s="243">
        <f>+TbPiezas[[#This Row],[VENTA]]*$G$2</f>
        <v>23.958000000000002</v>
      </c>
    </row>
    <row r="365" spans="2:8" x14ac:dyDescent="0.3">
      <c r="B365" s="234" t="s">
        <v>714</v>
      </c>
      <c r="C365" s="234">
        <v>360</v>
      </c>
      <c r="D365" s="234" t="s">
        <v>987</v>
      </c>
      <c r="E365" s="235" t="s">
        <v>715</v>
      </c>
      <c r="F365" s="236" t="s">
        <v>657</v>
      </c>
      <c r="G365" s="237">
        <v>156.78</v>
      </c>
      <c r="H365" s="243">
        <f>+TbPiezas[[#This Row],[VENTA]]*$G$2</f>
        <v>7.8390000000000004</v>
      </c>
    </row>
    <row r="366" spans="2:8" x14ac:dyDescent="0.3">
      <c r="B366" s="234" t="s">
        <v>716</v>
      </c>
      <c r="C366" s="234">
        <v>361</v>
      </c>
      <c r="D366" s="234" t="s">
        <v>987</v>
      </c>
      <c r="E366" s="235" t="s">
        <v>717</v>
      </c>
      <c r="F366" s="236">
        <v>19.7</v>
      </c>
      <c r="G366" s="237">
        <v>815.76</v>
      </c>
      <c r="H366" s="243">
        <f>+TbPiezas[[#This Row],[VENTA]]*$G$2</f>
        <v>40.788000000000004</v>
      </c>
    </row>
    <row r="367" spans="2:8" x14ac:dyDescent="0.3">
      <c r="B367" s="234" t="s">
        <v>718</v>
      </c>
      <c r="C367" s="234">
        <v>362</v>
      </c>
      <c r="D367" s="234" t="s">
        <v>987</v>
      </c>
      <c r="E367" s="235" t="s">
        <v>719</v>
      </c>
      <c r="F367" s="236" t="s">
        <v>657</v>
      </c>
      <c r="G367" s="237">
        <v>156.78</v>
      </c>
      <c r="H367" s="243">
        <f>+TbPiezas[[#This Row],[VENTA]]*$G$2</f>
        <v>7.8390000000000004</v>
      </c>
    </row>
    <row r="368" spans="2:8" x14ac:dyDescent="0.3">
      <c r="B368" s="234" t="s">
        <v>720</v>
      </c>
      <c r="C368" s="234">
        <v>363</v>
      </c>
      <c r="D368" s="234" t="s">
        <v>987</v>
      </c>
      <c r="E368" s="235" t="s">
        <v>721</v>
      </c>
      <c r="F368" s="236" t="s">
        <v>657</v>
      </c>
      <c r="G368" s="237">
        <v>161.4</v>
      </c>
      <c r="H368" s="243">
        <f>+TbPiezas[[#This Row],[VENTA]]*$G$2</f>
        <v>8.07</v>
      </c>
    </row>
    <row r="369" spans="2:8" x14ac:dyDescent="0.3">
      <c r="B369" s="234" t="s">
        <v>722</v>
      </c>
      <c r="C369" s="234">
        <v>364</v>
      </c>
      <c r="D369" s="234" t="s">
        <v>987</v>
      </c>
      <c r="E369" s="235" t="s">
        <v>723</v>
      </c>
      <c r="F369" s="236">
        <v>9.4</v>
      </c>
      <c r="G369" s="237">
        <v>1001.88</v>
      </c>
      <c r="H369" s="243">
        <f>+TbPiezas[[#This Row],[VENTA]]*$G$2</f>
        <v>50.094000000000001</v>
      </c>
    </row>
    <row r="370" spans="2:8" x14ac:dyDescent="0.3">
      <c r="B370" s="234" t="s">
        <v>724</v>
      </c>
      <c r="C370" s="234">
        <v>365</v>
      </c>
      <c r="D370" s="234" t="s">
        <v>987</v>
      </c>
      <c r="E370" s="235" t="s">
        <v>725</v>
      </c>
      <c r="F370" s="236">
        <v>27.1</v>
      </c>
      <c r="G370" s="237">
        <v>1421.64</v>
      </c>
      <c r="H370" s="243">
        <f>+TbPiezas[[#This Row],[VENTA]]*$G$2</f>
        <v>71.082000000000008</v>
      </c>
    </row>
    <row r="371" spans="2:8" x14ac:dyDescent="0.3">
      <c r="B371" s="234" t="s">
        <v>726</v>
      </c>
      <c r="C371" s="234">
        <v>366</v>
      </c>
      <c r="D371" s="234" t="s">
        <v>987</v>
      </c>
      <c r="E371" s="235" t="s">
        <v>727</v>
      </c>
      <c r="F371" s="236" t="s">
        <v>657</v>
      </c>
      <c r="G371" s="237">
        <v>225</v>
      </c>
      <c r="H371" s="243">
        <f>+TbPiezas[[#This Row],[VENTA]]*$G$2</f>
        <v>11.25</v>
      </c>
    </row>
    <row r="372" spans="2:8" x14ac:dyDescent="0.3">
      <c r="B372" s="234" t="s">
        <v>728</v>
      </c>
      <c r="C372" s="234">
        <v>367</v>
      </c>
      <c r="D372" s="234" t="s">
        <v>987</v>
      </c>
      <c r="E372" s="235" t="s">
        <v>729</v>
      </c>
      <c r="F372" s="236" t="s">
        <v>657</v>
      </c>
      <c r="G372" s="237">
        <v>126</v>
      </c>
      <c r="H372" s="243">
        <f>+TbPiezas[[#This Row],[VENTA]]*$G$2</f>
        <v>6.3000000000000007</v>
      </c>
    </row>
    <row r="373" spans="2:8" x14ac:dyDescent="0.3">
      <c r="B373" s="234" t="s">
        <v>730</v>
      </c>
      <c r="C373" s="234">
        <v>368</v>
      </c>
      <c r="D373" s="234" t="s">
        <v>987</v>
      </c>
      <c r="E373" s="235" t="s">
        <v>731</v>
      </c>
      <c r="F373" s="236" t="s">
        <v>657</v>
      </c>
      <c r="G373" s="237">
        <v>161.4</v>
      </c>
      <c r="H373" s="243">
        <f>+TbPiezas[[#This Row],[VENTA]]*$G$2</f>
        <v>8.07</v>
      </c>
    </row>
    <row r="374" spans="2:8" x14ac:dyDescent="0.3">
      <c r="B374" s="234" t="s">
        <v>732</v>
      </c>
      <c r="C374" s="234">
        <v>369</v>
      </c>
      <c r="D374" s="234" t="s">
        <v>987</v>
      </c>
      <c r="E374" s="235" t="s">
        <v>733</v>
      </c>
      <c r="F374" s="236">
        <v>1</v>
      </c>
      <c r="G374" s="237">
        <v>142.56</v>
      </c>
      <c r="H374" s="243">
        <f>+TbPiezas[[#This Row],[VENTA]]*$G$2</f>
        <v>7.1280000000000001</v>
      </c>
    </row>
    <row r="375" spans="2:8" x14ac:dyDescent="0.3">
      <c r="B375" s="234" t="s">
        <v>734</v>
      </c>
      <c r="C375" s="234">
        <v>370</v>
      </c>
      <c r="D375" s="234" t="s">
        <v>987</v>
      </c>
      <c r="E375" s="235" t="s">
        <v>735</v>
      </c>
      <c r="F375" s="236">
        <v>13</v>
      </c>
      <c r="G375" s="237">
        <v>2459.16</v>
      </c>
      <c r="H375" s="243">
        <f>+TbPiezas[[#This Row],[VENTA]]*$G$2</f>
        <v>122.958</v>
      </c>
    </row>
    <row r="376" spans="2:8" x14ac:dyDescent="0.3">
      <c r="B376" s="234" t="s">
        <v>736</v>
      </c>
      <c r="C376" s="234">
        <v>371</v>
      </c>
      <c r="D376" s="234" t="s">
        <v>987</v>
      </c>
      <c r="E376" s="235" t="s">
        <v>737</v>
      </c>
      <c r="F376" s="236">
        <v>2.5</v>
      </c>
      <c r="G376" s="237">
        <v>253.44</v>
      </c>
      <c r="H376" s="243">
        <f>+TbPiezas[[#This Row],[VENTA]]*$G$2</f>
        <v>12.672000000000001</v>
      </c>
    </row>
    <row r="377" spans="2:8" x14ac:dyDescent="0.3">
      <c r="B377" s="234" t="s">
        <v>738</v>
      </c>
      <c r="C377" s="234">
        <v>372</v>
      </c>
      <c r="D377" s="234" t="s">
        <v>987</v>
      </c>
      <c r="E377" s="235" t="s">
        <v>739</v>
      </c>
      <c r="F377" s="236">
        <v>0.15</v>
      </c>
      <c r="G377" s="237">
        <v>18</v>
      </c>
      <c r="H377" s="243">
        <f>+TbPiezas[[#This Row],[VENTA]]*$G$2</f>
        <v>0.9</v>
      </c>
    </row>
    <row r="378" spans="2:8" x14ac:dyDescent="0.3">
      <c r="B378" s="234" t="s">
        <v>740</v>
      </c>
      <c r="C378" s="234">
        <v>373</v>
      </c>
      <c r="D378" s="234" t="s">
        <v>987</v>
      </c>
      <c r="E378" s="235" t="s">
        <v>741</v>
      </c>
      <c r="F378" s="236">
        <v>0.01</v>
      </c>
      <c r="G378" s="237">
        <v>2</v>
      </c>
      <c r="H378" s="243">
        <f>+TbPiezas[[#This Row],[VENTA]]*$G$2</f>
        <v>0.1</v>
      </c>
    </row>
    <row r="379" spans="2:8" x14ac:dyDescent="0.3">
      <c r="B379" s="234" t="s">
        <v>742</v>
      </c>
      <c r="C379" s="234">
        <v>374</v>
      </c>
      <c r="D379" s="234" t="s">
        <v>987</v>
      </c>
      <c r="E379" s="235" t="s">
        <v>743</v>
      </c>
      <c r="F379" s="391" t="s">
        <v>657</v>
      </c>
      <c r="G379" s="392">
        <v>249</v>
      </c>
      <c r="H379" s="393">
        <f>+TbPiezas[[#This Row],[VENTA]]*$G$2</f>
        <v>12.450000000000001</v>
      </c>
    </row>
    <row r="380" spans="2:8" x14ac:dyDescent="0.3">
      <c r="B380" s="234" t="s">
        <v>744</v>
      </c>
      <c r="C380" s="234">
        <v>375</v>
      </c>
      <c r="D380" s="234" t="s">
        <v>988</v>
      </c>
      <c r="E380" s="240" t="s">
        <v>745</v>
      </c>
      <c r="F380" s="241">
        <v>1100</v>
      </c>
      <c r="G380" s="237">
        <v>60984</v>
      </c>
      <c r="H380" s="243">
        <f>+TbPiezas[[#This Row],[VENTA]]*$G$2</f>
        <v>3049.2000000000003</v>
      </c>
    </row>
    <row r="381" spans="2:8" x14ac:dyDescent="0.3">
      <c r="B381" s="234" t="s">
        <v>746</v>
      </c>
      <c r="C381" s="234">
        <v>376</v>
      </c>
      <c r="D381" s="234" t="s">
        <v>988</v>
      </c>
      <c r="E381" s="240" t="s">
        <v>747</v>
      </c>
      <c r="F381" s="241">
        <v>1100</v>
      </c>
      <c r="G381" s="237">
        <v>60984</v>
      </c>
      <c r="H381" s="243">
        <f>+TbPiezas[[#This Row],[VENTA]]*$G$2</f>
        <v>3049.2000000000003</v>
      </c>
    </row>
    <row r="382" spans="2:8" x14ac:dyDescent="0.3">
      <c r="B382" s="234" t="s">
        <v>1409</v>
      </c>
      <c r="C382" s="234">
        <v>377</v>
      </c>
      <c r="D382" s="234" t="s">
        <v>988</v>
      </c>
      <c r="E382" s="240" t="s">
        <v>1405</v>
      </c>
      <c r="F382" s="241"/>
      <c r="G382" s="237"/>
      <c r="H382" s="76">
        <f>+TbPiezas[[#This Row],[VENTA]]*$G$2</f>
        <v>0</v>
      </c>
    </row>
    <row r="383" spans="2:8" x14ac:dyDescent="0.3">
      <c r="B383" s="234" t="s">
        <v>1410</v>
      </c>
      <c r="C383" s="234">
        <v>378</v>
      </c>
      <c r="D383" s="234" t="s">
        <v>988</v>
      </c>
      <c r="E383" s="240" t="s">
        <v>1406</v>
      </c>
      <c r="F383" s="241"/>
      <c r="G383" s="237"/>
      <c r="H383" s="76">
        <f>+TbPiezas[[#This Row],[VENTA]]*$G$2</f>
        <v>0</v>
      </c>
    </row>
    <row r="384" spans="2:8" x14ac:dyDescent="0.3">
      <c r="B384" s="234" t="s">
        <v>1411</v>
      </c>
      <c r="C384" s="234">
        <v>379</v>
      </c>
      <c r="D384" s="234" t="s">
        <v>988</v>
      </c>
      <c r="E384" s="240" t="s">
        <v>1407</v>
      </c>
      <c r="F384" s="241"/>
      <c r="G384" s="237"/>
      <c r="H384" s="76">
        <f>+TbPiezas[[#This Row],[VENTA]]*$G$2</f>
        <v>0</v>
      </c>
    </row>
    <row r="385" spans="2:8" x14ac:dyDescent="0.3">
      <c r="B385" s="234" t="s">
        <v>1412</v>
      </c>
      <c r="C385" s="234">
        <v>380</v>
      </c>
      <c r="D385" s="234" t="s">
        <v>988</v>
      </c>
      <c r="E385" s="240" t="s">
        <v>1408</v>
      </c>
      <c r="F385" s="241"/>
      <c r="G385" s="237"/>
      <c r="H385" s="76">
        <f>+TbPiezas[[#This Row],[VENTA]]*$G$2</f>
        <v>0</v>
      </c>
    </row>
    <row r="386" spans="2:8" x14ac:dyDescent="0.3">
      <c r="B386" s="234" t="s">
        <v>748</v>
      </c>
      <c r="C386" s="234">
        <v>381</v>
      </c>
      <c r="D386" s="234" t="s">
        <v>988</v>
      </c>
      <c r="E386" s="240" t="s">
        <v>1414</v>
      </c>
      <c r="F386" s="241" t="s">
        <v>657</v>
      </c>
      <c r="G386" s="237">
        <v>9528.75</v>
      </c>
      <c r="H386" s="243">
        <f>+TbPiezas[[#This Row],[VENTA]]*$G$2</f>
        <v>476.4375</v>
      </c>
    </row>
    <row r="387" spans="2:8" x14ac:dyDescent="0.3">
      <c r="B387" s="234" t="s">
        <v>1415</v>
      </c>
      <c r="C387" s="234">
        <v>382</v>
      </c>
      <c r="D387" s="234" t="s">
        <v>988</v>
      </c>
      <c r="E387" s="240" t="s">
        <v>1413</v>
      </c>
      <c r="F387" s="241"/>
      <c r="G387" s="237"/>
      <c r="H387" s="76">
        <f>+TbPiezas[[#This Row],[VENTA]]*$G$2</f>
        <v>0</v>
      </c>
    </row>
    <row r="388" spans="2:8" x14ac:dyDescent="0.3">
      <c r="B388" s="234" t="s">
        <v>749</v>
      </c>
      <c r="C388" s="234">
        <v>383</v>
      </c>
      <c r="D388" s="234" t="s">
        <v>988</v>
      </c>
      <c r="E388" s="240" t="s">
        <v>750</v>
      </c>
      <c r="F388" s="241" t="s">
        <v>657</v>
      </c>
      <c r="G388" s="237">
        <v>444.68</v>
      </c>
      <c r="H388" s="243">
        <f>+TbPiezas[[#This Row],[VENTA]]*$G$2</f>
        <v>22.234000000000002</v>
      </c>
    </row>
    <row r="389" spans="2:8" x14ac:dyDescent="0.3">
      <c r="B389" s="234" t="s">
        <v>751</v>
      </c>
      <c r="C389" s="234">
        <v>384</v>
      </c>
      <c r="D389" s="234" t="s">
        <v>988</v>
      </c>
      <c r="E389" s="240" t="s">
        <v>752</v>
      </c>
      <c r="F389" s="241" t="s">
        <v>657</v>
      </c>
      <c r="G389" s="237">
        <v>4446.75</v>
      </c>
      <c r="H389" s="243">
        <f>+TbPiezas[[#This Row],[VENTA]]*$G$2</f>
        <v>222.33750000000001</v>
      </c>
    </row>
    <row r="390" spans="2:8" x14ac:dyDescent="0.3">
      <c r="B390" s="234" t="s">
        <v>753</v>
      </c>
      <c r="C390" s="234">
        <v>385</v>
      </c>
      <c r="D390" s="234" t="s">
        <v>988</v>
      </c>
      <c r="E390" s="240" t="s">
        <v>754</v>
      </c>
      <c r="F390" s="241" t="s">
        <v>657</v>
      </c>
      <c r="G390" s="237">
        <v>152.46</v>
      </c>
      <c r="H390" s="243">
        <f>+TbPiezas[[#This Row],[VENTA]]*$G$2</f>
        <v>7.6230000000000011</v>
      </c>
    </row>
    <row r="391" spans="2:8" x14ac:dyDescent="0.3">
      <c r="B391" s="234" t="s">
        <v>755</v>
      </c>
      <c r="C391" s="234">
        <v>386</v>
      </c>
      <c r="D391" s="234" t="s">
        <v>988</v>
      </c>
      <c r="E391" s="240" t="s">
        <v>756</v>
      </c>
      <c r="F391" s="241" t="s">
        <v>657</v>
      </c>
      <c r="G391" s="237">
        <v>317.63</v>
      </c>
      <c r="H391" s="243">
        <f>+TbPiezas[[#This Row],[VENTA]]*$G$2</f>
        <v>15.881500000000001</v>
      </c>
    </row>
    <row r="392" spans="2:8" x14ac:dyDescent="0.3">
      <c r="B392" s="234" t="s">
        <v>757</v>
      </c>
      <c r="C392" s="234">
        <v>387</v>
      </c>
      <c r="D392" s="234" t="s">
        <v>988</v>
      </c>
      <c r="E392" s="240" t="s">
        <v>758</v>
      </c>
      <c r="F392" s="241" t="s">
        <v>657</v>
      </c>
      <c r="G392" s="237">
        <v>444.68</v>
      </c>
      <c r="H392" s="243">
        <f>+TbPiezas[[#This Row],[VENTA]]*$G$2</f>
        <v>22.234000000000002</v>
      </c>
    </row>
    <row r="393" spans="2:8" x14ac:dyDescent="0.3">
      <c r="B393" s="234" t="s">
        <v>759</v>
      </c>
      <c r="C393" s="234">
        <v>388</v>
      </c>
      <c r="D393" s="234" t="s">
        <v>988</v>
      </c>
      <c r="E393" s="240" t="s">
        <v>760</v>
      </c>
      <c r="F393" s="241" t="s">
        <v>657</v>
      </c>
      <c r="G393" s="237">
        <v>444.68</v>
      </c>
      <c r="H393" s="243">
        <f>+TbPiezas[[#This Row],[VENTA]]*$G$2</f>
        <v>22.234000000000002</v>
      </c>
    </row>
    <row r="394" spans="2:8" x14ac:dyDescent="0.3">
      <c r="B394" s="234" t="s">
        <v>761</v>
      </c>
      <c r="C394" s="234">
        <v>389</v>
      </c>
      <c r="D394" s="234" t="s">
        <v>988</v>
      </c>
      <c r="E394" s="240" t="s">
        <v>762</v>
      </c>
      <c r="F394" s="241">
        <v>2</v>
      </c>
      <c r="G394" s="237">
        <v>317.63</v>
      </c>
      <c r="H394" s="243">
        <f>+TbPiezas[[#This Row],[VENTA]]*$G$2</f>
        <v>15.881500000000001</v>
      </c>
    </row>
    <row r="395" spans="2:8" x14ac:dyDescent="0.3">
      <c r="B395" s="234" t="s">
        <v>763</v>
      </c>
      <c r="C395" s="234">
        <v>390</v>
      </c>
      <c r="D395" s="234" t="s">
        <v>988</v>
      </c>
      <c r="E395" s="240" t="s">
        <v>764</v>
      </c>
      <c r="F395" s="241">
        <v>9.5</v>
      </c>
      <c r="G395" s="237">
        <v>827.08</v>
      </c>
      <c r="H395" s="243">
        <f>+TbPiezas[[#This Row],[VENTA]]*$G$2</f>
        <v>41.354000000000006</v>
      </c>
    </row>
    <row r="396" spans="2:8" x14ac:dyDescent="0.3">
      <c r="B396" s="234" t="s">
        <v>1420</v>
      </c>
      <c r="C396" s="234">
        <v>391</v>
      </c>
      <c r="D396" s="234" t="s">
        <v>988</v>
      </c>
      <c r="E396" s="240" t="s">
        <v>1416</v>
      </c>
      <c r="F396" s="241"/>
      <c r="G396" s="237"/>
      <c r="H396" s="76">
        <f>+TbPiezas[[#This Row],[VENTA]]*$G$2</f>
        <v>0</v>
      </c>
    </row>
    <row r="397" spans="2:8" x14ac:dyDescent="0.3">
      <c r="B397" s="234" t="s">
        <v>1421</v>
      </c>
      <c r="C397" s="234">
        <v>392</v>
      </c>
      <c r="D397" s="234" t="s">
        <v>988</v>
      </c>
      <c r="E397" s="240" t="s">
        <v>1417</v>
      </c>
      <c r="F397" s="241"/>
      <c r="G397" s="237"/>
      <c r="H397" s="76">
        <f>+TbPiezas[[#This Row],[VENTA]]*$G$2</f>
        <v>0</v>
      </c>
    </row>
    <row r="398" spans="2:8" x14ac:dyDescent="0.3">
      <c r="B398" s="234" t="s">
        <v>1422</v>
      </c>
      <c r="C398" s="234">
        <v>393</v>
      </c>
      <c r="D398" s="234" t="s">
        <v>988</v>
      </c>
      <c r="E398" s="240" t="s">
        <v>1418</v>
      </c>
      <c r="F398" s="241"/>
      <c r="G398" s="237"/>
      <c r="H398" s="76">
        <f>+TbPiezas[[#This Row],[VENTA]]*$G$2</f>
        <v>0</v>
      </c>
    </row>
    <row r="399" spans="2:8" x14ac:dyDescent="0.3">
      <c r="B399" s="234" t="s">
        <v>1423</v>
      </c>
      <c r="C399" s="234">
        <v>394</v>
      </c>
      <c r="D399" s="234" t="s">
        <v>988</v>
      </c>
      <c r="E399" s="240" t="s">
        <v>1419</v>
      </c>
      <c r="F399" s="241"/>
      <c r="G399" s="237"/>
      <c r="H399" s="76">
        <f>+TbPiezas[[#This Row],[VENTA]]*$G$2</f>
        <v>0</v>
      </c>
    </row>
    <row r="400" spans="2:8" x14ac:dyDescent="0.3">
      <c r="B400" s="234" t="s">
        <v>765</v>
      </c>
      <c r="C400" s="234">
        <v>395</v>
      </c>
      <c r="D400" s="234" t="s">
        <v>988</v>
      </c>
      <c r="E400" s="240" t="s">
        <v>1424</v>
      </c>
      <c r="F400" s="241">
        <v>0</v>
      </c>
      <c r="G400" s="237">
        <v>1905.75</v>
      </c>
      <c r="H400" s="243">
        <f>+TbPiezas[[#This Row],[VENTA]]*$G$2</f>
        <v>95.287500000000009</v>
      </c>
    </row>
    <row r="401" spans="2:8" x14ac:dyDescent="0.3">
      <c r="B401" s="234" t="s">
        <v>1426</v>
      </c>
      <c r="C401" s="234">
        <v>396</v>
      </c>
      <c r="D401" s="234" t="s">
        <v>988</v>
      </c>
      <c r="E401" s="240" t="s">
        <v>1425</v>
      </c>
      <c r="F401" s="241"/>
      <c r="G401" s="237"/>
      <c r="H401" s="76">
        <f>+TbPiezas[[#This Row],[VENTA]]*$G$2</f>
        <v>0</v>
      </c>
    </row>
    <row r="402" spans="2:8" x14ac:dyDescent="0.3">
      <c r="B402" s="234" t="s">
        <v>766</v>
      </c>
      <c r="C402" s="234">
        <v>397</v>
      </c>
      <c r="D402" s="234" t="s">
        <v>988</v>
      </c>
      <c r="E402" s="240" t="s">
        <v>767</v>
      </c>
      <c r="F402" s="241">
        <v>10</v>
      </c>
      <c r="G402" s="237">
        <v>3176.25</v>
      </c>
      <c r="H402" s="243">
        <f>+TbPiezas[[#This Row],[VENTA]]*$G$2</f>
        <v>158.8125</v>
      </c>
    </row>
    <row r="403" spans="2:8" x14ac:dyDescent="0.3">
      <c r="B403" s="234" t="s">
        <v>768</v>
      </c>
      <c r="C403" s="234">
        <v>398</v>
      </c>
      <c r="D403" s="234" t="s">
        <v>988</v>
      </c>
      <c r="E403" s="240" t="s">
        <v>769</v>
      </c>
      <c r="F403" s="241">
        <v>5</v>
      </c>
      <c r="G403" s="237">
        <v>2413.9499999999998</v>
      </c>
      <c r="H403" s="243">
        <f>+TbPiezas[[#This Row],[VENTA]]*$G$2</f>
        <v>120.69749999999999</v>
      </c>
    </row>
    <row r="404" spans="2:8" x14ac:dyDescent="0.3">
      <c r="B404" s="234" t="s">
        <v>770</v>
      </c>
      <c r="C404" s="234">
        <v>399</v>
      </c>
      <c r="D404" s="234" t="s">
        <v>988</v>
      </c>
      <c r="E404" s="240" t="s">
        <v>771</v>
      </c>
      <c r="F404" s="241" t="s">
        <v>657</v>
      </c>
      <c r="G404" s="237">
        <v>8639.4</v>
      </c>
      <c r="H404" s="243">
        <f>+TbPiezas[[#This Row],[VENTA]]*$G$2</f>
        <v>431.97</v>
      </c>
    </row>
    <row r="405" spans="2:8" x14ac:dyDescent="0.3">
      <c r="B405" s="234" t="s">
        <v>772</v>
      </c>
      <c r="C405" s="234">
        <v>400</v>
      </c>
      <c r="D405" s="234" t="s">
        <v>988</v>
      </c>
      <c r="E405" s="240" t="s">
        <v>773</v>
      </c>
      <c r="F405" s="241" t="s">
        <v>657</v>
      </c>
      <c r="G405" s="237">
        <v>6987.75</v>
      </c>
      <c r="H405" s="243">
        <f>+TbPiezas[[#This Row],[VENTA]]*$G$2</f>
        <v>349.38750000000005</v>
      </c>
    </row>
    <row r="406" spans="2:8" x14ac:dyDescent="0.3">
      <c r="B406" s="234" t="s">
        <v>774</v>
      </c>
      <c r="C406" s="234">
        <v>401</v>
      </c>
      <c r="D406" s="234" t="s">
        <v>988</v>
      </c>
      <c r="E406" s="240" t="s">
        <v>775</v>
      </c>
      <c r="F406" s="241">
        <v>6</v>
      </c>
      <c r="G406" s="237">
        <v>825.83</v>
      </c>
      <c r="H406" s="243">
        <f>+TbPiezas[[#This Row],[VENTA]]*$G$2</f>
        <v>41.291500000000006</v>
      </c>
    </row>
    <row r="407" spans="2:8" x14ac:dyDescent="0.3">
      <c r="B407" s="234" t="s">
        <v>776</v>
      </c>
      <c r="C407" s="234">
        <v>402</v>
      </c>
      <c r="D407" s="234" t="s">
        <v>988</v>
      </c>
      <c r="E407" s="240" t="s">
        <v>777</v>
      </c>
      <c r="F407" s="241">
        <v>5.2</v>
      </c>
      <c r="G407" s="237">
        <v>825.83</v>
      </c>
      <c r="H407" s="243">
        <f>+TbPiezas[[#This Row],[VENTA]]*$G$2</f>
        <v>41.291500000000006</v>
      </c>
    </row>
    <row r="408" spans="2:8" x14ac:dyDescent="0.3">
      <c r="B408" s="234" t="s">
        <v>778</v>
      </c>
      <c r="C408" s="234">
        <v>403</v>
      </c>
      <c r="D408" s="234" t="s">
        <v>988</v>
      </c>
      <c r="E408" s="240" t="s">
        <v>779</v>
      </c>
      <c r="F408" s="241">
        <v>1.8</v>
      </c>
      <c r="G408" s="237">
        <v>381.15</v>
      </c>
      <c r="H408" s="243">
        <f>+TbPiezas[[#This Row],[VENTA]]*$G$2</f>
        <v>19.057500000000001</v>
      </c>
    </row>
    <row r="409" spans="2:8" x14ac:dyDescent="0.3">
      <c r="B409" s="234" t="s">
        <v>780</v>
      </c>
      <c r="C409" s="234">
        <v>404</v>
      </c>
      <c r="D409" s="234" t="s">
        <v>988</v>
      </c>
      <c r="E409" s="240" t="s">
        <v>1427</v>
      </c>
      <c r="F409" s="241">
        <v>70</v>
      </c>
      <c r="G409" s="237">
        <v>23698.639999999999</v>
      </c>
      <c r="H409" s="243">
        <f>+TbPiezas[[#This Row],[VENTA]]*$G$2</f>
        <v>1184.932</v>
      </c>
    </row>
    <row r="410" spans="2:8" x14ac:dyDescent="0.3">
      <c r="B410" s="438" t="s">
        <v>1429</v>
      </c>
      <c r="C410" s="234">
        <v>405</v>
      </c>
      <c r="D410" s="234" t="s">
        <v>988</v>
      </c>
      <c r="E410" s="240" t="s">
        <v>1428</v>
      </c>
      <c r="F410" s="241"/>
      <c r="G410" s="237"/>
      <c r="H410" s="76">
        <f>+TbPiezas[[#This Row],[VENTA]]*$G$2</f>
        <v>0</v>
      </c>
    </row>
    <row r="411" spans="2:8" x14ac:dyDescent="0.3">
      <c r="B411" s="234" t="s">
        <v>781</v>
      </c>
      <c r="C411" s="234">
        <v>406</v>
      </c>
      <c r="D411" s="234" t="s">
        <v>988</v>
      </c>
      <c r="E411" s="240" t="s">
        <v>1430</v>
      </c>
      <c r="F411" s="241">
        <v>16</v>
      </c>
      <c r="G411" s="237">
        <v>3176.25</v>
      </c>
      <c r="H411" s="243">
        <f>+TbPiezas[[#This Row],[VENTA]]*$G$2</f>
        <v>158.8125</v>
      </c>
    </row>
    <row r="412" spans="2:8" x14ac:dyDescent="0.3">
      <c r="B412" s="234" t="s">
        <v>1432</v>
      </c>
      <c r="C412" s="234">
        <v>407</v>
      </c>
      <c r="D412" s="234" t="s">
        <v>988</v>
      </c>
      <c r="E412" s="240" t="s">
        <v>1431</v>
      </c>
      <c r="F412" s="241"/>
      <c r="G412" s="237"/>
      <c r="H412" s="76">
        <f>+TbPiezas[[#This Row],[VENTA]]*$G$2</f>
        <v>0</v>
      </c>
    </row>
    <row r="413" spans="2:8" x14ac:dyDescent="0.3">
      <c r="B413" s="234" t="s">
        <v>782</v>
      </c>
      <c r="C413" s="234">
        <v>408</v>
      </c>
      <c r="D413" s="234" t="s">
        <v>988</v>
      </c>
      <c r="E413" s="240" t="s">
        <v>783</v>
      </c>
      <c r="F413" s="241">
        <v>400</v>
      </c>
      <c r="G413" s="237">
        <v>2413.9499999999998</v>
      </c>
      <c r="H413" s="243">
        <f>+TbPiezas[[#This Row],[VENTA]]*$G$2</f>
        <v>120.69749999999999</v>
      </c>
    </row>
    <row r="414" spans="2:8" x14ac:dyDescent="0.3">
      <c r="B414" s="234" t="s">
        <v>784</v>
      </c>
      <c r="C414" s="234">
        <v>409</v>
      </c>
      <c r="D414" s="234" t="s">
        <v>988</v>
      </c>
      <c r="E414" s="240" t="s">
        <v>785</v>
      </c>
      <c r="F414" s="241">
        <v>17.8</v>
      </c>
      <c r="G414" s="237">
        <v>3176.25</v>
      </c>
      <c r="H414" s="243">
        <f>+TbPiezas[[#This Row],[VENTA]]*$G$2</f>
        <v>158.8125</v>
      </c>
    </row>
    <row r="415" spans="2:8" x14ac:dyDescent="0.3">
      <c r="B415" s="234" t="s">
        <v>1434</v>
      </c>
      <c r="C415" s="234">
        <v>410</v>
      </c>
      <c r="D415" s="234" t="s">
        <v>988</v>
      </c>
      <c r="E415" s="240" t="s">
        <v>1433</v>
      </c>
      <c r="F415" s="241"/>
      <c r="G415" s="237"/>
      <c r="H415" s="76">
        <f>+TbPiezas[[#This Row],[VENTA]]*$G$2</f>
        <v>0</v>
      </c>
    </row>
    <row r="416" spans="2:8" x14ac:dyDescent="0.3">
      <c r="B416" s="234" t="s">
        <v>786</v>
      </c>
      <c r="C416" s="234">
        <v>411</v>
      </c>
      <c r="D416" s="234" t="s">
        <v>988</v>
      </c>
      <c r="E416" s="240" t="s">
        <v>787</v>
      </c>
      <c r="F416" s="241">
        <v>0.1</v>
      </c>
      <c r="G416" s="237">
        <v>190.58</v>
      </c>
      <c r="H416" s="243">
        <f>+TbPiezas[[#This Row],[VENTA]]*$G$2</f>
        <v>9.5290000000000017</v>
      </c>
    </row>
    <row r="417" spans="2:8" x14ac:dyDescent="0.3">
      <c r="B417" s="234" t="s">
        <v>788</v>
      </c>
      <c r="C417" s="234">
        <v>412</v>
      </c>
      <c r="D417" s="234" t="s">
        <v>988</v>
      </c>
      <c r="E417" s="240" t="s">
        <v>1435</v>
      </c>
      <c r="F417" s="241">
        <v>146</v>
      </c>
      <c r="G417" s="237">
        <v>6327.09</v>
      </c>
      <c r="H417" s="243">
        <f>+TbPiezas[[#This Row],[VENTA]]*$G$2</f>
        <v>316.35450000000003</v>
      </c>
    </row>
    <row r="418" spans="2:8" x14ac:dyDescent="0.3">
      <c r="B418" s="234" t="s">
        <v>1437</v>
      </c>
      <c r="C418" s="234">
        <v>413</v>
      </c>
      <c r="D418" s="234" t="s">
        <v>988</v>
      </c>
      <c r="E418" s="240" t="s">
        <v>1436</v>
      </c>
      <c r="F418" s="241"/>
      <c r="G418" s="237"/>
      <c r="H418" s="76">
        <f>+TbPiezas[[#This Row],[VENTA]]*$G$2</f>
        <v>0</v>
      </c>
    </row>
    <row r="419" spans="2:8" x14ac:dyDescent="0.3">
      <c r="B419" s="234" t="s">
        <v>789</v>
      </c>
      <c r="C419" s="234">
        <v>414</v>
      </c>
      <c r="D419" s="234" t="s">
        <v>988</v>
      </c>
      <c r="E419" s="240" t="s">
        <v>790</v>
      </c>
      <c r="F419" s="241">
        <v>18.3</v>
      </c>
      <c r="G419" s="237">
        <v>8258.25</v>
      </c>
      <c r="H419" s="243">
        <f>+TbPiezas[[#This Row],[VENTA]]*$G$2</f>
        <v>412.91250000000002</v>
      </c>
    </row>
    <row r="420" spans="2:8" x14ac:dyDescent="0.3">
      <c r="B420" s="234" t="s">
        <v>791</v>
      </c>
      <c r="C420" s="234">
        <v>415</v>
      </c>
      <c r="D420" s="234" t="s">
        <v>988</v>
      </c>
      <c r="E420" s="240" t="s">
        <v>792</v>
      </c>
      <c r="F420" s="241">
        <v>29.7</v>
      </c>
      <c r="G420" s="237">
        <v>1206.98</v>
      </c>
      <c r="H420" s="243">
        <f>+TbPiezas[[#This Row],[VENTA]]*$G$2</f>
        <v>60.349000000000004</v>
      </c>
    </row>
    <row r="421" spans="2:8" x14ac:dyDescent="0.3">
      <c r="B421" s="234" t="s">
        <v>793</v>
      </c>
      <c r="C421" s="234">
        <v>416</v>
      </c>
      <c r="D421" s="234" t="s">
        <v>988</v>
      </c>
      <c r="E421" s="240" t="s">
        <v>794</v>
      </c>
      <c r="F421" s="241">
        <v>0.7</v>
      </c>
      <c r="G421" s="237">
        <v>444.68</v>
      </c>
      <c r="H421" s="243">
        <f>+TbPiezas[[#This Row],[VENTA]]*$G$2</f>
        <v>22.234000000000002</v>
      </c>
    </row>
    <row r="422" spans="2:8" x14ac:dyDescent="0.3">
      <c r="B422" s="234" t="s">
        <v>795</v>
      </c>
      <c r="C422" s="234">
        <v>417</v>
      </c>
      <c r="D422" s="234" t="s">
        <v>988</v>
      </c>
      <c r="E422" s="240" t="s">
        <v>796</v>
      </c>
      <c r="F422" s="241" t="s">
        <v>657</v>
      </c>
      <c r="G422" s="237">
        <v>190.58</v>
      </c>
      <c r="H422" s="243">
        <f>+TbPiezas[[#This Row],[VENTA]]*$G$2</f>
        <v>9.5290000000000017</v>
      </c>
    </row>
    <row r="423" spans="2:8" x14ac:dyDescent="0.3">
      <c r="B423" s="234" t="s">
        <v>1441</v>
      </c>
      <c r="C423" s="234">
        <v>418</v>
      </c>
      <c r="D423" s="234" t="s">
        <v>988</v>
      </c>
      <c r="E423" s="240" t="s">
        <v>1438</v>
      </c>
      <c r="F423" s="241"/>
      <c r="G423" s="237"/>
      <c r="H423" s="76">
        <f>+TbPiezas[[#This Row],[VENTA]]*$G$2</f>
        <v>0</v>
      </c>
    </row>
    <row r="424" spans="2:8" x14ac:dyDescent="0.3">
      <c r="B424" s="234" t="s">
        <v>1441</v>
      </c>
      <c r="C424" s="234">
        <v>419</v>
      </c>
      <c r="D424" s="234" t="s">
        <v>988</v>
      </c>
      <c r="E424" s="240" t="s">
        <v>1439</v>
      </c>
      <c r="F424" s="241"/>
      <c r="G424" s="237"/>
      <c r="H424" s="76">
        <f>+TbPiezas[[#This Row],[VENTA]]*$G$2</f>
        <v>0</v>
      </c>
    </row>
    <row r="425" spans="2:8" x14ac:dyDescent="0.3">
      <c r="B425" s="234" t="s">
        <v>1442</v>
      </c>
      <c r="C425" s="234">
        <v>420</v>
      </c>
      <c r="D425" s="234" t="s">
        <v>988</v>
      </c>
      <c r="E425" s="240" t="s">
        <v>1440</v>
      </c>
      <c r="F425" s="241"/>
      <c r="G425" s="237"/>
      <c r="H425" s="76">
        <f>+TbPiezas[[#This Row],[VENTA]]*$G$2</f>
        <v>0</v>
      </c>
    </row>
    <row r="426" spans="2:8" x14ac:dyDescent="0.3">
      <c r="B426" s="234" t="s">
        <v>797</v>
      </c>
      <c r="C426" s="234">
        <v>421</v>
      </c>
      <c r="D426" s="234" t="s">
        <v>988</v>
      </c>
      <c r="E426" s="240" t="s">
        <v>798</v>
      </c>
      <c r="F426" s="241">
        <v>123</v>
      </c>
      <c r="G426" s="237">
        <v>2096.33</v>
      </c>
      <c r="H426" s="243">
        <f>+TbPiezas[[#This Row],[VENTA]]*$G$2</f>
        <v>104.8165</v>
      </c>
    </row>
    <row r="427" spans="2:8" x14ac:dyDescent="0.3">
      <c r="B427" s="234" t="s">
        <v>1447</v>
      </c>
      <c r="C427" s="234">
        <v>422</v>
      </c>
      <c r="D427" s="234" t="s">
        <v>988</v>
      </c>
      <c r="E427" s="240" t="s">
        <v>1443</v>
      </c>
      <c r="F427" s="241"/>
      <c r="G427" s="237"/>
      <c r="H427" s="76">
        <f>+TbPiezas[[#This Row],[VENTA]]*$G$2</f>
        <v>0</v>
      </c>
    </row>
    <row r="428" spans="2:8" x14ac:dyDescent="0.3">
      <c r="B428" s="234" t="s">
        <v>1448</v>
      </c>
      <c r="C428" s="234">
        <v>423</v>
      </c>
      <c r="D428" s="234" t="s">
        <v>988</v>
      </c>
      <c r="E428" s="240" t="s">
        <v>1444</v>
      </c>
      <c r="F428" s="241"/>
      <c r="G428" s="237"/>
      <c r="H428" s="76">
        <f>+TbPiezas[[#This Row],[VENTA]]*$G$2</f>
        <v>0</v>
      </c>
    </row>
    <row r="429" spans="2:8" x14ac:dyDescent="0.3">
      <c r="B429" s="234" t="s">
        <v>1449</v>
      </c>
      <c r="C429" s="234">
        <v>424</v>
      </c>
      <c r="D429" s="234" t="s">
        <v>988</v>
      </c>
      <c r="E429" s="240" t="s">
        <v>1445</v>
      </c>
      <c r="F429" s="241"/>
      <c r="G429" s="237"/>
      <c r="H429" s="76">
        <f>+TbPiezas[[#This Row],[VENTA]]*$G$2</f>
        <v>0</v>
      </c>
    </row>
    <row r="430" spans="2:8" x14ac:dyDescent="0.3">
      <c r="B430" s="234" t="s">
        <v>1450</v>
      </c>
      <c r="C430" s="234">
        <v>425</v>
      </c>
      <c r="D430" s="234" t="s">
        <v>988</v>
      </c>
      <c r="E430" s="240" t="s">
        <v>1446</v>
      </c>
      <c r="F430" s="241"/>
      <c r="G430" s="237"/>
      <c r="H430" s="76">
        <f>+TbPiezas[[#This Row],[VENTA]]*$G$2</f>
        <v>0</v>
      </c>
    </row>
    <row r="431" spans="2:8" x14ac:dyDescent="0.3">
      <c r="B431" s="234" t="s">
        <v>799</v>
      </c>
      <c r="C431" s="234">
        <v>426</v>
      </c>
      <c r="D431" s="234" t="s">
        <v>988</v>
      </c>
      <c r="E431" s="240" t="s">
        <v>800</v>
      </c>
      <c r="F431" s="241">
        <v>56.4</v>
      </c>
      <c r="G431" s="237">
        <v>2032.8</v>
      </c>
      <c r="H431" s="243">
        <f>+TbPiezas[[#This Row],[VENTA]]*$G$2</f>
        <v>101.64</v>
      </c>
    </row>
    <row r="432" spans="2:8" x14ac:dyDescent="0.3">
      <c r="B432" s="234" t="s">
        <v>801</v>
      </c>
      <c r="C432" s="234">
        <v>427</v>
      </c>
      <c r="D432" s="234" t="s">
        <v>988</v>
      </c>
      <c r="E432" s="240" t="s">
        <v>802</v>
      </c>
      <c r="F432" s="241">
        <v>26.8</v>
      </c>
      <c r="G432" s="237">
        <v>1887.84</v>
      </c>
      <c r="H432" s="243">
        <f>+TbPiezas[[#This Row],[VENTA]]*$G$2</f>
        <v>94.391999999999996</v>
      </c>
    </row>
    <row r="433" spans="2:8" x14ac:dyDescent="0.3">
      <c r="B433" s="234" t="s">
        <v>1453</v>
      </c>
      <c r="C433" s="234">
        <v>428</v>
      </c>
      <c r="D433" s="234" t="s">
        <v>988</v>
      </c>
      <c r="E433" s="240" t="s">
        <v>1451</v>
      </c>
      <c r="F433" s="241"/>
      <c r="G433" s="237"/>
      <c r="H433" s="76">
        <f>+TbPiezas[[#This Row],[VENTA]]*$G$2</f>
        <v>0</v>
      </c>
    </row>
    <row r="434" spans="2:8" x14ac:dyDescent="0.3">
      <c r="B434" s="234" t="s">
        <v>1454</v>
      </c>
      <c r="C434" s="234">
        <v>429</v>
      </c>
      <c r="D434" s="234" t="s">
        <v>988</v>
      </c>
      <c r="E434" s="240" t="s">
        <v>1452</v>
      </c>
      <c r="F434" s="241"/>
      <c r="G434" s="237"/>
      <c r="H434" s="76">
        <f>+TbPiezas[[#This Row],[VENTA]]*$G$2</f>
        <v>0</v>
      </c>
    </row>
    <row r="435" spans="2:8" x14ac:dyDescent="0.3">
      <c r="B435" s="234" t="s">
        <v>803</v>
      </c>
      <c r="C435" s="234">
        <v>430</v>
      </c>
      <c r="D435" s="234" t="s">
        <v>988</v>
      </c>
      <c r="E435" s="240" t="s">
        <v>804</v>
      </c>
      <c r="F435" s="241">
        <v>10.9</v>
      </c>
      <c r="G435" s="237">
        <v>679.72</v>
      </c>
      <c r="H435" s="243">
        <f>+TbPiezas[[#This Row],[VENTA]]*$G$2</f>
        <v>33.986000000000004</v>
      </c>
    </row>
    <row r="436" spans="2:8" x14ac:dyDescent="0.3">
      <c r="B436" s="234" t="s">
        <v>805</v>
      </c>
      <c r="C436" s="234">
        <v>431</v>
      </c>
      <c r="D436" s="234" t="s">
        <v>988</v>
      </c>
      <c r="E436" s="240" t="s">
        <v>806</v>
      </c>
      <c r="F436" s="241">
        <v>13</v>
      </c>
      <c r="G436" s="237">
        <v>3176.25</v>
      </c>
      <c r="H436" s="243">
        <f>+TbPiezas[[#This Row],[VENTA]]*$G$2</f>
        <v>158.8125</v>
      </c>
    </row>
    <row r="437" spans="2:8" x14ac:dyDescent="0.3">
      <c r="B437" s="234" t="s">
        <v>807</v>
      </c>
      <c r="C437" s="234">
        <v>432</v>
      </c>
      <c r="D437" s="234" t="s">
        <v>988</v>
      </c>
      <c r="E437" s="240" t="s">
        <v>808</v>
      </c>
      <c r="F437" s="241">
        <v>20.5</v>
      </c>
      <c r="G437" s="237">
        <v>5717.25</v>
      </c>
      <c r="H437" s="243">
        <f>+TbPiezas[[#This Row],[VENTA]]*$G$2</f>
        <v>285.86250000000001</v>
      </c>
    </row>
    <row r="438" spans="2:8" x14ac:dyDescent="0.3">
      <c r="B438" s="234" t="s">
        <v>809</v>
      </c>
      <c r="C438" s="234">
        <v>433</v>
      </c>
      <c r="D438" s="234" t="s">
        <v>988</v>
      </c>
      <c r="E438" s="240" t="s">
        <v>810</v>
      </c>
      <c r="F438" s="241">
        <v>15.2</v>
      </c>
      <c r="G438" s="237">
        <v>1041.81</v>
      </c>
      <c r="H438" s="243">
        <f>+TbPiezas[[#This Row],[VENTA]]*$G$2</f>
        <v>52.090499999999999</v>
      </c>
    </row>
    <row r="439" spans="2:8" x14ac:dyDescent="0.3">
      <c r="B439" s="234" t="s">
        <v>811</v>
      </c>
      <c r="C439" s="234">
        <v>434</v>
      </c>
      <c r="D439" s="234" t="s">
        <v>988</v>
      </c>
      <c r="E439" s="240" t="s">
        <v>812</v>
      </c>
      <c r="F439" s="241">
        <v>9.8000000000000007</v>
      </c>
      <c r="G439" s="237">
        <v>813.12</v>
      </c>
      <c r="H439" s="243">
        <f>+TbPiezas[[#This Row],[VENTA]]*$G$2</f>
        <v>40.656000000000006</v>
      </c>
    </row>
    <row r="440" spans="2:8" x14ac:dyDescent="0.3">
      <c r="B440" s="234" t="s">
        <v>1457</v>
      </c>
      <c r="C440" s="234">
        <v>435</v>
      </c>
      <c r="D440" s="234" t="s">
        <v>988</v>
      </c>
      <c r="E440" s="240" t="s">
        <v>1455</v>
      </c>
      <c r="F440" s="241"/>
      <c r="G440" s="237"/>
      <c r="H440" s="76">
        <f>+TbPiezas[[#This Row],[VENTA]]*$G$2</f>
        <v>0</v>
      </c>
    </row>
    <row r="441" spans="2:8" x14ac:dyDescent="0.3">
      <c r="B441" s="234" t="s">
        <v>1458</v>
      </c>
      <c r="C441" s="234">
        <v>436</v>
      </c>
      <c r="D441" s="234" t="s">
        <v>988</v>
      </c>
      <c r="E441" s="240" t="s">
        <v>1456</v>
      </c>
      <c r="F441" s="241"/>
      <c r="G441" s="237"/>
      <c r="H441" s="76">
        <f>+TbPiezas[[#This Row],[VENTA]]*$G$2</f>
        <v>0</v>
      </c>
    </row>
    <row r="442" spans="2:8" x14ac:dyDescent="0.3">
      <c r="B442" s="234" t="s">
        <v>813</v>
      </c>
      <c r="C442" s="234">
        <v>437</v>
      </c>
      <c r="D442" s="234" t="s">
        <v>988</v>
      </c>
      <c r="E442" s="240" t="s">
        <v>814</v>
      </c>
      <c r="F442" s="241">
        <v>9.8000000000000007</v>
      </c>
      <c r="G442" s="237">
        <v>1041.81</v>
      </c>
      <c r="H442" s="243">
        <f>+TbPiezas[[#This Row],[VENTA]]*$G$2</f>
        <v>52.090499999999999</v>
      </c>
    </row>
    <row r="443" spans="2:8" x14ac:dyDescent="0.3">
      <c r="B443" s="234" t="s">
        <v>815</v>
      </c>
      <c r="C443" s="234">
        <v>438</v>
      </c>
      <c r="D443" s="234" t="s">
        <v>988</v>
      </c>
      <c r="E443" s="240" t="s">
        <v>816</v>
      </c>
      <c r="F443" s="241">
        <v>9.8000000000000007</v>
      </c>
      <c r="G443" s="237">
        <v>813.12</v>
      </c>
      <c r="H443" s="243">
        <f>+TbPiezas[[#This Row],[VENTA]]*$G$2</f>
        <v>40.656000000000006</v>
      </c>
    </row>
    <row r="444" spans="2:8" x14ac:dyDescent="0.3">
      <c r="B444" s="234" t="s">
        <v>817</v>
      </c>
      <c r="C444" s="234">
        <v>439</v>
      </c>
      <c r="D444" s="234" t="s">
        <v>988</v>
      </c>
      <c r="E444" s="240" t="s">
        <v>818</v>
      </c>
      <c r="F444" s="241">
        <v>11.7</v>
      </c>
      <c r="G444" s="237">
        <v>1003.7</v>
      </c>
      <c r="H444" s="243">
        <f>+TbPiezas[[#This Row],[VENTA]]*$G$2</f>
        <v>50.185000000000002</v>
      </c>
    </row>
    <row r="445" spans="2:8" x14ac:dyDescent="0.3">
      <c r="B445" s="234" t="s">
        <v>1460</v>
      </c>
      <c r="C445" s="234">
        <v>440</v>
      </c>
      <c r="D445" s="234" t="s">
        <v>988</v>
      </c>
      <c r="E445" s="240" t="s">
        <v>1459</v>
      </c>
      <c r="F445" s="241"/>
      <c r="G445" s="237"/>
      <c r="H445" s="76">
        <f>+TbPiezas[[#This Row],[VENTA]]*$G$2</f>
        <v>0</v>
      </c>
    </row>
    <row r="446" spans="2:8" x14ac:dyDescent="0.3">
      <c r="B446" s="234" t="s">
        <v>819</v>
      </c>
      <c r="C446" s="234">
        <v>441</v>
      </c>
      <c r="D446" s="234" t="s">
        <v>988</v>
      </c>
      <c r="E446" s="240" t="s">
        <v>820</v>
      </c>
      <c r="F446" s="241">
        <v>30</v>
      </c>
      <c r="G446" s="237">
        <v>6352.5</v>
      </c>
      <c r="H446" s="243">
        <f>+TbPiezas[[#This Row],[VENTA]]*$G$2</f>
        <v>317.625</v>
      </c>
    </row>
    <row r="447" spans="2:8" x14ac:dyDescent="0.3">
      <c r="B447" s="234" t="s">
        <v>1464</v>
      </c>
      <c r="C447" s="234">
        <v>442</v>
      </c>
      <c r="D447" s="234" t="s">
        <v>988</v>
      </c>
      <c r="E447" s="240" t="s">
        <v>1461</v>
      </c>
      <c r="F447" s="241"/>
      <c r="G447" s="237"/>
      <c r="H447" s="76">
        <f>+TbPiezas[[#This Row],[VENTA]]*$G$2</f>
        <v>0</v>
      </c>
    </row>
    <row r="448" spans="2:8" x14ac:dyDescent="0.3">
      <c r="B448" s="234" t="s">
        <v>1465</v>
      </c>
      <c r="C448" s="234">
        <v>443</v>
      </c>
      <c r="D448" s="234" t="s">
        <v>988</v>
      </c>
      <c r="E448" s="240" t="s">
        <v>1462</v>
      </c>
      <c r="F448" s="241"/>
      <c r="G448" s="237"/>
      <c r="H448" s="76">
        <f>+TbPiezas[[#This Row],[VENTA]]*$G$2</f>
        <v>0</v>
      </c>
    </row>
    <row r="449" spans="2:8" x14ac:dyDescent="0.3">
      <c r="B449" s="234" t="s">
        <v>1466</v>
      </c>
      <c r="C449" s="234">
        <v>444</v>
      </c>
      <c r="D449" s="234" t="s">
        <v>988</v>
      </c>
      <c r="E449" s="240" t="s">
        <v>1463</v>
      </c>
      <c r="F449" s="241"/>
      <c r="G449" s="237"/>
      <c r="H449" s="76">
        <f>+TbPiezas[[#This Row],[VENTA]]*$G$2</f>
        <v>0</v>
      </c>
    </row>
    <row r="450" spans="2:8" x14ac:dyDescent="0.3">
      <c r="B450" s="234" t="s">
        <v>1467</v>
      </c>
      <c r="C450" s="234">
        <v>445</v>
      </c>
      <c r="D450" s="234" t="s">
        <v>988</v>
      </c>
      <c r="E450" s="240" t="s">
        <v>1463</v>
      </c>
      <c r="F450" s="241"/>
      <c r="G450" s="237"/>
      <c r="H450" s="76">
        <f>+TbPiezas[[#This Row],[VENTA]]*$G$2</f>
        <v>0</v>
      </c>
    </row>
    <row r="451" spans="2:8" x14ac:dyDescent="0.3">
      <c r="B451" s="234" t="s">
        <v>821</v>
      </c>
      <c r="C451" s="234">
        <v>446</v>
      </c>
      <c r="D451" s="234" t="s">
        <v>988</v>
      </c>
      <c r="E451" s="240" t="s">
        <v>822</v>
      </c>
      <c r="F451" s="241">
        <v>29.3</v>
      </c>
      <c r="G451" s="237">
        <v>6352.5</v>
      </c>
      <c r="H451" s="243">
        <f>+TbPiezas[[#This Row],[VENTA]]*$G$2</f>
        <v>317.625</v>
      </c>
    </row>
    <row r="452" spans="2:8" x14ac:dyDescent="0.3">
      <c r="B452" s="234" t="s">
        <v>823</v>
      </c>
      <c r="C452" s="234">
        <v>447</v>
      </c>
      <c r="D452" s="234" t="s">
        <v>988</v>
      </c>
      <c r="E452" s="240" t="s">
        <v>824</v>
      </c>
      <c r="F452" s="241">
        <v>42</v>
      </c>
      <c r="G452" s="237">
        <v>6352.5</v>
      </c>
      <c r="H452" s="243">
        <f>+TbPiezas[[#This Row],[VENTA]]*$G$2</f>
        <v>317.625</v>
      </c>
    </row>
    <row r="453" spans="2:8" x14ac:dyDescent="0.3">
      <c r="B453" s="234" t="s">
        <v>1472</v>
      </c>
      <c r="C453" s="234">
        <v>448</v>
      </c>
      <c r="D453" s="234" t="s">
        <v>988</v>
      </c>
      <c r="E453" s="240" t="s">
        <v>1468</v>
      </c>
      <c r="F453" s="241"/>
      <c r="G453" s="237"/>
      <c r="H453" s="76">
        <f>+TbPiezas[[#This Row],[VENTA]]*$G$2</f>
        <v>0</v>
      </c>
    </row>
    <row r="454" spans="2:8" x14ac:dyDescent="0.3">
      <c r="B454" s="234" t="s">
        <v>1473</v>
      </c>
      <c r="C454" s="234">
        <v>449</v>
      </c>
      <c r="D454" s="234" t="s">
        <v>988</v>
      </c>
      <c r="E454" s="240" t="s">
        <v>1469</v>
      </c>
      <c r="F454" s="241"/>
      <c r="G454" s="237"/>
      <c r="H454" s="76">
        <f>+TbPiezas[[#This Row],[VENTA]]*$G$2</f>
        <v>0</v>
      </c>
    </row>
    <row r="455" spans="2:8" x14ac:dyDescent="0.3">
      <c r="B455" s="234" t="s">
        <v>1472</v>
      </c>
      <c r="C455" s="234">
        <v>450</v>
      </c>
      <c r="D455" s="234" t="s">
        <v>988</v>
      </c>
      <c r="E455" s="240" t="s">
        <v>1470</v>
      </c>
      <c r="F455" s="241"/>
      <c r="G455" s="237"/>
      <c r="H455" s="76">
        <f>+TbPiezas[[#This Row],[VENTA]]*$G$2</f>
        <v>0</v>
      </c>
    </row>
    <row r="456" spans="2:8" x14ac:dyDescent="0.3">
      <c r="B456" s="234" t="s">
        <v>1473</v>
      </c>
      <c r="C456" s="234">
        <v>451</v>
      </c>
      <c r="D456" s="234" t="s">
        <v>988</v>
      </c>
      <c r="E456" s="240" t="s">
        <v>1471</v>
      </c>
      <c r="F456" s="241"/>
      <c r="G456" s="237"/>
      <c r="H456" s="76">
        <f>+TbPiezas[[#This Row],[VENTA]]*$G$2</f>
        <v>0</v>
      </c>
    </row>
    <row r="457" spans="2:8" x14ac:dyDescent="0.3">
      <c r="B457" s="234" t="s">
        <v>825</v>
      </c>
      <c r="C457" s="234">
        <v>452</v>
      </c>
      <c r="D457" s="234" t="s">
        <v>988</v>
      </c>
      <c r="E457" s="240" t="s">
        <v>826</v>
      </c>
      <c r="F457" s="241">
        <v>42</v>
      </c>
      <c r="G457" s="237">
        <v>6352.5</v>
      </c>
      <c r="H457" s="243">
        <f>+TbPiezas[[#This Row],[VENTA]]*$G$2</f>
        <v>317.625</v>
      </c>
    </row>
    <row r="458" spans="2:8" x14ac:dyDescent="0.3">
      <c r="B458" s="234" t="s">
        <v>827</v>
      </c>
      <c r="C458" s="234">
        <v>453</v>
      </c>
      <c r="D458" s="234" t="s">
        <v>988</v>
      </c>
      <c r="E458" s="240" t="s">
        <v>828</v>
      </c>
      <c r="F458" s="241">
        <v>28.7</v>
      </c>
      <c r="G458" s="237">
        <v>6352.5</v>
      </c>
      <c r="H458" s="243">
        <f>+TbPiezas[[#This Row],[VENTA]]*$G$2</f>
        <v>317.625</v>
      </c>
    </row>
    <row r="459" spans="2:8" x14ac:dyDescent="0.3">
      <c r="B459" s="234" t="s">
        <v>829</v>
      </c>
      <c r="C459" s="234">
        <v>454</v>
      </c>
      <c r="D459" s="234" t="s">
        <v>988</v>
      </c>
      <c r="E459" s="240" t="s">
        <v>830</v>
      </c>
      <c r="F459" s="241">
        <v>28.7</v>
      </c>
      <c r="G459" s="237">
        <v>6352.5</v>
      </c>
      <c r="H459" s="243">
        <f>+TbPiezas[[#This Row],[VENTA]]*$G$2</f>
        <v>317.625</v>
      </c>
    </row>
    <row r="460" spans="2:8" x14ac:dyDescent="0.3">
      <c r="B460" s="234" t="s">
        <v>831</v>
      </c>
      <c r="C460" s="234">
        <v>455</v>
      </c>
      <c r="D460" s="234" t="s">
        <v>988</v>
      </c>
      <c r="E460" s="240" t="s">
        <v>832</v>
      </c>
      <c r="F460" s="241">
        <v>148</v>
      </c>
      <c r="G460" s="237">
        <v>8258.25</v>
      </c>
      <c r="H460" s="243">
        <f>+TbPiezas[[#This Row],[VENTA]]*$G$2</f>
        <v>412.91250000000002</v>
      </c>
    </row>
    <row r="461" spans="2:8" x14ac:dyDescent="0.3">
      <c r="B461" s="234" t="s">
        <v>833</v>
      </c>
      <c r="C461" s="234">
        <v>456</v>
      </c>
      <c r="D461" s="234" t="s">
        <v>988</v>
      </c>
      <c r="E461" s="240" t="s">
        <v>834</v>
      </c>
      <c r="F461" s="241">
        <v>148</v>
      </c>
      <c r="G461" s="237">
        <v>8258.25</v>
      </c>
      <c r="H461" s="243">
        <f>+TbPiezas[[#This Row],[VENTA]]*$G$2</f>
        <v>412.91250000000002</v>
      </c>
    </row>
    <row r="462" spans="2:8" x14ac:dyDescent="0.3">
      <c r="B462" s="234" t="s">
        <v>835</v>
      </c>
      <c r="C462" s="234">
        <v>457</v>
      </c>
      <c r="D462" s="234" t="s">
        <v>988</v>
      </c>
      <c r="E462" s="240" t="s">
        <v>836</v>
      </c>
      <c r="F462" s="241">
        <v>35.9</v>
      </c>
      <c r="G462" s="237">
        <v>3049.2</v>
      </c>
      <c r="H462" s="243">
        <f>+TbPiezas[[#This Row],[VENTA]]*$G$2</f>
        <v>152.46</v>
      </c>
    </row>
    <row r="463" spans="2:8" x14ac:dyDescent="0.3">
      <c r="B463" s="234" t="s">
        <v>837</v>
      </c>
      <c r="C463" s="234">
        <v>458</v>
      </c>
      <c r="D463" s="234" t="s">
        <v>988</v>
      </c>
      <c r="E463" s="240" t="s">
        <v>838</v>
      </c>
      <c r="F463" s="241">
        <v>35.9</v>
      </c>
      <c r="G463" s="237">
        <v>3049.2</v>
      </c>
      <c r="H463" s="243">
        <f>+TbPiezas[[#This Row],[VENTA]]*$G$2</f>
        <v>152.46</v>
      </c>
    </row>
    <row r="464" spans="2:8" x14ac:dyDescent="0.3">
      <c r="B464" s="234" t="s">
        <v>839</v>
      </c>
      <c r="C464" s="234">
        <v>459</v>
      </c>
      <c r="D464" s="234" t="s">
        <v>988</v>
      </c>
      <c r="E464" s="240" t="s">
        <v>840</v>
      </c>
      <c r="F464" s="241">
        <v>26.6</v>
      </c>
      <c r="G464" s="237">
        <v>4446.75</v>
      </c>
      <c r="H464" s="243">
        <f>+TbPiezas[[#This Row],[VENTA]]*$G$2</f>
        <v>222.33750000000001</v>
      </c>
    </row>
    <row r="465" spans="2:8" x14ac:dyDescent="0.3">
      <c r="B465" s="234" t="s">
        <v>841</v>
      </c>
      <c r="C465" s="234">
        <v>460</v>
      </c>
      <c r="D465" s="234" t="s">
        <v>988</v>
      </c>
      <c r="E465" s="240" t="s">
        <v>842</v>
      </c>
      <c r="F465" s="241">
        <v>20.2</v>
      </c>
      <c r="G465" s="237">
        <v>4446.75</v>
      </c>
      <c r="H465" s="243">
        <f>+TbPiezas[[#This Row],[VENTA]]*$G$2</f>
        <v>222.33750000000001</v>
      </c>
    </row>
    <row r="466" spans="2:8" x14ac:dyDescent="0.3">
      <c r="B466" s="234" t="s">
        <v>843</v>
      </c>
      <c r="C466" s="234">
        <v>461</v>
      </c>
      <c r="D466" s="234" t="s">
        <v>988</v>
      </c>
      <c r="E466" s="240" t="s">
        <v>844</v>
      </c>
      <c r="F466" s="241">
        <v>26.6</v>
      </c>
      <c r="G466" s="237">
        <v>4446.75</v>
      </c>
      <c r="H466" s="243">
        <f>+TbPiezas[[#This Row],[VENTA]]*$G$2</f>
        <v>222.33750000000001</v>
      </c>
    </row>
    <row r="467" spans="2:8" x14ac:dyDescent="0.3">
      <c r="B467" s="234" t="s">
        <v>845</v>
      </c>
      <c r="C467" s="234">
        <v>462</v>
      </c>
      <c r="D467" s="234" t="s">
        <v>988</v>
      </c>
      <c r="E467" s="240" t="s">
        <v>846</v>
      </c>
      <c r="F467" s="241">
        <v>20.2</v>
      </c>
      <c r="G467" s="237">
        <v>4446.75</v>
      </c>
      <c r="H467" s="243">
        <f>+TbPiezas[[#This Row],[VENTA]]*$G$2</f>
        <v>222.33750000000001</v>
      </c>
    </row>
    <row r="468" spans="2:8" x14ac:dyDescent="0.3">
      <c r="B468" s="234" t="s">
        <v>1480</v>
      </c>
      <c r="C468" s="234">
        <v>463</v>
      </c>
      <c r="D468" s="234" t="s">
        <v>988</v>
      </c>
      <c r="E468" s="240" t="s">
        <v>1474</v>
      </c>
      <c r="F468" s="241"/>
      <c r="G468" s="237"/>
      <c r="H468" s="76">
        <f>+TbPiezas[[#This Row],[VENTA]]*$G$2</f>
        <v>0</v>
      </c>
    </row>
    <row r="469" spans="2:8" x14ac:dyDescent="0.3">
      <c r="B469" s="234" t="s">
        <v>1481</v>
      </c>
      <c r="C469" s="234">
        <v>464</v>
      </c>
      <c r="D469" s="234" t="s">
        <v>988</v>
      </c>
      <c r="E469" s="240" t="s">
        <v>1475</v>
      </c>
      <c r="F469" s="241"/>
      <c r="G469" s="237"/>
      <c r="H469" s="76">
        <f>+TbPiezas[[#This Row],[VENTA]]*$G$2</f>
        <v>0</v>
      </c>
    </row>
    <row r="470" spans="2:8" x14ac:dyDescent="0.3">
      <c r="B470" s="234" t="s">
        <v>1482</v>
      </c>
      <c r="C470" s="234">
        <v>465</v>
      </c>
      <c r="D470" s="234" t="s">
        <v>988</v>
      </c>
      <c r="E470" s="240" t="s">
        <v>1476</v>
      </c>
      <c r="F470" s="241"/>
      <c r="G470" s="237"/>
      <c r="H470" s="76">
        <f>+TbPiezas[[#This Row],[VENTA]]*$G$2</f>
        <v>0</v>
      </c>
    </row>
    <row r="471" spans="2:8" x14ac:dyDescent="0.3">
      <c r="B471" s="234" t="s">
        <v>1483</v>
      </c>
      <c r="C471" s="234">
        <v>466</v>
      </c>
      <c r="D471" s="234" t="s">
        <v>988</v>
      </c>
      <c r="E471" s="240" t="s">
        <v>1477</v>
      </c>
      <c r="F471" s="241"/>
      <c r="G471" s="237"/>
      <c r="H471" s="76">
        <f>+TbPiezas[[#This Row],[VENTA]]*$G$2</f>
        <v>0</v>
      </c>
    </row>
    <row r="472" spans="2:8" x14ac:dyDescent="0.3">
      <c r="B472" s="234" t="s">
        <v>1484</v>
      </c>
      <c r="C472" s="234">
        <v>467</v>
      </c>
      <c r="D472" s="234" t="s">
        <v>988</v>
      </c>
      <c r="E472" s="240" t="s">
        <v>1478</v>
      </c>
      <c r="F472" s="241"/>
      <c r="G472" s="237"/>
      <c r="H472" s="76">
        <f>+TbPiezas[[#This Row],[VENTA]]*$G$2</f>
        <v>0</v>
      </c>
    </row>
    <row r="473" spans="2:8" x14ac:dyDescent="0.3">
      <c r="B473" s="234" t="s">
        <v>1485</v>
      </c>
      <c r="C473" s="234">
        <v>468</v>
      </c>
      <c r="D473" s="234" t="s">
        <v>988</v>
      </c>
      <c r="E473" s="240" t="s">
        <v>1479</v>
      </c>
      <c r="F473" s="241"/>
      <c r="G473" s="237"/>
      <c r="H473" s="76">
        <f>+TbPiezas[[#This Row],[VENTA]]*$G$2</f>
        <v>0</v>
      </c>
    </row>
    <row r="474" spans="2:8" x14ac:dyDescent="0.3">
      <c r="B474" s="234" t="s">
        <v>847</v>
      </c>
      <c r="C474" s="234">
        <v>469</v>
      </c>
      <c r="D474" s="234" t="s">
        <v>988</v>
      </c>
      <c r="E474" s="240" t="s">
        <v>848</v>
      </c>
      <c r="F474" s="241">
        <v>0.7</v>
      </c>
      <c r="G474" s="237">
        <v>2032.8</v>
      </c>
      <c r="H474" s="243">
        <f>+TbPiezas[[#This Row],[VENTA]]*$G$2</f>
        <v>101.64</v>
      </c>
    </row>
    <row r="475" spans="2:8" x14ac:dyDescent="0.3">
      <c r="B475" s="234" t="s">
        <v>849</v>
      </c>
      <c r="C475" s="234">
        <v>470</v>
      </c>
      <c r="D475" s="234" t="s">
        <v>988</v>
      </c>
      <c r="E475" s="240" t="s">
        <v>1486</v>
      </c>
      <c r="F475" s="241">
        <v>8.1999999999999993</v>
      </c>
      <c r="G475" s="237">
        <v>1079.93</v>
      </c>
      <c r="H475" s="243">
        <f>+TbPiezas[[#This Row],[VENTA]]*$G$2</f>
        <v>53.996500000000005</v>
      </c>
    </row>
    <row r="476" spans="2:8" x14ac:dyDescent="0.3">
      <c r="B476" s="234" t="s">
        <v>1488</v>
      </c>
      <c r="C476" s="234">
        <v>471</v>
      </c>
      <c r="D476" s="234" t="s">
        <v>988</v>
      </c>
      <c r="E476" s="240" t="s">
        <v>1487</v>
      </c>
      <c r="F476" s="241"/>
      <c r="G476" s="237"/>
      <c r="H476" s="76">
        <f>+TbPiezas[[#This Row],[VENTA]]*$G$2</f>
        <v>0</v>
      </c>
    </row>
    <row r="477" spans="2:8" x14ac:dyDescent="0.3">
      <c r="B477" s="234" t="s">
        <v>850</v>
      </c>
      <c r="C477" s="234">
        <v>472</v>
      </c>
      <c r="D477" s="234" t="s">
        <v>988</v>
      </c>
      <c r="E477" s="240" t="s">
        <v>1489</v>
      </c>
      <c r="F477" s="241">
        <v>20</v>
      </c>
      <c r="G477" s="237">
        <v>571.73</v>
      </c>
      <c r="H477" s="243">
        <f>+TbPiezas[[#This Row],[VENTA]]*$G$2</f>
        <v>28.586500000000001</v>
      </c>
    </row>
    <row r="478" spans="2:8" x14ac:dyDescent="0.3">
      <c r="B478" s="234" t="s">
        <v>1490</v>
      </c>
      <c r="C478" s="234">
        <v>473</v>
      </c>
      <c r="D478" s="234" t="s">
        <v>988</v>
      </c>
      <c r="E478" s="240" t="s">
        <v>1511</v>
      </c>
      <c r="F478" s="241"/>
      <c r="G478" s="237"/>
      <c r="H478" s="76">
        <f>+TbPiezas[[#This Row],[VENTA]]*$G$2</f>
        <v>0</v>
      </c>
    </row>
    <row r="479" spans="2:8" x14ac:dyDescent="0.3">
      <c r="B479" s="234" t="s">
        <v>851</v>
      </c>
      <c r="C479" s="234">
        <v>474</v>
      </c>
      <c r="D479" s="234" t="s">
        <v>988</v>
      </c>
      <c r="E479" s="240" t="s">
        <v>1491</v>
      </c>
      <c r="F479" s="241">
        <v>3.3</v>
      </c>
      <c r="G479" s="237">
        <v>228.69</v>
      </c>
      <c r="H479" s="243">
        <f>+TbPiezas[[#This Row],[VENTA]]*$G$2</f>
        <v>11.4345</v>
      </c>
    </row>
    <row r="480" spans="2:8" x14ac:dyDescent="0.3">
      <c r="B480" s="234" t="s">
        <v>852</v>
      </c>
      <c r="C480" s="234">
        <v>475</v>
      </c>
      <c r="D480" s="234" t="s">
        <v>988</v>
      </c>
      <c r="E480" s="240" t="s">
        <v>1492</v>
      </c>
      <c r="F480" s="241">
        <v>3.3</v>
      </c>
      <c r="G480" s="237">
        <v>228.69</v>
      </c>
      <c r="H480" s="243">
        <f>+TbPiezas[[#This Row],[VENTA]]*$G$2</f>
        <v>11.4345</v>
      </c>
    </row>
    <row r="481" spans="2:8" x14ac:dyDescent="0.3">
      <c r="B481" s="234" t="s">
        <v>853</v>
      </c>
      <c r="C481" s="234">
        <v>476</v>
      </c>
      <c r="D481" s="234" t="s">
        <v>988</v>
      </c>
      <c r="E481" s="240" t="s">
        <v>854</v>
      </c>
      <c r="F481" s="241">
        <v>0.2</v>
      </c>
      <c r="G481" s="237">
        <v>228.69</v>
      </c>
      <c r="H481" s="243">
        <f>+TbPiezas[[#This Row],[VENTA]]*$G$2</f>
        <v>11.4345</v>
      </c>
    </row>
    <row r="482" spans="2:8" x14ac:dyDescent="0.3">
      <c r="B482" s="234" t="s">
        <v>855</v>
      </c>
      <c r="C482" s="234">
        <v>477</v>
      </c>
      <c r="D482" s="234" t="s">
        <v>988</v>
      </c>
      <c r="E482" s="240" t="s">
        <v>856</v>
      </c>
      <c r="F482" s="241">
        <v>3</v>
      </c>
      <c r="G482" s="237">
        <v>228.69</v>
      </c>
      <c r="H482" s="243">
        <f>+TbPiezas[[#This Row],[VENTA]]*$G$2</f>
        <v>11.4345</v>
      </c>
    </row>
    <row r="483" spans="2:8" x14ac:dyDescent="0.3">
      <c r="B483" s="234" t="s">
        <v>857</v>
      </c>
      <c r="C483" s="234">
        <v>478</v>
      </c>
      <c r="D483" s="234" t="s">
        <v>988</v>
      </c>
      <c r="E483" s="240" t="s">
        <v>858</v>
      </c>
      <c r="F483" s="241">
        <v>3</v>
      </c>
      <c r="G483" s="237">
        <v>228.69</v>
      </c>
      <c r="H483" s="243">
        <f>+TbPiezas[[#This Row],[VENTA]]*$G$2</f>
        <v>11.4345</v>
      </c>
    </row>
    <row r="484" spans="2:8" x14ac:dyDescent="0.3">
      <c r="B484" s="234" t="s">
        <v>859</v>
      </c>
      <c r="C484" s="234">
        <v>479</v>
      </c>
      <c r="D484" s="234" t="s">
        <v>988</v>
      </c>
      <c r="E484" s="240" t="s">
        <v>860</v>
      </c>
      <c r="F484" s="241">
        <v>4.5999999999999996</v>
      </c>
      <c r="G484" s="237">
        <v>571.73</v>
      </c>
      <c r="H484" s="243">
        <f>+TbPiezas[[#This Row],[VENTA]]*$G$2</f>
        <v>28.586500000000001</v>
      </c>
    </row>
    <row r="485" spans="2:8" x14ac:dyDescent="0.3">
      <c r="B485" s="234" t="s">
        <v>861</v>
      </c>
      <c r="C485" s="234">
        <v>480</v>
      </c>
      <c r="D485" s="234" t="s">
        <v>988</v>
      </c>
      <c r="E485" s="240" t="s">
        <v>862</v>
      </c>
      <c r="F485" s="241">
        <v>1.2</v>
      </c>
      <c r="G485" s="237">
        <v>228.69</v>
      </c>
      <c r="H485" s="243">
        <f>+TbPiezas[[#This Row],[VENTA]]*$G$2</f>
        <v>11.4345</v>
      </c>
    </row>
    <row r="486" spans="2:8" x14ac:dyDescent="0.3">
      <c r="B486" s="234" t="s">
        <v>863</v>
      </c>
      <c r="C486" s="234">
        <v>481</v>
      </c>
      <c r="D486" s="234" t="s">
        <v>988</v>
      </c>
      <c r="E486" s="240" t="s">
        <v>864</v>
      </c>
      <c r="F486" s="241">
        <v>39</v>
      </c>
      <c r="G486" s="237">
        <v>2032.8</v>
      </c>
      <c r="H486" s="243">
        <f>+TbPiezas[[#This Row],[VENTA]]*$G$2</f>
        <v>101.64</v>
      </c>
    </row>
    <row r="487" spans="2:8" x14ac:dyDescent="0.3">
      <c r="B487" s="234" t="s">
        <v>865</v>
      </c>
      <c r="C487" s="234">
        <v>482</v>
      </c>
      <c r="D487" s="234" t="s">
        <v>988</v>
      </c>
      <c r="E487" s="240" t="s">
        <v>866</v>
      </c>
      <c r="F487" s="241">
        <v>104</v>
      </c>
      <c r="G487" s="237">
        <v>4446.75</v>
      </c>
      <c r="H487" s="243">
        <f>+TbPiezas[[#This Row],[VENTA]]*$G$2</f>
        <v>222.33750000000001</v>
      </c>
    </row>
    <row r="488" spans="2:8" x14ac:dyDescent="0.3">
      <c r="B488" s="234" t="s">
        <v>867</v>
      </c>
      <c r="C488" s="234">
        <v>483</v>
      </c>
      <c r="D488" s="234" t="s">
        <v>988</v>
      </c>
      <c r="E488" s="240" t="s">
        <v>868</v>
      </c>
      <c r="F488" s="241">
        <v>154</v>
      </c>
      <c r="G488" s="237">
        <v>4954.95</v>
      </c>
      <c r="H488" s="243">
        <f>+TbPiezas[[#This Row],[VENTA]]*$G$2</f>
        <v>247.7475</v>
      </c>
    </row>
    <row r="489" spans="2:8" x14ac:dyDescent="0.3">
      <c r="B489" s="234" t="s">
        <v>869</v>
      </c>
      <c r="C489" s="234">
        <v>484</v>
      </c>
      <c r="D489" s="234" t="s">
        <v>988</v>
      </c>
      <c r="E489" s="240" t="s">
        <v>870</v>
      </c>
      <c r="F489" s="241">
        <v>104</v>
      </c>
      <c r="G489" s="237">
        <v>4446.75</v>
      </c>
      <c r="H489" s="243">
        <f>+TbPiezas[[#This Row],[VENTA]]*$G$2</f>
        <v>222.33750000000001</v>
      </c>
    </row>
    <row r="490" spans="2:8" x14ac:dyDescent="0.3">
      <c r="B490" s="234" t="s">
        <v>871</v>
      </c>
      <c r="C490" s="234">
        <v>485</v>
      </c>
      <c r="D490" s="234" t="s">
        <v>988</v>
      </c>
      <c r="E490" s="240" t="s">
        <v>872</v>
      </c>
      <c r="F490" s="241">
        <v>31.8</v>
      </c>
      <c r="G490" s="237">
        <v>1626.24</v>
      </c>
      <c r="H490" s="243">
        <f>+TbPiezas[[#This Row],[VENTA]]*$G$2</f>
        <v>81.312000000000012</v>
      </c>
    </row>
    <row r="491" spans="2:8" x14ac:dyDescent="0.3">
      <c r="B491" s="234" t="s">
        <v>873</v>
      </c>
      <c r="C491" s="234">
        <v>486</v>
      </c>
      <c r="D491" s="234" t="s">
        <v>988</v>
      </c>
      <c r="E491" s="240" t="s">
        <v>874</v>
      </c>
      <c r="F491" s="241">
        <v>41.4</v>
      </c>
      <c r="G491" s="237">
        <v>8258.25</v>
      </c>
      <c r="H491" s="243">
        <f>+TbPiezas[[#This Row],[VENTA]]*$G$2</f>
        <v>412.91250000000002</v>
      </c>
    </row>
    <row r="492" spans="2:8" x14ac:dyDescent="0.3">
      <c r="B492" s="234" t="s">
        <v>875</v>
      </c>
      <c r="C492" s="234">
        <v>487</v>
      </c>
      <c r="D492" s="234" t="s">
        <v>988</v>
      </c>
      <c r="E492" s="240" t="s">
        <v>876</v>
      </c>
      <c r="F492" s="241">
        <v>4.9000000000000004</v>
      </c>
      <c r="G492" s="237">
        <v>368.08</v>
      </c>
      <c r="H492" s="243">
        <f>+TbPiezas[[#This Row],[VENTA]]*$G$2</f>
        <v>18.404</v>
      </c>
    </row>
    <row r="493" spans="2:8" x14ac:dyDescent="0.3">
      <c r="B493" s="234" t="s">
        <v>877</v>
      </c>
      <c r="C493" s="234">
        <v>488</v>
      </c>
      <c r="D493" s="234" t="s">
        <v>988</v>
      </c>
      <c r="E493" s="240" t="s">
        <v>878</v>
      </c>
      <c r="F493" s="241">
        <v>10</v>
      </c>
      <c r="G493" s="237">
        <v>329.57</v>
      </c>
      <c r="H493" s="243">
        <f>+TbPiezas[[#This Row],[VENTA]]*$G$2</f>
        <v>16.4785</v>
      </c>
    </row>
    <row r="494" spans="2:8" x14ac:dyDescent="0.3">
      <c r="B494" s="234" t="s">
        <v>879</v>
      </c>
      <c r="C494" s="234">
        <v>489</v>
      </c>
      <c r="D494" s="234" t="s">
        <v>988</v>
      </c>
      <c r="E494" s="240" t="s">
        <v>880</v>
      </c>
      <c r="F494" s="241">
        <v>13.3</v>
      </c>
      <c r="G494" s="237">
        <v>825.83</v>
      </c>
      <c r="H494" s="243">
        <f>+TbPiezas[[#This Row],[VENTA]]*$G$2</f>
        <v>41.291500000000006</v>
      </c>
    </row>
    <row r="495" spans="2:8" x14ac:dyDescent="0.3">
      <c r="B495" s="234" t="s">
        <v>881</v>
      </c>
      <c r="C495" s="234">
        <v>490</v>
      </c>
      <c r="D495" s="234" t="s">
        <v>988</v>
      </c>
      <c r="E495" s="240" t="s">
        <v>1493</v>
      </c>
      <c r="F495" s="241">
        <v>3</v>
      </c>
      <c r="G495" s="237">
        <v>271.04000000000002</v>
      </c>
      <c r="H495" s="243">
        <f>+TbPiezas[[#This Row],[VENTA]]*$G$2</f>
        <v>13.552000000000001</v>
      </c>
    </row>
    <row r="496" spans="2:8" x14ac:dyDescent="0.3">
      <c r="B496" s="234" t="s">
        <v>883</v>
      </c>
      <c r="C496" s="234">
        <v>491</v>
      </c>
      <c r="D496" s="234" t="s">
        <v>988</v>
      </c>
      <c r="E496" s="240" t="s">
        <v>1494</v>
      </c>
      <c r="F496" s="241">
        <v>4</v>
      </c>
      <c r="G496" s="237">
        <v>298.14</v>
      </c>
      <c r="H496" s="243">
        <f>+TbPiezas[[#This Row],[VENTA]]*$G$2</f>
        <v>14.907</v>
      </c>
    </row>
    <row r="497" spans="2:8" x14ac:dyDescent="0.3">
      <c r="B497" s="234" t="s">
        <v>885</v>
      </c>
      <c r="C497" s="234">
        <v>492</v>
      </c>
      <c r="D497" s="234" t="s">
        <v>988</v>
      </c>
      <c r="E497" s="240" t="s">
        <v>886</v>
      </c>
      <c r="F497" s="241">
        <v>7.5</v>
      </c>
      <c r="G497" s="237">
        <v>1905.75</v>
      </c>
      <c r="H497" s="243">
        <f>+TbPiezas[[#This Row],[VENTA]]*$G$2</f>
        <v>95.287500000000009</v>
      </c>
    </row>
    <row r="498" spans="2:8" x14ac:dyDescent="0.3">
      <c r="B498" s="234" t="s">
        <v>1499</v>
      </c>
      <c r="C498" s="234">
        <v>493</v>
      </c>
      <c r="D498" s="234" t="s">
        <v>988</v>
      </c>
      <c r="E498" s="240" t="s">
        <v>1495</v>
      </c>
      <c r="F498" s="241"/>
      <c r="G498" s="237"/>
      <c r="H498" s="76">
        <f>+TbPiezas[[#This Row],[VENTA]]*$G$2</f>
        <v>0</v>
      </c>
    </row>
    <row r="499" spans="2:8" x14ac:dyDescent="0.3">
      <c r="B499" s="234" t="s">
        <v>1500</v>
      </c>
      <c r="C499" s="234">
        <v>494</v>
      </c>
      <c r="D499" s="234" t="s">
        <v>988</v>
      </c>
      <c r="E499" s="240" t="s">
        <v>887</v>
      </c>
      <c r="F499" s="241">
        <v>12.4</v>
      </c>
      <c r="G499" s="237">
        <v>1727.88</v>
      </c>
      <c r="H499" s="243">
        <f>+TbPiezas[[#This Row],[VENTA]]*$G$2</f>
        <v>86.394000000000005</v>
      </c>
    </row>
    <row r="500" spans="2:8" x14ac:dyDescent="0.3">
      <c r="B500" s="234" t="s">
        <v>888</v>
      </c>
      <c r="C500" s="234">
        <v>495</v>
      </c>
      <c r="D500" s="234" t="s">
        <v>988</v>
      </c>
      <c r="E500" s="240" t="s">
        <v>1501</v>
      </c>
      <c r="F500" s="241">
        <v>6.8</v>
      </c>
      <c r="G500" s="237">
        <v>1727.88</v>
      </c>
      <c r="H500" s="243">
        <f>+TbPiezas[[#This Row],[VENTA]]*$G$2</f>
        <v>86.394000000000005</v>
      </c>
    </row>
    <row r="501" spans="2:8" x14ac:dyDescent="0.3">
      <c r="B501" s="234" t="s">
        <v>1503</v>
      </c>
      <c r="C501" s="234">
        <v>496</v>
      </c>
      <c r="D501" s="234" t="s">
        <v>988</v>
      </c>
      <c r="E501" s="240" t="s">
        <v>1502</v>
      </c>
      <c r="F501" s="241"/>
      <c r="G501" s="237"/>
      <c r="H501" s="76">
        <f>+TbPiezas[[#This Row],[VENTA]]*$G$2</f>
        <v>0</v>
      </c>
    </row>
    <row r="502" spans="2:8" x14ac:dyDescent="0.3">
      <c r="B502" s="234" t="s">
        <v>889</v>
      </c>
      <c r="C502" s="234">
        <v>497</v>
      </c>
      <c r="D502" s="234" t="s">
        <v>988</v>
      </c>
      <c r="E502" s="240" t="s">
        <v>1496</v>
      </c>
      <c r="F502" s="241">
        <v>8.4</v>
      </c>
      <c r="G502" s="237">
        <v>4446.75</v>
      </c>
      <c r="H502" s="243">
        <f>+TbPiezas[[#This Row],[VENTA]]*$G$2</f>
        <v>222.33750000000001</v>
      </c>
    </row>
    <row r="503" spans="2:8" x14ac:dyDescent="0.3">
      <c r="B503" s="234" t="s">
        <v>1498</v>
      </c>
      <c r="C503" s="234">
        <v>498</v>
      </c>
      <c r="D503" s="234" t="s">
        <v>988</v>
      </c>
      <c r="E503" s="240" t="s">
        <v>1497</v>
      </c>
      <c r="F503" s="241"/>
      <c r="G503" s="237"/>
      <c r="H503" s="76">
        <f>+TbPiezas[[#This Row],[VENTA]]*$G$2</f>
        <v>0</v>
      </c>
    </row>
    <row r="504" spans="2:8" x14ac:dyDescent="0.3">
      <c r="B504" s="234" t="s">
        <v>890</v>
      </c>
      <c r="C504" s="234">
        <v>499</v>
      </c>
      <c r="D504" s="234" t="s">
        <v>988</v>
      </c>
      <c r="E504" s="240" t="s">
        <v>891</v>
      </c>
      <c r="F504" s="241">
        <v>3.6</v>
      </c>
      <c r="G504" s="237">
        <v>2286.9</v>
      </c>
      <c r="H504" s="243">
        <f>+TbPiezas[[#This Row],[VENTA]]*$G$2</f>
        <v>114.34500000000001</v>
      </c>
    </row>
    <row r="505" spans="2:8" x14ac:dyDescent="0.3">
      <c r="B505" s="234" t="s">
        <v>892</v>
      </c>
      <c r="C505" s="234">
        <v>500</v>
      </c>
      <c r="D505" s="234" t="s">
        <v>988</v>
      </c>
      <c r="E505" s="240" t="s">
        <v>893</v>
      </c>
      <c r="F505" s="241">
        <v>4.8</v>
      </c>
      <c r="G505" s="237">
        <v>444.68</v>
      </c>
      <c r="H505" s="243">
        <f>+TbPiezas[[#This Row],[VENTA]]*$G$2</f>
        <v>22.234000000000002</v>
      </c>
    </row>
    <row r="506" spans="2:8" x14ac:dyDescent="0.3">
      <c r="B506" s="234" t="s">
        <v>894</v>
      </c>
      <c r="C506" s="234">
        <v>501</v>
      </c>
      <c r="D506" s="234" t="s">
        <v>988</v>
      </c>
      <c r="E506" s="240" t="s">
        <v>895</v>
      </c>
      <c r="F506" s="241">
        <v>3.5</v>
      </c>
      <c r="G506" s="237">
        <v>444.68</v>
      </c>
      <c r="H506" s="243">
        <f>+TbPiezas[[#This Row],[VENTA]]*$G$2</f>
        <v>22.234000000000002</v>
      </c>
    </row>
    <row r="507" spans="2:8" x14ac:dyDescent="0.3">
      <c r="B507" s="234" t="s">
        <v>896</v>
      </c>
      <c r="C507" s="234">
        <v>502</v>
      </c>
      <c r="D507" s="234" t="s">
        <v>988</v>
      </c>
      <c r="E507" s="240" t="s">
        <v>897</v>
      </c>
      <c r="F507" s="241">
        <v>4.2</v>
      </c>
      <c r="G507" s="237">
        <v>444.68</v>
      </c>
      <c r="H507" s="243">
        <f>+TbPiezas[[#This Row],[VENTA]]*$G$2</f>
        <v>22.234000000000002</v>
      </c>
    </row>
    <row r="508" spans="2:8" x14ac:dyDescent="0.3">
      <c r="B508" s="234" t="s">
        <v>898</v>
      </c>
      <c r="C508" s="234">
        <v>503</v>
      </c>
      <c r="D508" s="234" t="s">
        <v>988</v>
      </c>
      <c r="E508" s="240" t="s">
        <v>899</v>
      </c>
      <c r="F508" s="241">
        <v>250</v>
      </c>
      <c r="G508" s="237">
        <v>22869</v>
      </c>
      <c r="H508" s="243">
        <f>+TbPiezas[[#This Row],[VENTA]]*$G$2</f>
        <v>1143.45</v>
      </c>
    </row>
    <row r="509" spans="2:8" x14ac:dyDescent="0.3">
      <c r="B509" s="234" t="s">
        <v>900</v>
      </c>
      <c r="C509" s="234">
        <v>504</v>
      </c>
      <c r="D509" s="234" t="s">
        <v>988</v>
      </c>
      <c r="E509" s="240" t="s">
        <v>901</v>
      </c>
      <c r="F509" s="241">
        <v>300</v>
      </c>
      <c r="G509" s="237">
        <v>22869</v>
      </c>
      <c r="H509" s="243">
        <f>+TbPiezas[[#This Row],[VENTA]]*$G$2</f>
        <v>1143.45</v>
      </c>
    </row>
    <row r="510" spans="2:8" x14ac:dyDescent="0.3">
      <c r="B510" s="234"/>
      <c r="C510" s="234">
        <v>505</v>
      </c>
      <c r="D510" s="234" t="s">
        <v>988</v>
      </c>
      <c r="E510" s="240" t="s">
        <v>1504</v>
      </c>
      <c r="F510" s="241"/>
      <c r="G510" s="237"/>
      <c r="H510" s="76">
        <f>+TbPiezas[[#This Row],[VENTA]]*$G$2</f>
        <v>0</v>
      </c>
    </row>
    <row r="511" spans="2:8" x14ac:dyDescent="0.3">
      <c r="B511" s="234" t="s">
        <v>902</v>
      </c>
      <c r="C511" s="234">
        <v>506</v>
      </c>
      <c r="D511" s="234" t="s">
        <v>988</v>
      </c>
      <c r="E511" s="240" t="s">
        <v>905</v>
      </c>
      <c r="F511" s="241">
        <v>150</v>
      </c>
      <c r="G511" s="237">
        <v>14157</v>
      </c>
      <c r="H511" s="243">
        <f>+TbPiezas[[#This Row],[VENTA]]*$G$2</f>
        <v>707.85</v>
      </c>
    </row>
    <row r="512" spans="2:8" x14ac:dyDescent="0.3">
      <c r="B512" s="234" t="s">
        <v>904</v>
      </c>
      <c r="C512" s="234">
        <v>507</v>
      </c>
      <c r="D512" s="234" t="s">
        <v>988</v>
      </c>
      <c r="E512" s="240" t="s">
        <v>1505</v>
      </c>
      <c r="F512" s="241"/>
      <c r="G512" s="237"/>
      <c r="H512" s="76">
        <f>+TbPiezas[[#This Row],[VENTA]]*$G$2</f>
        <v>0</v>
      </c>
    </row>
    <row r="513" spans="2:8" x14ac:dyDescent="0.3">
      <c r="B513" s="234" t="s">
        <v>1506</v>
      </c>
      <c r="C513" s="234">
        <v>508</v>
      </c>
      <c r="D513" s="234" t="s">
        <v>988</v>
      </c>
      <c r="E513" s="240" t="s">
        <v>907</v>
      </c>
      <c r="F513" s="241">
        <v>86.8</v>
      </c>
      <c r="G513" s="237">
        <v>8258.25</v>
      </c>
      <c r="H513" s="243">
        <f>+TbPiezas[[#This Row],[VENTA]]*$G$2</f>
        <v>412.91250000000002</v>
      </c>
    </row>
    <row r="514" spans="2:8" x14ac:dyDescent="0.3">
      <c r="B514" s="234" t="s">
        <v>906</v>
      </c>
      <c r="C514" s="234">
        <v>509</v>
      </c>
      <c r="D514" s="234" t="s">
        <v>988</v>
      </c>
      <c r="E514" s="240" t="s">
        <v>909</v>
      </c>
      <c r="F514" s="241">
        <v>12.4</v>
      </c>
      <c r="G514" s="237">
        <v>1181.57</v>
      </c>
      <c r="H514" s="243">
        <f>+TbPiezas[[#This Row],[VENTA]]*$G$2</f>
        <v>59.078499999999998</v>
      </c>
    </row>
    <row r="515" spans="2:8" x14ac:dyDescent="0.3">
      <c r="B515" s="234" t="s">
        <v>908</v>
      </c>
      <c r="C515" s="234">
        <v>510</v>
      </c>
      <c r="D515" s="234" t="s">
        <v>988</v>
      </c>
      <c r="E515" s="240" t="s">
        <v>903</v>
      </c>
      <c r="F515" s="241">
        <v>6.2</v>
      </c>
      <c r="G515" s="237">
        <v>190.58</v>
      </c>
      <c r="H515" s="243">
        <f>+TbPiezas[[#This Row],[VENTA]]*$G$2</f>
        <v>9.5290000000000017</v>
      </c>
    </row>
    <row r="516" spans="2:8" x14ac:dyDescent="0.3">
      <c r="B516" s="234" t="s">
        <v>910</v>
      </c>
      <c r="C516" s="234">
        <v>511</v>
      </c>
      <c r="D516" s="234" t="s">
        <v>988</v>
      </c>
      <c r="E516" s="240" t="s">
        <v>911</v>
      </c>
      <c r="F516" s="241" t="s">
        <v>657</v>
      </c>
      <c r="G516" s="237">
        <v>171.52</v>
      </c>
      <c r="H516" s="243">
        <f>+TbPiezas[[#This Row],[VENTA]]*$G$2</f>
        <v>8.5760000000000005</v>
      </c>
    </row>
    <row r="517" spans="2:8" x14ac:dyDescent="0.3">
      <c r="B517" s="234" t="s">
        <v>912</v>
      </c>
      <c r="C517" s="234">
        <v>512</v>
      </c>
      <c r="D517" s="234" t="s">
        <v>988</v>
      </c>
      <c r="E517" s="240" t="s">
        <v>913</v>
      </c>
      <c r="F517" s="241">
        <v>54.1</v>
      </c>
      <c r="G517" s="237">
        <v>1245.0899999999999</v>
      </c>
      <c r="H517" s="243">
        <f>+TbPiezas[[#This Row],[VENTA]]*$G$2</f>
        <v>62.2545</v>
      </c>
    </row>
    <row r="518" spans="2:8" x14ac:dyDescent="0.3">
      <c r="B518" s="234" t="s">
        <v>1509</v>
      </c>
      <c r="C518" s="234">
        <v>513</v>
      </c>
      <c r="D518" s="234" t="s">
        <v>988</v>
      </c>
      <c r="E518" s="240" t="s">
        <v>1507</v>
      </c>
      <c r="F518" s="241"/>
      <c r="G518" s="237"/>
      <c r="H518" s="76">
        <f>+TbPiezas[[#This Row],[VENTA]]*$G$2</f>
        <v>0</v>
      </c>
    </row>
    <row r="519" spans="2:8" x14ac:dyDescent="0.3">
      <c r="B519" s="234" t="s">
        <v>1510</v>
      </c>
      <c r="C519" s="234">
        <v>514</v>
      </c>
      <c r="D519" s="234" t="s">
        <v>988</v>
      </c>
      <c r="E519" s="240" t="s">
        <v>1508</v>
      </c>
      <c r="F519" s="241"/>
      <c r="G519" s="237"/>
      <c r="H519" s="76">
        <f>+TbPiezas[[#This Row],[VENTA]]*$G$2</f>
        <v>0</v>
      </c>
    </row>
    <row r="520" spans="2:8" x14ac:dyDescent="0.3">
      <c r="B520" s="234" t="s">
        <v>914</v>
      </c>
      <c r="C520" s="234">
        <v>515</v>
      </c>
      <c r="D520" s="234" t="s">
        <v>988</v>
      </c>
      <c r="E520" s="240" t="s">
        <v>915</v>
      </c>
      <c r="F520" s="241">
        <v>3</v>
      </c>
      <c r="G520" s="237">
        <v>317.63</v>
      </c>
      <c r="H520" s="243">
        <f>+TbPiezas[[#This Row],[VENTA]]*$G$2</f>
        <v>15.881500000000001</v>
      </c>
    </row>
    <row r="521" spans="2:8" x14ac:dyDescent="0.3">
      <c r="B521" s="234" t="s">
        <v>916</v>
      </c>
      <c r="C521" s="234">
        <v>516</v>
      </c>
      <c r="D521" s="234" t="s">
        <v>988</v>
      </c>
      <c r="E521" s="240" t="s">
        <v>917</v>
      </c>
      <c r="F521" s="241">
        <v>3</v>
      </c>
      <c r="G521" s="237">
        <v>190.58</v>
      </c>
      <c r="H521" s="243">
        <f>+TbPiezas[[#This Row],[VENTA]]*$G$2</f>
        <v>9.5290000000000017</v>
      </c>
    </row>
    <row r="522" spans="2:8" x14ac:dyDescent="0.3">
      <c r="B522" s="234" t="s">
        <v>918</v>
      </c>
      <c r="C522" s="234">
        <v>517</v>
      </c>
      <c r="D522" s="234" t="s">
        <v>988</v>
      </c>
      <c r="E522" s="240" t="s">
        <v>919</v>
      </c>
      <c r="F522" s="241">
        <v>1</v>
      </c>
      <c r="G522" s="237">
        <v>101.64</v>
      </c>
      <c r="H522" s="243">
        <f>+TbPiezas[[#This Row],[VENTA]]*$G$2</f>
        <v>5.0820000000000007</v>
      </c>
    </row>
    <row r="523" spans="2:8" x14ac:dyDescent="0.3">
      <c r="B523" s="234" t="s">
        <v>920</v>
      </c>
      <c r="C523" s="234">
        <v>518</v>
      </c>
      <c r="D523" s="234" t="s">
        <v>988</v>
      </c>
      <c r="E523" s="240" t="s">
        <v>921</v>
      </c>
      <c r="F523" s="241">
        <v>0.4</v>
      </c>
      <c r="G523" s="237">
        <v>825.83</v>
      </c>
      <c r="H523" s="243">
        <f>+TbPiezas[[#This Row],[VENTA]]*$G$2</f>
        <v>41.291500000000006</v>
      </c>
    </row>
    <row r="524" spans="2:8" x14ac:dyDescent="0.3">
      <c r="B524" s="234" t="s">
        <v>922</v>
      </c>
      <c r="C524" s="234">
        <v>519</v>
      </c>
      <c r="D524" s="234" t="s">
        <v>988</v>
      </c>
      <c r="E524" s="240" t="s">
        <v>923</v>
      </c>
      <c r="F524" s="241">
        <v>0.7</v>
      </c>
      <c r="G524" s="237">
        <v>317.63</v>
      </c>
      <c r="H524" s="243">
        <f>+TbPiezas[[#This Row],[VENTA]]*$G$2</f>
        <v>15.881500000000001</v>
      </c>
    </row>
    <row r="525" spans="2:8" x14ac:dyDescent="0.3">
      <c r="B525" s="234" t="s">
        <v>924</v>
      </c>
      <c r="C525" s="234">
        <v>520</v>
      </c>
      <c r="D525" s="234" t="s">
        <v>988</v>
      </c>
      <c r="E525" s="240" t="s">
        <v>925</v>
      </c>
      <c r="F525" s="241">
        <v>2</v>
      </c>
      <c r="G525" s="237">
        <v>45.1</v>
      </c>
      <c r="H525" s="243">
        <f>+TbPiezas[[#This Row],[VENTA]]*$G$2</f>
        <v>2.2550000000000003</v>
      </c>
    </row>
    <row r="526" spans="2:8" x14ac:dyDescent="0.3">
      <c r="B526" s="234" t="s">
        <v>926</v>
      </c>
      <c r="C526" s="234">
        <v>521</v>
      </c>
      <c r="D526" s="234" t="s">
        <v>988</v>
      </c>
      <c r="E526" s="240" t="s">
        <v>927</v>
      </c>
      <c r="F526" s="241">
        <v>0.72899999999999998</v>
      </c>
      <c r="G526" s="237">
        <v>19.059999999999999</v>
      </c>
      <c r="H526" s="243">
        <f>+TbPiezas[[#This Row],[VENTA]]*$G$2</f>
        <v>0.95299999999999996</v>
      </c>
    </row>
    <row r="527" spans="2:8" x14ac:dyDescent="0.3">
      <c r="B527" s="234" t="s">
        <v>928</v>
      </c>
      <c r="C527" s="234">
        <v>522</v>
      </c>
      <c r="D527" s="234" t="s">
        <v>988</v>
      </c>
      <c r="E527" s="240" t="s">
        <v>929</v>
      </c>
      <c r="F527" s="241">
        <v>1.1000000000000001</v>
      </c>
      <c r="G527" s="237">
        <v>31.76</v>
      </c>
      <c r="H527" s="243">
        <f>+TbPiezas[[#This Row],[VENTA]]*$G$2</f>
        <v>1.5880000000000001</v>
      </c>
    </row>
    <row r="528" spans="2:8" x14ac:dyDescent="0.3">
      <c r="B528" s="234" t="s">
        <v>930</v>
      </c>
      <c r="C528" s="234">
        <v>523</v>
      </c>
      <c r="D528" s="234" t="s">
        <v>988</v>
      </c>
      <c r="E528" s="240" t="s">
        <v>931</v>
      </c>
      <c r="F528" s="241">
        <v>0.7</v>
      </c>
      <c r="G528" s="237">
        <v>19.059999999999999</v>
      </c>
      <c r="H528" s="243">
        <f>+TbPiezas[[#This Row],[VENTA]]*$G$2</f>
        <v>0.95299999999999996</v>
      </c>
    </row>
    <row r="529" spans="2:8" x14ac:dyDescent="0.3">
      <c r="B529" s="234" t="s">
        <v>932</v>
      </c>
      <c r="C529" s="234">
        <v>524</v>
      </c>
      <c r="D529" s="234" t="s">
        <v>988</v>
      </c>
      <c r="E529" s="240" t="s">
        <v>933</v>
      </c>
      <c r="F529" s="241">
        <v>0.3</v>
      </c>
      <c r="G529" s="237">
        <v>19.059999999999999</v>
      </c>
      <c r="H529" s="243">
        <f>+TbPiezas[[#This Row],[VENTA]]*$G$2</f>
        <v>0.95299999999999996</v>
      </c>
    </row>
    <row r="530" spans="2:8" x14ac:dyDescent="0.3">
      <c r="B530" s="234" t="s">
        <v>934</v>
      </c>
      <c r="C530" s="234">
        <v>525</v>
      </c>
      <c r="D530" s="234" t="s">
        <v>988</v>
      </c>
      <c r="E530" s="240" t="s">
        <v>935</v>
      </c>
      <c r="F530" s="241">
        <v>0.5</v>
      </c>
      <c r="G530" s="237">
        <v>19.059999999999999</v>
      </c>
      <c r="H530" s="243">
        <f>+TbPiezas[[#This Row],[VENTA]]*$G$2</f>
        <v>0.95299999999999996</v>
      </c>
    </row>
    <row r="531" spans="2:8" x14ac:dyDescent="0.3">
      <c r="B531" s="234" t="s">
        <v>936</v>
      </c>
      <c r="C531" s="234">
        <v>526</v>
      </c>
      <c r="D531" s="234" t="s">
        <v>988</v>
      </c>
      <c r="E531" s="240" t="s">
        <v>937</v>
      </c>
      <c r="F531" s="241">
        <v>6.7000000000000004E-2</v>
      </c>
      <c r="G531" s="237">
        <v>19.059999999999999</v>
      </c>
      <c r="H531" s="243">
        <f>+TbPiezas[[#This Row],[VENTA]]*$G$2</f>
        <v>0.95299999999999996</v>
      </c>
    </row>
    <row r="532" spans="2:8" x14ac:dyDescent="0.3">
      <c r="B532" s="234" t="s">
        <v>938</v>
      </c>
      <c r="C532" s="234">
        <v>527</v>
      </c>
      <c r="D532" s="234" t="s">
        <v>988</v>
      </c>
      <c r="E532" s="240" t="s">
        <v>939</v>
      </c>
      <c r="F532" s="241">
        <v>0.06</v>
      </c>
      <c r="G532" s="237">
        <v>19.059999999999999</v>
      </c>
      <c r="H532" s="243">
        <f>+TbPiezas[[#This Row],[VENTA]]*$G$2</f>
        <v>0.95299999999999996</v>
      </c>
    </row>
    <row r="533" spans="2:8" x14ac:dyDescent="0.3">
      <c r="B533" s="234" t="s">
        <v>940</v>
      </c>
      <c r="C533" s="234">
        <v>528</v>
      </c>
      <c r="D533" s="234" t="s">
        <v>988</v>
      </c>
      <c r="E533" s="240" t="s">
        <v>941</v>
      </c>
      <c r="F533" s="241">
        <v>9.5000000000000001E-2</v>
      </c>
      <c r="G533" s="237">
        <v>19.059999999999999</v>
      </c>
      <c r="H533" s="243">
        <f>+TbPiezas[[#This Row],[VENTA]]*$G$2</f>
        <v>0.95299999999999996</v>
      </c>
    </row>
    <row r="534" spans="2:8" x14ac:dyDescent="0.3">
      <c r="B534" s="234" t="s">
        <v>942</v>
      </c>
      <c r="C534" s="234">
        <v>529</v>
      </c>
      <c r="D534" s="234" t="s">
        <v>988</v>
      </c>
      <c r="E534" s="240" t="s">
        <v>943</v>
      </c>
      <c r="F534" s="241">
        <v>0.1</v>
      </c>
      <c r="G534" s="237">
        <v>19.059999999999999</v>
      </c>
      <c r="H534" s="243">
        <f>+TbPiezas[[#This Row],[VENTA]]*$G$2</f>
        <v>0.95299999999999996</v>
      </c>
    </row>
    <row r="535" spans="2:8" x14ac:dyDescent="0.3">
      <c r="B535" s="234" t="s">
        <v>944</v>
      </c>
      <c r="C535" s="234">
        <v>530</v>
      </c>
      <c r="D535" s="234" t="s">
        <v>988</v>
      </c>
      <c r="E535" s="240" t="s">
        <v>945</v>
      </c>
      <c r="F535" s="241">
        <v>3.5000000000000003E-2</v>
      </c>
      <c r="G535" s="237">
        <v>31.76</v>
      </c>
      <c r="H535" s="243">
        <f>+TbPiezas[[#This Row],[VENTA]]*$G$2</f>
        <v>1.5880000000000001</v>
      </c>
    </row>
    <row r="536" spans="2:8" x14ac:dyDescent="0.3">
      <c r="B536" s="234" t="s">
        <v>946</v>
      </c>
      <c r="C536" s="234">
        <v>531</v>
      </c>
      <c r="D536" s="234" t="s">
        <v>988</v>
      </c>
      <c r="E536" s="240" t="s">
        <v>947</v>
      </c>
      <c r="F536" s="241">
        <v>0.02</v>
      </c>
      <c r="G536" s="237">
        <v>19.059999999999999</v>
      </c>
      <c r="H536" s="243">
        <f>+TbPiezas[[#This Row],[VENTA]]*$G$2</f>
        <v>0.95299999999999996</v>
      </c>
    </row>
    <row r="537" spans="2:8" x14ac:dyDescent="0.3">
      <c r="B537" s="234" t="s">
        <v>948</v>
      </c>
      <c r="C537" s="234">
        <v>532</v>
      </c>
      <c r="D537" s="234" t="s">
        <v>988</v>
      </c>
      <c r="E537" s="240" t="s">
        <v>949</v>
      </c>
      <c r="F537" s="241">
        <v>2.3E-2</v>
      </c>
      <c r="G537" s="237">
        <v>19.059999999999999</v>
      </c>
      <c r="H537" s="243">
        <f>+TbPiezas[[#This Row],[VENTA]]*$G$2</f>
        <v>0.95299999999999996</v>
      </c>
    </row>
    <row r="538" spans="2:8" x14ac:dyDescent="0.3">
      <c r="B538" s="234" t="s">
        <v>950</v>
      </c>
      <c r="C538" s="234">
        <v>533</v>
      </c>
      <c r="D538" s="234" t="s">
        <v>988</v>
      </c>
      <c r="E538" s="240" t="s">
        <v>951</v>
      </c>
      <c r="F538" s="241">
        <v>0.72499999999999998</v>
      </c>
      <c r="G538" s="237">
        <v>19.059999999999999</v>
      </c>
      <c r="H538" s="243">
        <f>+TbPiezas[[#This Row],[VENTA]]*$G$2</f>
        <v>0.95299999999999996</v>
      </c>
    </row>
    <row r="539" spans="2:8" x14ac:dyDescent="0.3">
      <c r="B539" s="234" t="s">
        <v>952</v>
      </c>
      <c r="C539" s="234">
        <v>534</v>
      </c>
      <c r="D539" s="234" t="s">
        <v>988</v>
      </c>
      <c r="E539" s="240" t="s">
        <v>953</v>
      </c>
      <c r="F539" s="241">
        <v>1</v>
      </c>
      <c r="G539" s="237">
        <v>190.58</v>
      </c>
      <c r="H539" s="243">
        <f>+TbPiezas[[#This Row],[VENTA]]*$G$2</f>
        <v>9.5290000000000017</v>
      </c>
    </row>
    <row r="540" spans="2:8" x14ac:dyDescent="0.3">
      <c r="B540" s="234" t="s">
        <v>954</v>
      </c>
      <c r="C540" s="234">
        <v>535</v>
      </c>
      <c r="D540" s="234" t="s">
        <v>988</v>
      </c>
      <c r="E540" s="240" t="s">
        <v>955</v>
      </c>
      <c r="F540" s="241">
        <v>0.3</v>
      </c>
      <c r="G540" s="237">
        <v>190.58</v>
      </c>
      <c r="H540" s="243">
        <f>+TbPiezas[[#This Row],[VENTA]]*$G$2</f>
        <v>9.5290000000000017</v>
      </c>
    </row>
    <row r="541" spans="2:8" x14ac:dyDescent="0.3">
      <c r="B541" s="234" t="s">
        <v>956</v>
      </c>
      <c r="C541" s="234">
        <v>536</v>
      </c>
      <c r="D541" s="234" t="s">
        <v>988</v>
      </c>
      <c r="E541" s="240" t="s">
        <v>957</v>
      </c>
      <c r="F541" s="241">
        <v>2.5</v>
      </c>
      <c r="G541" s="237">
        <v>158.69</v>
      </c>
      <c r="H541" s="243">
        <f>+TbPiezas[[#This Row],[VENTA]]*$G$2</f>
        <v>7.9344999999999999</v>
      </c>
    </row>
    <row r="542" spans="2:8" x14ac:dyDescent="0.3">
      <c r="B542" s="234" t="s">
        <v>958</v>
      </c>
      <c r="C542" s="234">
        <v>537</v>
      </c>
      <c r="D542" s="234" t="s">
        <v>988</v>
      </c>
      <c r="E542" s="240" t="s">
        <v>959</v>
      </c>
      <c r="F542" s="241">
        <v>0.5</v>
      </c>
      <c r="G542" s="237">
        <v>158.69</v>
      </c>
      <c r="H542" s="243">
        <f>+TbPiezas[[#This Row],[VENTA]]*$G$2</f>
        <v>7.9344999999999999</v>
      </c>
    </row>
    <row r="543" spans="2:8" x14ac:dyDescent="0.3">
      <c r="B543" s="234" t="s">
        <v>960</v>
      </c>
      <c r="C543" s="234">
        <v>538</v>
      </c>
      <c r="D543" s="234" t="s">
        <v>988</v>
      </c>
      <c r="E543" s="240" t="s">
        <v>961</v>
      </c>
      <c r="F543" s="241">
        <v>0.26200000000000001</v>
      </c>
      <c r="G543" s="237">
        <v>45.1</v>
      </c>
      <c r="H543" s="243">
        <f>+TbPiezas[[#This Row],[VENTA]]*$G$2</f>
        <v>2.2550000000000003</v>
      </c>
    </row>
    <row r="544" spans="2:8" x14ac:dyDescent="0.3">
      <c r="B544" s="234" t="s">
        <v>962</v>
      </c>
      <c r="C544" s="234">
        <v>539</v>
      </c>
      <c r="D544" s="234" t="s">
        <v>988</v>
      </c>
      <c r="E544" s="240" t="s">
        <v>963</v>
      </c>
      <c r="F544" s="241">
        <v>0.2</v>
      </c>
      <c r="G544" s="237">
        <v>45.1</v>
      </c>
      <c r="H544" s="243">
        <f>+TbPiezas[[#This Row],[VENTA]]*$G$2</f>
        <v>2.2550000000000003</v>
      </c>
    </row>
    <row r="545" spans="2:8" x14ac:dyDescent="0.3">
      <c r="B545" s="234" t="s">
        <v>964</v>
      </c>
      <c r="C545" s="234">
        <v>540</v>
      </c>
      <c r="D545" s="234" t="s">
        <v>988</v>
      </c>
      <c r="E545" s="240" t="s">
        <v>965</v>
      </c>
      <c r="F545" s="241">
        <v>0.2</v>
      </c>
      <c r="G545" s="237">
        <v>45.1</v>
      </c>
      <c r="H545" s="243">
        <f>+TbPiezas[[#This Row],[VENTA]]*$G$2</f>
        <v>2.2550000000000003</v>
      </c>
    </row>
    <row r="546" spans="2:8" x14ac:dyDescent="0.3">
      <c r="B546" s="234" t="s">
        <v>966</v>
      </c>
      <c r="C546" s="234">
        <v>541</v>
      </c>
      <c r="D546" s="234" t="s">
        <v>988</v>
      </c>
      <c r="E546" s="240" t="s">
        <v>967</v>
      </c>
      <c r="F546" s="241">
        <v>0.2</v>
      </c>
      <c r="G546" s="237">
        <v>45.1</v>
      </c>
      <c r="H546" s="243">
        <f>+TbPiezas[[#This Row],[VENTA]]*$G$2</f>
        <v>2.2550000000000003</v>
      </c>
    </row>
    <row r="547" spans="2:8" x14ac:dyDescent="0.3">
      <c r="B547" s="234" t="s">
        <v>968</v>
      </c>
      <c r="C547" s="234">
        <v>542</v>
      </c>
      <c r="D547" s="234" t="s">
        <v>989</v>
      </c>
      <c r="E547" s="240" t="s">
        <v>969</v>
      </c>
      <c r="F547" s="241">
        <v>27.2</v>
      </c>
      <c r="G547" s="237">
        <v>127.05</v>
      </c>
      <c r="H547" s="243">
        <f>+TbPiezas[[#This Row],[VENTA]]*$G$2</f>
        <v>6.3525</v>
      </c>
    </row>
    <row r="548" spans="2:8" x14ac:dyDescent="0.3">
      <c r="B548" s="234" t="s">
        <v>970</v>
      </c>
      <c r="C548" s="234">
        <v>543</v>
      </c>
      <c r="D548" s="234" t="s">
        <v>989</v>
      </c>
      <c r="E548" s="240" t="s">
        <v>971</v>
      </c>
      <c r="F548" s="241">
        <v>2.52</v>
      </c>
      <c r="G548" s="237">
        <v>12.71</v>
      </c>
      <c r="H548" s="243">
        <f>+TbPiezas[[#This Row],[VENTA]]*$G$2</f>
        <v>0.63550000000000006</v>
      </c>
    </row>
    <row r="549" spans="2:8" x14ac:dyDescent="0.3">
      <c r="B549" s="234" t="s">
        <v>972</v>
      </c>
      <c r="C549" s="234">
        <v>544</v>
      </c>
      <c r="D549" s="234" t="s">
        <v>989</v>
      </c>
      <c r="E549" s="240" t="s">
        <v>973</v>
      </c>
      <c r="F549" s="241">
        <v>0.63600000000000001</v>
      </c>
      <c r="G549" s="237">
        <v>50.82</v>
      </c>
      <c r="H549" s="243">
        <f>+TbPiezas[[#This Row],[VENTA]]*$G$2</f>
        <v>2.5410000000000004</v>
      </c>
    </row>
    <row r="550" spans="2:8" x14ac:dyDescent="0.3">
      <c r="B550" s="234" t="s">
        <v>974</v>
      </c>
      <c r="C550" s="234">
        <v>545</v>
      </c>
      <c r="D550" s="234" t="s">
        <v>989</v>
      </c>
      <c r="E550" s="240" t="s">
        <v>975</v>
      </c>
      <c r="F550" s="241">
        <v>70</v>
      </c>
      <c r="G550" s="237">
        <v>1079.93</v>
      </c>
      <c r="H550" s="243">
        <f>+TbPiezas[[#This Row],[VENTA]]*$G$2</f>
        <v>53.996500000000005</v>
      </c>
    </row>
    <row r="551" spans="2:8" x14ac:dyDescent="0.3">
      <c r="B551" s="234" t="s">
        <v>976</v>
      </c>
      <c r="C551" s="234">
        <v>546</v>
      </c>
      <c r="D551" s="234" t="s">
        <v>989</v>
      </c>
      <c r="E551" s="240" t="s">
        <v>977</v>
      </c>
      <c r="F551" s="241">
        <v>65</v>
      </c>
      <c r="G551" s="237">
        <v>1715.18</v>
      </c>
      <c r="H551" s="243">
        <f>+TbPiezas[[#This Row],[VENTA]]*$G$2</f>
        <v>85.759000000000015</v>
      </c>
    </row>
    <row r="552" spans="2:8" x14ac:dyDescent="0.3">
      <c r="F552"/>
      <c r="H552"/>
    </row>
    <row r="553" spans="2:8" x14ac:dyDescent="0.3">
      <c r="F553"/>
      <c r="H553"/>
    </row>
  </sheetData>
  <phoneticPr fontId="1" type="noConversion"/>
  <conditionalFormatting sqref="D344:E347">
    <cfRule type="containsBlanks" dxfId="371" priority="2">
      <formula>LEN(TRIM(D344))=0</formula>
    </cfRule>
  </conditionalFormatting>
  <conditionalFormatting sqref="B344:B347">
    <cfRule type="containsBlanks" dxfId="370" priority="1">
      <formula>LEN(TRIM(B344))=0</formula>
    </cfRule>
  </conditionalFormatting>
  <pageMargins left="0.7" right="0.7" top="0.75" bottom="0.75" header="0.3" footer="0.3"/>
  <ignoredErrors>
    <ignoredError sqref="H160:H162" calculatedColum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600FF-760F-408A-96A5-5EE50D4772E3}">
  <sheetPr codeName="Hoja15">
    <tabColor rgb="FF002060"/>
  </sheetPr>
  <dimension ref="A1:DH616"/>
  <sheetViews>
    <sheetView workbookViewId="0">
      <selection activeCell="D353" sqref="D353"/>
    </sheetView>
  </sheetViews>
  <sheetFormatPr baseColWidth="10" defaultColWidth="11.44140625" defaultRowHeight="14.4" outlineLevelCol="1" x14ac:dyDescent="0.3"/>
  <cols>
    <col min="1" max="1" width="2.33203125" style="40" customWidth="1"/>
    <col min="2" max="2" width="17.5546875" style="2" hidden="1" customWidth="1"/>
    <col min="3" max="3" width="18" style="41" customWidth="1"/>
    <col min="4" max="4" width="60.6640625" style="2" customWidth="1"/>
    <col min="5" max="5" width="13.5546875" style="2" customWidth="1"/>
    <col min="6" max="6" width="11.6640625" style="40" customWidth="1"/>
    <col min="7" max="7" width="2.6640625" style="40" customWidth="1"/>
    <col min="8" max="8" width="16.109375" style="40" hidden="1" customWidth="1"/>
    <col min="9" max="9" width="9.88671875" style="40" hidden="1" customWidth="1"/>
    <col min="10" max="11" width="15.6640625" style="40" customWidth="1"/>
    <col min="12" max="20" width="15.6640625" style="40" customWidth="1" outlineLevel="1"/>
    <col min="21" max="22" width="12.88671875" style="42" customWidth="1"/>
    <col min="23" max="23" width="13.5546875" style="43" customWidth="1"/>
    <col min="24" max="24" width="14.33203125" style="43" customWidth="1"/>
    <col min="25" max="25" width="13.6640625" style="43" customWidth="1"/>
    <col min="26" max="26" width="14.33203125" style="43" customWidth="1"/>
    <col min="27" max="16384" width="11.44140625" style="2"/>
  </cols>
  <sheetData>
    <row r="1" spans="1:112" ht="18" thickBot="1" x14ac:dyDescent="0.35">
      <c r="A1" s="281" t="s">
        <v>1096</v>
      </c>
      <c r="B1" s="471" t="s">
        <v>1097</v>
      </c>
      <c r="C1" s="472"/>
      <c r="D1" s="472"/>
      <c r="E1" s="472"/>
      <c r="F1" s="473"/>
      <c r="G1" s="282"/>
      <c r="H1" s="280" t="s">
        <v>1279</v>
      </c>
      <c r="I1" s="474" t="s">
        <v>1098</v>
      </c>
      <c r="J1" s="475"/>
      <c r="K1" s="475"/>
      <c r="L1" s="475"/>
      <c r="M1" s="475"/>
      <c r="N1" s="475"/>
      <c r="O1" s="475"/>
      <c r="P1" s="475"/>
      <c r="Q1" s="475"/>
      <c r="R1" s="475"/>
      <c r="S1" s="476"/>
      <c r="T1" s="30"/>
      <c r="U1" s="477" t="s">
        <v>1099</v>
      </c>
      <c r="V1" s="478"/>
      <c r="W1" s="478"/>
      <c r="X1" s="478"/>
      <c r="Y1" s="479"/>
      <c r="Z1" s="283"/>
      <c r="AA1" s="480" t="s">
        <v>1100</v>
      </c>
      <c r="AB1" s="481"/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2"/>
      <c r="AQ1" s="30"/>
      <c r="AR1" s="483" t="s">
        <v>1101</v>
      </c>
      <c r="AS1" s="484"/>
      <c r="AT1" s="484"/>
      <c r="AU1" s="484"/>
      <c r="AV1" s="485"/>
      <c r="AW1" s="284"/>
      <c r="AX1" s="458" t="s">
        <v>1102</v>
      </c>
      <c r="AY1" s="459"/>
      <c r="AZ1" s="459"/>
      <c r="BA1" s="459"/>
      <c r="BB1" s="459"/>
      <c r="BC1" s="459"/>
      <c r="BD1" s="459"/>
      <c r="BE1" s="459"/>
      <c r="BF1" s="460"/>
      <c r="BG1" s="31" t="s">
        <v>1103</v>
      </c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</row>
    <row r="2" spans="1:112" ht="15" thickBot="1" x14ac:dyDescent="0.35">
      <c r="A2" s="285" t="s">
        <v>1104</v>
      </c>
      <c r="B2" s="286" t="s">
        <v>1022</v>
      </c>
      <c r="C2" s="287" t="s">
        <v>1105</v>
      </c>
      <c r="D2" s="287" t="s">
        <v>1106</v>
      </c>
      <c r="E2" s="287" t="s">
        <v>992</v>
      </c>
      <c r="F2" s="287" t="s">
        <v>1107</v>
      </c>
      <c r="G2" s="287" t="s">
        <v>1108</v>
      </c>
      <c r="H2" s="288" t="s">
        <v>1109</v>
      </c>
      <c r="I2" s="288" t="s">
        <v>1110</v>
      </c>
      <c r="J2" s="288" t="s">
        <v>1111</v>
      </c>
      <c r="K2" s="285" t="s">
        <v>1112</v>
      </c>
      <c r="L2" s="288" t="s">
        <v>1113</v>
      </c>
      <c r="M2" s="288" t="s">
        <v>1114</v>
      </c>
      <c r="N2" s="288" t="s">
        <v>1115</v>
      </c>
      <c r="O2" s="288" t="s">
        <v>1280</v>
      </c>
      <c r="P2" s="288" t="s">
        <v>1116</v>
      </c>
      <c r="Q2" s="288" t="s">
        <v>1276</v>
      </c>
      <c r="R2" s="288" t="s">
        <v>1117</v>
      </c>
      <c r="S2" s="288" t="s">
        <v>1118</v>
      </c>
      <c r="T2" s="32"/>
      <c r="U2" s="289" t="s">
        <v>1119</v>
      </c>
      <c r="V2" s="289" t="s">
        <v>1120</v>
      </c>
      <c r="W2" s="289" t="s">
        <v>1281</v>
      </c>
      <c r="X2" s="289" t="s">
        <v>1121</v>
      </c>
      <c r="Y2" s="289" t="s">
        <v>1122</v>
      </c>
      <c r="Z2" s="32"/>
      <c r="AA2" s="290" t="s">
        <v>1123</v>
      </c>
      <c r="AB2" s="291" t="s">
        <v>1124</v>
      </c>
      <c r="AC2" s="291" t="s">
        <v>1125</v>
      </c>
      <c r="AD2" s="291" t="s">
        <v>1126</v>
      </c>
      <c r="AE2" s="291" t="s">
        <v>1127</v>
      </c>
      <c r="AF2" s="291" t="s">
        <v>1128</v>
      </c>
      <c r="AG2" s="291" t="s">
        <v>1129</v>
      </c>
      <c r="AH2" s="291" t="s">
        <v>1130</v>
      </c>
      <c r="AI2" s="292" t="s">
        <v>1131</v>
      </c>
      <c r="AJ2" s="291" t="s">
        <v>996</v>
      </c>
      <c r="AK2" s="291" t="s">
        <v>1118</v>
      </c>
      <c r="AL2" s="291" t="s">
        <v>1132</v>
      </c>
      <c r="AM2" s="291" t="s">
        <v>1115</v>
      </c>
      <c r="AN2" s="291" t="s">
        <v>1133</v>
      </c>
      <c r="AO2" s="291" t="s">
        <v>1134</v>
      </c>
      <c r="AP2" s="292" t="s">
        <v>1135</v>
      </c>
      <c r="AQ2" s="32"/>
      <c r="AR2" s="33" t="s">
        <v>1101</v>
      </c>
      <c r="AS2" s="33" t="s">
        <v>1124</v>
      </c>
      <c r="AT2" s="33" t="s">
        <v>1125</v>
      </c>
      <c r="AU2" s="33" t="s">
        <v>1126</v>
      </c>
      <c r="AV2" s="33" t="s">
        <v>1118</v>
      </c>
      <c r="AW2" s="34"/>
      <c r="AX2" s="293" t="s">
        <v>1136</v>
      </c>
      <c r="AY2" s="293" t="s">
        <v>1137</v>
      </c>
      <c r="AZ2" s="294"/>
      <c r="BA2" s="293" t="s">
        <v>1138</v>
      </c>
      <c r="BB2" s="293" t="s">
        <v>1139</v>
      </c>
      <c r="BC2" s="293" t="s">
        <v>1140</v>
      </c>
      <c r="BD2" s="293" t="s">
        <v>1141</v>
      </c>
      <c r="BE2" s="293" t="s">
        <v>1142</v>
      </c>
      <c r="BF2" s="293" t="s">
        <v>1143</v>
      </c>
      <c r="BG2" s="288" t="s">
        <v>1144</v>
      </c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</row>
    <row r="3" spans="1:112" ht="15" customHeight="1" thickBot="1" x14ac:dyDescent="0.3">
      <c r="A3" s="364">
        <v>45498.400821759256</v>
      </c>
      <c r="B3" s="35" t="s">
        <v>1361</v>
      </c>
      <c r="C3" s="271" t="s">
        <v>1362</v>
      </c>
      <c r="D3" s="35" t="s">
        <v>1363</v>
      </c>
      <c r="E3" s="35" t="s">
        <v>991</v>
      </c>
      <c r="F3" s="36" t="s">
        <v>1325</v>
      </c>
      <c r="G3" s="379" t="s">
        <v>1326</v>
      </c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8" t="s">
        <v>1364</v>
      </c>
      <c r="AB3" s="365">
        <v>45498</v>
      </c>
      <c r="AC3" s="366" t="s">
        <v>1365</v>
      </c>
      <c r="AD3" s="366">
        <v>103.1</v>
      </c>
      <c r="AE3" s="38" t="s">
        <v>1327</v>
      </c>
      <c r="AF3" s="35" t="s">
        <v>1328</v>
      </c>
      <c r="AG3" s="35" t="s">
        <v>1366</v>
      </c>
      <c r="AH3" s="35" t="s">
        <v>1329</v>
      </c>
      <c r="AI3" s="35" t="s">
        <v>1329</v>
      </c>
      <c r="AJ3" s="35" t="s">
        <v>1367</v>
      </c>
      <c r="AK3" s="35"/>
      <c r="AL3" s="35"/>
      <c r="AM3" s="35"/>
      <c r="AN3" s="35"/>
      <c r="AO3" s="35"/>
      <c r="AP3" s="35"/>
      <c r="AQ3" s="35" t="s">
        <v>1330</v>
      </c>
      <c r="AR3" s="35"/>
      <c r="AS3" s="35"/>
      <c r="AT3" s="35"/>
      <c r="AU3" s="35"/>
      <c r="AV3" s="35"/>
      <c r="AW3" s="35"/>
      <c r="AX3" s="365">
        <v>45498</v>
      </c>
      <c r="AY3" s="380" t="s">
        <v>1368</v>
      </c>
      <c r="AZ3" s="367" t="s">
        <v>1369</v>
      </c>
      <c r="BA3" s="381">
        <v>25.3</v>
      </c>
      <c r="BB3" s="39">
        <v>1</v>
      </c>
      <c r="BC3" s="35" t="s">
        <v>1370</v>
      </c>
      <c r="BD3" s="35" t="s">
        <v>1371</v>
      </c>
      <c r="BE3" s="365">
        <v>45498</v>
      </c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0"/>
    </row>
    <row r="4" spans="1:112" ht="9.9" customHeight="1" x14ac:dyDescent="0.3">
      <c r="U4" s="40"/>
      <c r="V4" s="2"/>
      <c r="W4" s="2"/>
      <c r="X4" s="2"/>
      <c r="Y4" s="2"/>
      <c r="Z4" s="2"/>
      <c r="AE4" s="42"/>
      <c r="AF4" s="42"/>
      <c r="AH4" s="43"/>
      <c r="AI4" s="43"/>
      <c r="AK4" s="43"/>
      <c r="AL4" s="43"/>
    </row>
    <row r="5" spans="1:112" ht="15" customHeight="1" x14ac:dyDescent="0.3">
      <c r="A5" s="2"/>
      <c r="C5" s="461"/>
      <c r="D5" s="44" t="str">
        <f>CONCATENATE(IF(C3="EI - Encofrados Innova","EI",IF(C3="AE - Andamios Electricos Innova","AE",IF(C3="IR - Innova Rental","IR",IF(C3="IA - Indek Andina","IA","")))),"-PP-",TEXT(K7,"0000"),"_",K8)</f>
        <v>EI-PP-0000_1</v>
      </c>
      <c r="E5" s="45" t="s">
        <v>998</v>
      </c>
      <c r="F5" s="299"/>
      <c r="G5" s="2"/>
      <c r="H5" s="2"/>
      <c r="I5" s="68"/>
      <c r="L5" s="2"/>
      <c r="M5" s="2"/>
      <c r="N5" s="2"/>
      <c r="O5" s="2"/>
      <c r="P5" s="2"/>
      <c r="Q5" s="2"/>
      <c r="R5" s="2"/>
      <c r="S5" s="2"/>
      <c r="T5" s="2"/>
    </row>
    <row r="6" spans="1:112" ht="15" customHeight="1" x14ac:dyDescent="0.3">
      <c r="A6" s="2"/>
      <c r="C6" s="462"/>
      <c r="D6" s="44" t="str">
        <f>CONCATENATE(C3,"  --  ",IF(B3="MM - Maria Morales","Maria",IF(B3="KC - Katya Chalco","Katya",IF(B3="AR - Antonio Rodriguez","Antonio",IF(B3="IG - Ivonne Garcia","Ivonne",IF(B3="FC - Frank Cespedes","Frank",IF(B3="LR - Lucas Romero","Lucas",IF(B3="GG - Genaro Garcia","Genaro",""))))))),"  --  Contrato ",AD3)</f>
        <v>EI - Encofrados Innova  --  Maria  --  Contrato 103.1</v>
      </c>
      <c r="E6" s="45" t="s">
        <v>1146</v>
      </c>
      <c r="F6" s="299"/>
      <c r="G6" s="2"/>
      <c r="H6" s="2"/>
      <c r="I6" s="68"/>
      <c r="L6" s="2"/>
      <c r="M6" s="2"/>
      <c r="N6" s="2"/>
      <c r="O6" s="2"/>
      <c r="P6" s="2"/>
      <c r="Q6" s="2"/>
      <c r="R6" s="2"/>
      <c r="S6" s="2"/>
      <c r="T6" s="2"/>
    </row>
    <row r="7" spans="1:112" ht="15.75" customHeight="1" x14ac:dyDescent="0.3">
      <c r="A7" s="2"/>
      <c r="C7" s="463"/>
      <c r="D7" s="464" t="str">
        <f>IF(AA3="","",IF(AA3="CON - Confirmado","CONFIRMADO",IF(AA3="PRE - Pre Confirmado","PRE CONFIRMADO",IF(AA3="POR - Por Confirmar","POR CONFIRMAR",))))</f>
        <v>CONFIRMADO</v>
      </c>
      <c r="E7" s="486" t="s">
        <v>1384</v>
      </c>
      <c r="F7" s="487"/>
      <c r="G7" s="2"/>
      <c r="H7" s="2"/>
      <c r="I7" s="68"/>
      <c r="J7" s="46" t="s">
        <v>1145</v>
      </c>
      <c r="K7" s="47"/>
      <c r="L7" s="2"/>
      <c r="M7" s="2"/>
      <c r="N7" s="2"/>
      <c r="O7" s="2"/>
      <c r="P7" s="2"/>
      <c r="Q7" s="2"/>
      <c r="R7" s="2"/>
      <c r="S7" s="2"/>
      <c r="T7" s="2"/>
    </row>
    <row r="8" spans="1:112" ht="15" customHeight="1" x14ac:dyDescent="0.3">
      <c r="A8" s="2"/>
      <c r="C8" s="466" t="str">
        <f>IF(C3="EI - Encofrados Innova","ENCOFRADOS INNOVA",IF(C3="AE - Andamios Electricos Innova","ANDAMIOS ELECTRICOS",IF(C3="IA - Indek Andina","INDEK ANDINA",IF(C3="IR - Innova Rental","INNOVA RENTAL",""))))</f>
        <v>ENCOFRADOS INNOVA</v>
      </c>
      <c r="D8" s="465"/>
      <c r="E8" s="49" t="s">
        <v>1148</v>
      </c>
      <c r="F8" s="50" t="str">
        <f>UPPER(AH3)</f>
        <v>NO</v>
      </c>
      <c r="G8" s="2"/>
      <c r="H8" s="2"/>
      <c r="I8" s="68"/>
      <c r="J8" s="46" t="s">
        <v>1147</v>
      </c>
      <c r="K8" s="48">
        <v>1</v>
      </c>
      <c r="L8" s="2"/>
      <c r="M8" s="2"/>
      <c r="N8" s="2"/>
      <c r="O8" s="2"/>
      <c r="P8" s="2"/>
      <c r="Q8" s="2"/>
      <c r="R8" s="2"/>
      <c r="S8" s="2"/>
      <c r="T8" s="2"/>
      <c r="W8" s="42"/>
      <c r="X8" s="42"/>
      <c r="Y8" s="53"/>
    </row>
    <row r="9" spans="1:112" ht="15" customHeight="1" x14ac:dyDescent="0.3">
      <c r="A9" s="2"/>
      <c r="C9" s="467"/>
      <c r="D9" s="469" t="str">
        <f>UPPER(D3)</f>
        <v>COGEPATS</v>
      </c>
      <c r="E9" s="49" t="s">
        <v>1150</v>
      </c>
      <c r="F9" s="54">
        <f ca="1">IF(AB3="","",TODAY())</f>
        <v>45806</v>
      </c>
      <c r="G9" s="2"/>
      <c r="H9" s="2"/>
      <c r="I9" s="68"/>
      <c r="J9" s="51" t="s">
        <v>1149</v>
      </c>
      <c r="K9" s="52" t="str">
        <f>+AE3</f>
        <v>Completo</v>
      </c>
      <c r="L9" s="2"/>
      <c r="M9" s="2"/>
      <c r="N9" s="2"/>
      <c r="O9" s="2"/>
      <c r="P9" s="2"/>
      <c r="Q9" s="2"/>
      <c r="R9" s="2"/>
      <c r="S9" s="2"/>
      <c r="T9" s="2"/>
      <c r="W9" s="53"/>
      <c r="X9" s="53"/>
      <c r="Y9" s="53"/>
    </row>
    <row r="10" spans="1:112" ht="15" customHeight="1" x14ac:dyDescent="0.3">
      <c r="A10" s="2"/>
      <c r="C10" s="468"/>
      <c r="D10" s="470"/>
      <c r="E10" s="55" t="s">
        <v>1152</v>
      </c>
      <c r="F10" s="56">
        <f>IF(AB3="","",AB3)</f>
        <v>45498</v>
      </c>
      <c r="G10" s="2"/>
      <c r="H10" s="2"/>
      <c r="I10" s="68"/>
      <c r="J10" s="51" t="s">
        <v>1151</v>
      </c>
      <c r="K10" s="52">
        <f>+AL3</f>
        <v>0</v>
      </c>
      <c r="M10" s="51"/>
      <c r="R10" s="2"/>
      <c r="S10" s="2"/>
      <c r="T10" s="2"/>
    </row>
    <row r="11" spans="1:112" ht="15" customHeight="1" x14ac:dyDescent="0.3">
      <c r="A11" s="2"/>
      <c r="C11" s="451" t="str">
        <f>UPPER(AF3)</f>
        <v>ALQUILER</v>
      </c>
      <c r="D11" s="452" t="str">
        <f>UPPER(E3)</f>
        <v>DISTRITO 18</v>
      </c>
      <c r="E11" s="55" t="s">
        <v>1154</v>
      </c>
      <c r="F11" s="58" t="str">
        <f>IF(AC3="","",AC3)</f>
        <v>11:00:00 a.m.</v>
      </c>
      <c r="G11" s="2"/>
      <c r="H11" s="2"/>
      <c r="I11" s="68"/>
      <c r="J11" s="51" t="s">
        <v>1153</v>
      </c>
      <c r="K11" s="57">
        <f>+AM3</f>
        <v>0</v>
      </c>
      <c r="M11" s="51"/>
      <c r="R11" s="2"/>
      <c r="S11" s="2"/>
      <c r="T11" s="2"/>
    </row>
    <row r="12" spans="1:112" ht="15" customHeight="1" x14ac:dyDescent="0.3">
      <c r="A12" s="2"/>
      <c r="C12" s="451"/>
      <c r="D12" s="452"/>
      <c r="E12" s="49" t="s">
        <v>996</v>
      </c>
      <c r="F12" s="59" t="str">
        <f>UPPER(AJ3)</f>
        <v>ELLOS</v>
      </c>
      <c r="G12" s="2"/>
      <c r="H12" s="2"/>
      <c r="I12" s="68"/>
      <c r="J12" s="51" t="s">
        <v>1155</v>
      </c>
      <c r="K12" s="57">
        <f>+AN3</f>
        <v>0</v>
      </c>
      <c r="Q12" s="2"/>
      <c r="R12" s="2"/>
      <c r="S12" s="2"/>
      <c r="T12" s="2"/>
    </row>
    <row r="13" spans="1:112" ht="15" customHeight="1" x14ac:dyDescent="0.3">
      <c r="A13" s="2"/>
      <c r="C13" s="61" t="str">
        <f>IF(G3="","",IF(G3="LM - Lima","LIMA",IF(G3="PV - Provincia","PROVINCIA",)))</f>
        <v>LIMA</v>
      </c>
      <c r="D13" s="62" t="str">
        <f>IF(AN3="",UPPER(AG3),CONCATENATE(UPPER(AG3)," / Plan ",UPPER(AN3)))</f>
        <v>URGENTE</v>
      </c>
      <c r="E13" s="49" t="s">
        <v>1373</v>
      </c>
      <c r="F13" s="63">
        <f>IF(V565=0,"",V565)</f>
        <v>17.541866000000002</v>
      </c>
      <c r="G13" s="2"/>
      <c r="H13" s="2"/>
      <c r="I13" s="68"/>
      <c r="J13" s="51" t="s">
        <v>1156</v>
      </c>
      <c r="K13" s="60">
        <f>+AO3</f>
        <v>0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112" s="4" customFormat="1" ht="15" customHeight="1" x14ac:dyDescent="0.3">
      <c r="A14" s="2"/>
      <c r="C14" s="453" t="str">
        <f>CONCATENATE("  NOTA ADICIONAL: ",AK3)</f>
        <v xml:space="preserve">  NOTA ADICIONAL: </v>
      </c>
      <c r="D14" s="453"/>
      <c r="E14" s="453"/>
      <c r="F14" s="453"/>
      <c r="G14" s="2"/>
      <c r="H14" s="2"/>
      <c r="I14" s="68"/>
      <c r="J14" s="51" t="s">
        <v>1157</v>
      </c>
      <c r="K14" s="349" t="str">
        <f>IF((2*F22+F23+F24+F25+F26+F27+F28+F51+F52+F53+F119)=0,"-",IF(2*F22+F23+F24+F25+F26+F27+F51+F52+F53+F119=F28,"ESPIGAS OK","ESPIGAS MAL"))</f>
        <v>ESPIGAS OK</v>
      </c>
      <c r="L14" s="40"/>
      <c r="M14" s="40"/>
      <c r="R14" s="2"/>
      <c r="S14" s="2"/>
      <c r="T14" s="2"/>
      <c r="U14" s="2"/>
      <c r="V14" s="2"/>
      <c r="W14" s="2"/>
      <c r="X14" s="2"/>
      <c r="Y14" s="2"/>
      <c r="Z14" s="2"/>
    </row>
    <row r="15" spans="1:112" ht="7.5" customHeight="1" x14ac:dyDescent="0.3">
      <c r="A15" s="2"/>
      <c r="F15" s="2"/>
      <c r="G15" s="2"/>
      <c r="H15" s="2"/>
      <c r="I15" s="68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112" s="68" customFormat="1" ht="15" customHeight="1" x14ac:dyDescent="0.3">
      <c r="A16" s="2"/>
      <c r="B16" s="65"/>
      <c r="C16" s="65"/>
      <c r="D16" s="65"/>
      <c r="E16" s="66"/>
      <c r="F16" s="269">
        <f>IF(OR(K14="ESPIGAS OK",K14="-"),SUM(F18:F563),"ERROR")</f>
        <v>1737</v>
      </c>
      <c r="G16" s="2"/>
      <c r="H16" s="2"/>
      <c r="J16" s="67">
        <f>SUM(TbAlquiler[GENERAL])</f>
        <v>21</v>
      </c>
      <c r="K16" s="67">
        <f>SUM(TbAlquiler[FACHADA])</f>
        <v>0</v>
      </c>
      <c r="L16" s="67">
        <f>SUM(TbAlquiler[ AND. TRABAJO])</f>
        <v>65</v>
      </c>
      <c r="M16" s="67">
        <f>SUM(TbAlquiler[ESCALERA])</f>
        <v>65</v>
      </c>
      <c r="N16" s="67">
        <f>SUM(TbAlquiler[ESCUADRAS])</f>
        <v>0</v>
      </c>
      <c r="O16" s="67">
        <f>SUM(TbAlquiler[PUNTALES])</f>
        <v>1000</v>
      </c>
      <c r="P16" s="67">
        <f>SUM(TbAlquiler[ENCOFRADO])</f>
        <v>0</v>
      </c>
      <c r="Q16" s="67">
        <f>SUM(TbAlquiler[PLAT. DESCAR])</f>
        <v>10</v>
      </c>
      <c r="R16" s="67">
        <f>SUM(TbAlquiler[ADE])</f>
        <v>0</v>
      </c>
      <c r="S16" s="67">
        <f>SUM(TbAlquiler[ELEVADOR])</f>
        <v>582</v>
      </c>
      <c r="T16" s="262">
        <f>SUM(TbAlquiler[TOTAL])</f>
        <v>1743</v>
      </c>
      <c r="U16" s="454" t="s">
        <v>2</v>
      </c>
      <c r="V16" s="455"/>
      <c r="W16" s="456" t="s">
        <v>1158</v>
      </c>
      <c r="X16" s="457"/>
      <c r="Y16" s="443" t="s">
        <v>1159</v>
      </c>
      <c r="Z16" s="444"/>
    </row>
    <row r="17" spans="1:26" s="68" customFormat="1" ht="15" customHeight="1" x14ac:dyDescent="0.3">
      <c r="A17" s="2"/>
      <c r="B17" s="69" t="s">
        <v>1252</v>
      </c>
      <c r="C17" s="69" t="s">
        <v>1</v>
      </c>
      <c r="D17" s="445" t="s">
        <v>0</v>
      </c>
      <c r="E17" s="446"/>
      <c r="F17" s="109" t="s">
        <v>1160</v>
      </c>
      <c r="G17" s="2"/>
      <c r="H17" s="261" t="s">
        <v>1</v>
      </c>
      <c r="I17" s="261" t="s">
        <v>1161</v>
      </c>
      <c r="J17" s="254" t="s">
        <v>1270</v>
      </c>
      <c r="K17" s="253" t="s">
        <v>1271</v>
      </c>
      <c r="L17" s="253" t="s">
        <v>1273</v>
      </c>
      <c r="M17" s="253" t="s">
        <v>1274</v>
      </c>
      <c r="N17" s="251" t="s">
        <v>993</v>
      </c>
      <c r="O17" s="251" t="s">
        <v>994</v>
      </c>
      <c r="P17" s="251" t="s">
        <v>1272</v>
      </c>
      <c r="Q17" s="251" t="s">
        <v>1275</v>
      </c>
      <c r="R17" s="252" t="s">
        <v>1133</v>
      </c>
      <c r="S17" s="252" t="s">
        <v>1276</v>
      </c>
      <c r="T17" s="263" t="s">
        <v>1162</v>
      </c>
      <c r="U17" s="264" t="s">
        <v>1163</v>
      </c>
      <c r="V17" s="265" t="s">
        <v>1164</v>
      </c>
      <c r="W17" s="266" t="s">
        <v>1165</v>
      </c>
      <c r="X17" s="267" t="s">
        <v>1166</v>
      </c>
      <c r="Y17" s="268" t="s">
        <v>1167</v>
      </c>
      <c r="Z17" s="118" t="s">
        <v>1168</v>
      </c>
    </row>
    <row r="18" spans="1:26" ht="15" customHeight="1" x14ac:dyDescent="0.3">
      <c r="A18" s="2"/>
      <c r="B18" s="70">
        <v>1</v>
      </c>
      <c r="C18" s="71" t="s">
        <v>3</v>
      </c>
      <c r="D18" s="72" t="s">
        <v>4</v>
      </c>
      <c r="E18" s="73"/>
      <c r="F18" s="74">
        <f>+VLOOKUP(C18,TbAlquiler[],13,FALSE)</f>
        <v>8</v>
      </c>
      <c r="G18" s="2"/>
      <c r="H18" s="75" t="str">
        <f t="shared" ref="H18:H81" si="0">+C18</f>
        <v>AM.0100</v>
      </c>
      <c r="I18" s="59" t="str">
        <f t="shared" ref="I18:I81" si="1">+IF(C18=H18,"ok","mal")</f>
        <v>ok</v>
      </c>
      <c r="J18" s="77">
        <f>IFERROR(VLOOKUP($H18,TG[],3,FALSE),"NA")</f>
        <v>0</v>
      </c>
      <c r="K18" s="77">
        <f>IFERROR(VLOOKUP($H18,TF[],3,FALSE),"NA")</f>
        <v>0</v>
      </c>
      <c r="L18" s="77">
        <f>IFERROR(VLOOKUP($H18,TT[],3,FALSE),"NA")</f>
        <v>4</v>
      </c>
      <c r="M18" s="77">
        <f>IFERROR(VLOOKUP($H18,TES[],3,FALSE),"NA")</f>
        <v>4</v>
      </c>
      <c r="N18" s="77" t="str">
        <f>IFERROR(VLOOKUP($H18,TEC[],3,FALSE),"NA")</f>
        <v>NA</v>
      </c>
      <c r="O18" s="77" t="str">
        <f>IFERROR(VLOOKUP($H18,TP[],3,FALSE),"NA")</f>
        <v>NA</v>
      </c>
      <c r="P18" s="77" t="str">
        <f>IFERROR(VLOOKUP($H18,TEN[],3,FALSE),"NA")</f>
        <v>NA</v>
      </c>
      <c r="Q18" s="77" t="str">
        <f>IFERROR(VLOOKUP($H18,TD[],3,FALSE),"NA")</f>
        <v>NA</v>
      </c>
      <c r="R18" s="77" t="str">
        <f>IFERROR(VLOOKUP($H18,TC[],3,FALSE),"NA")</f>
        <v>NA</v>
      </c>
      <c r="S18" s="77" t="str">
        <f>IFERROR(VLOOKUP($H18,TEV[],3,FALSE),"NA")</f>
        <v>NA</v>
      </c>
      <c r="T18" s="79">
        <f>SUM(TbAlquiler[[#This Row],[GENERAL]:[ELEVADOR]])</f>
        <v>8</v>
      </c>
      <c r="U18" s="80">
        <f>IF(VLOOKUP(TbAlquiler[[#This Row],[ITEM]],TbPiezas[],5,FALSE)="NA",0,VLOOKUP(TbAlquiler[[#This Row],[ITEM]],TbPiezas[],5,FALSE))</f>
        <v>3.2999999999999972</v>
      </c>
      <c r="V18" s="81">
        <f>+TbAlquiler[[#This Row],[TOTAL]]*TbAlquiler[[#This Row],[P.U. (1)]]</f>
        <v>26.399999999999977</v>
      </c>
      <c r="W18" s="82">
        <f>+VLOOKUP(TbAlquiler[[#This Row],[ITEM]],TbPiezas[],6,FALSE)</f>
        <v>86.53</v>
      </c>
      <c r="X18" s="83">
        <f>+TbAlquiler[[#This Row],[TOTAL]]*TbAlquiler[[#This Row],[P.U. (2)]]</f>
        <v>692.24</v>
      </c>
      <c r="Y18" s="82">
        <f>+VLOOKUP(TbAlquiler[[#This Row],[ITEM]],TbPiezas[],7,FALSE)</f>
        <v>4.3265000000000002</v>
      </c>
      <c r="Z18" s="84">
        <f>+TbAlquiler[[#This Row],[TOTAL]]*TbAlquiler[[#This Row],[P.U. (3)]]</f>
        <v>34.612000000000002</v>
      </c>
    </row>
    <row r="19" spans="1:26" ht="15" customHeight="1" x14ac:dyDescent="0.3">
      <c r="A19" s="2"/>
      <c r="B19" s="85">
        <v>2</v>
      </c>
      <c r="C19" s="71" t="s">
        <v>5</v>
      </c>
      <c r="D19" s="72" t="s">
        <v>6</v>
      </c>
      <c r="E19" s="73"/>
      <c r="F19" s="74">
        <f>+VLOOKUP(C19,TbAlquiler[],13,FALSE)</f>
        <v>0</v>
      </c>
      <c r="G19" s="2"/>
      <c r="H19" s="75" t="str">
        <f t="shared" si="0"/>
        <v>AM.0200</v>
      </c>
      <c r="I19" s="59" t="str">
        <f t="shared" si="1"/>
        <v>ok</v>
      </c>
      <c r="J19" s="77">
        <f>IFERROR(VLOOKUP($H19,TG[],3,FALSE),"NA")</f>
        <v>0</v>
      </c>
      <c r="K19" s="77" t="str">
        <f>IFERROR(VLOOKUP($H19,TF[],3,FALSE),"NA")</f>
        <v>NA</v>
      </c>
      <c r="L19" s="77">
        <f>IFERROR(VLOOKUP($H19,TT[],3,FALSE),"NA")</f>
        <v>0</v>
      </c>
      <c r="M19" s="77" t="str">
        <f>IFERROR(VLOOKUP($H19,TES[],3,FALSE),"NA")</f>
        <v>NA</v>
      </c>
      <c r="N19" s="77" t="str">
        <f>IFERROR(VLOOKUP($H19,TEC[],3,FALSE),"NA")</f>
        <v>NA</v>
      </c>
      <c r="O19" s="77" t="str">
        <f>IFERROR(VLOOKUP($H19,TP[],3,FALSE),"NA")</f>
        <v>NA</v>
      </c>
      <c r="P19" s="77" t="str">
        <f>IFERROR(VLOOKUP($H19,TEN[],3,FALSE),"NA")</f>
        <v>NA</v>
      </c>
      <c r="Q19" s="77" t="str">
        <f>IFERROR(VLOOKUP($H19,TD[],3,FALSE),"NA")</f>
        <v>NA</v>
      </c>
      <c r="R19" s="77" t="str">
        <f>IFERROR(VLOOKUP($H19,TC[],3,FALSE),"NA")</f>
        <v>NA</v>
      </c>
      <c r="S19" s="77" t="str">
        <f>IFERROR(VLOOKUP($H19,TEV[],3,FALSE),"NA")</f>
        <v>NA</v>
      </c>
      <c r="T19" s="79">
        <f>SUM(TbAlquiler[[#This Row],[GENERAL]:[ELEVADOR]])</f>
        <v>0</v>
      </c>
      <c r="U19" s="80">
        <f>IF(VLOOKUP(TbAlquiler[[#This Row],[ITEM]],TbPiezas[],5,FALSE)="NA",0,VLOOKUP(TbAlquiler[[#This Row],[ITEM]],TbPiezas[],5,FALSE))</f>
        <v>5.9000000000000057</v>
      </c>
      <c r="V19" s="81">
        <f>+TbAlquiler[[#This Row],[TOTAL]]*TbAlquiler[[#This Row],[P.U. (1)]]</f>
        <v>0</v>
      </c>
      <c r="W19" s="82">
        <f>+VLOOKUP(TbAlquiler[[#This Row],[ITEM]],TbPiezas[],6,FALSE)</f>
        <v>371.46</v>
      </c>
      <c r="X19" s="83">
        <f>+TbAlquiler[[#This Row],[TOTAL]]*TbAlquiler[[#This Row],[P.U. (2)]]</f>
        <v>0</v>
      </c>
      <c r="Y19" s="82">
        <f>+VLOOKUP(TbAlquiler[[#This Row],[ITEM]],TbPiezas[],7,FALSE)</f>
        <v>18.573</v>
      </c>
      <c r="Z19" s="84">
        <f>+TbAlquiler[[#This Row],[TOTAL]]*TbAlquiler[[#This Row],[P.U. (3)]]</f>
        <v>0</v>
      </c>
    </row>
    <row r="20" spans="1:26" ht="15" customHeight="1" x14ac:dyDescent="0.3">
      <c r="A20" s="2"/>
      <c r="B20" s="85">
        <v>3</v>
      </c>
      <c r="C20" s="71" t="s">
        <v>7</v>
      </c>
      <c r="D20" s="72" t="s">
        <v>8</v>
      </c>
      <c r="E20" s="73"/>
      <c r="F20" s="74">
        <f>+VLOOKUP(C20,TbAlquiler[],13,FALSE)</f>
        <v>8</v>
      </c>
      <c r="G20" s="2"/>
      <c r="H20" s="75" t="str">
        <f t="shared" si="0"/>
        <v>AM.0300</v>
      </c>
      <c r="I20" s="59" t="str">
        <f t="shared" si="1"/>
        <v>ok</v>
      </c>
      <c r="J20" s="77">
        <f>IFERROR(VLOOKUP($H20,TG[],3,FALSE),"NA")</f>
        <v>0</v>
      </c>
      <c r="K20" s="77">
        <f>IFERROR(VLOOKUP($H20,TF[],3,FALSE),"NA")</f>
        <v>0</v>
      </c>
      <c r="L20" s="77">
        <f>IFERROR(VLOOKUP($H20,TT[],3,FALSE),"NA")</f>
        <v>4</v>
      </c>
      <c r="M20" s="77">
        <f>IFERROR(VLOOKUP($H20,TES[],3,FALSE),"NA")</f>
        <v>4</v>
      </c>
      <c r="N20" s="77" t="str">
        <f>IFERROR(VLOOKUP($H20,TEC[],3,FALSE),"NA")</f>
        <v>NA</v>
      </c>
      <c r="O20" s="77" t="str">
        <f>IFERROR(VLOOKUP($H20,TP[],3,FALSE),"NA")</f>
        <v>NA</v>
      </c>
      <c r="P20" s="77" t="str">
        <f>IFERROR(VLOOKUP($H20,TEN[],3,FALSE),"NA")</f>
        <v>NA</v>
      </c>
      <c r="Q20" s="77" t="str">
        <f>IFERROR(VLOOKUP($H20,TD[],3,FALSE),"NA")</f>
        <v>NA</v>
      </c>
      <c r="R20" s="77" t="str">
        <f>IFERROR(VLOOKUP($H20,TC[],3,FALSE),"NA")</f>
        <v>NA</v>
      </c>
      <c r="S20" s="77" t="str">
        <f>IFERROR(VLOOKUP($H20,TEV[],3,FALSE),"NA")</f>
        <v>NA</v>
      </c>
      <c r="T20" s="79">
        <f>SUM(TbAlquiler[[#This Row],[GENERAL]:[ELEVADOR]])</f>
        <v>8</v>
      </c>
      <c r="U20" s="80">
        <f>IF(VLOOKUP(TbAlquiler[[#This Row],[ITEM]],TbPiezas[],5,FALSE)="NA",0,VLOOKUP(TbAlquiler[[#This Row],[ITEM]],TbPiezas[],5,FALSE))</f>
        <v>1.8999999999999915</v>
      </c>
      <c r="V20" s="81">
        <f>+TbAlquiler[[#This Row],[TOTAL]]*TbAlquiler[[#This Row],[P.U. (1)]]</f>
        <v>15.199999999999932</v>
      </c>
      <c r="W20" s="82">
        <f>+VLOOKUP(TbAlquiler[[#This Row],[ITEM]],TbPiezas[],6,FALSE)</f>
        <v>78.02</v>
      </c>
      <c r="X20" s="83">
        <f>+TbAlquiler[[#This Row],[TOTAL]]*TbAlquiler[[#This Row],[P.U. (2)]]</f>
        <v>624.16</v>
      </c>
      <c r="Y20" s="82">
        <f>+VLOOKUP(TbAlquiler[[#This Row],[ITEM]],TbPiezas[],7,FALSE)</f>
        <v>3.9009999999999998</v>
      </c>
      <c r="Z20" s="84">
        <f>+TbAlquiler[[#This Row],[TOTAL]]*TbAlquiler[[#This Row],[P.U. (3)]]</f>
        <v>31.207999999999998</v>
      </c>
    </row>
    <row r="21" spans="1:26" ht="15" customHeight="1" x14ac:dyDescent="0.3">
      <c r="A21" s="2"/>
      <c r="B21" s="85">
        <v>4</v>
      </c>
      <c r="C21" s="71" t="s">
        <v>9</v>
      </c>
      <c r="D21" s="72" t="s">
        <v>10</v>
      </c>
      <c r="E21" s="73"/>
      <c r="F21" s="74">
        <f>+VLOOKUP(C21,TbAlquiler[],13,FALSE)</f>
        <v>6</v>
      </c>
      <c r="G21" s="2"/>
      <c r="H21" s="75" t="str">
        <f t="shared" si="0"/>
        <v>AM.0400</v>
      </c>
      <c r="I21" s="59" t="str">
        <f t="shared" si="1"/>
        <v>ok</v>
      </c>
      <c r="J21" s="77">
        <f>IFERROR(VLOOKUP($H21,TG[],3,FALSE),"NA")</f>
        <v>6</v>
      </c>
      <c r="K21" s="77">
        <f>IFERROR(VLOOKUP($H21,TF[],3,FALSE),"NA")</f>
        <v>0</v>
      </c>
      <c r="L21" s="77" t="str">
        <f>IFERROR(VLOOKUP($H21,TT[],3,FALSE),"NA")</f>
        <v>NA</v>
      </c>
      <c r="M21" s="77">
        <f>IFERROR(VLOOKUP($H21,TES[],3,FALSE),"NA")</f>
        <v>0</v>
      </c>
      <c r="N21" s="77" t="str">
        <f>IFERROR(VLOOKUP($H21,TEC[],3,FALSE),"NA")</f>
        <v>NA</v>
      </c>
      <c r="O21" s="77" t="str">
        <f>IFERROR(VLOOKUP($H21,TP[],3,FALSE),"NA")</f>
        <v>NA</v>
      </c>
      <c r="P21" s="77" t="str">
        <f>IFERROR(VLOOKUP($H21,TEN[],3,FALSE),"NA")</f>
        <v>NA</v>
      </c>
      <c r="Q21" s="77" t="str">
        <f>IFERROR(VLOOKUP($H21,TD[],3,FALSE),"NA")</f>
        <v>NA</v>
      </c>
      <c r="R21" s="77" t="str">
        <f>IFERROR(VLOOKUP($H21,TC[],3,FALSE),"NA")</f>
        <v>NA</v>
      </c>
      <c r="S21" s="77" t="str">
        <f>IFERROR(VLOOKUP($H21,TEV[],3,FALSE),"NA")</f>
        <v>NA</v>
      </c>
      <c r="T21" s="79">
        <f>SUM(TbAlquiler[[#This Row],[GENERAL]:[ELEVADOR]])</f>
        <v>6</v>
      </c>
      <c r="U21" s="80">
        <f>IF(VLOOKUP(TbAlquiler[[#This Row],[ITEM]],TbPiezas[],5,FALSE)="NA",0,VLOOKUP(TbAlquiler[[#This Row],[ITEM]],TbPiezas[],5,FALSE))</f>
        <v>44.3</v>
      </c>
      <c r="V21" s="81">
        <f>+TbAlquiler[[#This Row],[TOTAL]]*TbAlquiler[[#This Row],[P.U. (1)]]</f>
        <v>265.79999999999995</v>
      </c>
      <c r="W21" s="82">
        <f>+VLOOKUP(TbAlquiler[[#This Row],[ITEM]],TbPiezas[],6,FALSE)</f>
        <v>870.28</v>
      </c>
      <c r="X21" s="83">
        <f>+TbAlquiler[[#This Row],[TOTAL]]*TbAlquiler[[#This Row],[P.U. (2)]]</f>
        <v>5221.68</v>
      </c>
      <c r="Y21" s="82">
        <f>+VLOOKUP(TbAlquiler[[#This Row],[ITEM]],TbPiezas[],7,FALSE)</f>
        <v>43.514000000000003</v>
      </c>
      <c r="Z21" s="84">
        <f>+TbAlquiler[[#This Row],[TOTAL]]*TbAlquiler[[#This Row],[P.U. (3)]]</f>
        <v>261.084</v>
      </c>
    </row>
    <row r="22" spans="1:26" ht="15" customHeight="1" x14ac:dyDescent="0.3">
      <c r="A22" s="2"/>
      <c r="B22" s="85">
        <v>5</v>
      </c>
      <c r="C22" s="429" t="s">
        <v>11</v>
      </c>
      <c r="D22" s="430" t="s">
        <v>12</v>
      </c>
      <c r="E22" s="73"/>
      <c r="F22" s="74">
        <f>+VLOOKUP(C22,TbAlquiler[],13,FALSE)</f>
        <v>0</v>
      </c>
      <c r="G22" s="2"/>
      <c r="H22" s="75" t="str">
        <f t="shared" si="0"/>
        <v>AM.0500</v>
      </c>
      <c r="I22" s="59" t="str">
        <f t="shared" si="1"/>
        <v>ok</v>
      </c>
      <c r="J22" s="77">
        <f>IFERROR(VLOOKUP($H22,TG[],3,FALSE),"NA")</f>
        <v>0</v>
      </c>
      <c r="K22" s="77">
        <f>IFERROR(VLOOKUP($H22,TF[],3,FALSE),"NA")</f>
        <v>0</v>
      </c>
      <c r="L22" s="77" t="str">
        <f>IFERROR(VLOOKUP($H22,TT[],3,FALSE),"NA")</f>
        <v>NA</v>
      </c>
      <c r="M22" s="77" t="str">
        <f>IFERROR(VLOOKUP($H22,TES[],3,FALSE),"NA")</f>
        <v>NA</v>
      </c>
      <c r="N22" s="77" t="str">
        <f>IFERROR(VLOOKUP($H22,TEC[],3,FALSE),"NA")</f>
        <v>NA</v>
      </c>
      <c r="O22" s="77" t="str">
        <f>IFERROR(VLOOKUP($H22,TP[],3,FALSE),"NA")</f>
        <v>NA</v>
      </c>
      <c r="P22" s="77" t="str">
        <f>IFERROR(VLOOKUP($H22,TEN[],3,FALSE),"NA")</f>
        <v>NA</v>
      </c>
      <c r="Q22" s="77" t="str">
        <f>IFERROR(VLOOKUP($H22,TD[],3,FALSE),"NA")</f>
        <v>NA</v>
      </c>
      <c r="R22" s="77" t="str">
        <f>IFERROR(VLOOKUP($H22,TC[],3,FALSE),"NA")</f>
        <v>NA</v>
      </c>
      <c r="S22" s="77" t="str">
        <f>IFERROR(VLOOKUP($H22,TEV[],3,FALSE),"NA")</f>
        <v>NA</v>
      </c>
      <c r="T22" s="79">
        <f>SUM(TbAlquiler[[#This Row],[GENERAL]:[ELEVADOR]])</f>
        <v>0</v>
      </c>
      <c r="U22" s="80">
        <f>IF(VLOOKUP(TbAlquiler[[#This Row],[ITEM]],TbPiezas[],5,FALSE)="NA",0,VLOOKUP(TbAlquiler[[#This Row],[ITEM]],TbPiezas[],5,FALSE))</f>
        <v>23.899999999999991</v>
      </c>
      <c r="V22" s="81">
        <f>+TbAlquiler[[#This Row],[TOTAL]]*TbAlquiler[[#This Row],[P.U. (1)]]</f>
        <v>0</v>
      </c>
      <c r="W22" s="82">
        <f>+VLOOKUP(TbAlquiler[[#This Row],[ITEM]],TbPiezas[],6,FALSE)</f>
        <v>485.52</v>
      </c>
      <c r="X22" s="83">
        <f>+TbAlquiler[[#This Row],[TOTAL]]*TbAlquiler[[#This Row],[P.U. (2)]]</f>
        <v>0</v>
      </c>
      <c r="Y22" s="82">
        <f>+VLOOKUP(TbAlquiler[[#This Row],[ITEM]],TbPiezas[],7,FALSE)</f>
        <v>24.276</v>
      </c>
      <c r="Z22" s="84">
        <f>+TbAlquiler[[#This Row],[TOTAL]]*TbAlquiler[[#This Row],[P.U. (3)]]</f>
        <v>0</v>
      </c>
    </row>
    <row r="23" spans="1:26" ht="15" customHeight="1" x14ac:dyDescent="0.3">
      <c r="A23" s="2"/>
      <c r="B23" s="85">
        <v>6</v>
      </c>
      <c r="C23" s="71" t="s">
        <v>13</v>
      </c>
      <c r="D23" s="72" t="s">
        <v>14</v>
      </c>
      <c r="E23" s="73"/>
      <c r="F23" s="74">
        <f>+VLOOKUP(C23,TbAlquiler[],13,FALSE)</f>
        <v>0</v>
      </c>
      <c r="G23" s="2"/>
      <c r="H23" s="75" t="str">
        <f t="shared" si="0"/>
        <v>AM.0600</v>
      </c>
      <c r="I23" s="59" t="str">
        <f t="shared" si="1"/>
        <v>ok</v>
      </c>
      <c r="J23" s="77">
        <f>IFERROR(VLOOKUP($H23,TG[],3,FALSE),"NA")</f>
        <v>0</v>
      </c>
      <c r="K23" s="77" t="str">
        <f>IFERROR(VLOOKUP($H23,TF[],3,FALSE),"NA")</f>
        <v>NA</v>
      </c>
      <c r="L23" s="77">
        <f>IFERROR(VLOOKUP($H23,TT[],3,FALSE),"NA")</f>
        <v>0</v>
      </c>
      <c r="M23" s="77">
        <f>IFERROR(VLOOKUP($H23,TES[],3,FALSE),"NA")</f>
        <v>0</v>
      </c>
      <c r="N23" s="77" t="str">
        <f>IFERROR(VLOOKUP($H23,TEC[],3,FALSE),"NA")</f>
        <v>NA</v>
      </c>
      <c r="O23" s="77" t="str">
        <f>IFERROR(VLOOKUP($H23,TP[],3,FALSE),"NA")</f>
        <v>NA</v>
      </c>
      <c r="P23" s="77" t="str">
        <f>IFERROR(VLOOKUP($H23,TEN[],3,FALSE),"NA")</f>
        <v>NA</v>
      </c>
      <c r="Q23" s="77" t="str">
        <f>IFERROR(VLOOKUP($H23,TD[],3,FALSE),"NA")</f>
        <v>NA</v>
      </c>
      <c r="R23" s="77" t="str">
        <f>IFERROR(VLOOKUP($H23,TC[],3,FALSE),"NA")</f>
        <v>NA</v>
      </c>
      <c r="S23" s="77" t="str">
        <f>IFERROR(VLOOKUP($H23,TEV[],3,FALSE),"NA")</f>
        <v>NA</v>
      </c>
      <c r="T23" s="79">
        <f>SUM(TbAlquiler[[#This Row],[GENERAL]:[ELEVADOR]])</f>
        <v>0</v>
      </c>
      <c r="U23" s="80">
        <f>IF(VLOOKUP(TbAlquiler[[#This Row],[ITEM]],TbPiezas[],5,FALSE)="NA",0,VLOOKUP(TbAlquiler[[#This Row],[ITEM]],TbPiezas[],5,FALSE))</f>
        <v>11.700000000000003</v>
      </c>
      <c r="V23" s="81">
        <f>+TbAlquiler[[#This Row],[TOTAL]]*TbAlquiler[[#This Row],[P.U. (1)]]</f>
        <v>0</v>
      </c>
      <c r="W23" s="82">
        <f>+VLOOKUP(TbAlquiler[[#This Row],[ITEM]],TbPiezas[],6,FALSE)</f>
        <v>428.32</v>
      </c>
      <c r="X23" s="83">
        <f>+TbAlquiler[[#This Row],[TOTAL]]*TbAlquiler[[#This Row],[P.U. (2)]]</f>
        <v>0</v>
      </c>
      <c r="Y23" s="82">
        <f>+VLOOKUP(TbAlquiler[[#This Row],[ITEM]],TbPiezas[],7,FALSE)</f>
        <v>21.416</v>
      </c>
      <c r="Z23" s="84">
        <f>+TbAlquiler[[#This Row],[TOTAL]]*TbAlquiler[[#This Row],[P.U. (3)]]</f>
        <v>0</v>
      </c>
    </row>
    <row r="24" spans="1:26" ht="15" customHeight="1" x14ac:dyDescent="0.3">
      <c r="A24" s="2"/>
      <c r="B24" s="85">
        <v>7</v>
      </c>
      <c r="C24" s="71" t="s">
        <v>15</v>
      </c>
      <c r="D24" s="72" t="s">
        <v>16</v>
      </c>
      <c r="E24" s="73"/>
      <c r="F24" s="74">
        <f>+VLOOKUP(C24,TbAlquiler[],13,FALSE)</f>
        <v>8</v>
      </c>
      <c r="G24" s="2"/>
      <c r="H24" s="75" t="str">
        <f t="shared" si="0"/>
        <v>AM.0700</v>
      </c>
      <c r="I24" s="59" t="str">
        <f t="shared" si="1"/>
        <v>ok</v>
      </c>
      <c r="J24" s="77">
        <f>IFERROR(VLOOKUP($H24,TG[],3,FALSE),"NA")</f>
        <v>0</v>
      </c>
      <c r="K24" s="77">
        <f>IFERROR(VLOOKUP($H24,TF[],3,FALSE),"NA")</f>
        <v>0</v>
      </c>
      <c r="L24" s="77">
        <f>IFERROR(VLOOKUP($H24,TT[],3,FALSE),"NA")</f>
        <v>4</v>
      </c>
      <c r="M24" s="77">
        <f>IFERROR(VLOOKUP($H24,TES[],3,FALSE),"NA")</f>
        <v>4</v>
      </c>
      <c r="N24" s="77" t="str">
        <f>IFERROR(VLOOKUP($H24,TEC[],3,FALSE),"NA")</f>
        <v>NA</v>
      </c>
      <c r="O24" s="77" t="str">
        <f>IFERROR(VLOOKUP($H24,TP[],3,FALSE),"NA")</f>
        <v>NA</v>
      </c>
      <c r="P24" s="77" t="str">
        <f>IFERROR(VLOOKUP($H24,TEN[],3,FALSE),"NA")</f>
        <v>NA</v>
      </c>
      <c r="Q24" s="77" t="str">
        <f>IFERROR(VLOOKUP($H24,TD[],3,FALSE),"NA")</f>
        <v>NA</v>
      </c>
      <c r="R24" s="77" t="str">
        <f>IFERROR(VLOOKUP($H24,TC[],3,FALSE),"NA")</f>
        <v>NA</v>
      </c>
      <c r="S24" s="77" t="str">
        <f>IFERROR(VLOOKUP($H24,TEV[],3,FALSE),"NA")</f>
        <v>NA</v>
      </c>
      <c r="T24" s="79">
        <f>SUM(TbAlquiler[[#This Row],[GENERAL]:[ELEVADOR]])</f>
        <v>8</v>
      </c>
      <c r="U24" s="80">
        <f>IF(VLOOKUP(TbAlquiler[[#This Row],[ITEM]],TbPiezas[],5,FALSE)="NA",0,VLOOKUP(TbAlquiler[[#This Row],[ITEM]],TbPiezas[],5,FALSE))</f>
        <v>7</v>
      </c>
      <c r="V24" s="81">
        <f>+TbAlquiler[[#This Row],[TOTAL]]*TbAlquiler[[#This Row],[P.U. (1)]]</f>
        <v>56</v>
      </c>
      <c r="W24" s="82">
        <f>+VLOOKUP(TbAlquiler[[#This Row],[ITEM]],TbPiezas[],6,FALSE)</f>
        <v>261.63</v>
      </c>
      <c r="X24" s="83">
        <f>+TbAlquiler[[#This Row],[TOTAL]]*TbAlquiler[[#This Row],[P.U. (2)]]</f>
        <v>2093.04</v>
      </c>
      <c r="Y24" s="82">
        <f>+VLOOKUP(TbAlquiler[[#This Row],[ITEM]],TbPiezas[],7,FALSE)</f>
        <v>13.0815</v>
      </c>
      <c r="Z24" s="84">
        <f>+TbAlquiler[[#This Row],[TOTAL]]*TbAlquiler[[#This Row],[P.U. (3)]]</f>
        <v>104.652</v>
      </c>
    </row>
    <row r="25" spans="1:26" ht="15" customHeight="1" x14ac:dyDescent="0.3">
      <c r="A25" s="2"/>
      <c r="B25" s="85">
        <v>8</v>
      </c>
      <c r="C25" s="71" t="s">
        <v>17</v>
      </c>
      <c r="D25" s="72" t="s">
        <v>18</v>
      </c>
      <c r="E25" s="73"/>
      <c r="F25" s="74">
        <f>+VLOOKUP(C25,TbAlquiler[],13,FALSE)</f>
        <v>0</v>
      </c>
      <c r="G25" s="2"/>
      <c r="H25" s="75" t="str">
        <f t="shared" si="0"/>
        <v>AM.0900</v>
      </c>
      <c r="I25" s="59" t="str">
        <f t="shared" si="1"/>
        <v>ok</v>
      </c>
      <c r="J25" s="77">
        <f>IFERROR(VLOOKUP($H25,TG[],3,FALSE),"NA")</f>
        <v>0</v>
      </c>
      <c r="K25" s="77">
        <f>IFERROR(VLOOKUP($H25,TF[],3,FALSE),"NA")</f>
        <v>0</v>
      </c>
      <c r="L25" s="77">
        <f>IFERROR(VLOOKUP($H25,TT[],3,FALSE),"NA")</f>
        <v>0</v>
      </c>
      <c r="M25" s="77">
        <f>IFERROR(VLOOKUP($H25,TES[],3,FALSE),"NA")</f>
        <v>0</v>
      </c>
      <c r="N25" s="77" t="str">
        <f>IFERROR(VLOOKUP($H25,TEC[],3,FALSE),"NA")</f>
        <v>NA</v>
      </c>
      <c r="O25" s="77" t="str">
        <f>IFERROR(VLOOKUP($H25,TP[],3,FALSE),"NA")</f>
        <v>NA</v>
      </c>
      <c r="P25" s="77" t="str">
        <f>IFERROR(VLOOKUP($H25,TEN[],3,FALSE),"NA")</f>
        <v>NA</v>
      </c>
      <c r="Q25" s="77" t="str">
        <f>IFERROR(VLOOKUP($H25,TD[],3,FALSE),"NA")</f>
        <v>NA</v>
      </c>
      <c r="R25" s="77" t="str">
        <f>IFERROR(VLOOKUP($H25,TC[],3,FALSE),"NA")</f>
        <v>NA</v>
      </c>
      <c r="S25" s="77" t="str">
        <f>IFERROR(VLOOKUP($H25,TEV[],3,FALSE),"NA")</f>
        <v>NA</v>
      </c>
      <c r="T25" s="79">
        <f>SUM(TbAlquiler[[#This Row],[GENERAL]:[ELEVADOR]])</f>
        <v>0</v>
      </c>
      <c r="U25" s="80">
        <f>IF(VLOOKUP(TbAlquiler[[#This Row],[ITEM]],TbPiezas[],5,FALSE)="NA",0,VLOOKUP(TbAlquiler[[#This Row],[ITEM]],TbPiezas[],5,FALSE))</f>
        <v>5.9</v>
      </c>
      <c r="V25" s="81">
        <f>+TbAlquiler[[#This Row],[TOTAL]]*TbAlquiler[[#This Row],[P.U. (1)]]</f>
        <v>0</v>
      </c>
      <c r="W25" s="82">
        <f>+VLOOKUP(TbAlquiler[[#This Row],[ITEM]],TbPiezas[],6,FALSE)</f>
        <v>212.52</v>
      </c>
      <c r="X25" s="83">
        <f>+TbAlquiler[[#This Row],[TOTAL]]*TbAlquiler[[#This Row],[P.U. (2)]]</f>
        <v>0</v>
      </c>
      <c r="Y25" s="82">
        <f>+VLOOKUP(TbAlquiler[[#This Row],[ITEM]],TbPiezas[],7,FALSE)</f>
        <v>10.626000000000001</v>
      </c>
      <c r="Z25" s="84">
        <f>+TbAlquiler[[#This Row],[TOTAL]]*TbAlquiler[[#This Row],[P.U. (3)]]</f>
        <v>0</v>
      </c>
    </row>
    <row r="26" spans="1:26" ht="15" customHeight="1" x14ac:dyDescent="0.3">
      <c r="A26" s="2"/>
      <c r="B26" s="85">
        <v>9</v>
      </c>
      <c r="C26" s="71" t="s">
        <v>19</v>
      </c>
      <c r="D26" s="72" t="s">
        <v>20</v>
      </c>
      <c r="E26" s="73"/>
      <c r="F26" s="74">
        <f>+VLOOKUP(C26,TbAlquiler[],13,FALSE)</f>
        <v>9</v>
      </c>
      <c r="G26" s="2"/>
      <c r="H26" s="75" t="str">
        <f t="shared" si="0"/>
        <v>AM.1000</v>
      </c>
      <c r="I26" s="59" t="str">
        <f t="shared" si="1"/>
        <v>ok</v>
      </c>
      <c r="J26" s="77">
        <f>IFERROR(VLOOKUP($H26,TG[],3,FALSE),"NA")</f>
        <v>0</v>
      </c>
      <c r="K26" s="77">
        <f>IFERROR(VLOOKUP($H26,TF[],3,FALSE),"NA")</f>
        <v>0</v>
      </c>
      <c r="L26" s="77">
        <f>IFERROR(VLOOKUP($H26,TT[],3,FALSE),"NA")</f>
        <v>4</v>
      </c>
      <c r="M26" s="77">
        <f>IFERROR(VLOOKUP($H26,TES[],3,FALSE),"NA")</f>
        <v>5</v>
      </c>
      <c r="N26" s="77" t="str">
        <f>IFERROR(VLOOKUP($H26,TEC[],3,FALSE),"NA")</f>
        <v>NA</v>
      </c>
      <c r="O26" s="77" t="str">
        <f>IFERROR(VLOOKUP($H26,TP[],3,FALSE),"NA")</f>
        <v>NA</v>
      </c>
      <c r="P26" s="77" t="str">
        <f>IFERROR(VLOOKUP($H26,TEN[],3,FALSE),"NA")</f>
        <v>NA</v>
      </c>
      <c r="Q26" s="77" t="str">
        <f>IFERROR(VLOOKUP($H26,TD[],3,FALSE),"NA")</f>
        <v>NA</v>
      </c>
      <c r="R26" s="77" t="str">
        <f>IFERROR(VLOOKUP($H26,TC[],3,FALSE),"NA")</f>
        <v>NA</v>
      </c>
      <c r="S26" s="77" t="str">
        <f>IFERROR(VLOOKUP($H26,TEV[],3,FALSE),"NA")</f>
        <v>NA</v>
      </c>
      <c r="T26" s="79">
        <f>SUM(TbAlquiler[[#This Row],[GENERAL]:[ELEVADOR]])</f>
        <v>9</v>
      </c>
      <c r="U26" s="80">
        <f>IF(VLOOKUP(TbAlquiler[[#This Row],[ITEM]],TbPiezas[],5,FALSE)="NA",0,VLOOKUP(TbAlquiler[[#This Row],[ITEM]],TbPiezas[],5,FALSE))</f>
        <v>2.9</v>
      </c>
      <c r="V26" s="81">
        <f>+TbAlquiler[[#This Row],[TOTAL]]*TbAlquiler[[#This Row],[P.U. (1)]]</f>
        <v>26.099999999999998</v>
      </c>
      <c r="W26" s="82">
        <f>+VLOOKUP(TbAlquiler[[#This Row],[ITEM]],TbPiezas[],6,FALSE)</f>
        <v>143.16999999999999</v>
      </c>
      <c r="X26" s="83">
        <f>+TbAlquiler[[#This Row],[TOTAL]]*TbAlquiler[[#This Row],[P.U. (2)]]</f>
        <v>1288.53</v>
      </c>
      <c r="Y26" s="82">
        <f>+VLOOKUP(TbAlquiler[[#This Row],[ITEM]],TbPiezas[],7,FALSE)</f>
        <v>7.1585000000000001</v>
      </c>
      <c r="Z26" s="84">
        <f>+TbAlquiler[[#This Row],[TOTAL]]*TbAlquiler[[#This Row],[P.U. (3)]]</f>
        <v>64.426500000000004</v>
      </c>
    </row>
    <row r="27" spans="1:26" ht="15" customHeight="1" x14ac:dyDescent="0.3">
      <c r="A27" s="2"/>
      <c r="B27" s="85">
        <v>10</v>
      </c>
      <c r="C27" s="71" t="s">
        <v>21</v>
      </c>
      <c r="D27" s="72" t="s">
        <v>22</v>
      </c>
      <c r="E27" s="73"/>
      <c r="F27" s="74">
        <f>+VLOOKUP(C27,TbAlquiler[],13,FALSE)</f>
        <v>0</v>
      </c>
      <c r="G27" s="2"/>
      <c r="H27" s="75" t="str">
        <f t="shared" si="0"/>
        <v>AM.1100</v>
      </c>
      <c r="I27" s="59" t="str">
        <f t="shared" si="1"/>
        <v>ok</v>
      </c>
      <c r="J27" s="77">
        <f>IFERROR(VLOOKUP($H27,TG[],3,FALSE),"NA")</f>
        <v>0</v>
      </c>
      <c r="K27" s="77">
        <f>IFERROR(VLOOKUP($H27,TF[],3,FALSE),"NA")</f>
        <v>0</v>
      </c>
      <c r="L27" s="77">
        <f>IFERROR(VLOOKUP($H27,TT[],3,FALSE),"NA")</f>
        <v>0</v>
      </c>
      <c r="M27" s="77">
        <f>IFERROR(VLOOKUP($H27,TES[],3,FALSE),"NA")</f>
        <v>0</v>
      </c>
      <c r="N27" s="77" t="str">
        <f>IFERROR(VLOOKUP($H27,TEC[],3,FALSE),"NA")</f>
        <v>NA</v>
      </c>
      <c r="O27" s="77" t="str">
        <f>IFERROR(VLOOKUP($H27,TP[],3,FALSE),"NA")</f>
        <v>NA</v>
      </c>
      <c r="P27" s="77" t="str">
        <f>IFERROR(VLOOKUP($H27,TEN[],3,FALSE),"NA")</f>
        <v>NA</v>
      </c>
      <c r="Q27" s="77" t="str">
        <f>IFERROR(VLOOKUP($H27,TD[],3,FALSE),"NA")</f>
        <v>NA</v>
      </c>
      <c r="R27" s="77" t="str">
        <f>IFERROR(VLOOKUP($H27,TC[],3,FALSE),"NA")</f>
        <v>NA</v>
      </c>
      <c r="S27" s="77" t="str">
        <f>IFERROR(VLOOKUP($H27,TEV[],3,FALSE),"NA")</f>
        <v>NA</v>
      </c>
      <c r="T27" s="79">
        <f>SUM(TbAlquiler[[#This Row],[GENERAL]:[ELEVADOR]])</f>
        <v>0</v>
      </c>
      <c r="U27" s="80">
        <f>IF(VLOOKUP(TbAlquiler[[#This Row],[ITEM]],TbPiezas[],5,FALSE)="NA",0,VLOOKUP(TbAlquiler[[#This Row],[ITEM]],TbPiezas[],5,FALSE))</f>
        <v>1.5</v>
      </c>
      <c r="V27" s="81">
        <f>+TbAlquiler[[#This Row],[TOTAL]]*TbAlquiler[[#This Row],[P.U. (1)]]</f>
        <v>0</v>
      </c>
      <c r="W27" s="82">
        <f>+VLOOKUP(TbAlquiler[[#This Row],[ITEM]],TbPiezas[],6,FALSE)</f>
        <v>75.16</v>
      </c>
      <c r="X27" s="83">
        <f>+TbAlquiler[[#This Row],[TOTAL]]*TbAlquiler[[#This Row],[P.U. (2)]]</f>
        <v>0</v>
      </c>
      <c r="Y27" s="82">
        <f>+VLOOKUP(TbAlquiler[[#This Row],[ITEM]],TbPiezas[],7,FALSE)</f>
        <v>3.758</v>
      </c>
      <c r="Z27" s="84">
        <f>+TbAlquiler[[#This Row],[TOTAL]]*TbAlquiler[[#This Row],[P.U. (3)]]</f>
        <v>0</v>
      </c>
    </row>
    <row r="28" spans="1:26" ht="15" customHeight="1" x14ac:dyDescent="0.3">
      <c r="A28" s="2"/>
      <c r="B28" s="85">
        <v>11</v>
      </c>
      <c r="C28" s="71" t="s">
        <v>23</v>
      </c>
      <c r="D28" s="72" t="s">
        <v>24</v>
      </c>
      <c r="E28" s="73"/>
      <c r="F28" s="74">
        <f>+VLOOKUP(C28,TbAlquiler[],13,FALSE)</f>
        <v>19</v>
      </c>
      <c r="G28" s="2"/>
      <c r="H28" s="75" t="str">
        <f t="shared" si="0"/>
        <v>AM.1150</v>
      </c>
      <c r="I28" s="59" t="str">
        <f t="shared" si="1"/>
        <v>ok</v>
      </c>
      <c r="J28" s="77">
        <f>IFERROR(VLOOKUP($H28,TG[],3,FALSE),"NA")</f>
        <v>0</v>
      </c>
      <c r="K28" s="77">
        <f>IFERROR(VLOOKUP($H28,TF[],3,FALSE),"NA")</f>
        <v>0</v>
      </c>
      <c r="L28" s="77">
        <f>IFERROR(VLOOKUP($H28,TT[],3,FALSE),"NA")</f>
        <v>8</v>
      </c>
      <c r="M28" s="77">
        <f>IFERROR(VLOOKUP($H28,TES[],3,FALSE),"NA")</f>
        <v>11</v>
      </c>
      <c r="N28" s="77" t="str">
        <f>IFERROR(VLOOKUP($H28,TEC[],3,FALSE),"NA")</f>
        <v>NA</v>
      </c>
      <c r="O28" s="77" t="str">
        <f>IFERROR(VLOOKUP($H28,TP[],3,FALSE),"NA")</f>
        <v>NA</v>
      </c>
      <c r="P28" s="77" t="str">
        <f>IFERROR(VLOOKUP($H28,TEN[],3,FALSE),"NA")</f>
        <v>NA</v>
      </c>
      <c r="Q28" s="77" t="str">
        <f>IFERROR(VLOOKUP($H28,TD[],3,FALSE),"NA")</f>
        <v>NA</v>
      </c>
      <c r="R28" s="77" t="str">
        <f>IFERROR(VLOOKUP($H28,TC[],3,FALSE),"NA")</f>
        <v>NA</v>
      </c>
      <c r="S28" s="77" t="str">
        <f>IFERROR(VLOOKUP($H28,TEV[],3,FALSE),"NA")</f>
        <v>NA</v>
      </c>
      <c r="T28" s="79">
        <f>SUM(TbAlquiler[[#This Row],[GENERAL]:[ELEVADOR]])</f>
        <v>19</v>
      </c>
      <c r="U28" s="80">
        <f>IF(VLOOKUP(TbAlquiler[[#This Row],[ITEM]],TbPiezas[],5,FALSE)="NA",0,VLOOKUP(TbAlquiler[[#This Row],[ITEM]],TbPiezas[],5,FALSE))</f>
        <v>0.8</v>
      </c>
      <c r="V28" s="81">
        <f>+TbAlquiler[[#This Row],[TOTAL]]*TbAlquiler[[#This Row],[P.U. (1)]]</f>
        <v>15.200000000000001</v>
      </c>
      <c r="W28" s="82">
        <f>+VLOOKUP(TbAlquiler[[#This Row],[ITEM]],TbPiezas[],6,FALSE)</f>
        <v>76.23</v>
      </c>
      <c r="X28" s="83">
        <f>+TbAlquiler[[#This Row],[TOTAL]]*TbAlquiler[[#This Row],[P.U. (2)]]</f>
        <v>1448.3700000000001</v>
      </c>
      <c r="Y28" s="82">
        <f>+VLOOKUP(TbAlquiler[[#This Row],[ITEM]],TbPiezas[],7,FALSE)</f>
        <v>3.8115000000000006</v>
      </c>
      <c r="Z28" s="84">
        <f>+TbAlquiler[[#This Row],[TOTAL]]*TbAlquiler[[#This Row],[P.U. (3)]]</f>
        <v>72.418500000000009</v>
      </c>
    </row>
    <row r="29" spans="1:26" ht="15" customHeight="1" x14ac:dyDescent="0.3">
      <c r="A29" s="2"/>
      <c r="B29" s="85">
        <v>12</v>
      </c>
      <c r="C29" s="429" t="s">
        <v>25</v>
      </c>
      <c r="D29" s="430" t="s">
        <v>26</v>
      </c>
      <c r="E29" s="73"/>
      <c r="F29" s="74">
        <f>+VLOOKUP(C29,TbAlquiler[],13,FALSE)</f>
        <v>0</v>
      </c>
      <c r="G29" s="2"/>
      <c r="H29" s="75" t="str">
        <f t="shared" si="0"/>
        <v>AM.1200</v>
      </c>
      <c r="I29" s="59" t="str">
        <f t="shared" si="1"/>
        <v>ok</v>
      </c>
      <c r="J29" s="77">
        <f>IFERROR(VLOOKUP($H29,TG[],3,FALSE),"NA")</f>
        <v>0</v>
      </c>
      <c r="K29" s="77" t="str">
        <f>IFERROR(VLOOKUP($H29,TF[],3,FALSE),"NA")</f>
        <v>NA</v>
      </c>
      <c r="L29" s="77" t="str">
        <f>IFERROR(VLOOKUP($H29,TT[],3,FALSE),"NA")</f>
        <v>NA</v>
      </c>
      <c r="M29" s="77" t="str">
        <f>IFERROR(VLOOKUP($H29,TES[],3,FALSE),"NA")</f>
        <v>NA</v>
      </c>
      <c r="N29" s="77" t="str">
        <f>IFERROR(VLOOKUP($H29,TEC[],3,FALSE),"NA")</f>
        <v>NA</v>
      </c>
      <c r="O29" s="77" t="str">
        <f>IFERROR(VLOOKUP($H29,TP[],3,FALSE),"NA")</f>
        <v>NA</v>
      </c>
      <c r="P29" s="77" t="str">
        <f>IFERROR(VLOOKUP($H29,TEN[],3,FALSE),"NA")</f>
        <v>NA</v>
      </c>
      <c r="Q29" s="77" t="str">
        <f>IFERROR(VLOOKUP($H29,TD[],3,FALSE),"NA")</f>
        <v>NA</v>
      </c>
      <c r="R29" s="77" t="str">
        <f>IFERROR(VLOOKUP($H29,TC[],3,FALSE),"NA")</f>
        <v>NA</v>
      </c>
      <c r="S29" s="77" t="str">
        <f>IFERROR(VLOOKUP($H29,TEV[],3,FALSE),"NA")</f>
        <v>NA</v>
      </c>
      <c r="T29" s="79">
        <f>SUM(TbAlquiler[[#This Row],[GENERAL]:[ELEVADOR]])</f>
        <v>0</v>
      </c>
      <c r="U29" s="80">
        <f>IF(VLOOKUP(TbAlquiler[[#This Row],[ITEM]],TbPiezas[],5,FALSE)="NA",0,VLOOKUP(TbAlquiler[[#This Row],[ITEM]],TbPiezas[],5,FALSE))</f>
        <v>5.5</v>
      </c>
      <c r="V29" s="81">
        <f>+TbAlquiler[[#This Row],[TOTAL]]*TbAlquiler[[#This Row],[P.U. (1)]]</f>
        <v>0</v>
      </c>
      <c r="W29" s="82">
        <f>+VLOOKUP(TbAlquiler[[#This Row],[ITEM]],TbPiezas[],6,FALSE)</f>
        <v>133.75</v>
      </c>
      <c r="X29" s="83">
        <f>+TbAlquiler[[#This Row],[TOTAL]]*TbAlquiler[[#This Row],[P.U. (2)]]</f>
        <v>0</v>
      </c>
      <c r="Y29" s="82">
        <f>+VLOOKUP(TbAlquiler[[#This Row],[ITEM]],TbPiezas[],7,FALSE)</f>
        <v>6.6875</v>
      </c>
      <c r="Z29" s="84">
        <f>+TbAlquiler[[#This Row],[TOTAL]]*TbAlquiler[[#This Row],[P.U. (3)]]</f>
        <v>0</v>
      </c>
    </row>
    <row r="30" spans="1:26" ht="15" customHeight="1" x14ac:dyDescent="0.3">
      <c r="A30" s="2"/>
      <c r="B30" s="85">
        <v>13</v>
      </c>
      <c r="C30" s="71" t="s">
        <v>27</v>
      </c>
      <c r="D30" s="72" t="s">
        <v>28</v>
      </c>
      <c r="E30" s="73"/>
      <c r="F30" s="74">
        <f>+VLOOKUP(C30,TbAlquiler[],13,FALSE)</f>
        <v>10</v>
      </c>
      <c r="G30" s="2"/>
      <c r="H30" s="75" t="str">
        <f t="shared" si="0"/>
        <v>AM.1300</v>
      </c>
      <c r="I30" s="59" t="str">
        <f t="shared" si="1"/>
        <v>ok</v>
      </c>
      <c r="J30" s="77">
        <f>IFERROR(VLOOKUP($H30,TG[],3,FALSE),"NA")</f>
        <v>0</v>
      </c>
      <c r="K30" s="77">
        <f>IFERROR(VLOOKUP($H30,TF[],3,FALSE),"NA")</f>
        <v>0</v>
      </c>
      <c r="L30" s="77">
        <f>IFERROR(VLOOKUP($H30,TT[],3,FALSE),"NA")</f>
        <v>0</v>
      </c>
      <c r="M30" s="77">
        <f>IFERROR(VLOOKUP($H30,TES[],3,FALSE),"NA")</f>
        <v>10</v>
      </c>
      <c r="N30" s="77" t="str">
        <f>IFERROR(VLOOKUP($H30,TEC[],3,FALSE),"NA")</f>
        <v>NA</v>
      </c>
      <c r="O30" s="77" t="str">
        <f>IFERROR(VLOOKUP($H30,TP[],3,FALSE),"NA")</f>
        <v>NA</v>
      </c>
      <c r="P30" s="77" t="str">
        <f>IFERROR(VLOOKUP($H30,TEN[],3,FALSE),"NA")</f>
        <v>NA</v>
      </c>
      <c r="Q30" s="77" t="str">
        <f>IFERROR(VLOOKUP($H30,TD[],3,FALSE),"NA")</f>
        <v>NA</v>
      </c>
      <c r="R30" s="77" t="str">
        <f>IFERROR(VLOOKUP($H30,TC[],3,FALSE),"NA")</f>
        <v>NA</v>
      </c>
      <c r="S30" s="77" t="str">
        <f>IFERROR(VLOOKUP($H30,TEV[],3,FALSE),"NA")</f>
        <v>NA</v>
      </c>
      <c r="T30" s="79">
        <f>SUM(TbAlquiler[[#This Row],[GENERAL]:[ELEVADOR]])</f>
        <v>10</v>
      </c>
      <c r="U30" s="80">
        <f>IF(VLOOKUP(TbAlquiler[[#This Row],[ITEM]],TbPiezas[],5,FALSE)="NA",0,VLOOKUP(TbAlquiler[[#This Row],[ITEM]],TbPiezas[],5,FALSE))</f>
        <v>11.200000000000003</v>
      </c>
      <c r="V30" s="81">
        <f>+TbAlquiler[[#This Row],[TOTAL]]*TbAlquiler[[#This Row],[P.U. (1)]]</f>
        <v>112.00000000000003</v>
      </c>
      <c r="W30" s="82">
        <f>+VLOOKUP(TbAlquiler[[#This Row],[ITEM]],TbPiezas[],6,FALSE)</f>
        <v>238.1</v>
      </c>
      <c r="X30" s="83">
        <f>+TbAlquiler[[#This Row],[TOTAL]]*TbAlquiler[[#This Row],[P.U. (2)]]</f>
        <v>2381</v>
      </c>
      <c r="Y30" s="82">
        <f>+VLOOKUP(TbAlquiler[[#This Row],[ITEM]],TbPiezas[],7,FALSE)</f>
        <v>11.905000000000001</v>
      </c>
      <c r="Z30" s="84">
        <f>+TbAlquiler[[#This Row],[TOTAL]]*TbAlquiler[[#This Row],[P.U. (3)]]</f>
        <v>119.05000000000001</v>
      </c>
    </row>
    <row r="31" spans="1:26" ht="15" customHeight="1" x14ac:dyDescent="0.3">
      <c r="A31" s="2"/>
      <c r="B31" s="85">
        <v>14</v>
      </c>
      <c r="C31" s="71" t="s">
        <v>29</v>
      </c>
      <c r="D31" s="72" t="s">
        <v>30</v>
      </c>
      <c r="E31" s="73"/>
      <c r="F31" s="74">
        <f>+VLOOKUP(C31,TbAlquiler[],13,FALSE)</f>
        <v>16</v>
      </c>
      <c r="G31" s="2"/>
      <c r="H31" s="75" t="str">
        <f t="shared" si="0"/>
        <v>AM.1400</v>
      </c>
      <c r="I31" s="59" t="str">
        <f t="shared" si="1"/>
        <v>ok</v>
      </c>
      <c r="J31" s="77">
        <f>IFERROR(VLOOKUP($H31,TG[],3,FALSE),"NA")</f>
        <v>0</v>
      </c>
      <c r="K31" s="77">
        <f>IFERROR(VLOOKUP($H31,TF[],3,FALSE),"NA")</f>
        <v>0</v>
      </c>
      <c r="L31" s="77">
        <f>IFERROR(VLOOKUP($H31,TT[],3,FALSE),"NA")</f>
        <v>16</v>
      </c>
      <c r="M31" s="77">
        <f>IFERROR(VLOOKUP($H31,TES[],3,FALSE),"NA")</f>
        <v>0</v>
      </c>
      <c r="N31" s="77" t="str">
        <f>IFERROR(VLOOKUP($H31,TEC[],3,FALSE),"NA")</f>
        <v>NA</v>
      </c>
      <c r="O31" s="77" t="str">
        <f>IFERROR(VLOOKUP($H31,TP[],3,FALSE),"NA")</f>
        <v>NA</v>
      </c>
      <c r="P31" s="77" t="str">
        <f>IFERROR(VLOOKUP($H31,TEN[],3,FALSE),"NA")</f>
        <v>NA</v>
      </c>
      <c r="Q31" s="77" t="str">
        <f>IFERROR(VLOOKUP($H31,TD[],3,FALSE),"NA")</f>
        <v>NA</v>
      </c>
      <c r="R31" s="77" t="str">
        <f>IFERROR(VLOOKUP($H31,TC[],3,FALSE),"NA")</f>
        <v>NA</v>
      </c>
      <c r="S31" s="77" t="str">
        <f>IFERROR(VLOOKUP($H31,TEV[],3,FALSE),"NA")</f>
        <v>NA</v>
      </c>
      <c r="T31" s="79">
        <f>SUM(TbAlquiler[[#This Row],[GENERAL]:[ELEVADOR]])</f>
        <v>16</v>
      </c>
      <c r="U31" s="80">
        <f>IF(VLOOKUP(TbAlquiler[[#This Row],[ITEM]],TbPiezas[],5,FALSE)="NA",0,VLOOKUP(TbAlquiler[[#This Row],[ITEM]],TbPiezas[],5,FALSE))</f>
        <v>10</v>
      </c>
      <c r="V31" s="81">
        <f>+TbAlquiler[[#This Row],[TOTAL]]*TbAlquiler[[#This Row],[P.U. (1)]]</f>
        <v>160</v>
      </c>
      <c r="W31" s="82">
        <f>+VLOOKUP(TbAlquiler[[#This Row],[ITEM]],TbPiezas[],6,FALSE)</f>
        <v>226.89</v>
      </c>
      <c r="X31" s="83">
        <f>+TbAlquiler[[#This Row],[TOTAL]]*TbAlquiler[[#This Row],[P.U. (2)]]</f>
        <v>3630.24</v>
      </c>
      <c r="Y31" s="82">
        <f>+VLOOKUP(TbAlquiler[[#This Row],[ITEM]],TbPiezas[],7,FALSE)</f>
        <v>11.3445</v>
      </c>
      <c r="Z31" s="84">
        <f>+TbAlquiler[[#This Row],[TOTAL]]*TbAlquiler[[#This Row],[P.U. (3)]]</f>
        <v>181.512</v>
      </c>
    </row>
    <row r="32" spans="1:26" ht="15" customHeight="1" x14ac:dyDescent="0.3">
      <c r="A32" s="2"/>
      <c r="B32" s="85">
        <v>15</v>
      </c>
      <c r="C32" s="71" t="s">
        <v>31</v>
      </c>
      <c r="D32" s="72" t="s">
        <v>32</v>
      </c>
      <c r="E32" s="73"/>
      <c r="F32" s="74">
        <f>+VLOOKUP(C32,TbAlquiler[],13,FALSE)</f>
        <v>0</v>
      </c>
      <c r="G32" s="2"/>
      <c r="H32" s="75" t="str">
        <f t="shared" si="0"/>
        <v>AM.1500</v>
      </c>
      <c r="I32" s="59" t="str">
        <f t="shared" si="1"/>
        <v>ok</v>
      </c>
      <c r="J32" s="77">
        <f>IFERROR(VLOOKUP($H32,TG[],3,FALSE),"NA")</f>
        <v>0</v>
      </c>
      <c r="K32" s="77">
        <f>IFERROR(VLOOKUP($H32,TF[],3,FALSE),"NA")</f>
        <v>0</v>
      </c>
      <c r="L32" s="77">
        <f>IFERROR(VLOOKUP($H32,TT[],3,FALSE),"NA")</f>
        <v>0</v>
      </c>
      <c r="M32" s="77">
        <f>IFERROR(VLOOKUP($H32,TES[],3,FALSE),"NA")</f>
        <v>0</v>
      </c>
      <c r="N32" s="77" t="str">
        <f>IFERROR(VLOOKUP($H32,TEC[],3,FALSE),"NA")</f>
        <v>NA</v>
      </c>
      <c r="O32" s="77" t="str">
        <f>IFERROR(VLOOKUP($H32,TP[],3,FALSE),"NA")</f>
        <v>NA</v>
      </c>
      <c r="P32" s="77" t="str">
        <f>IFERROR(VLOOKUP($H32,TEN[],3,FALSE),"NA")</f>
        <v>NA</v>
      </c>
      <c r="Q32" s="77" t="str">
        <f>IFERROR(VLOOKUP($H32,TD[],3,FALSE),"NA")</f>
        <v>NA</v>
      </c>
      <c r="R32" s="77" t="str">
        <f>IFERROR(VLOOKUP($H32,TC[],3,FALSE),"NA")</f>
        <v>NA</v>
      </c>
      <c r="S32" s="77" t="str">
        <f>IFERROR(VLOOKUP($H32,TEV[],3,FALSE),"NA")</f>
        <v>NA</v>
      </c>
      <c r="T32" s="79">
        <f>SUM(TbAlquiler[[#This Row],[GENERAL]:[ELEVADOR]])</f>
        <v>0</v>
      </c>
      <c r="U32" s="80">
        <f>IF(VLOOKUP(TbAlquiler[[#This Row],[ITEM]],TbPiezas[],5,FALSE)="NA",0,VLOOKUP(TbAlquiler[[#This Row],[ITEM]],TbPiezas[],5,FALSE))</f>
        <v>6.2000000000000028</v>
      </c>
      <c r="V32" s="81">
        <f>+TbAlquiler[[#This Row],[TOTAL]]*TbAlquiler[[#This Row],[P.U. (1)]]</f>
        <v>0</v>
      </c>
      <c r="W32" s="82">
        <f>+VLOOKUP(TbAlquiler[[#This Row],[ITEM]],TbPiezas[],6,FALSE)</f>
        <v>225.13</v>
      </c>
      <c r="X32" s="83">
        <f>+TbAlquiler[[#This Row],[TOTAL]]*TbAlquiler[[#This Row],[P.U. (2)]]</f>
        <v>0</v>
      </c>
      <c r="Y32" s="82">
        <f>+VLOOKUP(TbAlquiler[[#This Row],[ITEM]],TbPiezas[],7,FALSE)</f>
        <v>11.256500000000001</v>
      </c>
      <c r="Z32" s="84">
        <f>+TbAlquiler[[#This Row],[TOTAL]]*TbAlquiler[[#This Row],[P.U. (3)]]</f>
        <v>0</v>
      </c>
    </row>
    <row r="33" spans="1:26" ht="15" customHeight="1" x14ac:dyDescent="0.3">
      <c r="A33" s="2"/>
      <c r="B33" s="85">
        <v>16</v>
      </c>
      <c r="C33" s="71" t="s">
        <v>33</v>
      </c>
      <c r="D33" s="72" t="s">
        <v>34</v>
      </c>
      <c r="E33" s="73"/>
      <c r="F33" s="74">
        <f>+VLOOKUP(C33,TbAlquiler[],13,FALSE)</f>
        <v>4</v>
      </c>
      <c r="G33" s="2"/>
      <c r="H33" s="75" t="str">
        <f t="shared" si="0"/>
        <v>AM.1600</v>
      </c>
      <c r="I33" s="59" t="str">
        <f t="shared" si="1"/>
        <v>ok</v>
      </c>
      <c r="J33" s="77">
        <f>IFERROR(VLOOKUP($H33,TG[],3,FALSE),"NA")</f>
        <v>0</v>
      </c>
      <c r="K33" s="77">
        <f>IFERROR(VLOOKUP($H33,TF[],3,FALSE),"NA")</f>
        <v>0</v>
      </c>
      <c r="L33" s="77">
        <f>IFERROR(VLOOKUP($H33,TT[],3,FALSE),"NA")</f>
        <v>0</v>
      </c>
      <c r="M33" s="77">
        <f>IFERROR(VLOOKUP($H33,TES[],3,FALSE),"NA")</f>
        <v>4</v>
      </c>
      <c r="N33" s="77" t="str">
        <f>IFERROR(VLOOKUP($H33,TEC[],3,FALSE),"NA")</f>
        <v>NA</v>
      </c>
      <c r="O33" s="77" t="str">
        <f>IFERROR(VLOOKUP($H33,TP[],3,FALSE),"NA")</f>
        <v>NA</v>
      </c>
      <c r="P33" s="77" t="str">
        <f>IFERROR(VLOOKUP($H33,TEN[],3,FALSE),"NA")</f>
        <v>NA</v>
      </c>
      <c r="Q33" s="77" t="str">
        <f>IFERROR(VLOOKUP($H33,TD[],3,FALSE),"NA")</f>
        <v>NA</v>
      </c>
      <c r="R33" s="77" t="str">
        <f>IFERROR(VLOOKUP($H33,TC[],3,FALSE),"NA")</f>
        <v>NA</v>
      </c>
      <c r="S33" s="77" t="str">
        <f>IFERROR(VLOOKUP($H33,TEV[],3,FALSE),"NA")</f>
        <v>NA</v>
      </c>
      <c r="T33" s="79">
        <f>SUM(TbAlquiler[[#This Row],[GENERAL]:[ELEVADOR]])</f>
        <v>4</v>
      </c>
      <c r="U33" s="80">
        <f>IF(VLOOKUP(TbAlquiler[[#This Row],[ITEM]],TbPiezas[],5,FALSE)="NA",0,VLOOKUP(TbAlquiler[[#This Row],[ITEM]],TbPiezas[],5,FALSE))</f>
        <v>4.0999999999999943</v>
      </c>
      <c r="V33" s="81">
        <f>+TbAlquiler[[#This Row],[TOTAL]]*TbAlquiler[[#This Row],[P.U. (1)]]</f>
        <v>16.399999999999977</v>
      </c>
      <c r="W33" s="82">
        <f>+VLOOKUP(TbAlquiler[[#This Row],[ITEM]],TbPiezas[],6,FALSE)</f>
        <v>204.03</v>
      </c>
      <c r="X33" s="83">
        <f>+TbAlquiler[[#This Row],[TOTAL]]*TbAlquiler[[#This Row],[P.U. (2)]]</f>
        <v>816.12</v>
      </c>
      <c r="Y33" s="82">
        <f>+VLOOKUP(TbAlquiler[[#This Row],[ITEM]],TbPiezas[],7,FALSE)</f>
        <v>10.201500000000001</v>
      </c>
      <c r="Z33" s="84">
        <f>+TbAlquiler[[#This Row],[TOTAL]]*TbAlquiler[[#This Row],[P.U. (3)]]</f>
        <v>40.806000000000004</v>
      </c>
    </row>
    <row r="34" spans="1:26" ht="15" customHeight="1" x14ac:dyDescent="0.3">
      <c r="A34" s="2"/>
      <c r="B34" s="85">
        <v>17</v>
      </c>
      <c r="C34" s="71" t="s">
        <v>35</v>
      </c>
      <c r="D34" s="72" t="s">
        <v>36</v>
      </c>
      <c r="E34" s="73"/>
      <c r="F34" s="74">
        <f>+VLOOKUP(C34,TbAlquiler[],13,FALSE)</f>
        <v>0</v>
      </c>
      <c r="G34" s="2"/>
      <c r="H34" s="75" t="str">
        <f t="shared" si="0"/>
        <v>AM.1700</v>
      </c>
      <c r="I34" s="59" t="str">
        <f t="shared" si="1"/>
        <v>ok</v>
      </c>
      <c r="J34" s="77">
        <f>IFERROR(VLOOKUP($H34,TG[],3,FALSE),"NA")</f>
        <v>0</v>
      </c>
      <c r="K34" s="77" t="str">
        <f>IFERROR(VLOOKUP($H34,TF[],3,FALSE),"NA")</f>
        <v>NA</v>
      </c>
      <c r="L34" s="77" t="str">
        <f>IFERROR(VLOOKUP($H34,TT[],3,FALSE),"NA")</f>
        <v>NA</v>
      </c>
      <c r="M34" s="77" t="str">
        <f>IFERROR(VLOOKUP($H34,TES[],3,FALSE),"NA")</f>
        <v>NA</v>
      </c>
      <c r="N34" s="77" t="str">
        <f>IFERROR(VLOOKUP($H34,TEC[],3,FALSE),"NA")</f>
        <v>NA</v>
      </c>
      <c r="O34" s="77" t="str">
        <f>IFERROR(VLOOKUP($H34,TP[],3,FALSE),"NA")</f>
        <v>NA</v>
      </c>
      <c r="P34" s="77" t="str">
        <f>IFERROR(VLOOKUP($H34,TEN[],3,FALSE),"NA")</f>
        <v>NA</v>
      </c>
      <c r="Q34" s="77" t="str">
        <f>IFERROR(VLOOKUP($H34,TD[],3,FALSE),"NA")</f>
        <v>NA</v>
      </c>
      <c r="R34" s="77" t="str">
        <f>IFERROR(VLOOKUP($H34,TC[],3,FALSE),"NA")</f>
        <v>NA</v>
      </c>
      <c r="S34" s="77" t="str">
        <f>IFERROR(VLOOKUP($H34,TEV[],3,FALSE),"NA")</f>
        <v>NA</v>
      </c>
      <c r="T34" s="79">
        <f>SUM(TbAlquiler[[#This Row],[GENERAL]:[ELEVADOR]])</f>
        <v>0</v>
      </c>
      <c r="U34" s="80">
        <f>IF(VLOOKUP(TbAlquiler[[#This Row],[ITEM]],TbPiezas[],5,FALSE)="NA",0,VLOOKUP(TbAlquiler[[#This Row],[ITEM]],TbPiezas[],5,FALSE))</f>
        <v>3.2999999999999972</v>
      </c>
      <c r="V34" s="81">
        <f>+TbAlquiler[[#This Row],[TOTAL]]*TbAlquiler[[#This Row],[P.U. (1)]]</f>
        <v>0</v>
      </c>
      <c r="W34" s="82">
        <f>+VLOOKUP(TbAlquiler[[#This Row],[ITEM]],TbPiezas[],6,FALSE)</f>
        <v>204.03</v>
      </c>
      <c r="X34" s="83">
        <f>+TbAlquiler[[#This Row],[TOTAL]]*TbAlquiler[[#This Row],[P.U. (2)]]</f>
        <v>0</v>
      </c>
      <c r="Y34" s="82">
        <f>+VLOOKUP(TbAlquiler[[#This Row],[ITEM]],TbPiezas[],7,FALSE)</f>
        <v>10.201500000000001</v>
      </c>
      <c r="Z34" s="84">
        <f>+TbAlquiler[[#This Row],[TOTAL]]*TbAlquiler[[#This Row],[P.U. (3)]]</f>
        <v>0</v>
      </c>
    </row>
    <row r="35" spans="1:26" ht="15" customHeight="1" x14ac:dyDescent="0.3">
      <c r="A35" s="2"/>
      <c r="B35" s="85">
        <v>18</v>
      </c>
      <c r="C35" s="71" t="s">
        <v>37</v>
      </c>
      <c r="D35" s="72" t="s">
        <v>38</v>
      </c>
      <c r="E35" s="73"/>
      <c r="F35" s="74">
        <f>+VLOOKUP(C35,TbAlquiler[],13,FALSE)</f>
        <v>1</v>
      </c>
      <c r="G35" s="2"/>
      <c r="H35" s="75" t="str">
        <f t="shared" si="0"/>
        <v>AM.1800</v>
      </c>
      <c r="I35" s="59" t="str">
        <f t="shared" si="1"/>
        <v>ok</v>
      </c>
      <c r="J35" s="77">
        <f>IFERROR(VLOOKUP($H35,TG[],3,FALSE),"NA")</f>
        <v>0</v>
      </c>
      <c r="K35" s="77">
        <f>IFERROR(VLOOKUP($H35,TF[],3,FALSE),"NA")</f>
        <v>0</v>
      </c>
      <c r="L35" s="77">
        <f>IFERROR(VLOOKUP($H35,TT[],3,FALSE),"NA")</f>
        <v>0</v>
      </c>
      <c r="M35" s="77">
        <f>IFERROR(VLOOKUP($H35,TES[],3,FALSE),"NA")</f>
        <v>1</v>
      </c>
      <c r="N35" s="77" t="str">
        <f>IFERROR(VLOOKUP($H35,TEC[],3,FALSE),"NA")</f>
        <v>NA</v>
      </c>
      <c r="O35" s="77" t="str">
        <f>IFERROR(VLOOKUP($H35,TP[],3,FALSE),"NA")</f>
        <v>NA</v>
      </c>
      <c r="P35" s="77" t="str">
        <f>IFERROR(VLOOKUP($H35,TEN[],3,FALSE),"NA")</f>
        <v>NA</v>
      </c>
      <c r="Q35" s="77" t="str">
        <f>IFERROR(VLOOKUP($H35,TD[],3,FALSE),"NA")</f>
        <v>NA</v>
      </c>
      <c r="R35" s="77" t="str">
        <f>IFERROR(VLOOKUP($H35,TC[],3,FALSE),"NA")</f>
        <v>NA</v>
      </c>
      <c r="S35" s="77" t="str">
        <f>IFERROR(VLOOKUP($H35,TEV[],3,FALSE),"NA")</f>
        <v>NA</v>
      </c>
      <c r="T35" s="79">
        <f>SUM(TbAlquiler[[#This Row],[GENERAL]:[ELEVADOR]])</f>
        <v>1</v>
      </c>
      <c r="U35" s="80">
        <f>IF(VLOOKUP(TbAlquiler[[#This Row],[ITEM]],TbPiezas[],5,FALSE)="NA",0,VLOOKUP(TbAlquiler[[#This Row],[ITEM]],TbPiezas[],5,FALSE))</f>
        <v>2.3999999999999915</v>
      </c>
      <c r="V35" s="81">
        <f>+TbAlquiler[[#This Row],[TOTAL]]*TbAlquiler[[#This Row],[P.U. (1)]]</f>
        <v>2.3999999999999915</v>
      </c>
      <c r="W35" s="82">
        <f>+VLOOKUP(TbAlquiler[[#This Row],[ITEM]],TbPiezas[],6,FALSE)</f>
        <v>158.74</v>
      </c>
      <c r="X35" s="83">
        <f>+TbAlquiler[[#This Row],[TOTAL]]*TbAlquiler[[#This Row],[P.U. (2)]]</f>
        <v>158.74</v>
      </c>
      <c r="Y35" s="82">
        <f>+VLOOKUP(TbAlquiler[[#This Row],[ITEM]],TbPiezas[],7,FALSE)</f>
        <v>7.9370000000000012</v>
      </c>
      <c r="Z35" s="84">
        <f>+TbAlquiler[[#This Row],[TOTAL]]*TbAlquiler[[#This Row],[P.U. (3)]]</f>
        <v>7.9370000000000012</v>
      </c>
    </row>
    <row r="36" spans="1:26" ht="15" customHeight="1" x14ac:dyDescent="0.3">
      <c r="A36" s="2"/>
      <c r="B36" s="85">
        <v>19</v>
      </c>
      <c r="C36" s="71" t="s">
        <v>39</v>
      </c>
      <c r="D36" s="72" t="s">
        <v>40</v>
      </c>
      <c r="E36" s="73"/>
      <c r="F36" s="74">
        <f>+VLOOKUP(C36,TbAlquiler[],13,FALSE)</f>
        <v>0</v>
      </c>
      <c r="G36" s="2"/>
      <c r="H36" s="75" t="str">
        <f t="shared" si="0"/>
        <v>AM.1900</v>
      </c>
      <c r="I36" s="59" t="str">
        <f t="shared" si="1"/>
        <v>ok</v>
      </c>
      <c r="J36" s="77">
        <f>IFERROR(VLOOKUP($H36,TG[],3,FALSE),"NA")</f>
        <v>0</v>
      </c>
      <c r="K36" s="77">
        <f>IFERROR(VLOOKUP($H36,TF[],3,FALSE),"NA")</f>
        <v>0</v>
      </c>
      <c r="L36" s="77">
        <f>IFERROR(VLOOKUP($H36,TT[],3,FALSE),"NA")</f>
        <v>0</v>
      </c>
      <c r="M36" s="77">
        <f>IFERROR(VLOOKUP($H36,TES[],3,FALSE),"NA")</f>
        <v>0</v>
      </c>
      <c r="N36" s="77" t="str">
        <f>IFERROR(VLOOKUP($H36,TEC[],3,FALSE),"NA")</f>
        <v>NA</v>
      </c>
      <c r="O36" s="77" t="str">
        <f>IFERROR(VLOOKUP($H36,TP[],3,FALSE),"NA")</f>
        <v>NA</v>
      </c>
      <c r="P36" s="77" t="str">
        <f>IFERROR(VLOOKUP($H36,TEN[],3,FALSE),"NA")</f>
        <v>NA</v>
      </c>
      <c r="Q36" s="77" t="str">
        <f>IFERROR(VLOOKUP($H36,TD[],3,FALSE),"NA")</f>
        <v>NA</v>
      </c>
      <c r="R36" s="77" t="str">
        <f>IFERROR(VLOOKUP($H36,TC[],3,FALSE),"NA")</f>
        <v>NA</v>
      </c>
      <c r="S36" s="77" t="str">
        <f>IFERROR(VLOOKUP($H36,TEV[],3,FALSE),"NA")</f>
        <v>NA</v>
      </c>
      <c r="T36" s="79">
        <f>SUM(TbAlquiler[[#This Row],[GENERAL]:[ELEVADOR]])</f>
        <v>0</v>
      </c>
      <c r="U36" s="80">
        <f>IF(VLOOKUP(TbAlquiler[[#This Row],[ITEM]],TbPiezas[],5,FALSE)="NA",0,VLOOKUP(TbAlquiler[[#This Row],[ITEM]],TbPiezas[],5,FALSE))</f>
        <v>4.5999999999999943</v>
      </c>
      <c r="V36" s="81">
        <f>+TbAlquiler[[#This Row],[TOTAL]]*TbAlquiler[[#This Row],[P.U. (1)]]</f>
        <v>0</v>
      </c>
      <c r="W36" s="82">
        <f>+VLOOKUP(TbAlquiler[[#This Row],[ITEM]],TbPiezas[],6,FALSE)</f>
        <v>158.74</v>
      </c>
      <c r="X36" s="83">
        <f>+TbAlquiler[[#This Row],[TOTAL]]*TbAlquiler[[#This Row],[P.U. (2)]]</f>
        <v>0</v>
      </c>
      <c r="Y36" s="82">
        <f>+VLOOKUP(TbAlquiler[[#This Row],[ITEM]],TbPiezas[],7,FALSE)</f>
        <v>7.9370000000000012</v>
      </c>
      <c r="Z36" s="84">
        <f>+TbAlquiler[[#This Row],[TOTAL]]*TbAlquiler[[#This Row],[P.U. (3)]]</f>
        <v>0</v>
      </c>
    </row>
    <row r="37" spans="1:26" ht="15" customHeight="1" x14ac:dyDescent="0.3">
      <c r="A37" s="2"/>
      <c r="B37" s="85">
        <v>20</v>
      </c>
      <c r="C37" s="71" t="s">
        <v>41</v>
      </c>
      <c r="D37" s="72" t="s">
        <v>42</v>
      </c>
      <c r="E37" s="73"/>
      <c r="F37" s="74">
        <f>+VLOOKUP(C37,TbAlquiler[],13,FALSE)</f>
        <v>2</v>
      </c>
      <c r="G37" s="2"/>
      <c r="H37" s="75" t="str">
        <f t="shared" si="0"/>
        <v>AM.2000</v>
      </c>
      <c r="I37" s="59" t="str">
        <f t="shared" si="1"/>
        <v>ok</v>
      </c>
      <c r="J37" s="77">
        <f>IFERROR(VLOOKUP($H37,TG[],3,FALSE),"NA")</f>
        <v>0</v>
      </c>
      <c r="K37" s="77">
        <f>IFERROR(VLOOKUP($H37,TF[],3,FALSE),"NA")</f>
        <v>0</v>
      </c>
      <c r="L37" s="77">
        <f>IFERROR(VLOOKUP($H37,TT[],3,FALSE),"NA")</f>
        <v>0</v>
      </c>
      <c r="M37" s="77">
        <f>IFERROR(VLOOKUP($H37,TES[],3,FALSE),"NA")</f>
        <v>2</v>
      </c>
      <c r="N37" s="77" t="str">
        <f>IFERROR(VLOOKUP($H37,TEC[],3,FALSE),"NA")</f>
        <v>NA</v>
      </c>
      <c r="O37" s="77" t="str">
        <f>IFERROR(VLOOKUP($H37,TP[],3,FALSE),"NA")</f>
        <v>NA</v>
      </c>
      <c r="P37" s="77" t="str">
        <f>IFERROR(VLOOKUP($H37,TEN[],3,FALSE),"NA")</f>
        <v>NA</v>
      </c>
      <c r="Q37" s="77" t="str">
        <f>IFERROR(VLOOKUP($H37,TD[],3,FALSE),"NA")</f>
        <v>NA</v>
      </c>
      <c r="R37" s="77" t="str">
        <f>IFERROR(VLOOKUP($H37,TC[],3,FALSE),"NA")</f>
        <v>NA</v>
      </c>
      <c r="S37" s="77" t="str">
        <f>IFERROR(VLOOKUP($H37,TEV[],3,FALSE),"NA")</f>
        <v>NA</v>
      </c>
      <c r="T37" s="79">
        <f>SUM(TbAlquiler[[#This Row],[GENERAL]:[ELEVADOR]])</f>
        <v>2</v>
      </c>
      <c r="U37" s="80">
        <f>IF(VLOOKUP(TbAlquiler[[#This Row],[ITEM]],TbPiezas[],5,FALSE)="NA",0,VLOOKUP(TbAlquiler[[#This Row],[ITEM]],TbPiezas[],5,FALSE))</f>
        <v>3.7999999999999972</v>
      </c>
      <c r="V37" s="81">
        <f>+TbAlquiler[[#This Row],[TOTAL]]*TbAlquiler[[#This Row],[P.U. (1)]]</f>
        <v>7.5999999999999943</v>
      </c>
      <c r="W37" s="82">
        <f>+VLOOKUP(TbAlquiler[[#This Row],[ITEM]],TbPiezas[],6,FALSE)</f>
        <v>132.06</v>
      </c>
      <c r="X37" s="83">
        <f>+TbAlquiler[[#This Row],[TOTAL]]*TbAlquiler[[#This Row],[P.U. (2)]]</f>
        <v>264.12</v>
      </c>
      <c r="Y37" s="82">
        <f>+VLOOKUP(TbAlquiler[[#This Row],[ITEM]],TbPiezas[],7,FALSE)</f>
        <v>6.6030000000000006</v>
      </c>
      <c r="Z37" s="84">
        <f>+TbAlquiler[[#This Row],[TOTAL]]*TbAlquiler[[#This Row],[P.U. (3)]]</f>
        <v>13.206000000000001</v>
      </c>
    </row>
    <row r="38" spans="1:26" ht="15" customHeight="1" x14ac:dyDescent="0.3">
      <c r="A38" s="2"/>
      <c r="B38" s="85">
        <v>21</v>
      </c>
      <c r="C38" s="71" t="s">
        <v>43</v>
      </c>
      <c r="D38" s="72" t="s">
        <v>44</v>
      </c>
      <c r="E38" s="73"/>
      <c r="F38" s="74">
        <f>+VLOOKUP(C38,TbAlquiler[],13,FALSE)</f>
        <v>0</v>
      </c>
      <c r="G38" s="2"/>
      <c r="H38" s="75" t="str">
        <f t="shared" si="0"/>
        <v>AM.2020</v>
      </c>
      <c r="I38" s="59" t="str">
        <f t="shared" si="1"/>
        <v>ok</v>
      </c>
      <c r="J38" s="77">
        <f>IFERROR(VLOOKUP($H38,TG[],3,FALSE),"NA")</f>
        <v>0</v>
      </c>
      <c r="K38" s="77">
        <f>IFERROR(VLOOKUP($H38,TF[],3,FALSE),"NA")</f>
        <v>0</v>
      </c>
      <c r="L38" s="77">
        <f>IFERROR(VLOOKUP($H38,TT[],3,FALSE),"NA")</f>
        <v>0</v>
      </c>
      <c r="M38" s="77">
        <f>IFERROR(VLOOKUP($H38,TES[],3,FALSE),"NA")</f>
        <v>0</v>
      </c>
      <c r="N38" s="77" t="str">
        <f>IFERROR(VLOOKUP($H38,TEC[],3,FALSE),"NA")</f>
        <v>NA</v>
      </c>
      <c r="O38" s="77" t="str">
        <f>IFERROR(VLOOKUP($H38,TP[],3,FALSE),"NA")</f>
        <v>NA</v>
      </c>
      <c r="P38" s="77" t="str">
        <f>IFERROR(VLOOKUP($H38,TEN[],3,FALSE),"NA")</f>
        <v>NA</v>
      </c>
      <c r="Q38" s="77" t="str">
        <f>IFERROR(VLOOKUP($H38,TD[],3,FALSE),"NA")</f>
        <v>NA</v>
      </c>
      <c r="R38" s="77" t="str">
        <f>IFERROR(VLOOKUP($H38,TC[],3,FALSE),"NA")</f>
        <v>NA</v>
      </c>
      <c r="S38" s="77" t="str">
        <f>IFERROR(VLOOKUP($H38,TEV[],3,FALSE),"NA")</f>
        <v>NA</v>
      </c>
      <c r="T38" s="79">
        <f>SUM(TbAlquiler[[#This Row],[GENERAL]:[ELEVADOR]])</f>
        <v>0</v>
      </c>
      <c r="U38" s="80">
        <f>IF(VLOOKUP(TbAlquiler[[#This Row],[ITEM]],TbPiezas[],5,FALSE)="NA",0,VLOOKUP(TbAlquiler[[#This Row],[ITEM]],TbPiezas[],5,FALSE))</f>
        <v>1.9</v>
      </c>
      <c r="V38" s="81">
        <f>+TbAlquiler[[#This Row],[TOTAL]]*TbAlquiler[[#This Row],[P.U. (1)]]</f>
        <v>0</v>
      </c>
      <c r="W38" s="82">
        <f>+VLOOKUP(TbAlquiler[[#This Row],[ITEM]],TbPiezas[],6,FALSE)</f>
        <v>59.5</v>
      </c>
      <c r="X38" s="83">
        <f>+TbAlquiler[[#This Row],[TOTAL]]*TbAlquiler[[#This Row],[P.U. (2)]]</f>
        <v>0</v>
      </c>
      <c r="Y38" s="82">
        <f>+VLOOKUP(TbAlquiler[[#This Row],[ITEM]],TbPiezas[],7,FALSE)</f>
        <v>2.9750000000000001</v>
      </c>
      <c r="Z38" s="84">
        <f>+TbAlquiler[[#This Row],[TOTAL]]*TbAlquiler[[#This Row],[P.U. (3)]]</f>
        <v>0</v>
      </c>
    </row>
    <row r="39" spans="1:26" ht="15" customHeight="1" x14ac:dyDescent="0.3">
      <c r="A39" s="2"/>
      <c r="B39" s="85">
        <v>22</v>
      </c>
      <c r="C39" s="71" t="s">
        <v>45</v>
      </c>
      <c r="D39" s="72" t="s">
        <v>46</v>
      </c>
      <c r="E39" s="73"/>
      <c r="F39" s="74">
        <f>+VLOOKUP(C39,TbAlquiler[],13,FALSE)</f>
        <v>0</v>
      </c>
      <c r="G39" s="2"/>
      <c r="H39" s="75" t="str">
        <f t="shared" si="0"/>
        <v>AM.2050</v>
      </c>
      <c r="I39" s="59" t="str">
        <f t="shared" si="1"/>
        <v>ok</v>
      </c>
      <c r="J39" s="77">
        <f>IFERROR(VLOOKUP($H39,TG[],3,FALSE),"NA")</f>
        <v>0</v>
      </c>
      <c r="K39" s="77">
        <f>IFERROR(VLOOKUP($H39,TF[],3,FALSE),"NA")</f>
        <v>0</v>
      </c>
      <c r="L39" s="77">
        <f>IFERROR(VLOOKUP($H39,TT[],3,FALSE),"NA")</f>
        <v>0</v>
      </c>
      <c r="M39" s="77">
        <f>IFERROR(VLOOKUP($H39,TES[],3,FALSE),"NA")</f>
        <v>0</v>
      </c>
      <c r="N39" s="77" t="str">
        <f>IFERROR(VLOOKUP($H39,TEC[],3,FALSE),"NA")</f>
        <v>NA</v>
      </c>
      <c r="O39" s="77" t="str">
        <f>IFERROR(VLOOKUP($H39,TP[],3,FALSE),"NA")</f>
        <v>NA</v>
      </c>
      <c r="P39" s="77" t="str">
        <f>IFERROR(VLOOKUP($H39,TEN[],3,FALSE),"NA")</f>
        <v>NA</v>
      </c>
      <c r="Q39" s="77" t="str">
        <f>IFERROR(VLOOKUP($H39,TD[],3,FALSE),"NA")</f>
        <v>NA</v>
      </c>
      <c r="R39" s="77" t="str">
        <f>IFERROR(VLOOKUP($H39,TC[],3,FALSE),"NA")</f>
        <v>NA</v>
      </c>
      <c r="S39" s="77" t="str">
        <f>IFERROR(VLOOKUP($H39,TEV[],3,FALSE),"NA")</f>
        <v>NA</v>
      </c>
      <c r="T39" s="79">
        <f>SUM(TbAlquiler[[#This Row],[GENERAL]:[ELEVADOR]])</f>
        <v>0</v>
      </c>
      <c r="U39" s="80">
        <f>IF(VLOOKUP(TbAlquiler[[#This Row],[ITEM]],TbPiezas[],5,FALSE)="NA",0,VLOOKUP(TbAlquiler[[#This Row],[ITEM]],TbPiezas[],5,FALSE))</f>
        <v>1.9</v>
      </c>
      <c r="V39" s="81">
        <f>+TbAlquiler[[#This Row],[TOTAL]]*TbAlquiler[[#This Row],[P.U. (1)]]</f>
        <v>0</v>
      </c>
      <c r="W39" s="82">
        <f>+VLOOKUP(TbAlquiler[[#This Row],[ITEM]],TbPiezas[],6,FALSE)</f>
        <v>59.5</v>
      </c>
      <c r="X39" s="83">
        <f>+TbAlquiler[[#This Row],[TOTAL]]*TbAlquiler[[#This Row],[P.U. (2)]]</f>
        <v>0</v>
      </c>
      <c r="Y39" s="82">
        <f>+VLOOKUP(TbAlquiler[[#This Row],[ITEM]],TbPiezas[],7,FALSE)</f>
        <v>2.9750000000000001</v>
      </c>
      <c r="Z39" s="84">
        <f>+TbAlquiler[[#This Row],[TOTAL]]*TbAlquiler[[#This Row],[P.U. (3)]]</f>
        <v>0</v>
      </c>
    </row>
    <row r="40" spans="1:26" ht="15" customHeight="1" x14ac:dyDescent="0.3">
      <c r="A40" s="2"/>
      <c r="B40" s="85">
        <v>23</v>
      </c>
      <c r="C40" s="71" t="s">
        <v>47</v>
      </c>
      <c r="D40" s="72" t="s">
        <v>48</v>
      </c>
      <c r="E40" s="73"/>
      <c r="F40" s="74">
        <f>+VLOOKUP(C40,TbAlquiler[],13,FALSE)</f>
        <v>0</v>
      </c>
      <c r="G40" s="2"/>
      <c r="H40" s="75" t="str">
        <f t="shared" si="0"/>
        <v>AM.2100</v>
      </c>
      <c r="I40" s="59" t="str">
        <f t="shared" si="1"/>
        <v>ok</v>
      </c>
      <c r="J40" s="77">
        <f>IFERROR(VLOOKUP($H40,TG[],3,FALSE),"NA")</f>
        <v>0</v>
      </c>
      <c r="K40" s="77" t="str">
        <f>IFERROR(VLOOKUP($H40,TF[],3,FALSE),"NA")</f>
        <v>NA</v>
      </c>
      <c r="L40" s="77" t="str">
        <f>IFERROR(VLOOKUP($H40,TT[],3,FALSE),"NA")</f>
        <v>NA</v>
      </c>
      <c r="M40" s="77">
        <f>IFERROR(VLOOKUP($H40,TES[],3,FALSE),"NA")</f>
        <v>0</v>
      </c>
      <c r="N40" s="77" t="str">
        <f>IFERROR(VLOOKUP($H40,TEC[],3,FALSE),"NA")</f>
        <v>NA</v>
      </c>
      <c r="O40" s="77" t="str">
        <f>IFERROR(VLOOKUP($H40,TP[],3,FALSE),"NA")</f>
        <v>NA</v>
      </c>
      <c r="P40" s="77" t="str">
        <f>IFERROR(VLOOKUP($H40,TEN[],3,FALSE),"NA")</f>
        <v>NA</v>
      </c>
      <c r="Q40" s="77" t="str">
        <f>IFERROR(VLOOKUP($H40,TD[],3,FALSE),"NA")</f>
        <v>NA</v>
      </c>
      <c r="R40" s="77" t="str">
        <f>IFERROR(VLOOKUP($H40,TC[],3,FALSE),"NA")</f>
        <v>NA</v>
      </c>
      <c r="S40" s="77" t="str">
        <f>IFERROR(VLOOKUP($H40,TEV[],3,FALSE),"NA")</f>
        <v>NA</v>
      </c>
      <c r="T40" s="79">
        <f>SUM(TbAlquiler[[#This Row],[GENERAL]:[ELEVADOR]])</f>
        <v>0</v>
      </c>
      <c r="U40" s="80">
        <f>IF(VLOOKUP(TbAlquiler[[#This Row],[ITEM]],TbPiezas[],5,FALSE)="NA",0,VLOOKUP(TbAlquiler[[#This Row],[ITEM]],TbPiezas[],5,FALSE))</f>
        <v>19.399999999999991</v>
      </c>
      <c r="V40" s="81">
        <f>+TbAlquiler[[#This Row],[TOTAL]]*TbAlquiler[[#This Row],[P.U. (1)]]</f>
        <v>0</v>
      </c>
      <c r="W40" s="82">
        <f>+VLOOKUP(TbAlquiler[[#This Row],[ITEM]],TbPiezas[],6,FALSE)</f>
        <v>324.89</v>
      </c>
      <c r="X40" s="83">
        <f>+TbAlquiler[[#This Row],[TOTAL]]*TbAlquiler[[#This Row],[P.U. (2)]]</f>
        <v>0</v>
      </c>
      <c r="Y40" s="82">
        <f>+VLOOKUP(TbAlquiler[[#This Row],[ITEM]],TbPiezas[],7,FALSE)</f>
        <v>16.244499999999999</v>
      </c>
      <c r="Z40" s="84">
        <f>+TbAlquiler[[#This Row],[TOTAL]]*TbAlquiler[[#This Row],[P.U. (3)]]</f>
        <v>0</v>
      </c>
    </row>
    <row r="41" spans="1:26" ht="15" customHeight="1" x14ac:dyDescent="0.3">
      <c r="A41" s="2"/>
      <c r="B41" s="85">
        <v>24</v>
      </c>
      <c r="C41" s="71" t="s">
        <v>49</v>
      </c>
      <c r="D41" s="72" t="s">
        <v>50</v>
      </c>
      <c r="E41" s="73"/>
      <c r="F41" s="74">
        <f>+VLOOKUP(C41,TbAlquiler[],13,FALSE)</f>
        <v>0</v>
      </c>
      <c r="G41" s="2"/>
      <c r="H41" s="75" t="str">
        <f t="shared" si="0"/>
        <v>AM.2200</v>
      </c>
      <c r="I41" s="59" t="str">
        <f t="shared" si="1"/>
        <v>ok</v>
      </c>
      <c r="J41" s="77">
        <f>IFERROR(VLOOKUP($H41,TG[],3,FALSE),"NA")</f>
        <v>0</v>
      </c>
      <c r="K41" s="77" t="str">
        <f>IFERROR(VLOOKUP($H41,TF[],3,FALSE),"NA")</f>
        <v>NA</v>
      </c>
      <c r="L41" s="77" t="str">
        <f>IFERROR(VLOOKUP($H41,TT[],3,FALSE),"NA")</f>
        <v>NA</v>
      </c>
      <c r="M41" s="77">
        <f>IFERROR(VLOOKUP($H41,TES[],3,FALSE),"NA")</f>
        <v>0</v>
      </c>
      <c r="N41" s="77" t="str">
        <f>IFERROR(VLOOKUP($H41,TEC[],3,FALSE),"NA")</f>
        <v>NA</v>
      </c>
      <c r="O41" s="77" t="str">
        <f>IFERROR(VLOOKUP($H41,TP[],3,FALSE),"NA")</f>
        <v>NA</v>
      </c>
      <c r="P41" s="77" t="str">
        <f>IFERROR(VLOOKUP($H41,TEN[],3,FALSE),"NA")</f>
        <v>NA</v>
      </c>
      <c r="Q41" s="77" t="str">
        <f>IFERROR(VLOOKUP($H41,TD[],3,FALSE),"NA")</f>
        <v>NA</v>
      </c>
      <c r="R41" s="77" t="str">
        <f>IFERROR(VLOOKUP($H41,TC[],3,FALSE),"NA")</f>
        <v>NA</v>
      </c>
      <c r="S41" s="77" t="str">
        <f>IFERROR(VLOOKUP($H41,TEV[],3,FALSE),"NA")</f>
        <v>NA</v>
      </c>
      <c r="T41" s="79">
        <f>SUM(TbAlquiler[[#This Row],[GENERAL]:[ELEVADOR]])</f>
        <v>0</v>
      </c>
      <c r="U41" s="80">
        <f>IF(VLOOKUP(TbAlquiler[[#This Row],[ITEM]],TbPiezas[],5,FALSE)="NA",0,VLOOKUP(TbAlquiler[[#This Row],[ITEM]],TbPiezas[],5,FALSE))</f>
        <v>14.399999999999991</v>
      </c>
      <c r="V41" s="81">
        <f>+TbAlquiler[[#This Row],[TOTAL]]*TbAlquiler[[#This Row],[P.U. (1)]]</f>
        <v>0</v>
      </c>
      <c r="W41" s="82">
        <f>+VLOOKUP(TbAlquiler[[#This Row],[ITEM]],TbPiezas[],6,FALSE)</f>
        <v>268.19</v>
      </c>
      <c r="X41" s="83">
        <f>+TbAlquiler[[#This Row],[TOTAL]]*TbAlquiler[[#This Row],[P.U. (2)]]</f>
        <v>0</v>
      </c>
      <c r="Y41" s="82">
        <f>+VLOOKUP(TbAlquiler[[#This Row],[ITEM]],TbPiezas[],7,FALSE)</f>
        <v>13.409500000000001</v>
      </c>
      <c r="Z41" s="84">
        <f>+TbAlquiler[[#This Row],[TOTAL]]*TbAlquiler[[#This Row],[P.U. (3)]]</f>
        <v>0</v>
      </c>
    </row>
    <row r="42" spans="1:26" ht="15" customHeight="1" x14ac:dyDescent="0.3">
      <c r="A42" s="2"/>
      <c r="B42" s="85">
        <v>25</v>
      </c>
      <c r="C42" s="71" t="s">
        <v>51</v>
      </c>
      <c r="D42" s="72" t="s">
        <v>52</v>
      </c>
      <c r="E42" s="73"/>
      <c r="F42" s="74">
        <f>+VLOOKUP(C42,TbAlquiler[],13,FALSE)</f>
        <v>0</v>
      </c>
      <c r="G42" s="2"/>
      <c r="H42" s="75" t="str">
        <f t="shared" si="0"/>
        <v>AM.2250</v>
      </c>
      <c r="I42" s="59" t="str">
        <f t="shared" si="1"/>
        <v>ok</v>
      </c>
      <c r="J42" s="77">
        <f>IFERROR(VLOOKUP($H42,TG[],3,FALSE),"NA")</f>
        <v>0</v>
      </c>
      <c r="K42" s="77" t="str">
        <f>IFERROR(VLOOKUP($H42,TF[],3,FALSE),"NA")</f>
        <v>NA</v>
      </c>
      <c r="L42" s="77" t="str">
        <f>IFERROR(VLOOKUP($H42,TT[],3,FALSE),"NA")</f>
        <v>NA</v>
      </c>
      <c r="M42" s="77">
        <f>IFERROR(VLOOKUP($H42,TES[],3,FALSE),"NA")</f>
        <v>0</v>
      </c>
      <c r="N42" s="77" t="str">
        <f>IFERROR(VLOOKUP($H42,TEC[],3,FALSE),"NA")</f>
        <v>NA</v>
      </c>
      <c r="O42" s="77" t="str">
        <f>IFERROR(VLOOKUP($H42,TP[],3,FALSE),"NA")</f>
        <v>NA</v>
      </c>
      <c r="P42" s="77" t="str">
        <f>IFERROR(VLOOKUP($H42,TEN[],3,FALSE),"NA")</f>
        <v>NA</v>
      </c>
      <c r="Q42" s="77" t="str">
        <f>IFERROR(VLOOKUP($H42,TD[],3,FALSE),"NA")</f>
        <v>NA</v>
      </c>
      <c r="R42" s="77" t="str">
        <f>IFERROR(VLOOKUP($H42,TC[],3,FALSE),"NA")</f>
        <v>NA</v>
      </c>
      <c r="S42" s="77" t="str">
        <f>IFERROR(VLOOKUP($H42,TEV[],3,FALSE),"NA")</f>
        <v>NA</v>
      </c>
      <c r="T42" s="79">
        <f>SUM(TbAlquiler[[#This Row],[GENERAL]:[ELEVADOR]])</f>
        <v>0</v>
      </c>
      <c r="U42" s="80">
        <f>IF(VLOOKUP(TbAlquiler[[#This Row],[ITEM]],TbPiezas[],5,FALSE)="NA",0,VLOOKUP(TbAlquiler[[#This Row],[ITEM]],TbPiezas[],5,FALSE))</f>
        <v>14.4</v>
      </c>
      <c r="V42" s="81">
        <f>+TbAlquiler[[#This Row],[TOTAL]]*TbAlquiler[[#This Row],[P.U. (1)]]</f>
        <v>0</v>
      </c>
      <c r="W42" s="82">
        <f>+VLOOKUP(TbAlquiler[[#This Row],[ITEM]],TbPiezas[],6,FALSE)</f>
        <v>268.19</v>
      </c>
      <c r="X42" s="83">
        <f>+TbAlquiler[[#This Row],[TOTAL]]*TbAlquiler[[#This Row],[P.U. (2)]]</f>
        <v>0</v>
      </c>
      <c r="Y42" s="82">
        <f>+VLOOKUP(TbAlquiler[[#This Row],[ITEM]],TbPiezas[],7,FALSE)</f>
        <v>13.409500000000001</v>
      </c>
      <c r="Z42" s="84">
        <f>+TbAlquiler[[#This Row],[TOTAL]]*TbAlquiler[[#This Row],[P.U. (3)]]</f>
        <v>0</v>
      </c>
    </row>
    <row r="43" spans="1:26" ht="15" customHeight="1" x14ac:dyDescent="0.3">
      <c r="A43" s="2"/>
      <c r="B43" s="85">
        <v>26</v>
      </c>
      <c r="C43" s="71" t="s">
        <v>53</v>
      </c>
      <c r="D43" s="72" t="s">
        <v>54</v>
      </c>
      <c r="E43" s="73"/>
      <c r="F43" s="74">
        <f>+VLOOKUP(C43,TbAlquiler[],13,FALSE)</f>
        <v>0</v>
      </c>
      <c r="G43" s="2"/>
      <c r="H43" s="75" t="str">
        <f t="shared" si="0"/>
        <v>AM.2300</v>
      </c>
      <c r="I43" s="59" t="str">
        <f t="shared" si="1"/>
        <v>ok</v>
      </c>
      <c r="J43" s="77">
        <f>IFERROR(VLOOKUP($H43,TG[],3,FALSE),"NA")</f>
        <v>0</v>
      </c>
      <c r="K43" s="77" t="str">
        <f>IFERROR(VLOOKUP($H43,TF[],3,FALSE),"NA")</f>
        <v>NA</v>
      </c>
      <c r="L43" s="77" t="str">
        <f>IFERROR(VLOOKUP($H43,TT[],3,FALSE),"NA")</f>
        <v>NA</v>
      </c>
      <c r="M43" s="77">
        <f>IFERROR(VLOOKUP($H43,TES[],3,FALSE),"NA")</f>
        <v>0</v>
      </c>
      <c r="N43" s="77" t="str">
        <f>IFERROR(VLOOKUP($H43,TEC[],3,FALSE),"NA")</f>
        <v>NA</v>
      </c>
      <c r="O43" s="77" t="str">
        <f>IFERROR(VLOOKUP($H43,TP[],3,FALSE),"NA")</f>
        <v>NA</v>
      </c>
      <c r="P43" s="77" t="str">
        <f>IFERROR(VLOOKUP($H43,TEN[],3,FALSE),"NA")</f>
        <v>NA</v>
      </c>
      <c r="Q43" s="77" t="str">
        <f>IFERROR(VLOOKUP($H43,TD[],3,FALSE),"NA")</f>
        <v>NA</v>
      </c>
      <c r="R43" s="77" t="str">
        <f>IFERROR(VLOOKUP($H43,TC[],3,FALSE),"NA")</f>
        <v>NA</v>
      </c>
      <c r="S43" s="77" t="str">
        <f>IFERROR(VLOOKUP($H43,TEV[],3,FALSE),"NA")</f>
        <v>NA</v>
      </c>
      <c r="T43" s="79">
        <f>SUM(TbAlquiler[[#This Row],[GENERAL]:[ELEVADOR]])</f>
        <v>0</v>
      </c>
      <c r="U43" s="80">
        <f>IF(VLOOKUP(TbAlquiler[[#This Row],[ITEM]],TbPiezas[],5,FALSE)="NA",0,VLOOKUP(TbAlquiler[[#This Row],[ITEM]],TbPiezas[],5,FALSE))</f>
        <v>75.599999999999994</v>
      </c>
      <c r="V43" s="81">
        <f>+TbAlquiler[[#This Row],[TOTAL]]*TbAlquiler[[#This Row],[P.U. (1)]]</f>
        <v>0</v>
      </c>
      <c r="W43" s="82">
        <f>+VLOOKUP(TbAlquiler[[#This Row],[ITEM]],TbPiezas[],6,FALSE)</f>
        <v>1621.32</v>
      </c>
      <c r="X43" s="83">
        <f>+TbAlquiler[[#This Row],[TOTAL]]*TbAlquiler[[#This Row],[P.U. (2)]]</f>
        <v>0</v>
      </c>
      <c r="Y43" s="82">
        <f>+VLOOKUP(TbAlquiler[[#This Row],[ITEM]],TbPiezas[],7,FALSE)</f>
        <v>81.066000000000003</v>
      </c>
      <c r="Z43" s="84">
        <f>+TbAlquiler[[#This Row],[TOTAL]]*TbAlquiler[[#This Row],[P.U. (3)]]</f>
        <v>0</v>
      </c>
    </row>
    <row r="44" spans="1:26" ht="15" customHeight="1" x14ac:dyDescent="0.3">
      <c r="A44" s="2"/>
      <c r="B44" s="85">
        <v>27</v>
      </c>
      <c r="C44" s="71" t="s">
        <v>55</v>
      </c>
      <c r="D44" s="72" t="s">
        <v>56</v>
      </c>
      <c r="E44" s="73"/>
      <c r="F44" s="74">
        <f>+VLOOKUP(C44,TbAlquiler[],13,FALSE)</f>
        <v>0</v>
      </c>
      <c r="G44" s="2"/>
      <c r="H44" s="75" t="str">
        <f t="shared" si="0"/>
        <v>AM.2400</v>
      </c>
      <c r="I44" s="59" t="str">
        <f t="shared" si="1"/>
        <v>ok</v>
      </c>
      <c r="J44" s="77">
        <f>IFERROR(VLOOKUP($H44,TG[],3,FALSE),"NA")</f>
        <v>0</v>
      </c>
      <c r="K44" s="77" t="str">
        <f>IFERROR(VLOOKUP($H44,TF[],3,FALSE),"NA")</f>
        <v>NA</v>
      </c>
      <c r="L44" s="77" t="str">
        <f>IFERROR(VLOOKUP($H44,TT[],3,FALSE),"NA")</f>
        <v>NA</v>
      </c>
      <c r="M44" s="77">
        <f>IFERROR(VLOOKUP($H44,TES[],3,FALSE),"NA")</f>
        <v>0</v>
      </c>
      <c r="N44" s="77" t="str">
        <f>IFERROR(VLOOKUP($H44,TEC[],3,FALSE),"NA")</f>
        <v>NA</v>
      </c>
      <c r="O44" s="77" t="str">
        <f>IFERROR(VLOOKUP($H44,TP[],3,FALSE),"NA")</f>
        <v>NA</v>
      </c>
      <c r="P44" s="77" t="str">
        <f>IFERROR(VLOOKUP($H44,TEN[],3,FALSE),"NA")</f>
        <v>NA</v>
      </c>
      <c r="Q44" s="77" t="str">
        <f>IFERROR(VLOOKUP($H44,TD[],3,FALSE),"NA")</f>
        <v>NA</v>
      </c>
      <c r="R44" s="77" t="str">
        <f>IFERROR(VLOOKUP($H44,TC[],3,FALSE),"NA")</f>
        <v>NA</v>
      </c>
      <c r="S44" s="77" t="str">
        <f>IFERROR(VLOOKUP($H44,TEV[],3,FALSE),"NA")</f>
        <v>NA</v>
      </c>
      <c r="T44" s="79">
        <f>SUM(TbAlquiler[[#This Row],[GENERAL]:[ELEVADOR]])</f>
        <v>0</v>
      </c>
      <c r="U44" s="80">
        <f>IF(VLOOKUP(TbAlquiler[[#This Row],[ITEM]],TbPiezas[],5,FALSE)="NA",0,VLOOKUP(TbAlquiler[[#This Row],[ITEM]],TbPiezas[],5,FALSE))</f>
        <v>63</v>
      </c>
      <c r="V44" s="81">
        <f>+TbAlquiler[[#This Row],[TOTAL]]*TbAlquiler[[#This Row],[P.U. (1)]]</f>
        <v>0</v>
      </c>
      <c r="W44" s="82">
        <f>+VLOOKUP(TbAlquiler[[#This Row],[ITEM]],TbPiezas[],6,FALSE)</f>
        <v>1351.1</v>
      </c>
      <c r="X44" s="83">
        <f>+TbAlquiler[[#This Row],[TOTAL]]*TbAlquiler[[#This Row],[P.U. (2)]]</f>
        <v>0</v>
      </c>
      <c r="Y44" s="82">
        <f>+VLOOKUP(TbAlquiler[[#This Row],[ITEM]],TbPiezas[],7,FALSE)</f>
        <v>67.554999999999993</v>
      </c>
      <c r="Z44" s="84">
        <f>+TbAlquiler[[#This Row],[TOTAL]]*TbAlquiler[[#This Row],[P.U. (3)]]</f>
        <v>0</v>
      </c>
    </row>
    <row r="45" spans="1:26" ht="15" customHeight="1" x14ac:dyDescent="0.3">
      <c r="A45" s="2"/>
      <c r="B45" s="85">
        <v>28</v>
      </c>
      <c r="C45" s="71" t="s">
        <v>57</v>
      </c>
      <c r="D45" s="72" t="s">
        <v>58</v>
      </c>
      <c r="E45" s="73"/>
      <c r="F45" s="74">
        <f>+VLOOKUP(C45,TbAlquiler[],13,FALSE)</f>
        <v>0</v>
      </c>
      <c r="G45" s="2"/>
      <c r="H45" s="75" t="str">
        <f t="shared" si="0"/>
        <v>AM.2500</v>
      </c>
      <c r="I45" s="59" t="str">
        <f t="shared" si="1"/>
        <v>ok</v>
      </c>
      <c r="J45" s="77">
        <f>IFERROR(VLOOKUP($H45,TG[],3,FALSE),"NA")</f>
        <v>0</v>
      </c>
      <c r="K45" s="77" t="str">
        <f>IFERROR(VLOOKUP($H45,TF[],3,FALSE),"NA")</f>
        <v>NA</v>
      </c>
      <c r="L45" s="77" t="str">
        <f>IFERROR(VLOOKUP($H45,TT[],3,FALSE),"NA")</f>
        <v>NA</v>
      </c>
      <c r="M45" s="77">
        <f>IFERROR(VLOOKUP($H45,TES[],3,FALSE),"NA")</f>
        <v>0</v>
      </c>
      <c r="N45" s="77" t="str">
        <f>IFERROR(VLOOKUP($H45,TEC[],3,FALSE),"NA")</f>
        <v>NA</v>
      </c>
      <c r="O45" s="77" t="str">
        <f>IFERROR(VLOOKUP($H45,TP[],3,FALSE),"NA")</f>
        <v>NA</v>
      </c>
      <c r="P45" s="77" t="str">
        <f>IFERROR(VLOOKUP($H45,TEN[],3,FALSE),"NA")</f>
        <v>NA</v>
      </c>
      <c r="Q45" s="77" t="str">
        <f>IFERROR(VLOOKUP($H45,TD[],3,FALSE),"NA")</f>
        <v>NA</v>
      </c>
      <c r="R45" s="77" t="str">
        <f>IFERROR(VLOOKUP($H45,TC[],3,FALSE),"NA")</f>
        <v>NA</v>
      </c>
      <c r="S45" s="77" t="str">
        <f>IFERROR(VLOOKUP($H45,TEV[],3,FALSE),"NA")</f>
        <v>NA</v>
      </c>
      <c r="T45" s="79">
        <f>SUM(TbAlquiler[[#This Row],[GENERAL]:[ELEVADOR]])</f>
        <v>0</v>
      </c>
      <c r="U45" s="80">
        <f>IF(VLOOKUP(TbAlquiler[[#This Row],[ITEM]],TbPiezas[],5,FALSE)="NA",0,VLOOKUP(TbAlquiler[[#This Row],[ITEM]],TbPiezas[],5,FALSE))</f>
        <v>54.6</v>
      </c>
      <c r="V45" s="81">
        <f>+TbAlquiler[[#This Row],[TOTAL]]*TbAlquiler[[#This Row],[P.U. (1)]]</f>
        <v>0</v>
      </c>
      <c r="W45" s="82">
        <f>+VLOOKUP(TbAlquiler[[#This Row],[ITEM]],TbPiezas[],6,FALSE)</f>
        <v>1170.95</v>
      </c>
      <c r="X45" s="83">
        <f>+TbAlquiler[[#This Row],[TOTAL]]*TbAlquiler[[#This Row],[P.U. (2)]]</f>
        <v>0</v>
      </c>
      <c r="Y45" s="82">
        <f>+VLOOKUP(TbAlquiler[[#This Row],[ITEM]],TbPiezas[],7,FALSE)</f>
        <v>58.547500000000007</v>
      </c>
      <c r="Z45" s="84">
        <f>+TbAlquiler[[#This Row],[TOTAL]]*TbAlquiler[[#This Row],[P.U. (3)]]</f>
        <v>0</v>
      </c>
    </row>
    <row r="46" spans="1:26" ht="15" customHeight="1" x14ac:dyDescent="0.3">
      <c r="A46" s="2"/>
      <c r="B46" s="85">
        <v>29</v>
      </c>
      <c r="C46" s="71" t="s">
        <v>59</v>
      </c>
      <c r="D46" s="72" t="s">
        <v>60</v>
      </c>
      <c r="E46" s="73"/>
      <c r="F46" s="74">
        <f>+VLOOKUP(C46,TbAlquiler[],13,FALSE)</f>
        <v>0</v>
      </c>
      <c r="G46" s="2"/>
      <c r="H46" s="75" t="str">
        <f t="shared" si="0"/>
        <v>AM.2600</v>
      </c>
      <c r="I46" s="59" t="str">
        <f t="shared" si="1"/>
        <v>ok</v>
      </c>
      <c r="J46" s="77">
        <f>IFERROR(VLOOKUP($H46,TG[],3,FALSE),"NA")</f>
        <v>0</v>
      </c>
      <c r="K46" s="77" t="str">
        <f>IFERROR(VLOOKUP($H46,TF[],3,FALSE),"NA")</f>
        <v>NA</v>
      </c>
      <c r="L46" s="77" t="str">
        <f>IFERROR(VLOOKUP($H46,TT[],3,FALSE),"NA")</f>
        <v>NA</v>
      </c>
      <c r="M46" s="77">
        <f>IFERROR(VLOOKUP($H46,TES[],3,FALSE),"NA")</f>
        <v>0</v>
      </c>
      <c r="N46" s="77" t="str">
        <f>IFERROR(VLOOKUP($H46,TEC[],3,FALSE),"NA")</f>
        <v>NA</v>
      </c>
      <c r="O46" s="77" t="str">
        <f>IFERROR(VLOOKUP($H46,TP[],3,FALSE),"NA")</f>
        <v>NA</v>
      </c>
      <c r="P46" s="77" t="str">
        <f>IFERROR(VLOOKUP($H46,TEN[],3,FALSE),"NA")</f>
        <v>NA</v>
      </c>
      <c r="Q46" s="77" t="str">
        <f>IFERROR(VLOOKUP($H46,TD[],3,FALSE),"NA")</f>
        <v>NA</v>
      </c>
      <c r="R46" s="77" t="str">
        <f>IFERROR(VLOOKUP($H46,TC[],3,FALSE),"NA")</f>
        <v>NA</v>
      </c>
      <c r="S46" s="77" t="str">
        <f>IFERROR(VLOOKUP($H46,TEV[],3,FALSE),"NA")</f>
        <v>NA</v>
      </c>
      <c r="T46" s="79">
        <f>SUM(TbAlquiler[[#This Row],[GENERAL]:[ELEVADOR]])</f>
        <v>0</v>
      </c>
      <c r="U46" s="80">
        <f>IF(VLOOKUP(TbAlquiler[[#This Row],[ITEM]],TbPiezas[],5,FALSE)="NA",0,VLOOKUP(TbAlquiler[[#This Row],[ITEM]],TbPiezas[],5,FALSE))</f>
        <v>30.399999999999991</v>
      </c>
      <c r="V46" s="81">
        <f>+TbAlquiler[[#This Row],[TOTAL]]*TbAlquiler[[#This Row],[P.U. (1)]]</f>
        <v>0</v>
      </c>
      <c r="W46" s="82">
        <f>+VLOOKUP(TbAlquiler[[#This Row],[ITEM]],TbPiezas[],6,FALSE)</f>
        <v>720.59</v>
      </c>
      <c r="X46" s="83">
        <f>+TbAlquiler[[#This Row],[TOTAL]]*TbAlquiler[[#This Row],[P.U. (2)]]</f>
        <v>0</v>
      </c>
      <c r="Y46" s="82">
        <f>+VLOOKUP(TbAlquiler[[#This Row],[ITEM]],TbPiezas[],7,FALSE)</f>
        <v>36.029500000000006</v>
      </c>
      <c r="Z46" s="84">
        <f>+TbAlquiler[[#This Row],[TOTAL]]*TbAlquiler[[#This Row],[P.U. (3)]]</f>
        <v>0</v>
      </c>
    </row>
    <row r="47" spans="1:26" ht="15" customHeight="1" x14ac:dyDescent="0.3">
      <c r="A47" s="2"/>
      <c r="B47" s="85">
        <v>30</v>
      </c>
      <c r="C47" s="429" t="s">
        <v>61</v>
      </c>
      <c r="D47" s="430" t="s">
        <v>62</v>
      </c>
      <c r="E47" s="73"/>
      <c r="F47" s="74">
        <f>+VLOOKUP(C47,TbAlquiler[],13,FALSE)</f>
        <v>0</v>
      </c>
      <c r="G47" s="2"/>
      <c r="H47" s="75" t="str">
        <f t="shared" si="0"/>
        <v>AM.2700</v>
      </c>
      <c r="I47" s="59" t="str">
        <f t="shared" si="1"/>
        <v>ok</v>
      </c>
      <c r="J47" s="77">
        <f>IFERROR(VLOOKUP($H47,TG[],3,FALSE),"NA")</f>
        <v>0</v>
      </c>
      <c r="K47" s="77" t="str">
        <f>IFERROR(VLOOKUP($H47,TF[],3,FALSE),"NA")</f>
        <v>NA</v>
      </c>
      <c r="L47" s="77" t="str">
        <f>IFERROR(VLOOKUP($H47,TT[],3,FALSE),"NA")</f>
        <v>NA</v>
      </c>
      <c r="M47" s="77">
        <f>IFERROR(VLOOKUP($H47,TES[],3,FALSE),"NA")</f>
        <v>0</v>
      </c>
      <c r="N47" s="77" t="str">
        <f>IFERROR(VLOOKUP($H47,TEC[],3,FALSE),"NA")</f>
        <v>NA</v>
      </c>
      <c r="O47" s="77" t="str">
        <f>IFERROR(VLOOKUP($H47,TP[],3,FALSE),"NA")</f>
        <v>NA</v>
      </c>
      <c r="P47" s="77" t="str">
        <f>IFERROR(VLOOKUP($H47,TEN[],3,FALSE),"NA")</f>
        <v>NA</v>
      </c>
      <c r="Q47" s="77" t="str">
        <f>IFERROR(VLOOKUP($H47,TD[],3,FALSE),"NA")</f>
        <v>NA</v>
      </c>
      <c r="R47" s="77" t="str">
        <f>IFERROR(VLOOKUP($H47,TC[],3,FALSE),"NA")</f>
        <v>NA</v>
      </c>
      <c r="S47" s="77" t="str">
        <f>IFERROR(VLOOKUP($H47,TEV[],3,FALSE),"NA")</f>
        <v>NA</v>
      </c>
      <c r="T47" s="79">
        <f>SUM(TbAlquiler[[#This Row],[GENERAL]:[ELEVADOR]])</f>
        <v>0</v>
      </c>
      <c r="U47" s="80">
        <f>IF(VLOOKUP(TbAlquiler[[#This Row],[ITEM]],TbPiezas[],5,FALSE)="NA",0,VLOOKUP(TbAlquiler[[#This Row],[ITEM]],TbPiezas[],5,FALSE))</f>
        <v>12.5</v>
      </c>
      <c r="V47" s="81">
        <f>+TbAlquiler[[#This Row],[TOTAL]]*TbAlquiler[[#This Row],[P.U. (1)]]</f>
        <v>0</v>
      </c>
      <c r="W47" s="82">
        <f>+VLOOKUP(TbAlquiler[[#This Row],[ITEM]],TbPiezas[],6,FALSE)</f>
        <v>810.02</v>
      </c>
      <c r="X47" s="83">
        <f>+TbAlquiler[[#This Row],[TOTAL]]*TbAlquiler[[#This Row],[P.U. (2)]]</f>
        <v>0</v>
      </c>
      <c r="Y47" s="82">
        <f>+VLOOKUP(TbAlquiler[[#This Row],[ITEM]],TbPiezas[],7,FALSE)</f>
        <v>40.501000000000005</v>
      </c>
      <c r="Z47" s="84">
        <f>+TbAlquiler[[#This Row],[TOTAL]]*TbAlquiler[[#This Row],[P.U. (3)]]</f>
        <v>0</v>
      </c>
    </row>
    <row r="48" spans="1:26" ht="15" customHeight="1" x14ac:dyDescent="0.3">
      <c r="A48" s="2"/>
      <c r="B48" s="85">
        <v>31</v>
      </c>
      <c r="C48" s="71" t="s">
        <v>63</v>
      </c>
      <c r="D48" s="72" t="s">
        <v>64</v>
      </c>
      <c r="E48" s="73"/>
      <c r="F48" s="74">
        <f>+VLOOKUP(C48,TbAlquiler[],13,FALSE)</f>
        <v>0</v>
      </c>
      <c r="G48" s="2"/>
      <c r="H48" s="75" t="str">
        <f t="shared" si="0"/>
        <v>AM.2800</v>
      </c>
      <c r="I48" s="59" t="str">
        <f t="shared" si="1"/>
        <v>ok</v>
      </c>
      <c r="J48" s="77">
        <f>IFERROR(VLOOKUP($H48,TG[],3,FALSE),"NA")</f>
        <v>0</v>
      </c>
      <c r="K48" s="77">
        <f>IFERROR(VLOOKUP($H48,TF[],3,FALSE),"NA")</f>
        <v>0</v>
      </c>
      <c r="L48" s="77">
        <f>IFERROR(VLOOKUP($H48,TT[],3,FALSE),"NA")</f>
        <v>0</v>
      </c>
      <c r="M48" s="77" t="str">
        <f>IFERROR(VLOOKUP($H48,TES[],3,FALSE),"NA")</f>
        <v>NA</v>
      </c>
      <c r="N48" s="77" t="str">
        <f>IFERROR(VLOOKUP($H48,TEC[],3,FALSE),"NA")</f>
        <v>NA</v>
      </c>
      <c r="O48" s="77" t="str">
        <f>IFERROR(VLOOKUP($H48,TP[],3,FALSE),"NA")</f>
        <v>NA</v>
      </c>
      <c r="P48" s="77" t="str">
        <f>IFERROR(VLOOKUP($H48,TEN[],3,FALSE),"NA")</f>
        <v>NA</v>
      </c>
      <c r="Q48" s="77" t="str">
        <f>IFERROR(VLOOKUP($H48,TD[],3,FALSE),"NA")</f>
        <v>NA</v>
      </c>
      <c r="R48" s="77" t="str">
        <f>IFERROR(VLOOKUP($H48,TC[],3,FALSE),"NA")</f>
        <v>NA</v>
      </c>
      <c r="S48" s="77" t="str">
        <f>IFERROR(VLOOKUP($H48,TEV[],3,FALSE),"NA")</f>
        <v>NA</v>
      </c>
      <c r="T48" s="79">
        <f>SUM(TbAlquiler[[#This Row],[GENERAL]:[ELEVADOR]])</f>
        <v>0</v>
      </c>
      <c r="U48" s="80">
        <f>IF(VLOOKUP(TbAlquiler[[#This Row],[ITEM]],TbPiezas[],5,FALSE)="NA",0,VLOOKUP(TbAlquiler[[#This Row],[ITEM]],TbPiezas[],5,FALSE))</f>
        <v>11.799999999999997</v>
      </c>
      <c r="V48" s="81">
        <f>+TbAlquiler[[#This Row],[TOTAL]]*TbAlquiler[[#This Row],[P.U. (1)]]</f>
        <v>0</v>
      </c>
      <c r="W48" s="82">
        <f>+VLOOKUP(TbAlquiler[[#This Row],[ITEM]],TbPiezas[],6,FALSE)</f>
        <v>276.36</v>
      </c>
      <c r="X48" s="83">
        <f>+TbAlquiler[[#This Row],[TOTAL]]*TbAlquiler[[#This Row],[P.U. (2)]]</f>
        <v>0</v>
      </c>
      <c r="Y48" s="82">
        <f>+VLOOKUP(TbAlquiler[[#This Row],[ITEM]],TbPiezas[],7,FALSE)</f>
        <v>13.818000000000001</v>
      </c>
      <c r="Z48" s="84">
        <f>+TbAlquiler[[#This Row],[TOTAL]]*TbAlquiler[[#This Row],[P.U. (3)]]</f>
        <v>0</v>
      </c>
    </row>
    <row r="49" spans="1:26" ht="15" customHeight="1" x14ac:dyDescent="0.3">
      <c r="A49" s="2"/>
      <c r="B49" s="85">
        <v>32</v>
      </c>
      <c r="C49" s="71" t="s">
        <v>65</v>
      </c>
      <c r="D49" s="72" t="s">
        <v>66</v>
      </c>
      <c r="E49" s="73"/>
      <c r="F49" s="74">
        <f>+VLOOKUP(C49,TbAlquiler[],13,FALSE)</f>
        <v>0</v>
      </c>
      <c r="G49" s="2"/>
      <c r="H49" s="75" t="str">
        <f t="shared" si="0"/>
        <v>AM.2900</v>
      </c>
      <c r="I49" s="59" t="str">
        <f t="shared" si="1"/>
        <v>ok</v>
      </c>
      <c r="J49" s="77">
        <f>IFERROR(VLOOKUP($H49,TG[],3,FALSE),"NA")</f>
        <v>0</v>
      </c>
      <c r="K49" s="77">
        <f>IFERROR(VLOOKUP($H49,TF[],3,FALSE),"NA")</f>
        <v>0</v>
      </c>
      <c r="L49" s="77">
        <f>IFERROR(VLOOKUP($H49,TT[],3,FALSE),"NA")</f>
        <v>0</v>
      </c>
      <c r="M49" s="77" t="str">
        <f>IFERROR(VLOOKUP($H49,TES[],3,FALSE),"NA")</f>
        <v>NA</v>
      </c>
      <c r="N49" s="77" t="str">
        <f>IFERROR(VLOOKUP($H49,TEC[],3,FALSE),"NA")</f>
        <v>NA</v>
      </c>
      <c r="O49" s="77" t="str">
        <f>IFERROR(VLOOKUP($H49,TP[],3,FALSE),"NA")</f>
        <v>NA</v>
      </c>
      <c r="P49" s="77" t="str">
        <f>IFERROR(VLOOKUP($H49,TEN[],3,FALSE),"NA")</f>
        <v>NA</v>
      </c>
      <c r="Q49" s="77" t="str">
        <f>IFERROR(VLOOKUP($H49,TD[],3,FALSE),"NA")</f>
        <v>NA</v>
      </c>
      <c r="R49" s="77" t="str">
        <f>IFERROR(VLOOKUP($H49,TC[],3,FALSE),"NA")</f>
        <v>NA</v>
      </c>
      <c r="S49" s="77" t="str">
        <f>IFERROR(VLOOKUP($H49,TEV[],3,FALSE),"NA")</f>
        <v>NA</v>
      </c>
      <c r="T49" s="79">
        <f>SUM(TbAlquiler[[#This Row],[GENERAL]:[ELEVADOR]])</f>
        <v>0</v>
      </c>
      <c r="U49" s="80">
        <f>IF(VLOOKUP(TbAlquiler[[#This Row],[ITEM]],TbPiezas[],5,FALSE)="NA",0,VLOOKUP(TbAlquiler[[#This Row],[ITEM]],TbPiezas[],5,FALSE))</f>
        <v>7.7999999999999972</v>
      </c>
      <c r="V49" s="81">
        <f>+TbAlquiler[[#This Row],[TOTAL]]*TbAlquiler[[#This Row],[P.U. (1)]]</f>
        <v>0</v>
      </c>
      <c r="W49" s="82">
        <f>+VLOOKUP(TbAlquiler[[#This Row],[ITEM]],TbPiezas[],6,FALSE)</f>
        <v>255.03</v>
      </c>
      <c r="X49" s="83">
        <f>+TbAlquiler[[#This Row],[TOTAL]]*TbAlquiler[[#This Row],[P.U. (2)]]</f>
        <v>0</v>
      </c>
      <c r="Y49" s="82">
        <f>+VLOOKUP(TbAlquiler[[#This Row],[ITEM]],TbPiezas[],7,FALSE)</f>
        <v>12.7515</v>
      </c>
      <c r="Z49" s="84">
        <f>+TbAlquiler[[#This Row],[TOTAL]]*TbAlquiler[[#This Row],[P.U. (3)]]</f>
        <v>0</v>
      </c>
    </row>
    <row r="50" spans="1:26" ht="15" customHeight="1" x14ac:dyDescent="0.3">
      <c r="A50" s="2"/>
      <c r="B50" s="85">
        <v>33</v>
      </c>
      <c r="C50" s="429" t="s">
        <v>67</v>
      </c>
      <c r="D50" s="430" t="s">
        <v>68</v>
      </c>
      <c r="E50" s="73"/>
      <c r="F50" s="74">
        <f>+VLOOKUP(C50,TbAlquiler[],13,FALSE)</f>
        <v>0</v>
      </c>
      <c r="G50" s="2"/>
      <c r="H50" s="75" t="str">
        <f t="shared" si="0"/>
        <v>AM.3000</v>
      </c>
      <c r="I50" s="59" t="str">
        <f t="shared" si="1"/>
        <v>ok</v>
      </c>
      <c r="J50" s="77">
        <f>IFERROR(VLOOKUP($H50,TG[],3,FALSE),"NA")</f>
        <v>0</v>
      </c>
      <c r="K50" s="77">
        <f>IFERROR(VLOOKUP($H50,TF[],3,FALSE),"NA")</f>
        <v>0</v>
      </c>
      <c r="L50" s="77">
        <f>IFERROR(VLOOKUP($H50,TT[],3,FALSE),"NA")</f>
        <v>0</v>
      </c>
      <c r="M50" s="77" t="str">
        <f>IFERROR(VLOOKUP($H50,TES[],3,FALSE),"NA")</f>
        <v>NA</v>
      </c>
      <c r="N50" s="77" t="str">
        <f>IFERROR(VLOOKUP($H50,TEC[],3,FALSE),"NA")</f>
        <v>NA</v>
      </c>
      <c r="O50" s="77" t="str">
        <f>IFERROR(VLOOKUP($H50,TP[],3,FALSE),"NA")</f>
        <v>NA</v>
      </c>
      <c r="P50" s="77" t="str">
        <f>IFERROR(VLOOKUP($H50,TEN[],3,FALSE),"NA")</f>
        <v>NA</v>
      </c>
      <c r="Q50" s="77" t="str">
        <f>IFERROR(VLOOKUP($H50,TD[],3,FALSE),"NA")</f>
        <v>NA</v>
      </c>
      <c r="R50" s="77" t="str">
        <f>IFERROR(VLOOKUP($H50,TC[],3,FALSE),"NA")</f>
        <v>NA</v>
      </c>
      <c r="S50" s="77" t="str">
        <f>IFERROR(VLOOKUP($H50,TEV[],3,FALSE),"NA")</f>
        <v>NA</v>
      </c>
      <c r="T50" s="79">
        <f>SUM(TbAlquiler[[#This Row],[GENERAL]:[ELEVADOR]])</f>
        <v>0</v>
      </c>
      <c r="U50" s="80">
        <f>IF(VLOOKUP(TbAlquiler[[#This Row],[ITEM]],TbPiezas[],5,FALSE)="NA",0,VLOOKUP(TbAlquiler[[#This Row],[ITEM]],TbPiezas[],5,FALSE))</f>
        <v>0.5</v>
      </c>
      <c r="V50" s="81">
        <f>+TbAlquiler[[#This Row],[TOTAL]]*TbAlquiler[[#This Row],[P.U. (1)]]</f>
        <v>0</v>
      </c>
      <c r="W50" s="82">
        <f>+VLOOKUP(TbAlquiler[[#This Row],[ITEM]],TbPiezas[],6,FALSE)</f>
        <v>105.43</v>
      </c>
      <c r="X50" s="83">
        <f>+TbAlquiler[[#This Row],[TOTAL]]*TbAlquiler[[#This Row],[P.U. (2)]]</f>
        <v>0</v>
      </c>
      <c r="Y50" s="82">
        <f>+VLOOKUP(TbAlquiler[[#This Row],[ITEM]],TbPiezas[],7,FALSE)</f>
        <v>5.2715000000000005</v>
      </c>
      <c r="Z50" s="84">
        <f>+TbAlquiler[[#This Row],[TOTAL]]*TbAlquiler[[#This Row],[P.U. (3)]]</f>
        <v>0</v>
      </c>
    </row>
    <row r="51" spans="1:26" ht="15" customHeight="1" x14ac:dyDescent="0.3">
      <c r="A51" s="2"/>
      <c r="B51" s="85">
        <v>34</v>
      </c>
      <c r="C51" s="71" t="s">
        <v>69</v>
      </c>
      <c r="D51" s="72" t="s">
        <v>70</v>
      </c>
      <c r="E51" s="73"/>
      <c r="F51" s="74">
        <f>+VLOOKUP(C51,TbAlquiler[],13,FALSE)</f>
        <v>0</v>
      </c>
      <c r="G51" s="2"/>
      <c r="H51" s="75" t="str">
        <f t="shared" si="0"/>
        <v>AM.3100</v>
      </c>
      <c r="I51" s="59" t="str">
        <f t="shared" si="1"/>
        <v>ok</v>
      </c>
      <c r="J51" s="77">
        <f>IFERROR(VLOOKUP($H51,TG[],3,FALSE),"NA")</f>
        <v>0</v>
      </c>
      <c r="K51" s="77">
        <f>IFERROR(VLOOKUP($H51,TF[],3,FALSE),"NA")</f>
        <v>0</v>
      </c>
      <c r="L51" s="77">
        <f>IFERROR(VLOOKUP($H51,TT[],3,FALSE),"NA")</f>
        <v>0</v>
      </c>
      <c r="M51" s="77">
        <f>IFERROR(VLOOKUP($H51,TES[],3,FALSE),"NA")</f>
        <v>0</v>
      </c>
      <c r="N51" s="77" t="str">
        <f>IFERROR(VLOOKUP($H51,TEC[],3,FALSE),"NA")</f>
        <v>NA</v>
      </c>
      <c r="O51" s="77" t="str">
        <f>IFERROR(VLOOKUP($H51,TP[],3,FALSE),"NA")</f>
        <v>NA</v>
      </c>
      <c r="P51" s="77" t="str">
        <f>IFERROR(VLOOKUP($H51,TEN[],3,FALSE),"NA")</f>
        <v>NA</v>
      </c>
      <c r="Q51" s="77" t="str">
        <f>IFERROR(VLOOKUP($H51,TD[],3,FALSE),"NA")</f>
        <v>NA</v>
      </c>
      <c r="R51" s="77" t="str">
        <f>IFERROR(VLOOKUP($H51,TC[],3,FALSE),"NA")</f>
        <v>NA</v>
      </c>
      <c r="S51" s="77" t="str">
        <f>IFERROR(VLOOKUP($H51,TEV[],3,FALSE),"NA")</f>
        <v>NA</v>
      </c>
      <c r="T51" s="79">
        <f>SUM(TbAlquiler[[#This Row],[GENERAL]:[ELEVADOR]])</f>
        <v>0</v>
      </c>
      <c r="U51" s="80">
        <f>IF(VLOOKUP(TbAlquiler[[#This Row],[ITEM]],TbPiezas[],5,FALSE)="NA",0,VLOOKUP(TbAlquiler[[#This Row],[ITEM]],TbPiezas[],5,FALSE))</f>
        <v>10.91</v>
      </c>
      <c r="V51" s="81">
        <f>+TbAlquiler[[#This Row],[TOTAL]]*TbAlquiler[[#This Row],[P.U. (1)]]</f>
        <v>0</v>
      </c>
      <c r="W51" s="82">
        <f>+VLOOKUP(TbAlquiler[[#This Row],[ITEM]],TbPiezas[],6,FALSE)</f>
        <v>808.35</v>
      </c>
      <c r="X51" s="83">
        <f>+TbAlquiler[[#This Row],[TOTAL]]*TbAlquiler[[#This Row],[P.U. (2)]]</f>
        <v>0</v>
      </c>
      <c r="Y51" s="82">
        <f>+VLOOKUP(TbAlquiler[[#This Row],[ITEM]],TbPiezas[],7,FALSE)</f>
        <v>40.417500000000004</v>
      </c>
      <c r="Z51" s="84">
        <f>+TbAlquiler[[#This Row],[TOTAL]]*TbAlquiler[[#This Row],[P.U. (3)]]</f>
        <v>0</v>
      </c>
    </row>
    <row r="52" spans="1:26" ht="15" customHeight="1" x14ac:dyDescent="0.3">
      <c r="A52" s="2"/>
      <c r="B52" s="85">
        <v>35</v>
      </c>
      <c r="C52" s="71" t="s">
        <v>71</v>
      </c>
      <c r="D52" s="72" t="s">
        <v>72</v>
      </c>
      <c r="E52" s="73"/>
      <c r="F52" s="74">
        <f>+VLOOKUP(C52,TbAlquiler[],13,FALSE)</f>
        <v>0</v>
      </c>
      <c r="G52" s="2"/>
      <c r="H52" s="75" t="str">
        <f t="shared" si="0"/>
        <v>AM.3200</v>
      </c>
      <c r="I52" s="59" t="str">
        <f t="shared" si="1"/>
        <v>ok</v>
      </c>
      <c r="J52" s="77">
        <f>IFERROR(VLOOKUP($H52,TG[],3,FALSE),"NA")</f>
        <v>0</v>
      </c>
      <c r="K52" s="77">
        <f>IFERROR(VLOOKUP($H52,TF[],3,FALSE),"NA")</f>
        <v>0</v>
      </c>
      <c r="L52" s="77">
        <f>IFERROR(VLOOKUP($H52,TT[],3,FALSE),"NA")</f>
        <v>0</v>
      </c>
      <c r="M52" s="77">
        <f>IFERROR(VLOOKUP($H52,TES[],3,FALSE),"NA")</f>
        <v>0</v>
      </c>
      <c r="N52" s="77" t="str">
        <f>IFERROR(VLOOKUP($H52,TEC[],3,FALSE),"NA")</f>
        <v>NA</v>
      </c>
      <c r="O52" s="77" t="str">
        <f>IFERROR(VLOOKUP($H52,TP[],3,FALSE),"NA")</f>
        <v>NA</v>
      </c>
      <c r="P52" s="77" t="str">
        <f>IFERROR(VLOOKUP($H52,TEN[],3,FALSE),"NA")</f>
        <v>NA</v>
      </c>
      <c r="Q52" s="77" t="str">
        <f>IFERROR(VLOOKUP($H52,TD[],3,FALSE),"NA")</f>
        <v>NA</v>
      </c>
      <c r="R52" s="77" t="str">
        <f>IFERROR(VLOOKUP($H52,TC[],3,FALSE),"NA")</f>
        <v>NA</v>
      </c>
      <c r="S52" s="77" t="str">
        <f>IFERROR(VLOOKUP($H52,TEV[],3,FALSE),"NA")</f>
        <v>NA</v>
      </c>
      <c r="T52" s="79">
        <f>SUM(TbAlquiler[[#This Row],[GENERAL]:[ELEVADOR]])</f>
        <v>0</v>
      </c>
      <c r="U52" s="80">
        <f>IF(VLOOKUP(TbAlquiler[[#This Row],[ITEM]],TbPiezas[],5,FALSE)="NA",0,VLOOKUP(TbAlquiler[[#This Row],[ITEM]],TbPiezas[],5,FALSE))</f>
        <v>4.2999999999999972</v>
      </c>
      <c r="V52" s="81">
        <f>+TbAlquiler[[#This Row],[TOTAL]]*TbAlquiler[[#This Row],[P.U. (1)]]</f>
        <v>0</v>
      </c>
      <c r="W52" s="82">
        <f>+VLOOKUP(TbAlquiler[[#This Row],[ITEM]],TbPiezas[],6,FALSE)</f>
        <v>519.13</v>
      </c>
      <c r="X52" s="83">
        <f>+TbAlquiler[[#This Row],[TOTAL]]*TbAlquiler[[#This Row],[P.U. (2)]]</f>
        <v>0</v>
      </c>
      <c r="Y52" s="82">
        <f>+VLOOKUP(TbAlquiler[[#This Row],[ITEM]],TbPiezas[],7,FALSE)</f>
        <v>25.956500000000002</v>
      </c>
      <c r="Z52" s="84">
        <f>+TbAlquiler[[#This Row],[TOTAL]]*TbAlquiler[[#This Row],[P.U. (3)]]</f>
        <v>0</v>
      </c>
    </row>
    <row r="53" spans="1:26" ht="15" customHeight="1" x14ac:dyDescent="0.3">
      <c r="A53" s="2"/>
      <c r="B53" s="85">
        <v>36</v>
      </c>
      <c r="C53" s="71" t="s">
        <v>73</v>
      </c>
      <c r="D53" s="72" t="s">
        <v>74</v>
      </c>
      <c r="E53" s="73"/>
      <c r="F53" s="74">
        <f>+VLOOKUP(C53,TbAlquiler[],13,FALSE)</f>
        <v>0</v>
      </c>
      <c r="G53" s="2"/>
      <c r="H53" s="75" t="str">
        <f t="shared" si="0"/>
        <v>AM.3300</v>
      </c>
      <c r="I53" s="59" t="str">
        <f t="shared" si="1"/>
        <v>ok</v>
      </c>
      <c r="J53" s="77">
        <f>IFERROR(VLOOKUP($H53,TG[],3,FALSE),"NA")</f>
        <v>0</v>
      </c>
      <c r="K53" s="77">
        <f>IFERROR(VLOOKUP($H53,TF[],3,FALSE),"NA")</f>
        <v>0</v>
      </c>
      <c r="L53" s="77">
        <f>IFERROR(VLOOKUP($H53,TT[],3,FALSE),"NA")</f>
        <v>0</v>
      </c>
      <c r="M53" s="77">
        <f>IFERROR(VLOOKUP($H53,TES[],3,FALSE),"NA")</f>
        <v>0</v>
      </c>
      <c r="N53" s="77" t="str">
        <f>IFERROR(VLOOKUP($H53,TEC[],3,FALSE),"NA")</f>
        <v>NA</v>
      </c>
      <c r="O53" s="77" t="str">
        <f>IFERROR(VLOOKUP($H53,TP[],3,FALSE),"NA")</f>
        <v>NA</v>
      </c>
      <c r="P53" s="77" t="str">
        <f>IFERROR(VLOOKUP($H53,TEN[],3,FALSE),"NA")</f>
        <v>NA</v>
      </c>
      <c r="Q53" s="77" t="str">
        <f>IFERROR(VLOOKUP($H53,TD[],3,FALSE),"NA")</f>
        <v>NA</v>
      </c>
      <c r="R53" s="77" t="str">
        <f>IFERROR(VLOOKUP($H53,TC[],3,FALSE),"NA")</f>
        <v>NA</v>
      </c>
      <c r="S53" s="77" t="str">
        <f>IFERROR(VLOOKUP($H53,TEV[],3,FALSE),"NA")</f>
        <v>NA</v>
      </c>
      <c r="T53" s="79">
        <f>SUM(TbAlquiler[[#This Row],[GENERAL]:[ELEVADOR]])</f>
        <v>0</v>
      </c>
      <c r="U53" s="80">
        <f>IF(VLOOKUP(TbAlquiler[[#This Row],[ITEM]],TbPiezas[],5,FALSE)="NA",0,VLOOKUP(TbAlquiler[[#This Row],[ITEM]],TbPiezas[],5,FALSE))</f>
        <v>3.2999999999999972</v>
      </c>
      <c r="V53" s="81">
        <f>+TbAlquiler[[#This Row],[TOTAL]]*TbAlquiler[[#This Row],[P.U. (1)]]</f>
        <v>0</v>
      </c>
      <c r="W53" s="82">
        <f>+VLOOKUP(TbAlquiler[[#This Row],[ITEM]],TbPiezas[],6,FALSE)</f>
        <v>259.56</v>
      </c>
      <c r="X53" s="83">
        <f>+TbAlquiler[[#This Row],[TOTAL]]*TbAlquiler[[#This Row],[P.U. (2)]]</f>
        <v>0</v>
      </c>
      <c r="Y53" s="82">
        <f>+VLOOKUP(TbAlquiler[[#This Row],[ITEM]],TbPiezas[],7,FALSE)</f>
        <v>12.978000000000002</v>
      </c>
      <c r="Z53" s="84">
        <f>+TbAlquiler[[#This Row],[TOTAL]]*TbAlquiler[[#This Row],[P.U. (3)]]</f>
        <v>0</v>
      </c>
    </row>
    <row r="54" spans="1:26" ht="15" customHeight="1" x14ac:dyDescent="0.3">
      <c r="A54" s="2"/>
      <c r="B54" s="85">
        <v>37</v>
      </c>
      <c r="C54" s="71" t="s">
        <v>75</v>
      </c>
      <c r="D54" s="72" t="s">
        <v>76</v>
      </c>
      <c r="E54" s="73"/>
      <c r="F54" s="74">
        <f>+VLOOKUP(C54,TbAlquiler[],13,FALSE)</f>
        <v>0</v>
      </c>
      <c r="G54" s="2"/>
      <c r="H54" s="75" t="str">
        <f t="shared" si="0"/>
        <v>AM.3400</v>
      </c>
      <c r="I54" s="59" t="str">
        <f t="shared" si="1"/>
        <v>ok</v>
      </c>
      <c r="J54" s="77">
        <f>IFERROR(VLOOKUP($H54,TG[],3,FALSE),"NA")</f>
        <v>0</v>
      </c>
      <c r="K54" s="77">
        <f>IFERROR(VLOOKUP($H54,TF[],3,FALSE),"NA")</f>
        <v>0</v>
      </c>
      <c r="L54" s="77">
        <f>IFERROR(VLOOKUP($H54,TT[],3,FALSE),"NA")</f>
        <v>0</v>
      </c>
      <c r="M54" s="77">
        <f>IFERROR(VLOOKUP($H54,TES[],3,FALSE),"NA")</f>
        <v>0</v>
      </c>
      <c r="N54" s="77" t="str">
        <f>IFERROR(VLOOKUP($H54,TEC[],3,FALSE),"NA")</f>
        <v>NA</v>
      </c>
      <c r="O54" s="77" t="str">
        <f>IFERROR(VLOOKUP($H54,TP[],3,FALSE),"NA")</f>
        <v>NA</v>
      </c>
      <c r="P54" s="77" t="str">
        <f>IFERROR(VLOOKUP($H54,TEN[],3,FALSE),"NA")</f>
        <v>NA</v>
      </c>
      <c r="Q54" s="77" t="str">
        <f>IFERROR(VLOOKUP($H54,TD[],3,FALSE),"NA")</f>
        <v>NA</v>
      </c>
      <c r="R54" s="77" t="str">
        <f>IFERROR(VLOOKUP($H54,TC[],3,FALSE),"NA")</f>
        <v>NA</v>
      </c>
      <c r="S54" s="77" t="str">
        <f>IFERROR(VLOOKUP($H54,TEV[],3,FALSE),"NA")</f>
        <v>NA</v>
      </c>
      <c r="T54" s="79">
        <f>SUM(TbAlquiler[[#This Row],[GENERAL]:[ELEVADOR]])</f>
        <v>0</v>
      </c>
      <c r="U54" s="80">
        <f>IF(VLOOKUP(TbAlquiler[[#This Row],[ITEM]],TbPiezas[],5,FALSE)="NA",0,VLOOKUP(TbAlquiler[[#This Row],[ITEM]],TbPiezas[],5,FALSE))</f>
        <v>5</v>
      </c>
      <c r="V54" s="81">
        <f>+TbAlquiler[[#This Row],[TOTAL]]*TbAlquiler[[#This Row],[P.U. (1)]]</f>
        <v>0</v>
      </c>
      <c r="W54" s="82">
        <f>+VLOOKUP(TbAlquiler[[#This Row],[ITEM]],TbPiezas[],6,FALSE)</f>
        <v>139.11000000000001</v>
      </c>
      <c r="X54" s="83">
        <f>+TbAlquiler[[#This Row],[TOTAL]]*TbAlquiler[[#This Row],[P.U. (2)]]</f>
        <v>0</v>
      </c>
      <c r="Y54" s="82">
        <f>+VLOOKUP(TbAlquiler[[#This Row],[ITEM]],TbPiezas[],7,FALSE)</f>
        <v>6.9555000000000007</v>
      </c>
      <c r="Z54" s="84">
        <f>+TbAlquiler[[#This Row],[TOTAL]]*TbAlquiler[[#This Row],[P.U. (3)]]</f>
        <v>0</v>
      </c>
    </row>
    <row r="55" spans="1:26" ht="15" customHeight="1" x14ac:dyDescent="0.3">
      <c r="A55" s="2"/>
      <c r="B55" s="85">
        <v>38</v>
      </c>
      <c r="C55" s="71" t="s">
        <v>77</v>
      </c>
      <c r="D55" s="72" t="s">
        <v>78</v>
      </c>
      <c r="E55" s="73"/>
      <c r="F55" s="74">
        <f>+VLOOKUP(C55,TbAlquiler[],13,FALSE)</f>
        <v>0</v>
      </c>
      <c r="G55" s="2"/>
      <c r="H55" s="75" t="str">
        <f t="shared" si="0"/>
        <v>AM.3500</v>
      </c>
      <c r="I55" s="59" t="str">
        <f t="shared" si="1"/>
        <v>ok</v>
      </c>
      <c r="J55" s="77">
        <f>IFERROR(VLOOKUP($H55,TG[],3,FALSE),"NA")</f>
        <v>0</v>
      </c>
      <c r="K55" s="77">
        <f>IFERROR(VLOOKUP($H55,TF[],3,FALSE),"NA")</f>
        <v>0</v>
      </c>
      <c r="L55" s="77">
        <f>IFERROR(VLOOKUP($H55,TT[],3,FALSE),"NA")</f>
        <v>0</v>
      </c>
      <c r="M55" s="77">
        <f>IFERROR(VLOOKUP($H55,TES[],3,FALSE),"NA")</f>
        <v>0</v>
      </c>
      <c r="N55" s="77" t="str">
        <f>IFERROR(VLOOKUP($H55,TEC[],3,FALSE),"NA")</f>
        <v>NA</v>
      </c>
      <c r="O55" s="77" t="str">
        <f>IFERROR(VLOOKUP($H55,TP[],3,FALSE),"NA")</f>
        <v>NA</v>
      </c>
      <c r="P55" s="77" t="str">
        <f>IFERROR(VLOOKUP($H55,TEN[],3,FALSE),"NA")</f>
        <v>NA</v>
      </c>
      <c r="Q55" s="77" t="str">
        <f>IFERROR(VLOOKUP($H55,TD[],3,FALSE),"NA")</f>
        <v>NA</v>
      </c>
      <c r="R55" s="77" t="str">
        <f>IFERROR(VLOOKUP($H55,TC[],3,FALSE),"NA")</f>
        <v>NA</v>
      </c>
      <c r="S55" s="77" t="str">
        <f>IFERROR(VLOOKUP($H55,TEV[],3,FALSE),"NA")</f>
        <v>NA</v>
      </c>
      <c r="T55" s="79">
        <f>SUM(TbAlquiler[[#This Row],[GENERAL]:[ELEVADOR]])</f>
        <v>0</v>
      </c>
      <c r="U55" s="80">
        <f>IF(VLOOKUP(TbAlquiler[[#This Row],[ITEM]],TbPiezas[],5,FALSE)="NA",0,VLOOKUP(TbAlquiler[[#This Row],[ITEM]],TbPiezas[],5,FALSE))</f>
        <v>3.5</v>
      </c>
      <c r="V55" s="81">
        <f>+TbAlquiler[[#This Row],[TOTAL]]*TbAlquiler[[#This Row],[P.U. (1)]]</f>
        <v>0</v>
      </c>
      <c r="W55" s="82">
        <f>+VLOOKUP(TbAlquiler[[#This Row],[ITEM]],TbPiezas[],6,FALSE)</f>
        <v>136.57</v>
      </c>
      <c r="X55" s="83">
        <f>+TbAlquiler[[#This Row],[TOTAL]]*TbAlquiler[[#This Row],[P.U. (2)]]</f>
        <v>0</v>
      </c>
      <c r="Y55" s="82">
        <f>+VLOOKUP(TbAlquiler[[#This Row],[ITEM]],TbPiezas[],7,FALSE)</f>
        <v>6.8285</v>
      </c>
      <c r="Z55" s="84">
        <f>+TbAlquiler[[#This Row],[TOTAL]]*TbAlquiler[[#This Row],[P.U. (3)]]</f>
        <v>0</v>
      </c>
    </row>
    <row r="56" spans="1:26" ht="15" customHeight="1" x14ac:dyDescent="0.3">
      <c r="A56" s="2"/>
      <c r="B56" s="85">
        <v>39</v>
      </c>
      <c r="C56" s="71" t="s">
        <v>79</v>
      </c>
      <c r="D56" s="72" t="s">
        <v>80</v>
      </c>
      <c r="E56" s="73"/>
      <c r="F56" s="74">
        <f>+VLOOKUP(C56,TbAlquiler[],13,FALSE)</f>
        <v>0</v>
      </c>
      <c r="G56" s="2"/>
      <c r="H56" s="75" t="str">
        <f t="shared" si="0"/>
        <v>AM.3600</v>
      </c>
      <c r="I56" s="59" t="str">
        <f t="shared" si="1"/>
        <v>ok</v>
      </c>
      <c r="J56" s="77">
        <f>IFERROR(VLOOKUP($H56,TG[],3,FALSE),"NA")</f>
        <v>0</v>
      </c>
      <c r="K56" s="77">
        <f>IFERROR(VLOOKUP($H56,TF[],3,FALSE),"NA")</f>
        <v>0</v>
      </c>
      <c r="L56" s="77">
        <f>IFERROR(VLOOKUP($H56,TT[],3,FALSE),"NA")</f>
        <v>0</v>
      </c>
      <c r="M56" s="77">
        <f>IFERROR(VLOOKUP($H56,TES[],3,FALSE),"NA")</f>
        <v>0</v>
      </c>
      <c r="N56" s="77" t="str">
        <f>IFERROR(VLOOKUP($H56,TEC[],3,FALSE),"NA")</f>
        <v>NA</v>
      </c>
      <c r="O56" s="77" t="str">
        <f>IFERROR(VLOOKUP($H56,TP[],3,FALSE),"NA")</f>
        <v>NA</v>
      </c>
      <c r="P56" s="77" t="str">
        <f>IFERROR(VLOOKUP($H56,TEN[],3,FALSE),"NA")</f>
        <v>NA</v>
      </c>
      <c r="Q56" s="77" t="str">
        <f>IFERROR(VLOOKUP($H56,TD[],3,FALSE),"NA")</f>
        <v>NA</v>
      </c>
      <c r="R56" s="77" t="str">
        <f>IFERROR(VLOOKUP($H56,TC[],3,FALSE),"NA")</f>
        <v>NA</v>
      </c>
      <c r="S56" s="77" t="str">
        <f>IFERROR(VLOOKUP($H56,TEV[],3,FALSE),"NA")</f>
        <v>NA</v>
      </c>
      <c r="T56" s="79">
        <f>SUM(TbAlquiler[[#This Row],[GENERAL]:[ELEVADOR]])</f>
        <v>0</v>
      </c>
      <c r="U56" s="80">
        <f>IF(VLOOKUP(TbAlquiler[[#This Row],[ITEM]],TbPiezas[],5,FALSE)="NA",0,VLOOKUP(TbAlquiler[[#This Row],[ITEM]],TbPiezas[],5,FALSE))</f>
        <v>2.5999999999999943</v>
      </c>
      <c r="V56" s="81">
        <f>+TbAlquiler[[#This Row],[TOTAL]]*TbAlquiler[[#This Row],[P.U. (1)]]</f>
        <v>0</v>
      </c>
      <c r="W56" s="82">
        <f>+VLOOKUP(TbAlquiler[[#This Row],[ITEM]],TbPiezas[],6,FALSE)</f>
        <v>128.38</v>
      </c>
      <c r="X56" s="83">
        <f>+TbAlquiler[[#This Row],[TOTAL]]*TbAlquiler[[#This Row],[P.U. (2)]]</f>
        <v>0</v>
      </c>
      <c r="Y56" s="82">
        <f>+VLOOKUP(TbAlquiler[[#This Row],[ITEM]],TbPiezas[],7,FALSE)</f>
        <v>6.4190000000000005</v>
      </c>
      <c r="Z56" s="84">
        <f>+TbAlquiler[[#This Row],[TOTAL]]*TbAlquiler[[#This Row],[P.U. (3)]]</f>
        <v>0</v>
      </c>
    </row>
    <row r="57" spans="1:26" ht="15" customHeight="1" x14ac:dyDescent="0.3">
      <c r="A57" s="2"/>
      <c r="B57" s="85">
        <v>40</v>
      </c>
      <c r="C57" s="71" t="s">
        <v>81</v>
      </c>
      <c r="D57" s="72" t="s">
        <v>82</v>
      </c>
      <c r="E57" s="73"/>
      <c r="F57" s="74">
        <f>+VLOOKUP(C57,TbAlquiler[],13,FALSE)</f>
        <v>0</v>
      </c>
      <c r="G57" s="2"/>
      <c r="H57" s="75" t="str">
        <f t="shared" si="0"/>
        <v>AM.3700</v>
      </c>
      <c r="I57" s="59" t="str">
        <f t="shared" si="1"/>
        <v>ok</v>
      </c>
      <c r="J57" s="77">
        <f>IFERROR(VLOOKUP($H57,TG[],3,FALSE),"NA")</f>
        <v>0</v>
      </c>
      <c r="K57" s="77">
        <f>IFERROR(VLOOKUP($H57,TF[],3,FALSE),"NA")</f>
        <v>0</v>
      </c>
      <c r="L57" s="77">
        <f>IFERROR(VLOOKUP($H57,TT[],3,FALSE),"NA")</f>
        <v>0</v>
      </c>
      <c r="M57" s="77">
        <f>IFERROR(VLOOKUP($H57,TES[],3,FALSE),"NA")</f>
        <v>0</v>
      </c>
      <c r="N57" s="77" t="str">
        <f>IFERROR(VLOOKUP($H57,TEC[],3,FALSE),"NA")</f>
        <v>NA</v>
      </c>
      <c r="O57" s="77" t="str">
        <f>IFERROR(VLOOKUP($H57,TP[],3,FALSE),"NA")</f>
        <v>NA</v>
      </c>
      <c r="P57" s="77" t="str">
        <f>IFERROR(VLOOKUP($H57,TEN[],3,FALSE),"NA")</f>
        <v>NA</v>
      </c>
      <c r="Q57" s="77" t="str">
        <f>IFERROR(VLOOKUP($H57,TD[],3,FALSE),"NA")</f>
        <v>NA</v>
      </c>
      <c r="R57" s="77" t="str">
        <f>IFERROR(VLOOKUP($H57,TC[],3,FALSE),"NA")</f>
        <v>NA</v>
      </c>
      <c r="S57" s="77" t="str">
        <f>IFERROR(VLOOKUP($H57,TEV[],3,FALSE),"NA")</f>
        <v>NA</v>
      </c>
      <c r="T57" s="79">
        <f>SUM(TbAlquiler[[#This Row],[GENERAL]:[ELEVADOR]])</f>
        <v>0</v>
      </c>
      <c r="U57" s="80">
        <f>IF(VLOOKUP(TbAlquiler[[#This Row],[ITEM]],TbPiezas[],5,FALSE)="NA",0,VLOOKUP(TbAlquiler[[#This Row],[ITEM]],TbPiezas[],5,FALSE))</f>
        <v>1.4000000000000057</v>
      </c>
      <c r="V57" s="81">
        <f>+TbAlquiler[[#This Row],[TOTAL]]*TbAlquiler[[#This Row],[P.U. (1)]]</f>
        <v>0</v>
      </c>
      <c r="W57" s="82">
        <f>+VLOOKUP(TbAlquiler[[#This Row],[ITEM]],TbPiezas[],6,FALSE)</f>
        <v>109.33</v>
      </c>
      <c r="X57" s="83">
        <f>+TbAlquiler[[#This Row],[TOTAL]]*TbAlquiler[[#This Row],[P.U. (2)]]</f>
        <v>0</v>
      </c>
      <c r="Y57" s="82">
        <f>+VLOOKUP(TbAlquiler[[#This Row],[ITEM]],TbPiezas[],7,FALSE)</f>
        <v>5.4664999999999999</v>
      </c>
      <c r="Z57" s="84">
        <f>+TbAlquiler[[#This Row],[TOTAL]]*TbAlquiler[[#This Row],[P.U. (3)]]</f>
        <v>0</v>
      </c>
    </row>
    <row r="58" spans="1:26" ht="15" customHeight="1" x14ac:dyDescent="0.3">
      <c r="A58" s="2"/>
      <c r="B58" s="85">
        <v>41</v>
      </c>
      <c r="C58" s="71" t="s">
        <v>83</v>
      </c>
      <c r="D58" s="72" t="s">
        <v>84</v>
      </c>
      <c r="E58" s="73"/>
      <c r="F58" s="74">
        <f>+VLOOKUP(C58,TbAlquiler[],13,FALSE)</f>
        <v>0</v>
      </c>
      <c r="G58" s="2"/>
      <c r="H58" s="75" t="str">
        <f t="shared" si="0"/>
        <v>AM.3800</v>
      </c>
      <c r="I58" s="59" t="str">
        <f t="shared" si="1"/>
        <v>ok</v>
      </c>
      <c r="J58" s="77">
        <f>IFERROR(VLOOKUP($H58,TG[],3,FALSE),"NA")</f>
        <v>0</v>
      </c>
      <c r="K58" s="77">
        <f>IFERROR(VLOOKUP($H58,TF[],3,FALSE),"NA")</f>
        <v>0</v>
      </c>
      <c r="L58" s="77">
        <f>IFERROR(VLOOKUP($H58,TT[],3,FALSE),"NA")</f>
        <v>0</v>
      </c>
      <c r="M58" s="77">
        <f>IFERROR(VLOOKUP($H58,TES[],3,FALSE),"NA")</f>
        <v>0</v>
      </c>
      <c r="N58" s="77" t="str">
        <f>IFERROR(VLOOKUP($H58,TEC[],3,FALSE),"NA")</f>
        <v>NA</v>
      </c>
      <c r="O58" s="77" t="str">
        <f>IFERROR(VLOOKUP($H58,TP[],3,FALSE),"NA")</f>
        <v>NA</v>
      </c>
      <c r="P58" s="77" t="str">
        <f>IFERROR(VLOOKUP($H58,TEN[],3,FALSE),"NA")</f>
        <v>NA</v>
      </c>
      <c r="Q58" s="77" t="str">
        <f>IFERROR(VLOOKUP($H58,TD[],3,FALSE),"NA")</f>
        <v>NA</v>
      </c>
      <c r="R58" s="77" t="str">
        <f>IFERROR(VLOOKUP($H58,TC[],3,FALSE),"NA")</f>
        <v>NA</v>
      </c>
      <c r="S58" s="77" t="str">
        <f>IFERROR(VLOOKUP($H58,TEV[],3,FALSE),"NA")</f>
        <v>NA</v>
      </c>
      <c r="T58" s="79">
        <f>SUM(TbAlquiler[[#This Row],[GENERAL]:[ELEVADOR]])</f>
        <v>0</v>
      </c>
      <c r="U58" s="80">
        <f>IF(VLOOKUP(TbAlquiler[[#This Row],[ITEM]],TbPiezas[],5,FALSE)="NA",0,VLOOKUP(TbAlquiler[[#This Row],[ITEM]],TbPiezas[],5,FALSE))</f>
        <v>0.79999999999999716</v>
      </c>
      <c r="V58" s="81">
        <f>+TbAlquiler[[#This Row],[TOTAL]]*TbAlquiler[[#This Row],[P.U. (1)]]</f>
        <v>0</v>
      </c>
      <c r="W58" s="82">
        <f>+VLOOKUP(TbAlquiler[[#This Row],[ITEM]],TbPiezas[],6,FALSE)</f>
        <v>91.83</v>
      </c>
      <c r="X58" s="83">
        <f>+TbAlquiler[[#This Row],[TOTAL]]*TbAlquiler[[#This Row],[P.U. (2)]]</f>
        <v>0</v>
      </c>
      <c r="Y58" s="82">
        <f>+VLOOKUP(TbAlquiler[[#This Row],[ITEM]],TbPiezas[],7,FALSE)</f>
        <v>4.5914999999999999</v>
      </c>
      <c r="Z58" s="84">
        <f>+TbAlquiler[[#This Row],[TOTAL]]*TbAlquiler[[#This Row],[P.U. (3)]]</f>
        <v>0</v>
      </c>
    </row>
    <row r="59" spans="1:26" ht="15" customHeight="1" x14ac:dyDescent="0.3">
      <c r="A59" s="2"/>
      <c r="B59" s="85">
        <v>42</v>
      </c>
      <c r="C59" s="71" t="s">
        <v>85</v>
      </c>
      <c r="D59" s="72" t="s">
        <v>86</v>
      </c>
      <c r="E59" s="73"/>
      <c r="F59" s="74">
        <f>+VLOOKUP(C59,TbAlquiler[],13,FALSE)</f>
        <v>0</v>
      </c>
      <c r="G59" s="2"/>
      <c r="H59" s="75" t="str">
        <f t="shared" si="0"/>
        <v>AM.3900</v>
      </c>
      <c r="I59" s="59" t="str">
        <f t="shared" si="1"/>
        <v>ok</v>
      </c>
      <c r="J59" s="77">
        <f>IFERROR(VLOOKUP($H59,TG[],3,FALSE),"NA")</f>
        <v>0</v>
      </c>
      <c r="K59" s="77">
        <f>IFERROR(VLOOKUP($H59,TF[],3,FALSE),"NA")</f>
        <v>0</v>
      </c>
      <c r="L59" s="77">
        <f>IFERROR(VLOOKUP($H59,TT[],3,FALSE),"NA")</f>
        <v>0</v>
      </c>
      <c r="M59" s="77">
        <f>IFERROR(VLOOKUP($H59,TES[],3,FALSE),"NA")</f>
        <v>0</v>
      </c>
      <c r="N59" s="77" t="str">
        <f>IFERROR(VLOOKUP($H59,TEC[],3,FALSE),"NA")</f>
        <v>NA</v>
      </c>
      <c r="O59" s="77" t="str">
        <f>IFERROR(VLOOKUP($H59,TP[],3,FALSE),"NA")</f>
        <v>NA</v>
      </c>
      <c r="P59" s="77" t="str">
        <f>IFERROR(VLOOKUP($H59,TEN[],3,FALSE),"NA")</f>
        <v>NA</v>
      </c>
      <c r="Q59" s="77" t="str">
        <f>IFERROR(VLOOKUP($H59,TD[],3,FALSE),"NA")</f>
        <v>NA</v>
      </c>
      <c r="R59" s="77" t="str">
        <f>IFERROR(VLOOKUP($H59,TC[],3,FALSE),"NA")</f>
        <v>NA</v>
      </c>
      <c r="S59" s="77" t="str">
        <f>IFERROR(VLOOKUP($H59,TEV[],3,FALSE),"NA")</f>
        <v>NA</v>
      </c>
      <c r="T59" s="79">
        <f>SUM(TbAlquiler[[#This Row],[GENERAL]:[ELEVADOR]])</f>
        <v>0</v>
      </c>
      <c r="U59" s="80">
        <f>IF(VLOOKUP(TbAlquiler[[#This Row],[ITEM]],TbPiezas[],5,FALSE)="NA",0,VLOOKUP(TbAlquiler[[#This Row],[ITEM]],TbPiezas[],5,FALSE))</f>
        <v>7.5</v>
      </c>
      <c r="V59" s="81">
        <f>+TbAlquiler[[#This Row],[TOTAL]]*TbAlquiler[[#This Row],[P.U. (1)]]</f>
        <v>0</v>
      </c>
      <c r="W59" s="82">
        <f>+VLOOKUP(TbAlquiler[[#This Row],[ITEM]],TbPiezas[],6,FALSE)</f>
        <v>139.11000000000001</v>
      </c>
      <c r="X59" s="83">
        <f>+TbAlquiler[[#This Row],[TOTAL]]*TbAlquiler[[#This Row],[P.U. (2)]]</f>
        <v>0</v>
      </c>
      <c r="Y59" s="82">
        <f>+VLOOKUP(TbAlquiler[[#This Row],[ITEM]],TbPiezas[],7,FALSE)</f>
        <v>6.9555000000000007</v>
      </c>
      <c r="Z59" s="84">
        <f>+TbAlquiler[[#This Row],[TOTAL]]*TbAlquiler[[#This Row],[P.U. (3)]]</f>
        <v>0</v>
      </c>
    </row>
    <row r="60" spans="1:26" ht="15" customHeight="1" x14ac:dyDescent="0.3">
      <c r="A60" s="2"/>
      <c r="B60" s="85">
        <v>43</v>
      </c>
      <c r="C60" s="71" t="s">
        <v>87</v>
      </c>
      <c r="D60" s="72" t="s">
        <v>88</v>
      </c>
      <c r="E60" s="73"/>
      <c r="F60" s="74">
        <f>+VLOOKUP(C60,TbAlquiler[],13,FALSE)</f>
        <v>0</v>
      </c>
      <c r="G60" s="2"/>
      <c r="H60" s="75" t="str">
        <f t="shared" si="0"/>
        <v>AM.4000</v>
      </c>
      <c r="I60" s="59" t="str">
        <f t="shared" si="1"/>
        <v>ok</v>
      </c>
      <c r="J60" s="77">
        <f>IFERROR(VLOOKUP($H60,TG[],3,FALSE),"NA")</f>
        <v>0</v>
      </c>
      <c r="K60" s="77">
        <f>IFERROR(VLOOKUP($H60,TF[],3,FALSE),"NA")</f>
        <v>0</v>
      </c>
      <c r="L60" s="77">
        <f>IFERROR(VLOOKUP($H60,TT[],3,FALSE),"NA")</f>
        <v>0</v>
      </c>
      <c r="M60" s="77">
        <f>IFERROR(VLOOKUP($H60,TES[],3,FALSE),"NA")</f>
        <v>0</v>
      </c>
      <c r="N60" s="77" t="str">
        <f>IFERROR(VLOOKUP($H60,TEC[],3,FALSE),"NA")</f>
        <v>NA</v>
      </c>
      <c r="O60" s="77" t="str">
        <f>IFERROR(VLOOKUP($H60,TP[],3,FALSE),"NA")</f>
        <v>NA</v>
      </c>
      <c r="P60" s="77" t="str">
        <f>IFERROR(VLOOKUP($H60,TEN[],3,FALSE),"NA")</f>
        <v>NA</v>
      </c>
      <c r="Q60" s="77" t="str">
        <f>IFERROR(VLOOKUP($H60,TD[],3,FALSE),"NA")</f>
        <v>NA</v>
      </c>
      <c r="R60" s="77" t="str">
        <f>IFERROR(VLOOKUP($H60,TC[],3,FALSE),"NA")</f>
        <v>NA</v>
      </c>
      <c r="S60" s="77" t="str">
        <f>IFERROR(VLOOKUP($H60,TEV[],3,FALSE),"NA")</f>
        <v>NA</v>
      </c>
      <c r="T60" s="79">
        <f>SUM(TbAlquiler[[#This Row],[GENERAL]:[ELEVADOR]])</f>
        <v>0</v>
      </c>
      <c r="U60" s="80">
        <f>IF(VLOOKUP(TbAlquiler[[#This Row],[ITEM]],TbPiezas[],5,FALSE)="NA",0,VLOOKUP(TbAlquiler[[#This Row],[ITEM]],TbPiezas[],5,FALSE))</f>
        <v>5.7999999999999972</v>
      </c>
      <c r="V60" s="81">
        <f>+TbAlquiler[[#This Row],[TOTAL]]*TbAlquiler[[#This Row],[P.U. (1)]]</f>
        <v>0</v>
      </c>
      <c r="W60" s="82">
        <f>+VLOOKUP(TbAlquiler[[#This Row],[ITEM]],TbPiezas[],6,FALSE)</f>
        <v>136.57</v>
      </c>
      <c r="X60" s="83">
        <f>+TbAlquiler[[#This Row],[TOTAL]]*TbAlquiler[[#This Row],[P.U. (2)]]</f>
        <v>0</v>
      </c>
      <c r="Y60" s="82">
        <f>+VLOOKUP(TbAlquiler[[#This Row],[ITEM]],TbPiezas[],7,FALSE)</f>
        <v>6.8285</v>
      </c>
      <c r="Z60" s="84">
        <f>+TbAlquiler[[#This Row],[TOTAL]]*TbAlquiler[[#This Row],[P.U. (3)]]</f>
        <v>0</v>
      </c>
    </row>
    <row r="61" spans="1:26" ht="15" customHeight="1" x14ac:dyDescent="0.3">
      <c r="A61" s="2"/>
      <c r="B61" s="85">
        <v>44</v>
      </c>
      <c r="C61" s="71" t="s">
        <v>89</v>
      </c>
      <c r="D61" s="72" t="s">
        <v>90</v>
      </c>
      <c r="E61" s="73"/>
      <c r="F61" s="74">
        <f>+VLOOKUP(C61,TbAlquiler[],13,FALSE)</f>
        <v>0</v>
      </c>
      <c r="G61" s="2"/>
      <c r="H61" s="75" t="str">
        <f t="shared" si="0"/>
        <v>AM.4100</v>
      </c>
      <c r="I61" s="59" t="str">
        <f t="shared" si="1"/>
        <v>ok</v>
      </c>
      <c r="J61" s="77">
        <f>IFERROR(VLOOKUP($H61,TG[],3,FALSE),"NA")</f>
        <v>0</v>
      </c>
      <c r="K61" s="77">
        <f>IFERROR(VLOOKUP($H61,TF[],3,FALSE),"NA")</f>
        <v>0</v>
      </c>
      <c r="L61" s="77">
        <f>IFERROR(VLOOKUP($H61,TT[],3,FALSE),"NA")</f>
        <v>0</v>
      </c>
      <c r="M61" s="77">
        <f>IFERROR(VLOOKUP($H61,TES[],3,FALSE),"NA")</f>
        <v>0</v>
      </c>
      <c r="N61" s="77" t="str">
        <f>IFERROR(VLOOKUP($H61,TEC[],3,FALSE),"NA")</f>
        <v>NA</v>
      </c>
      <c r="O61" s="77" t="str">
        <f>IFERROR(VLOOKUP($H61,TP[],3,FALSE),"NA")</f>
        <v>NA</v>
      </c>
      <c r="P61" s="77" t="str">
        <f>IFERROR(VLOOKUP($H61,TEN[],3,FALSE),"NA")</f>
        <v>NA</v>
      </c>
      <c r="Q61" s="77" t="str">
        <f>IFERROR(VLOOKUP($H61,TD[],3,FALSE),"NA")</f>
        <v>NA</v>
      </c>
      <c r="R61" s="77" t="str">
        <f>IFERROR(VLOOKUP($H61,TC[],3,FALSE),"NA")</f>
        <v>NA</v>
      </c>
      <c r="S61" s="77" t="str">
        <f>IFERROR(VLOOKUP($H61,TEV[],3,FALSE),"NA")</f>
        <v>NA</v>
      </c>
      <c r="T61" s="79">
        <f>SUM(TbAlquiler[[#This Row],[GENERAL]:[ELEVADOR]])</f>
        <v>0</v>
      </c>
      <c r="U61" s="80">
        <f>IF(VLOOKUP(TbAlquiler[[#This Row],[ITEM]],TbPiezas[],5,FALSE)="NA",0,VLOOKUP(TbAlquiler[[#This Row],[ITEM]],TbPiezas[],5,FALSE))</f>
        <v>4.7999999999999972</v>
      </c>
      <c r="V61" s="81">
        <f>+TbAlquiler[[#This Row],[TOTAL]]*TbAlquiler[[#This Row],[P.U. (1)]]</f>
        <v>0</v>
      </c>
      <c r="W61" s="82">
        <f>+VLOOKUP(TbAlquiler[[#This Row],[ITEM]],TbPiezas[],6,FALSE)</f>
        <v>128.38</v>
      </c>
      <c r="X61" s="83">
        <f>+TbAlquiler[[#This Row],[TOTAL]]*TbAlquiler[[#This Row],[P.U. (2)]]</f>
        <v>0</v>
      </c>
      <c r="Y61" s="82">
        <f>+VLOOKUP(TbAlquiler[[#This Row],[ITEM]],TbPiezas[],7,FALSE)</f>
        <v>6.4190000000000005</v>
      </c>
      <c r="Z61" s="84">
        <f>+TbAlquiler[[#This Row],[TOTAL]]*TbAlquiler[[#This Row],[P.U. (3)]]</f>
        <v>0</v>
      </c>
    </row>
    <row r="62" spans="1:26" ht="15" customHeight="1" x14ac:dyDescent="0.3">
      <c r="A62" s="2"/>
      <c r="B62" s="85">
        <v>45</v>
      </c>
      <c r="C62" s="71" t="s">
        <v>91</v>
      </c>
      <c r="D62" s="72" t="s">
        <v>92</v>
      </c>
      <c r="E62" s="73"/>
      <c r="F62" s="74">
        <f>+VLOOKUP(C62,TbAlquiler[],13,FALSE)</f>
        <v>0</v>
      </c>
      <c r="G62" s="2"/>
      <c r="H62" s="75" t="str">
        <f t="shared" si="0"/>
        <v>AM.4200</v>
      </c>
      <c r="I62" s="59" t="str">
        <f t="shared" si="1"/>
        <v>ok</v>
      </c>
      <c r="J62" s="77">
        <f>IFERROR(VLOOKUP($H62,TG[],3,FALSE),"NA")</f>
        <v>0</v>
      </c>
      <c r="K62" s="77">
        <f>IFERROR(VLOOKUP($H62,TF[],3,FALSE),"NA")</f>
        <v>0</v>
      </c>
      <c r="L62" s="77">
        <f>IFERROR(VLOOKUP($H62,TT[],3,FALSE),"NA")</f>
        <v>0</v>
      </c>
      <c r="M62" s="77">
        <f>IFERROR(VLOOKUP($H62,TES[],3,FALSE),"NA")</f>
        <v>0</v>
      </c>
      <c r="N62" s="77" t="str">
        <f>IFERROR(VLOOKUP($H62,TEC[],3,FALSE),"NA")</f>
        <v>NA</v>
      </c>
      <c r="O62" s="77" t="str">
        <f>IFERROR(VLOOKUP($H62,TP[],3,FALSE),"NA")</f>
        <v>NA</v>
      </c>
      <c r="P62" s="77" t="str">
        <f>IFERROR(VLOOKUP($H62,TEN[],3,FALSE),"NA")</f>
        <v>NA</v>
      </c>
      <c r="Q62" s="77" t="str">
        <f>IFERROR(VLOOKUP($H62,TD[],3,FALSE),"NA")</f>
        <v>NA</v>
      </c>
      <c r="R62" s="77" t="str">
        <f>IFERROR(VLOOKUP($H62,TC[],3,FALSE),"NA")</f>
        <v>NA</v>
      </c>
      <c r="S62" s="77" t="str">
        <f>IFERROR(VLOOKUP($H62,TEV[],3,FALSE),"NA")</f>
        <v>NA</v>
      </c>
      <c r="T62" s="79">
        <f>SUM(TbAlquiler[[#This Row],[GENERAL]:[ELEVADOR]])</f>
        <v>0</v>
      </c>
      <c r="U62" s="80">
        <f>IF(VLOOKUP(TbAlquiler[[#This Row],[ITEM]],TbPiezas[],5,FALSE)="NA",0,VLOOKUP(TbAlquiler[[#This Row],[ITEM]],TbPiezas[],5,FALSE))</f>
        <v>2.7000000000000028</v>
      </c>
      <c r="V62" s="81">
        <f>+TbAlquiler[[#This Row],[TOTAL]]*TbAlquiler[[#This Row],[P.U. (1)]]</f>
        <v>0</v>
      </c>
      <c r="W62" s="82">
        <f>+VLOOKUP(TbAlquiler[[#This Row],[ITEM]],TbPiezas[],6,FALSE)</f>
        <v>124.8</v>
      </c>
      <c r="X62" s="83">
        <f>+TbAlquiler[[#This Row],[TOTAL]]*TbAlquiler[[#This Row],[P.U. (2)]]</f>
        <v>0</v>
      </c>
      <c r="Y62" s="82">
        <f>+VLOOKUP(TbAlquiler[[#This Row],[ITEM]],TbPiezas[],7,FALSE)</f>
        <v>6.24</v>
      </c>
      <c r="Z62" s="84">
        <f>+TbAlquiler[[#This Row],[TOTAL]]*TbAlquiler[[#This Row],[P.U. (3)]]</f>
        <v>0</v>
      </c>
    </row>
    <row r="63" spans="1:26" ht="15" customHeight="1" x14ac:dyDescent="0.3">
      <c r="A63" s="2"/>
      <c r="B63" s="85">
        <v>46</v>
      </c>
      <c r="C63" s="71" t="s">
        <v>93</v>
      </c>
      <c r="D63" s="72" t="s">
        <v>94</v>
      </c>
      <c r="E63" s="73"/>
      <c r="F63" s="74">
        <f>+VLOOKUP(C63,TbAlquiler[],13,FALSE)</f>
        <v>0</v>
      </c>
      <c r="G63" s="2"/>
      <c r="H63" s="75" t="str">
        <f t="shared" si="0"/>
        <v>AM.4300</v>
      </c>
      <c r="I63" s="59" t="str">
        <f t="shared" si="1"/>
        <v>ok</v>
      </c>
      <c r="J63" s="77">
        <f>IFERROR(VLOOKUP($H63,TG[],3,FALSE),"NA")</f>
        <v>0</v>
      </c>
      <c r="K63" s="77">
        <f>IFERROR(VLOOKUP($H63,TF[],3,FALSE),"NA")</f>
        <v>0</v>
      </c>
      <c r="L63" s="77">
        <f>IFERROR(VLOOKUP($H63,TT[],3,FALSE),"NA")</f>
        <v>0</v>
      </c>
      <c r="M63" s="77">
        <f>IFERROR(VLOOKUP($H63,TES[],3,FALSE),"NA")</f>
        <v>0</v>
      </c>
      <c r="N63" s="77" t="str">
        <f>IFERROR(VLOOKUP($H63,TEC[],3,FALSE),"NA")</f>
        <v>NA</v>
      </c>
      <c r="O63" s="77" t="str">
        <f>IFERROR(VLOOKUP($H63,TP[],3,FALSE),"NA")</f>
        <v>NA</v>
      </c>
      <c r="P63" s="77" t="str">
        <f>IFERROR(VLOOKUP($H63,TEN[],3,FALSE),"NA")</f>
        <v>NA</v>
      </c>
      <c r="Q63" s="77" t="str">
        <f>IFERROR(VLOOKUP($H63,TD[],3,FALSE),"NA")</f>
        <v>NA</v>
      </c>
      <c r="R63" s="77" t="str">
        <f>IFERROR(VLOOKUP($H63,TC[],3,FALSE),"NA")</f>
        <v>NA</v>
      </c>
      <c r="S63" s="77" t="str">
        <f>IFERROR(VLOOKUP($H63,TEV[],3,FALSE),"NA")</f>
        <v>NA</v>
      </c>
      <c r="T63" s="79">
        <f>SUM(TbAlquiler[[#This Row],[GENERAL]:[ELEVADOR]])</f>
        <v>0</v>
      </c>
      <c r="U63" s="80">
        <f>IF(VLOOKUP(TbAlquiler[[#This Row],[ITEM]],TbPiezas[],5,FALSE)="NA",0,VLOOKUP(TbAlquiler[[#This Row],[ITEM]],TbPiezas[],5,FALSE))</f>
        <v>1.2999999999999972</v>
      </c>
      <c r="V63" s="81">
        <f>+TbAlquiler[[#This Row],[TOTAL]]*TbAlquiler[[#This Row],[P.U. (1)]]</f>
        <v>0</v>
      </c>
      <c r="W63" s="82">
        <f>+VLOOKUP(TbAlquiler[[#This Row],[ITEM]],TbPiezas[],6,FALSE)</f>
        <v>109.33</v>
      </c>
      <c r="X63" s="83">
        <f>+TbAlquiler[[#This Row],[TOTAL]]*TbAlquiler[[#This Row],[P.U. (2)]]</f>
        <v>0</v>
      </c>
      <c r="Y63" s="82">
        <f>+VLOOKUP(TbAlquiler[[#This Row],[ITEM]],TbPiezas[],7,FALSE)</f>
        <v>5.4664999999999999</v>
      </c>
      <c r="Z63" s="84">
        <f>+TbAlquiler[[#This Row],[TOTAL]]*TbAlquiler[[#This Row],[P.U. (3)]]</f>
        <v>0</v>
      </c>
    </row>
    <row r="64" spans="1:26" ht="15" customHeight="1" x14ac:dyDescent="0.3">
      <c r="A64" s="2"/>
      <c r="B64" s="85">
        <v>47</v>
      </c>
      <c r="C64" s="71" t="s">
        <v>95</v>
      </c>
      <c r="D64" s="72" t="s">
        <v>96</v>
      </c>
      <c r="E64" s="73"/>
      <c r="F64" s="74">
        <f>+VLOOKUP(C64,TbAlquiler[],13,FALSE)</f>
        <v>0</v>
      </c>
      <c r="G64" s="2"/>
      <c r="H64" s="75" t="str">
        <f t="shared" si="0"/>
        <v>AM.4400</v>
      </c>
      <c r="I64" s="59" t="str">
        <f t="shared" si="1"/>
        <v>ok</v>
      </c>
      <c r="J64" s="77">
        <f>IFERROR(VLOOKUP($H64,TG[],3,FALSE),"NA")</f>
        <v>0</v>
      </c>
      <c r="K64" s="77">
        <f>IFERROR(VLOOKUP($H64,TF[],3,FALSE),"NA")</f>
        <v>0</v>
      </c>
      <c r="L64" s="77">
        <f>IFERROR(VLOOKUP($H64,TT[],3,FALSE),"NA")</f>
        <v>0</v>
      </c>
      <c r="M64" s="77">
        <f>IFERROR(VLOOKUP($H64,TES[],3,FALSE),"NA")</f>
        <v>0</v>
      </c>
      <c r="N64" s="77" t="str">
        <f>IFERROR(VLOOKUP($H64,TEC[],3,FALSE),"NA")</f>
        <v>NA</v>
      </c>
      <c r="O64" s="77" t="str">
        <f>IFERROR(VLOOKUP($H64,TP[],3,FALSE),"NA")</f>
        <v>NA</v>
      </c>
      <c r="P64" s="77" t="str">
        <f>IFERROR(VLOOKUP($H64,TEN[],3,FALSE),"NA")</f>
        <v>NA</v>
      </c>
      <c r="Q64" s="77" t="str">
        <f>IFERROR(VLOOKUP($H64,TD[],3,FALSE),"NA")</f>
        <v>NA</v>
      </c>
      <c r="R64" s="77" t="str">
        <f>IFERROR(VLOOKUP($H64,TC[],3,FALSE),"NA")</f>
        <v>NA</v>
      </c>
      <c r="S64" s="77" t="str">
        <f>IFERROR(VLOOKUP($H64,TEV[],3,FALSE),"NA")</f>
        <v>NA</v>
      </c>
      <c r="T64" s="79">
        <f>SUM(TbAlquiler[[#This Row],[GENERAL]:[ELEVADOR]])</f>
        <v>0</v>
      </c>
      <c r="U64" s="80">
        <f>IF(VLOOKUP(TbAlquiler[[#This Row],[ITEM]],TbPiezas[],5,FALSE)="NA",0,VLOOKUP(TbAlquiler[[#This Row],[ITEM]],TbPiezas[],5,FALSE))</f>
        <v>2.0999999999999943</v>
      </c>
      <c r="V64" s="81">
        <f>+TbAlquiler[[#This Row],[TOTAL]]*TbAlquiler[[#This Row],[P.U. (1)]]</f>
        <v>0</v>
      </c>
      <c r="W64" s="82">
        <f>+VLOOKUP(TbAlquiler[[#This Row],[ITEM]],TbPiezas[],6,FALSE)</f>
        <v>91.83</v>
      </c>
      <c r="X64" s="83">
        <f>+TbAlquiler[[#This Row],[TOTAL]]*TbAlquiler[[#This Row],[P.U. (2)]]</f>
        <v>0</v>
      </c>
      <c r="Y64" s="82">
        <f>+VLOOKUP(TbAlquiler[[#This Row],[ITEM]],TbPiezas[],7,FALSE)</f>
        <v>4.5914999999999999</v>
      </c>
      <c r="Z64" s="84">
        <f>+TbAlquiler[[#This Row],[TOTAL]]*TbAlquiler[[#This Row],[P.U. (3)]]</f>
        <v>0</v>
      </c>
    </row>
    <row r="65" spans="1:26" ht="15" customHeight="1" x14ac:dyDescent="0.3">
      <c r="A65" s="2"/>
      <c r="B65" s="85">
        <v>48</v>
      </c>
      <c r="C65" s="71" t="s">
        <v>97</v>
      </c>
      <c r="D65" s="72" t="s">
        <v>98</v>
      </c>
      <c r="E65" s="73"/>
      <c r="F65" s="74">
        <f>+VLOOKUP(C65,TbAlquiler[],13,FALSE)</f>
        <v>0</v>
      </c>
      <c r="G65" s="2"/>
      <c r="H65" s="75" t="str">
        <f t="shared" si="0"/>
        <v>AM.4500</v>
      </c>
      <c r="I65" s="59" t="str">
        <f t="shared" si="1"/>
        <v>ok</v>
      </c>
      <c r="J65" s="77">
        <f>IFERROR(VLOOKUP($H65,TG[],3,FALSE),"NA")</f>
        <v>0</v>
      </c>
      <c r="K65" s="77">
        <f>IFERROR(VLOOKUP($H65,TF[],3,FALSE),"NA")</f>
        <v>0</v>
      </c>
      <c r="L65" s="77">
        <f>IFERROR(VLOOKUP($H65,TT[],3,FALSE),"NA")</f>
        <v>0</v>
      </c>
      <c r="M65" s="77">
        <f>IFERROR(VLOOKUP($H65,TES[],3,FALSE),"NA")</f>
        <v>0</v>
      </c>
      <c r="N65" s="77" t="str">
        <f>IFERROR(VLOOKUP($H65,TEC[],3,FALSE),"NA")</f>
        <v>NA</v>
      </c>
      <c r="O65" s="77" t="str">
        <f>IFERROR(VLOOKUP($H65,TP[],3,FALSE),"NA")</f>
        <v>NA</v>
      </c>
      <c r="P65" s="77" t="str">
        <f>IFERROR(VLOOKUP($H65,TEN[],3,FALSE),"NA")</f>
        <v>NA</v>
      </c>
      <c r="Q65" s="77" t="str">
        <f>IFERROR(VLOOKUP($H65,TD[],3,FALSE),"NA")</f>
        <v>NA</v>
      </c>
      <c r="R65" s="77" t="str">
        <f>IFERROR(VLOOKUP($H65,TC[],3,FALSE),"NA")</f>
        <v>NA</v>
      </c>
      <c r="S65" s="77" t="str">
        <f>IFERROR(VLOOKUP($H65,TEV[],3,FALSE),"NA")</f>
        <v>NA</v>
      </c>
      <c r="T65" s="79">
        <f>SUM(TbAlquiler[[#This Row],[GENERAL]:[ELEVADOR]])</f>
        <v>0</v>
      </c>
      <c r="U65" s="80">
        <f>IF(VLOOKUP(TbAlquiler[[#This Row],[ITEM]],TbPiezas[],5,FALSE)="NA",0,VLOOKUP(TbAlquiler[[#This Row],[ITEM]],TbPiezas[],5,FALSE))</f>
        <v>10.5</v>
      </c>
      <c r="V65" s="81">
        <f>+TbAlquiler[[#This Row],[TOTAL]]*TbAlquiler[[#This Row],[P.U. (1)]]</f>
        <v>0</v>
      </c>
      <c r="W65" s="82">
        <f>+VLOOKUP(TbAlquiler[[#This Row],[ITEM]],TbPiezas[],6,FALSE)</f>
        <v>139.11000000000001</v>
      </c>
      <c r="X65" s="83">
        <f>+TbAlquiler[[#This Row],[TOTAL]]*TbAlquiler[[#This Row],[P.U. (2)]]</f>
        <v>0</v>
      </c>
      <c r="Y65" s="82">
        <f>+VLOOKUP(TbAlquiler[[#This Row],[ITEM]],TbPiezas[],7,FALSE)</f>
        <v>6.9555000000000007</v>
      </c>
      <c r="Z65" s="84">
        <f>+TbAlquiler[[#This Row],[TOTAL]]*TbAlquiler[[#This Row],[P.U. (3)]]</f>
        <v>0</v>
      </c>
    </row>
    <row r="66" spans="1:26" ht="15" customHeight="1" x14ac:dyDescent="0.3">
      <c r="A66" s="2"/>
      <c r="B66" s="85">
        <v>49</v>
      </c>
      <c r="C66" s="71" t="s">
        <v>99</v>
      </c>
      <c r="D66" s="72" t="s">
        <v>100</v>
      </c>
      <c r="E66" s="73"/>
      <c r="F66" s="74">
        <f>+VLOOKUP(C66,TbAlquiler[],13,FALSE)</f>
        <v>4</v>
      </c>
      <c r="G66" s="2"/>
      <c r="H66" s="75" t="str">
        <f t="shared" si="0"/>
        <v>AM.4600</v>
      </c>
      <c r="I66" s="59" t="str">
        <f t="shared" si="1"/>
        <v>ok</v>
      </c>
      <c r="J66" s="77">
        <f>IFERROR(VLOOKUP($H66,TG[],3,FALSE),"NA")</f>
        <v>0</v>
      </c>
      <c r="K66" s="77">
        <f>IFERROR(VLOOKUP($H66,TF[],3,FALSE),"NA")</f>
        <v>0</v>
      </c>
      <c r="L66" s="77">
        <f>IFERROR(VLOOKUP($H66,TT[],3,FALSE),"NA")</f>
        <v>4</v>
      </c>
      <c r="M66" s="77">
        <f>IFERROR(VLOOKUP($H66,TES[],3,FALSE),"NA")</f>
        <v>0</v>
      </c>
      <c r="N66" s="77" t="str">
        <f>IFERROR(VLOOKUP($H66,TEC[],3,FALSE),"NA")</f>
        <v>NA</v>
      </c>
      <c r="O66" s="77" t="str">
        <f>IFERROR(VLOOKUP($H66,TP[],3,FALSE),"NA")</f>
        <v>NA</v>
      </c>
      <c r="P66" s="77" t="str">
        <f>IFERROR(VLOOKUP($H66,TEN[],3,FALSE),"NA")</f>
        <v>NA</v>
      </c>
      <c r="Q66" s="77" t="str">
        <f>IFERROR(VLOOKUP($H66,TD[],3,FALSE),"NA")</f>
        <v>NA</v>
      </c>
      <c r="R66" s="77" t="str">
        <f>IFERROR(VLOOKUP($H66,TC[],3,FALSE),"NA")</f>
        <v>NA</v>
      </c>
      <c r="S66" s="77" t="str">
        <f>IFERROR(VLOOKUP($H66,TEV[],3,FALSE),"NA")</f>
        <v>NA</v>
      </c>
      <c r="T66" s="79">
        <f>SUM(TbAlquiler[[#This Row],[GENERAL]:[ELEVADOR]])</f>
        <v>4</v>
      </c>
      <c r="U66" s="80">
        <f>IF(VLOOKUP(TbAlquiler[[#This Row],[ITEM]],TbPiezas[],5,FALSE)="NA",0,VLOOKUP(TbAlquiler[[#This Row],[ITEM]],TbPiezas[],5,FALSE))</f>
        <v>8.7999999999999972</v>
      </c>
      <c r="V66" s="81">
        <f>+TbAlquiler[[#This Row],[TOTAL]]*TbAlquiler[[#This Row],[P.U. (1)]]</f>
        <v>35.199999999999989</v>
      </c>
      <c r="W66" s="82">
        <f>+VLOOKUP(TbAlquiler[[#This Row],[ITEM]],TbPiezas[],6,FALSE)</f>
        <v>136.57</v>
      </c>
      <c r="X66" s="83">
        <f>+TbAlquiler[[#This Row],[TOTAL]]*TbAlquiler[[#This Row],[P.U. (2)]]</f>
        <v>546.28</v>
      </c>
      <c r="Y66" s="82">
        <f>+VLOOKUP(TbAlquiler[[#This Row],[ITEM]],TbPiezas[],7,FALSE)</f>
        <v>6.8285</v>
      </c>
      <c r="Z66" s="84">
        <f>+TbAlquiler[[#This Row],[TOTAL]]*TbAlquiler[[#This Row],[P.U. (3)]]</f>
        <v>27.314</v>
      </c>
    </row>
    <row r="67" spans="1:26" ht="15" customHeight="1" x14ac:dyDescent="0.3">
      <c r="A67" s="2"/>
      <c r="B67" s="85">
        <v>50</v>
      </c>
      <c r="C67" s="71" t="s">
        <v>101</v>
      </c>
      <c r="D67" s="72" t="s">
        <v>102</v>
      </c>
      <c r="E67" s="73"/>
      <c r="F67" s="74">
        <f>+VLOOKUP(C67,TbAlquiler[],13,FALSE)</f>
        <v>0</v>
      </c>
      <c r="G67" s="2"/>
      <c r="H67" s="75" t="str">
        <f t="shared" si="0"/>
        <v>AM.4700</v>
      </c>
      <c r="I67" s="59" t="str">
        <f t="shared" si="1"/>
        <v>ok</v>
      </c>
      <c r="J67" s="77">
        <f>IFERROR(VLOOKUP($H67,TG[],3,FALSE),"NA")</f>
        <v>0</v>
      </c>
      <c r="K67" s="77">
        <f>IFERROR(VLOOKUP($H67,TF[],3,FALSE),"NA")</f>
        <v>0</v>
      </c>
      <c r="L67" s="77">
        <f>IFERROR(VLOOKUP($H67,TT[],3,FALSE),"NA")</f>
        <v>0</v>
      </c>
      <c r="M67" s="77">
        <f>IFERROR(VLOOKUP($H67,TES[],3,FALSE),"NA")</f>
        <v>0</v>
      </c>
      <c r="N67" s="77" t="str">
        <f>IFERROR(VLOOKUP($H67,TEC[],3,FALSE),"NA")</f>
        <v>NA</v>
      </c>
      <c r="O67" s="77" t="str">
        <f>IFERROR(VLOOKUP($H67,TP[],3,FALSE),"NA")</f>
        <v>NA</v>
      </c>
      <c r="P67" s="77" t="str">
        <f>IFERROR(VLOOKUP($H67,TEN[],3,FALSE),"NA")</f>
        <v>NA</v>
      </c>
      <c r="Q67" s="77" t="str">
        <f>IFERROR(VLOOKUP($H67,TD[],3,FALSE),"NA")</f>
        <v>NA</v>
      </c>
      <c r="R67" s="77" t="str">
        <f>IFERROR(VLOOKUP($H67,TC[],3,FALSE),"NA")</f>
        <v>NA</v>
      </c>
      <c r="S67" s="77" t="str">
        <f>IFERROR(VLOOKUP($H67,TEV[],3,FALSE),"NA")</f>
        <v>NA</v>
      </c>
      <c r="T67" s="79">
        <f>SUM(TbAlquiler[[#This Row],[GENERAL]:[ELEVADOR]])</f>
        <v>0</v>
      </c>
      <c r="U67" s="80">
        <f>IF(VLOOKUP(TbAlquiler[[#This Row],[ITEM]],TbPiezas[],5,FALSE)="NA",0,VLOOKUP(TbAlquiler[[#This Row],[ITEM]],TbPiezas[],5,FALSE))</f>
        <v>5</v>
      </c>
      <c r="V67" s="81">
        <f>+TbAlquiler[[#This Row],[TOTAL]]*TbAlquiler[[#This Row],[P.U. (1)]]</f>
        <v>0</v>
      </c>
      <c r="W67" s="82">
        <f>+VLOOKUP(TbAlquiler[[#This Row],[ITEM]],TbPiezas[],6,FALSE)</f>
        <v>128.38</v>
      </c>
      <c r="X67" s="83">
        <f>+TbAlquiler[[#This Row],[TOTAL]]*TbAlquiler[[#This Row],[P.U. (2)]]</f>
        <v>0</v>
      </c>
      <c r="Y67" s="82">
        <f>+VLOOKUP(TbAlquiler[[#This Row],[ITEM]],TbPiezas[],7,FALSE)</f>
        <v>6.4190000000000005</v>
      </c>
      <c r="Z67" s="84">
        <f>+TbAlquiler[[#This Row],[TOTAL]]*TbAlquiler[[#This Row],[P.U. (3)]]</f>
        <v>0</v>
      </c>
    </row>
    <row r="68" spans="1:26" ht="15" customHeight="1" x14ac:dyDescent="0.3">
      <c r="A68" s="2"/>
      <c r="B68" s="85">
        <v>51</v>
      </c>
      <c r="C68" s="71" t="s">
        <v>103</v>
      </c>
      <c r="D68" s="72" t="s">
        <v>104</v>
      </c>
      <c r="E68" s="73"/>
      <c r="F68" s="74">
        <f>+VLOOKUP(C68,TbAlquiler[],13,FALSE)</f>
        <v>0</v>
      </c>
      <c r="G68" s="2"/>
      <c r="H68" s="75" t="str">
        <f t="shared" si="0"/>
        <v>AM.4800</v>
      </c>
      <c r="I68" s="59" t="str">
        <f t="shared" si="1"/>
        <v>ok</v>
      </c>
      <c r="J68" s="77">
        <f>IFERROR(VLOOKUP($H68,TG[],3,FALSE),"NA")</f>
        <v>0</v>
      </c>
      <c r="K68" s="77">
        <f>IFERROR(VLOOKUP($H68,TF[],3,FALSE),"NA")</f>
        <v>0</v>
      </c>
      <c r="L68" s="77">
        <f>IFERROR(VLOOKUP($H68,TT[],3,FALSE),"NA")</f>
        <v>0</v>
      </c>
      <c r="M68" s="77">
        <f>IFERROR(VLOOKUP($H68,TES[],3,FALSE),"NA")</f>
        <v>0</v>
      </c>
      <c r="N68" s="77" t="str">
        <f>IFERROR(VLOOKUP($H68,TEC[],3,FALSE),"NA")</f>
        <v>NA</v>
      </c>
      <c r="O68" s="77" t="str">
        <f>IFERROR(VLOOKUP($H68,TP[],3,FALSE),"NA")</f>
        <v>NA</v>
      </c>
      <c r="P68" s="77" t="str">
        <f>IFERROR(VLOOKUP($H68,TEN[],3,FALSE),"NA")</f>
        <v>NA</v>
      </c>
      <c r="Q68" s="77" t="str">
        <f>IFERROR(VLOOKUP($H68,TD[],3,FALSE),"NA")</f>
        <v>NA</v>
      </c>
      <c r="R68" s="77" t="str">
        <f>IFERROR(VLOOKUP($H68,TC[],3,FALSE),"NA")</f>
        <v>NA</v>
      </c>
      <c r="S68" s="77" t="str">
        <f>IFERROR(VLOOKUP($H68,TEV[],3,FALSE),"NA")</f>
        <v>NA</v>
      </c>
      <c r="T68" s="79">
        <f>SUM(TbAlquiler[[#This Row],[GENERAL]:[ELEVADOR]])</f>
        <v>0</v>
      </c>
      <c r="U68" s="80">
        <f>IF(VLOOKUP(TbAlquiler[[#This Row],[ITEM]],TbPiezas[],5,FALSE)="NA",0,VLOOKUP(TbAlquiler[[#This Row],[ITEM]],TbPiezas[],5,FALSE))</f>
        <v>3.3999999999999915</v>
      </c>
      <c r="V68" s="81">
        <f>+TbAlquiler[[#This Row],[TOTAL]]*TbAlquiler[[#This Row],[P.U. (1)]]</f>
        <v>0</v>
      </c>
      <c r="W68" s="82">
        <f>+VLOOKUP(TbAlquiler[[#This Row],[ITEM]],TbPiezas[],6,FALSE)</f>
        <v>124.8</v>
      </c>
      <c r="X68" s="83">
        <f>+TbAlquiler[[#This Row],[TOTAL]]*TbAlquiler[[#This Row],[P.U. (2)]]</f>
        <v>0</v>
      </c>
      <c r="Y68" s="82">
        <f>+VLOOKUP(TbAlquiler[[#This Row],[ITEM]],TbPiezas[],7,FALSE)</f>
        <v>6.24</v>
      </c>
      <c r="Z68" s="84">
        <f>+TbAlquiler[[#This Row],[TOTAL]]*TbAlquiler[[#This Row],[P.U. (3)]]</f>
        <v>0</v>
      </c>
    </row>
    <row r="69" spans="1:26" ht="15" customHeight="1" x14ac:dyDescent="0.3">
      <c r="A69" s="2"/>
      <c r="B69" s="85">
        <v>52</v>
      </c>
      <c r="C69" s="71" t="s">
        <v>105</v>
      </c>
      <c r="D69" s="72" t="s">
        <v>106</v>
      </c>
      <c r="E69" s="73"/>
      <c r="F69" s="74">
        <f>+VLOOKUP(C69,TbAlquiler[],13,FALSE)</f>
        <v>0</v>
      </c>
      <c r="G69" s="2"/>
      <c r="H69" s="75" t="str">
        <f t="shared" si="0"/>
        <v>AM.4900</v>
      </c>
      <c r="I69" s="59" t="str">
        <f t="shared" si="1"/>
        <v>ok</v>
      </c>
      <c r="J69" s="77">
        <f>IFERROR(VLOOKUP($H69,TG[],3,FALSE),"NA")</f>
        <v>0</v>
      </c>
      <c r="K69" s="77">
        <f>IFERROR(VLOOKUP($H69,TF[],3,FALSE),"NA")</f>
        <v>0</v>
      </c>
      <c r="L69" s="77">
        <f>IFERROR(VLOOKUP($H69,TT[],3,FALSE),"NA")</f>
        <v>0</v>
      </c>
      <c r="M69" s="77">
        <f>IFERROR(VLOOKUP($H69,TES[],3,FALSE),"NA")</f>
        <v>0</v>
      </c>
      <c r="N69" s="77" t="str">
        <f>IFERROR(VLOOKUP($H69,TEC[],3,FALSE),"NA")</f>
        <v>NA</v>
      </c>
      <c r="O69" s="77" t="str">
        <f>IFERROR(VLOOKUP($H69,TP[],3,FALSE),"NA")</f>
        <v>NA</v>
      </c>
      <c r="P69" s="77" t="str">
        <f>IFERROR(VLOOKUP($H69,TEN[],3,FALSE),"NA")</f>
        <v>NA</v>
      </c>
      <c r="Q69" s="77" t="str">
        <f>IFERROR(VLOOKUP($H69,TD[],3,FALSE),"NA")</f>
        <v>NA</v>
      </c>
      <c r="R69" s="77" t="str">
        <f>IFERROR(VLOOKUP($H69,TC[],3,FALSE),"NA")</f>
        <v>NA</v>
      </c>
      <c r="S69" s="77" t="str">
        <f>IFERROR(VLOOKUP($H69,TEV[],3,FALSE),"NA")</f>
        <v>NA</v>
      </c>
      <c r="T69" s="79">
        <f>SUM(TbAlquiler[[#This Row],[GENERAL]:[ELEVADOR]])</f>
        <v>0</v>
      </c>
      <c r="U69" s="80">
        <f>IF(VLOOKUP(TbAlquiler[[#This Row],[ITEM]],TbPiezas[],5,FALSE)="NA",0,VLOOKUP(TbAlquiler[[#This Row],[ITEM]],TbPiezas[],5,FALSE))</f>
        <v>4.0999999999999943</v>
      </c>
      <c r="V69" s="81">
        <f>+TbAlquiler[[#This Row],[TOTAL]]*TbAlquiler[[#This Row],[P.U. (1)]]</f>
        <v>0</v>
      </c>
      <c r="W69" s="82">
        <f>+VLOOKUP(TbAlquiler[[#This Row],[ITEM]],TbPiezas[],6,FALSE)</f>
        <v>109.33</v>
      </c>
      <c r="X69" s="83">
        <f>+TbAlquiler[[#This Row],[TOTAL]]*TbAlquiler[[#This Row],[P.U. (2)]]</f>
        <v>0</v>
      </c>
      <c r="Y69" s="82">
        <f>+VLOOKUP(TbAlquiler[[#This Row],[ITEM]],TbPiezas[],7,FALSE)</f>
        <v>5.4664999999999999</v>
      </c>
      <c r="Z69" s="84">
        <f>+TbAlquiler[[#This Row],[TOTAL]]*TbAlquiler[[#This Row],[P.U. (3)]]</f>
        <v>0</v>
      </c>
    </row>
    <row r="70" spans="1:26" ht="15" customHeight="1" x14ac:dyDescent="0.3">
      <c r="A70" s="2"/>
      <c r="B70" s="85">
        <v>53</v>
      </c>
      <c r="C70" s="71" t="s">
        <v>107</v>
      </c>
      <c r="D70" s="72" t="s">
        <v>108</v>
      </c>
      <c r="E70" s="73"/>
      <c r="F70" s="74">
        <f>+VLOOKUP(C70,TbAlquiler[],13,FALSE)</f>
        <v>0</v>
      </c>
      <c r="G70" s="2"/>
      <c r="H70" s="75" t="str">
        <f t="shared" si="0"/>
        <v>AM.5000</v>
      </c>
      <c r="I70" s="59" t="str">
        <f t="shared" si="1"/>
        <v>ok</v>
      </c>
      <c r="J70" s="77">
        <f>IFERROR(VLOOKUP($H70,TG[],3,FALSE),"NA")</f>
        <v>0</v>
      </c>
      <c r="K70" s="77">
        <f>IFERROR(VLOOKUP($H70,TF[],3,FALSE),"NA")</f>
        <v>0</v>
      </c>
      <c r="L70" s="77">
        <f>IFERROR(VLOOKUP($H70,TT[],3,FALSE),"NA")</f>
        <v>0</v>
      </c>
      <c r="M70" s="77">
        <f>IFERROR(VLOOKUP($H70,TES[],3,FALSE),"NA")</f>
        <v>0</v>
      </c>
      <c r="N70" s="77" t="str">
        <f>IFERROR(VLOOKUP($H70,TEC[],3,FALSE),"NA")</f>
        <v>NA</v>
      </c>
      <c r="O70" s="77" t="str">
        <f>IFERROR(VLOOKUP($H70,TP[],3,FALSE),"NA")</f>
        <v>NA</v>
      </c>
      <c r="P70" s="77" t="str">
        <f>IFERROR(VLOOKUP($H70,TEN[],3,FALSE),"NA")</f>
        <v>NA</v>
      </c>
      <c r="Q70" s="77" t="str">
        <f>IFERROR(VLOOKUP($H70,TD[],3,FALSE),"NA")</f>
        <v>NA</v>
      </c>
      <c r="R70" s="77" t="str">
        <f>IFERROR(VLOOKUP($H70,TC[],3,FALSE),"NA")</f>
        <v>NA</v>
      </c>
      <c r="S70" s="77" t="str">
        <f>IFERROR(VLOOKUP($H70,TEV[],3,FALSE),"NA")</f>
        <v>NA</v>
      </c>
      <c r="T70" s="79">
        <f>SUM(TbAlquiler[[#This Row],[GENERAL]:[ELEVADOR]])</f>
        <v>0</v>
      </c>
      <c r="U70" s="80">
        <f>IF(VLOOKUP(TbAlquiler[[#This Row],[ITEM]],TbPiezas[],5,FALSE)="NA",0,VLOOKUP(TbAlquiler[[#This Row],[ITEM]],TbPiezas[],5,FALSE))</f>
        <v>0.5</v>
      </c>
      <c r="V70" s="81">
        <f>+TbAlquiler[[#This Row],[TOTAL]]*TbAlquiler[[#This Row],[P.U. (1)]]</f>
        <v>0</v>
      </c>
      <c r="W70" s="82">
        <f>+VLOOKUP(TbAlquiler[[#This Row],[ITEM]],TbPiezas[],6,FALSE)</f>
        <v>91.83</v>
      </c>
      <c r="X70" s="83">
        <f>+TbAlquiler[[#This Row],[TOTAL]]*TbAlquiler[[#This Row],[P.U. (2)]]</f>
        <v>0</v>
      </c>
      <c r="Y70" s="82">
        <f>+VLOOKUP(TbAlquiler[[#This Row],[ITEM]],TbPiezas[],7,FALSE)</f>
        <v>4.5914999999999999</v>
      </c>
      <c r="Z70" s="84">
        <f>+TbAlquiler[[#This Row],[TOTAL]]*TbAlquiler[[#This Row],[P.U. (3)]]</f>
        <v>0</v>
      </c>
    </row>
    <row r="71" spans="1:26" ht="15" customHeight="1" x14ac:dyDescent="0.3">
      <c r="A71" s="2"/>
      <c r="B71" s="85">
        <v>54</v>
      </c>
      <c r="C71" s="71" t="s">
        <v>109</v>
      </c>
      <c r="D71" s="72" t="s">
        <v>110</v>
      </c>
      <c r="E71" s="73"/>
      <c r="F71" s="74">
        <f>+VLOOKUP(C71,TbAlquiler[],13,FALSE)</f>
        <v>1</v>
      </c>
      <c r="G71" s="2"/>
      <c r="H71" s="75" t="str">
        <f t="shared" si="0"/>
        <v>AM.5100</v>
      </c>
      <c r="I71" s="59" t="str">
        <f t="shared" si="1"/>
        <v>ok</v>
      </c>
      <c r="J71" s="77">
        <f>IFERROR(VLOOKUP($H71,TG[],3,FALSE),"NA")</f>
        <v>0</v>
      </c>
      <c r="K71" s="77">
        <f>IFERROR(VLOOKUP($H71,TF[],3,FALSE),"NA")</f>
        <v>0</v>
      </c>
      <c r="L71" s="77">
        <f>IFERROR(VLOOKUP($H71,TT[],3,FALSE),"NA")</f>
        <v>0</v>
      </c>
      <c r="M71" s="77">
        <f>IFERROR(VLOOKUP($H71,TES[],3,FALSE),"NA")</f>
        <v>1</v>
      </c>
      <c r="N71" s="77" t="str">
        <f>IFERROR(VLOOKUP($H71,TEC[],3,FALSE),"NA")</f>
        <v>NA</v>
      </c>
      <c r="O71" s="77" t="str">
        <f>IFERROR(VLOOKUP($H71,TP[],3,FALSE),"NA")</f>
        <v>NA</v>
      </c>
      <c r="P71" s="77" t="str">
        <f>IFERROR(VLOOKUP($H71,TEN[],3,FALSE),"NA")</f>
        <v>NA</v>
      </c>
      <c r="Q71" s="77" t="str">
        <f>IFERROR(VLOOKUP($H71,TD[],3,FALSE),"NA")</f>
        <v>NA</v>
      </c>
      <c r="R71" s="77" t="str">
        <f>IFERROR(VLOOKUP($H71,TC[],3,FALSE),"NA")</f>
        <v>NA</v>
      </c>
      <c r="S71" s="77" t="str">
        <f>IFERROR(VLOOKUP($H71,TEV[],3,FALSE),"NA")</f>
        <v>NA</v>
      </c>
      <c r="T71" s="79">
        <f>SUM(TbAlquiler[[#This Row],[GENERAL]:[ELEVADOR]])</f>
        <v>1</v>
      </c>
      <c r="U71" s="80">
        <f>IF(VLOOKUP(TbAlquiler[[#This Row],[ITEM]],TbPiezas[],5,FALSE)="NA",0,VLOOKUP(TbAlquiler[[#This Row],[ITEM]],TbPiezas[],5,FALSE))</f>
        <v>11.299999999999997</v>
      </c>
      <c r="V71" s="81">
        <f>+TbAlquiler[[#This Row],[TOTAL]]*TbAlquiler[[#This Row],[P.U. (1)]]</f>
        <v>11.299999999999997</v>
      </c>
      <c r="W71" s="82">
        <f>+VLOOKUP(TbAlquiler[[#This Row],[ITEM]],TbPiezas[],6,FALSE)</f>
        <v>316.13</v>
      </c>
      <c r="X71" s="83">
        <f>+TbAlquiler[[#This Row],[TOTAL]]*TbAlquiler[[#This Row],[P.U. (2)]]</f>
        <v>316.13</v>
      </c>
      <c r="Y71" s="82">
        <f>+VLOOKUP(TbAlquiler[[#This Row],[ITEM]],TbPiezas[],7,FALSE)</f>
        <v>15.8065</v>
      </c>
      <c r="Z71" s="84">
        <f>+TbAlquiler[[#This Row],[TOTAL]]*TbAlquiler[[#This Row],[P.U. (3)]]</f>
        <v>15.8065</v>
      </c>
    </row>
    <row r="72" spans="1:26" ht="15" customHeight="1" x14ac:dyDescent="0.3">
      <c r="A72" s="2"/>
      <c r="B72" s="85">
        <v>55</v>
      </c>
      <c r="C72" s="71" t="s">
        <v>111</v>
      </c>
      <c r="D72" s="72" t="s">
        <v>112</v>
      </c>
      <c r="E72" s="73"/>
      <c r="F72" s="74">
        <f>+VLOOKUP(C72,TbAlquiler[],13,FALSE)</f>
        <v>4</v>
      </c>
      <c r="G72" s="2"/>
      <c r="H72" s="75" t="str">
        <f t="shared" si="0"/>
        <v>AM.5200</v>
      </c>
      <c r="I72" s="59" t="str">
        <f t="shared" si="1"/>
        <v>ok</v>
      </c>
      <c r="J72" s="77">
        <f>IFERROR(VLOOKUP($H72,TG[],3,FALSE),"NA")</f>
        <v>0</v>
      </c>
      <c r="K72" s="77">
        <f>IFERROR(VLOOKUP($H72,TF[],3,FALSE),"NA")</f>
        <v>0</v>
      </c>
      <c r="L72" s="77">
        <f>IFERROR(VLOOKUP($H72,TT[],3,FALSE),"NA")</f>
        <v>4</v>
      </c>
      <c r="M72" s="77">
        <f>IFERROR(VLOOKUP($H72,TES[],3,FALSE),"NA")</f>
        <v>0</v>
      </c>
      <c r="N72" s="77" t="str">
        <f>IFERROR(VLOOKUP($H72,TEC[],3,FALSE),"NA")</f>
        <v>NA</v>
      </c>
      <c r="O72" s="77" t="str">
        <f>IFERROR(VLOOKUP($H72,TP[],3,FALSE),"NA")</f>
        <v>NA</v>
      </c>
      <c r="P72" s="77" t="str">
        <f>IFERROR(VLOOKUP($H72,TEN[],3,FALSE),"NA")</f>
        <v>NA</v>
      </c>
      <c r="Q72" s="77" t="str">
        <f>IFERROR(VLOOKUP($H72,TD[],3,FALSE),"NA")</f>
        <v>NA</v>
      </c>
      <c r="R72" s="77" t="str">
        <f>IFERROR(VLOOKUP($H72,TC[],3,FALSE),"NA")</f>
        <v>NA</v>
      </c>
      <c r="S72" s="77" t="str">
        <f>IFERROR(VLOOKUP($H72,TEV[],3,FALSE),"NA")</f>
        <v>NA</v>
      </c>
      <c r="T72" s="79">
        <f>SUM(TbAlquiler[[#This Row],[GENERAL]:[ELEVADOR]])</f>
        <v>4</v>
      </c>
      <c r="U72" s="80">
        <f>IF(VLOOKUP(TbAlquiler[[#This Row],[ITEM]],TbPiezas[],5,FALSE)="NA",0,VLOOKUP(TbAlquiler[[#This Row],[ITEM]],TbPiezas[],5,FALSE))</f>
        <v>10.899999999999991</v>
      </c>
      <c r="V72" s="81">
        <f>+TbAlquiler[[#This Row],[TOTAL]]*TbAlquiler[[#This Row],[P.U. (1)]]</f>
        <v>43.599999999999966</v>
      </c>
      <c r="W72" s="82">
        <f>+VLOOKUP(TbAlquiler[[#This Row],[ITEM]],TbPiezas[],6,FALSE)</f>
        <v>302.58</v>
      </c>
      <c r="X72" s="83">
        <f>+TbAlquiler[[#This Row],[TOTAL]]*TbAlquiler[[#This Row],[P.U. (2)]]</f>
        <v>1210.32</v>
      </c>
      <c r="Y72" s="82">
        <f>+VLOOKUP(TbAlquiler[[#This Row],[ITEM]],TbPiezas[],7,FALSE)</f>
        <v>15.129</v>
      </c>
      <c r="Z72" s="84">
        <f>+TbAlquiler[[#This Row],[TOTAL]]*TbAlquiler[[#This Row],[P.U. (3)]]</f>
        <v>60.515999999999998</v>
      </c>
    </row>
    <row r="73" spans="1:26" ht="15" customHeight="1" x14ac:dyDescent="0.3">
      <c r="A73" s="2"/>
      <c r="B73" s="85">
        <v>56</v>
      </c>
      <c r="C73" s="71" t="s">
        <v>113</v>
      </c>
      <c r="D73" s="72" t="s">
        <v>114</v>
      </c>
      <c r="E73" s="73"/>
      <c r="F73" s="74">
        <f>+VLOOKUP(C73,TbAlquiler[],13,FALSE)</f>
        <v>0</v>
      </c>
      <c r="G73" s="2"/>
      <c r="H73" s="75" t="str">
        <f t="shared" si="0"/>
        <v>AM.5300</v>
      </c>
      <c r="I73" s="59" t="str">
        <f t="shared" si="1"/>
        <v>ok</v>
      </c>
      <c r="J73" s="77">
        <f>IFERROR(VLOOKUP($H73,TG[],3,FALSE),"NA")</f>
        <v>0</v>
      </c>
      <c r="K73" s="77">
        <f>IFERROR(VLOOKUP($H73,TF[],3,FALSE),"NA")</f>
        <v>0</v>
      </c>
      <c r="L73" s="77">
        <f>IFERROR(VLOOKUP($H73,TT[],3,FALSE),"NA")</f>
        <v>0</v>
      </c>
      <c r="M73" s="77">
        <f>IFERROR(VLOOKUP($H73,TES[],3,FALSE),"NA")</f>
        <v>0</v>
      </c>
      <c r="N73" s="77" t="str">
        <f>IFERROR(VLOOKUP($H73,TEC[],3,FALSE),"NA")</f>
        <v>NA</v>
      </c>
      <c r="O73" s="77" t="str">
        <f>IFERROR(VLOOKUP($H73,TP[],3,FALSE),"NA")</f>
        <v>NA</v>
      </c>
      <c r="P73" s="77" t="str">
        <f>IFERROR(VLOOKUP($H73,TEN[],3,FALSE),"NA")</f>
        <v>NA</v>
      </c>
      <c r="Q73" s="77" t="str">
        <f>IFERROR(VLOOKUP($H73,TD[],3,FALSE),"NA")</f>
        <v>NA</v>
      </c>
      <c r="R73" s="77" t="str">
        <f>IFERROR(VLOOKUP($H73,TC[],3,FALSE),"NA")</f>
        <v>NA</v>
      </c>
      <c r="S73" s="77" t="str">
        <f>IFERROR(VLOOKUP($H73,TEV[],3,FALSE),"NA")</f>
        <v>NA</v>
      </c>
      <c r="T73" s="79">
        <f>SUM(TbAlquiler[[#This Row],[GENERAL]:[ELEVADOR]])</f>
        <v>0</v>
      </c>
      <c r="U73" s="80">
        <f>IF(VLOOKUP(TbAlquiler[[#This Row],[ITEM]],TbPiezas[],5,FALSE)="NA",0,VLOOKUP(TbAlquiler[[#This Row],[ITEM]],TbPiezas[],5,FALSE))</f>
        <v>7.5</v>
      </c>
      <c r="V73" s="81">
        <f>+TbAlquiler[[#This Row],[TOTAL]]*TbAlquiler[[#This Row],[P.U. (1)]]</f>
        <v>0</v>
      </c>
      <c r="W73" s="82">
        <f>+VLOOKUP(TbAlquiler[[#This Row],[ITEM]],TbPiezas[],6,FALSE)</f>
        <v>291.14</v>
      </c>
      <c r="X73" s="83">
        <f>+TbAlquiler[[#This Row],[TOTAL]]*TbAlquiler[[#This Row],[P.U. (2)]]</f>
        <v>0</v>
      </c>
      <c r="Y73" s="82">
        <f>+VLOOKUP(TbAlquiler[[#This Row],[ITEM]],TbPiezas[],7,FALSE)</f>
        <v>14.557</v>
      </c>
      <c r="Z73" s="84">
        <f>+TbAlquiler[[#This Row],[TOTAL]]*TbAlquiler[[#This Row],[P.U. (3)]]</f>
        <v>0</v>
      </c>
    </row>
    <row r="74" spans="1:26" ht="15" customHeight="1" x14ac:dyDescent="0.3">
      <c r="A74" s="2"/>
      <c r="B74" s="85">
        <v>57</v>
      </c>
      <c r="C74" s="71" t="s">
        <v>115</v>
      </c>
      <c r="D74" s="72" t="s">
        <v>116</v>
      </c>
      <c r="E74" s="73"/>
      <c r="F74" s="74">
        <f>+VLOOKUP(C74,TbAlquiler[],13,FALSE)</f>
        <v>1</v>
      </c>
      <c r="G74" s="2"/>
      <c r="H74" s="75" t="str">
        <f t="shared" si="0"/>
        <v>AM.5400</v>
      </c>
      <c r="I74" s="59" t="str">
        <f t="shared" si="1"/>
        <v>ok</v>
      </c>
      <c r="J74" s="77">
        <f>IFERROR(VLOOKUP($H74,TG[],3,FALSE),"NA")</f>
        <v>0</v>
      </c>
      <c r="K74" s="77">
        <f>IFERROR(VLOOKUP($H74,TF[],3,FALSE),"NA")</f>
        <v>0</v>
      </c>
      <c r="L74" s="77">
        <f>IFERROR(VLOOKUP($H74,TT[],3,FALSE),"NA")</f>
        <v>0</v>
      </c>
      <c r="M74" s="77">
        <f>IFERROR(VLOOKUP($H74,TES[],3,FALSE),"NA")</f>
        <v>1</v>
      </c>
      <c r="N74" s="77" t="str">
        <f>IFERROR(VLOOKUP($H74,TEC[],3,FALSE),"NA")</f>
        <v>NA</v>
      </c>
      <c r="O74" s="77" t="str">
        <f>IFERROR(VLOOKUP($H74,TP[],3,FALSE),"NA")</f>
        <v>NA</v>
      </c>
      <c r="P74" s="77" t="str">
        <f>IFERROR(VLOOKUP($H74,TEN[],3,FALSE),"NA")</f>
        <v>NA</v>
      </c>
      <c r="Q74" s="77" t="str">
        <f>IFERROR(VLOOKUP($H74,TD[],3,FALSE),"NA")</f>
        <v>NA</v>
      </c>
      <c r="R74" s="77" t="str">
        <f>IFERROR(VLOOKUP($H74,TC[],3,FALSE),"NA")</f>
        <v>NA</v>
      </c>
      <c r="S74" s="77" t="str">
        <f>IFERROR(VLOOKUP($H74,TEV[],3,FALSE),"NA")</f>
        <v>NA</v>
      </c>
      <c r="T74" s="79">
        <f>SUM(TbAlquiler[[#This Row],[GENERAL]:[ELEVADOR]])</f>
        <v>1</v>
      </c>
      <c r="U74" s="80">
        <f>IF(VLOOKUP(TbAlquiler[[#This Row],[ITEM]],TbPiezas[],5,FALSE)="NA",0,VLOOKUP(TbAlquiler[[#This Row],[ITEM]],TbPiezas[],5,FALSE))</f>
        <v>6.5999999999999943</v>
      </c>
      <c r="V74" s="81">
        <f>+TbAlquiler[[#This Row],[TOTAL]]*TbAlquiler[[#This Row],[P.U. (1)]]</f>
        <v>6.5999999999999943</v>
      </c>
      <c r="W74" s="82">
        <f>+VLOOKUP(TbAlquiler[[#This Row],[ITEM]],TbPiezas[],6,FALSE)</f>
        <v>280.58999999999997</v>
      </c>
      <c r="X74" s="83">
        <f>+TbAlquiler[[#This Row],[TOTAL]]*TbAlquiler[[#This Row],[P.U. (2)]]</f>
        <v>280.58999999999997</v>
      </c>
      <c r="Y74" s="82">
        <f>+VLOOKUP(TbAlquiler[[#This Row],[ITEM]],TbPiezas[],7,FALSE)</f>
        <v>14.029499999999999</v>
      </c>
      <c r="Z74" s="84">
        <f>+TbAlquiler[[#This Row],[TOTAL]]*TbAlquiler[[#This Row],[P.U. (3)]]</f>
        <v>14.029499999999999</v>
      </c>
    </row>
    <row r="75" spans="1:26" ht="15" customHeight="1" x14ac:dyDescent="0.3">
      <c r="A75" s="2"/>
      <c r="B75" s="85">
        <v>58</v>
      </c>
      <c r="C75" s="71" t="s">
        <v>117</v>
      </c>
      <c r="D75" s="72" t="s">
        <v>118</v>
      </c>
      <c r="E75" s="73"/>
      <c r="F75" s="74">
        <f>+VLOOKUP(C75,TbAlquiler[],13,FALSE)</f>
        <v>0</v>
      </c>
      <c r="G75" s="2"/>
      <c r="H75" s="75" t="str">
        <f t="shared" si="0"/>
        <v>AM.5500</v>
      </c>
      <c r="I75" s="59" t="str">
        <f t="shared" si="1"/>
        <v>ok</v>
      </c>
      <c r="J75" s="77">
        <f>IFERROR(VLOOKUP($H75,TG[],3,FALSE),"NA")</f>
        <v>0</v>
      </c>
      <c r="K75" s="77">
        <f>IFERROR(VLOOKUP($H75,TF[],3,FALSE),"NA")</f>
        <v>0</v>
      </c>
      <c r="L75" s="77">
        <f>IFERROR(VLOOKUP($H75,TT[],3,FALSE),"NA")</f>
        <v>0</v>
      </c>
      <c r="M75" s="77">
        <f>IFERROR(VLOOKUP($H75,TES[],3,FALSE),"NA")</f>
        <v>0</v>
      </c>
      <c r="N75" s="77" t="str">
        <f>IFERROR(VLOOKUP($H75,TEC[],3,FALSE),"NA")</f>
        <v>NA</v>
      </c>
      <c r="O75" s="77" t="str">
        <f>IFERROR(VLOOKUP($H75,TP[],3,FALSE),"NA")</f>
        <v>NA</v>
      </c>
      <c r="P75" s="77" t="str">
        <f>IFERROR(VLOOKUP($H75,TEN[],3,FALSE),"NA")</f>
        <v>NA</v>
      </c>
      <c r="Q75" s="77" t="str">
        <f>IFERROR(VLOOKUP($H75,TD[],3,FALSE),"NA")</f>
        <v>NA</v>
      </c>
      <c r="R75" s="77" t="str">
        <f>IFERROR(VLOOKUP($H75,TC[],3,FALSE),"NA")</f>
        <v>NA</v>
      </c>
      <c r="S75" s="77" t="str">
        <f>IFERROR(VLOOKUP($H75,TEV[],3,FALSE),"NA")</f>
        <v>NA</v>
      </c>
      <c r="T75" s="79">
        <f>SUM(TbAlquiler[[#This Row],[GENERAL]:[ELEVADOR]])</f>
        <v>0</v>
      </c>
      <c r="U75" s="80">
        <f>IF(VLOOKUP(TbAlquiler[[#This Row],[ITEM]],TbPiezas[],5,FALSE)="NA",0,VLOOKUP(TbAlquiler[[#This Row],[ITEM]],TbPiezas[],5,FALSE))</f>
        <v>6</v>
      </c>
      <c r="V75" s="81">
        <f>+TbAlquiler[[#This Row],[TOTAL]]*TbAlquiler[[#This Row],[P.U. (1)]]</f>
        <v>0</v>
      </c>
      <c r="W75" s="82">
        <f>+VLOOKUP(TbAlquiler[[#This Row],[ITEM]],TbPiezas[],6,FALSE)</f>
        <v>280.58999999999997</v>
      </c>
      <c r="X75" s="83">
        <f>+TbAlquiler[[#This Row],[TOTAL]]*TbAlquiler[[#This Row],[P.U. (2)]]</f>
        <v>0</v>
      </c>
      <c r="Y75" s="82">
        <f>+VLOOKUP(TbAlquiler[[#This Row],[ITEM]],TbPiezas[],7,FALSE)</f>
        <v>14.029499999999999</v>
      </c>
      <c r="Z75" s="84">
        <f>+TbAlquiler[[#This Row],[TOTAL]]*TbAlquiler[[#This Row],[P.U. (3)]]</f>
        <v>0</v>
      </c>
    </row>
    <row r="76" spans="1:26" ht="15" customHeight="1" x14ac:dyDescent="0.3">
      <c r="A76" s="2"/>
      <c r="B76" s="85">
        <v>59</v>
      </c>
      <c r="C76" s="429" t="s">
        <v>119</v>
      </c>
      <c r="D76" s="430" t="s">
        <v>120</v>
      </c>
      <c r="E76" s="73"/>
      <c r="F76" s="74">
        <f>+VLOOKUP(C76,TbAlquiler[],13,FALSE)</f>
        <v>0</v>
      </c>
      <c r="G76" s="2"/>
      <c r="H76" s="75" t="str">
        <f t="shared" si="0"/>
        <v>AM.5600</v>
      </c>
      <c r="I76" s="59" t="str">
        <f t="shared" si="1"/>
        <v>ok</v>
      </c>
      <c r="J76" s="77">
        <f>IFERROR(VLOOKUP($H76,TG[],3,FALSE),"NA")</f>
        <v>0</v>
      </c>
      <c r="K76" s="77">
        <f>IFERROR(VLOOKUP($H76,TF[],3,FALSE),"NA")</f>
        <v>0</v>
      </c>
      <c r="L76" s="77">
        <f>IFERROR(VLOOKUP($H76,TT[],3,FALSE),"NA")</f>
        <v>0</v>
      </c>
      <c r="M76" s="77">
        <f>IFERROR(VLOOKUP($H76,TES[],3,FALSE),"NA")</f>
        <v>0</v>
      </c>
      <c r="N76" s="77" t="str">
        <f>IFERROR(VLOOKUP($H76,TEC[],3,FALSE),"NA")</f>
        <v>NA</v>
      </c>
      <c r="O76" s="77" t="str">
        <f>IFERROR(VLOOKUP($H76,TP[],3,FALSE),"NA")</f>
        <v>NA</v>
      </c>
      <c r="P76" s="77" t="str">
        <f>IFERROR(VLOOKUP($H76,TEN[],3,FALSE),"NA")</f>
        <v>NA</v>
      </c>
      <c r="Q76" s="77" t="str">
        <f>IFERROR(VLOOKUP($H76,TD[],3,FALSE),"NA")</f>
        <v>NA</v>
      </c>
      <c r="R76" s="77" t="str">
        <f>IFERROR(VLOOKUP($H76,TC[],3,FALSE),"NA")</f>
        <v>NA</v>
      </c>
      <c r="S76" s="77" t="str">
        <f>IFERROR(VLOOKUP($H76,TEV[],3,FALSE),"NA")</f>
        <v>NA</v>
      </c>
      <c r="T76" s="79">
        <f>SUM(TbAlquiler[[#This Row],[GENERAL]:[ELEVADOR]])</f>
        <v>0</v>
      </c>
      <c r="U76" s="80">
        <f>IF(VLOOKUP(TbAlquiler[[#This Row],[ITEM]],TbPiezas[],5,FALSE)="NA",0,VLOOKUP(TbAlquiler[[#This Row],[ITEM]],TbPiezas[],5,FALSE))</f>
        <v>4.2000000000000028</v>
      </c>
      <c r="V76" s="81">
        <f>+TbAlquiler[[#This Row],[TOTAL]]*TbAlquiler[[#This Row],[P.U. (1)]]</f>
        <v>0</v>
      </c>
      <c r="W76" s="82">
        <f>+VLOOKUP(TbAlquiler[[#This Row],[ITEM]],TbPiezas[],6,FALSE)</f>
        <v>266.81</v>
      </c>
      <c r="X76" s="83">
        <f>+TbAlquiler[[#This Row],[TOTAL]]*TbAlquiler[[#This Row],[P.U. (2)]]</f>
        <v>0</v>
      </c>
      <c r="Y76" s="82">
        <f>+VLOOKUP(TbAlquiler[[#This Row],[ITEM]],TbPiezas[],7,FALSE)</f>
        <v>13.3405</v>
      </c>
      <c r="Z76" s="84">
        <f>+TbAlquiler[[#This Row],[TOTAL]]*TbAlquiler[[#This Row],[P.U. (3)]]</f>
        <v>0</v>
      </c>
    </row>
    <row r="77" spans="1:26" ht="15" customHeight="1" x14ac:dyDescent="0.3">
      <c r="A77" s="2"/>
      <c r="B77" s="85">
        <v>60</v>
      </c>
      <c r="C77" s="71" t="s">
        <v>121</v>
      </c>
      <c r="D77" s="72" t="s">
        <v>122</v>
      </c>
      <c r="E77" s="73"/>
      <c r="F77" s="74">
        <f>+VLOOKUP(C77,TbAlquiler[],13,FALSE)</f>
        <v>0</v>
      </c>
      <c r="G77" s="2"/>
      <c r="H77" s="75" t="str">
        <f t="shared" si="0"/>
        <v>AM.5700</v>
      </c>
      <c r="I77" s="59" t="str">
        <f t="shared" si="1"/>
        <v>ok</v>
      </c>
      <c r="J77" s="77">
        <f>IFERROR(VLOOKUP($H77,TG[],3,FALSE),"NA")</f>
        <v>0</v>
      </c>
      <c r="K77" s="77" t="str">
        <f>IFERROR(VLOOKUP($H77,TF[],3,FALSE),"NA")</f>
        <v>NA</v>
      </c>
      <c r="L77" s="77" t="str">
        <f>IFERROR(VLOOKUP($H77,TT[],3,FALSE),"NA")</f>
        <v>NA</v>
      </c>
      <c r="M77" s="77" t="str">
        <f>IFERROR(VLOOKUP($H77,TES[],3,FALSE),"NA")</f>
        <v>NA</v>
      </c>
      <c r="N77" s="77" t="str">
        <f>IFERROR(VLOOKUP($H77,TEC[],3,FALSE),"NA")</f>
        <v>NA</v>
      </c>
      <c r="O77" s="77" t="str">
        <f>IFERROR(VLOOKUP($H77,TP[],3,FALSE),"NA")</f>
        <v>NA</v>
      </c>
      <c r="P77" s="77" t="str">
        <f>IFERROR(VLOOKUP($H77,TEN[],3,FALSE),"NA")</f>
        <v>NA</v>
      </c>
      <c r="Q77" s="77" t="str">
        <f>IFERROR(VLOOKUP($H77,TD[],3,FALSE),"NA")</f>
        <v>NA</v>
      </c>
      <c r="R77" s="77" t="str">
        <f>IFERROR(VLOOKUP($H77,TC[],3,FALSE),"NA")</f>
        <v>NA</v>
      </c>
      <c r="S77" s="77" t="str">
        <f>IFERROR(VLOOKUP($H77,TEV[],3,FALSE),"NA")</f>
        <v>NA</v>
      </c>
      <c r="T77" s="79">
        <f>SUM(TbAlquiler[[#This Row],[GENERAL]:[ELEVADOR]])</f>
        <v>0</v>
      </c>
      <c r="U77" s="80">
        <f>IF(VLOOKUP(TbAlquiler[[#This Row],[ITEM]],TbPiezas[],5,FALSE)="NA",0,VLOOKUP(TbAlquiler[[#This Row],[ITEM]],TbPiezas[],5,FALSE))</f>
        <v>10.700000000000003</v>
      </c>
      <c r="V77" s="81">
        <f>+TbAlquiler[[#This Row],[TOTAL]]*TbAlquiler[[#This Row],[P.U. (1)]]</f>
        <v>0</v>
      </c>
      <c r="W77" s="82">
        <f>+VLOOKUP(TbAlquiler[[#This Row],[ITEM]],TbPiezas[],6,FALSE)</f>
        <v>316.13</v>
      </c>
      <c r="X77" s="83">
        <f>+TbAlquiler[[#This Row],[TOTAL]]*TbAlquiler[[#This Row],[P.U. (2)]]</f>
        <v>0</v>
      </c>
      <c r="Y77" s="82">
        <f>+VLOOKUP(TbAlquiler[[#This Row],[ITEM]],TbPiezas[],7,FALSE)</f>
        <v>15.8065</v>
      </c>
      <c r="Z77" s="84">
        <f>+TbAlquiler[[#This Row],[TOTAL]]*TbAlquiler[[#This Row],[P.U. (3)]]</f>
        <v>0</v>
      </c>
    </row>
    <row r="78" spans="1:26" ht="15" customHeight="1" x14ac:dyDescent="0.3">
      <c r="A78" s="2"/>
      <c r="B78" s="85">
        <v>61</v>
      </c>
      <c r="C78" s="71" t="s">
        <v>123</v>
      </c>
      <c r="D78" s="72" t="s">
        <v>124</v>
      </c>
      <c r="E78" s="73"/>
      <c r="F78" s="74">
        <f>+VLOOKUP(C78,TbAlquiler[],13,FALSE)</f>
        <v>0</v>
      </c>
      <c r="G78" s="2"/>
      <c r="H78" s="75" t="str">
        <f t="shared" si="0"/>
        <v>AM.5800</v>
      </c>
      <c r="I78" s="59" t="str">
        <f t="shared" si="1"/>
        <v>ok</v>
      </c>
      <c r="J78" s="77">
        <f>IFERROR(VLOOKUP($H78,TG[],3,FALSE),"NA")</f>
        <v>0</v>
      </c>
      <c r="K78" s="77" t="str">
        <f>IFERROR(VLOOKUP($H78,TF[],3,FALSE),"NA")</f>
        <v>NA</v>
      </c>
      <c r="L78" s="77" t="str">
        <f>IFERROR(VLOOKUP($H78,TT[],3,FALSE),"NA")</f>
        <v>NA</v>
      </c>
      <c r="M78" s="77" t="str">
        <f>IFERROR(VLOOKUP($H78,TES[],3,FALSE),"NA")</f>
        <v>NA</v>
      </c>
      <c r="N78" s="77" t="str">
        <f>IFERROR(VLOOKUP($H78,TEC[],3,FALSE),"NA")</f>
        <v>NA</v>
      </c>
      <c r="O78" s="77" t="str">
        <f>IFERROR(VLOOKUP($H78,TP[],3,FALSE),"NA")</f>
        <v>NA</v>
      </c>
      <c r="P78" s="77" t="str">
        <f>IFERROR(VLOOKUP($H78,TEN[],3,FALSE),"NA")</f>
        <v>NA</v>
      </c>
      <c r="Q78" s="77" t="str">
        <f>IFERROR(VLOOKUP($H78,TD[],3,FALSE),"NA")</f>
        <v>NA</v>
      </c>
      <c r="R78" s="77" t="str">
        <f>IFERROR(VLOOKUP($H78,TC[],3,FALSE),"NA")</f>
        <v>NA</v>
      </c>
      <c r="S78" s="77" t="str">
        <f>IFERROR(VLOOKUP($H78,TEV[],3,FALSE),"NA")</f>
        <v>NA</v>
      </c>
      <c r="T78" s="79">
        <f>SUM(TbAlquiler[[#This Row],[GENERAL]:[ELEVADOR]])</f>
        <v>0</v>
      </c>
      <c r="U78" s="80">
        <f>IF(VLOOKUP(TbAlquiler[[#This Row],[ITEM]],TbPiezas[],5,FALSE)="NA",0,VLOOKUP(TbAlquiler[[#This Row],[ITEM]],TbPiezas[],5,FALSE))</f>
        <v>9.2000000000000028</v>
      </c>
      <c r="V78" s="81">
        <f>+TbAlquiler[[#This Row],[TOTAL]]*TbAlquiler[[#This Row],[P.U. (1)]]</f>
        <v>0</v>
      </c>
      <c r="W78" s="82">
        <f>+VLOOKUP(TbAlquiler[[#This Row],[ITEM]],TbPiezas[],6,FALSE)</f>
        <v>302.58</v>
      </c>
      <c r="X78" s="83">
        <f>+TbAlquiler[[#This Row],[TOTAL]]*TbAlquiler[[#This Row],[P.U. (2)]]</f>
        <v>0</v>
      </c>
      <c r="Y78" s="82">
        <f>+VLOOKUP(TbAlquiler[[#This Row],[ITEM]],TbPiezas[],7,FALSE)</f>
        <v>15.129</v>
      </c>
      <c r="Z78" s="84">
        <f>+TbAlquiler[[#This Row],[TOTAL]]*TbAlquiler[[#This Row],[P.U. (3)]]</f>
        <v>0</v>
      </c>
    </row>
    <row r="79" spans="1:26" ht="15" customHeight="1" x14ac:dyDescent="0.3">
      <c r="A79" s="2"/>
      <c r="B79" s="85">
        <v>62</v>
      </c>
      <c r="C79" s="71" t="s">
        <v>125</v>
      </c>
      <c r="D79" s="72" t="s">
        <v>126</v>
      </c>
      <c r="E79" s="73"/>
      <c r="F79" s="74">
        <f>+VLOOKUP(C79,TbAlquiler[],13,FALSE)</f>
        <v>0</v>
      </c>
      <c r="G79" s="2"/>
      <c r="H79" s="75" t="str">
        <f t="shared" si="0"/>
        <v>AM.5900</v>
      </c>
      <c r="I79" s="59" t="str">
        <f t="shared" si="1"/>
        <v>ok</v>
      </c>
      <c r="J79" s="77">
        <f>IFERROR(VLOOKUP($H79,TG[],3,FALSE),"NA")</f>
        <v>0</v>
      </c>
      <c r="K79" s="77" t="str">
        <f>IFERROR(VLOOKUP($H79,TF[],3,FALSE),"NA")</f>
        <v>NA</v>
      </c>
      <c r="L79" s="77" t="str">
        <f>IFERROR(VLOOKUP($H79,TT[],3,FALSE),"NA")</f>
        <v>NA</v>
      </c>
      <c r="M79" s="77" t="str">
        <f>IFERROR(VLOOKUP($H79,TES[],3,FALSE),"NA")</f>
        <v>NA</v>
      </c>
      <c r="N79" s="77" t="str">
        <f>IFERROR(VLOOKUP($H79,TEC[],3,FALSE),"NA")</f>
        <v>NA</v>
      </c>
      <c r="O79" s="77" t="str">
        <f>IFERROR(VLOOKUP($H79,TP[],3,FALSE),"NA")</f>
        <v>NA</v>
      </c>
      <c r="P79" s="77" t="str">
        <f>IFERROR(VLOOKUP($H79,TEN[],3,FALSE),"NA")</f>
        <v>NA</v>
      </c>
      <c r="Q79" s="77" t="str">
        <f>IFERROR(VLOOKUP($H79,TD[],3,FALSE),"NA")</f>
        <v>NA</v>
      </c>
      <c r="R79" s="77" t="str">
        <f>IFERROR(VLOOKUP($H79,TC[],3,FALSE),"NA")</f>
        <v>NA</v>
      </c>
      <c r="S79" s="77" t="str">
        <f>IFERROR(VLOOKUP($H79,TEV[],3,FALSE),"NA")</f>
        <v>NA</v>
      </c>
      <c r="T79" s="79">
        <f>SUM(TbAlquiler[[#This Row],[GENERAL]:[ELEVADOR]])</f>
        <v>0</v>
      </c>
      <c r="U79" s="80">
        <f>IF(VLOOKUP(TbAlquiler[[#This Row],[ITEM]],TbPiezas[],5,FALSE)="NA",0,VLOOKUP(TbAlquiler[[#This Row],[ITEM]],TbPiezas[],5,FALSE))</f>
        <v>5.9000000000000057</v>
      </c>
      <c r="V79" s="81">
        <f>+TbAlquiler[[#This Row],[TOTAL]]*TbAlquiler[[#This Row],[P.U. (1)]]</f>
        <v>0</v>
      </c>
      <c r="W79" s="82">
        <f>+VLOOKUP(TbAlquiler[[#This Row],[ITEM]],TbPiezas[],6,FALSE)</f>
        <v>280.58999999999997</v>
      </c>
      <c r="X79" s="83">
        <f>+TbAlquiler[[#This Row],[TOTAL]]*TbAlquiler[[#This Row],[P.U. (2)]]</f>
        <v>0</v>
      </c>
      <c r="Y79" s="82">
        <f>+VLOOKUP(TbAlquiler[[#This Row],[ITEM]],TbPiezas[],7,FALSE)</f>
        <v>14.029499999999999</v>
      </c>
      <c r="Z79" s="84">
        <f>+TbAlquiler[[#This Row],[TOTAL]]*TbAlquiler[[#This Row],[P.U. (3)]]</f>
        <v>0</v>
      </c>
    </row>
    <row r="80" spans="1:26" ht="15" customHeight="1" x14ac:dyDescent="0.3">
      <c r="A80" s="2"/>
      <c r="B80" s="85">
        <v>63</v>
      </c>
      <c r="C80" s="71" t="s">
        <v>127</v>
      </c>
      <c r="D80" s="72" t="s">
        <v>128</v>
      </c>
      <c r="E80" s="73"/>
      <c r="F80" s="74">
        <f>+VLOOKUP(C80,TbAlquiler[],13,FALSE)</f>
        <v>0</v>
      </c>
      <c r="G80" s="2"/>
      <c r="H80" s="75" t="str">
        <f t="shared" si="0"/>
        <v>AM.5910</v>
      </c>
      <c r="I80" s="59" t="str">
        <f t="shared" si="1"/>
        <v>ok</v>
      </c>
      <c r="J80" s="77">
        <f>IFERROR(VLOOKUP($H80,TG[],3,FALSE),"NA")</f>
        <v>0</v>
      </c>
      <c r="K80" s="77" t="str">
        <f>IFERROR(VLOOKUP($H80,TF[],3,FALSE),"NA")</f>
        <v>NA</v>
      </c>
      <c r="L80" s="77" t="str">
        <f>IFERROR(VLOOKUP($H80,TT[],3,FALSE),"NA")</f>
        <v>NA</v>
      </c>
      <c r="M80" s="77" t="str">
        <f>IFERROR(VLOOKUP($H80,TES[],3,FALSE),"NA")</f>
        <v>NA</v>
      </c>
      <c r="N80" s="77" t="str">
        <f>IFERROR(VLOOKUP($H80,TEC[],3,FALSE),"NA")</f>
        <v>NA</v>
      </c>
      <c r="O80" s="77" t="str">
        <f>IFERROR(VLOOKUP($H80,TP[],3,FALSE),"NA")</f>
        <v>NA</v>
      </c>
      <c r="P80" s="77" t="str">
        <f>IFERROR(VLOOKUP($H80,TEN[],3,FALSE),"NA")</f>
        <v>NA</v>
      </c>
      <c r="Q80" s="77" t="str">
        <f>IFERROR(VLOOKUP($H80,TD[],3,FALSE),"NA")</f>
        <v>NA</v>
      </c>
      <c r="R80" s="77" t="str">
        <f>IFERROR(VLOOKUP($H80,TC[],3,FALSE),"NA")</f>
        <v>NA</v>
      </c>
      <c r="S80" s="77" t="str">
        <f>IFERROR(VLOOKUP($H80,TEV[],3,FALSE),"NA")</f>
        <v>NA</v>
      </c>
      <c r="T80" s="79">
        <f>SUM(TbAlquiler[[#This Row],[GENERAL]:[ELEVADOR]])</f>
        <v>0</v>
      </c>
      <c r="U80" s="80">
        <f>IF(VLOOKUP(TbAlquiler[[#This Row],[ITEM]],TbPiezas[],5,FALSE)="NA",0,VLOOKUP(TbAlquiler[[#This Row],[ITEM]],TbPiezas[],5,FALSE))</f>
        <v>5.9</v>
      </c>
      <c r="V80" s="81">
        <f>+TbAlquiler[[#This Row],[TOTAL]]*TbAlquiler[[#This Row],[P.U. (1)]]</f>
        <v>0</v>
      </c>
      <c r="W80" s="82">
        <f>+VLOOKUP(TbAlquiler[[#This Row],[ITEM]],TbPiezas[],6,FALSE)</f>
        <v>280.58999999999997</v>
      </c>
      <c r="X80" s="83">
        <f>+TbAlquiler[[#This Row],[TOTAL]]*TbAlquiler[[#This Row],[P.U. (2)]]</f>
        <v>0</v>
      </c>
      <c r="Y80" s="82">
        <f>+VLOOKUP(TbAlquiler[[#This Row],[ITEM]],TbPiezas[],7,FALSE)</f>
        <v>14.029499999999999</v>
      </c>
      <c r="Z80" s="84">
        <f>+TbAlquiler[[#This Row],[TOTAL]]*TbAlquiler[[#This Row],[P.U. (3)]]</f>
        <v>0</v>
      </c>
    </row>
    <row r="81" spans="1:26" ht="15" customHeight="1" x14ac:dyDescent="0.3">
      <c r="A81" s="2"/>
      <c r="B81" s="85">
        <v>64</v>
      </c>
      <c r="C81" s="71" t="s">
        <v>129</v>
      </c>
      <c r="D81" s="72" t="s">
        <v>130</v>
      </c>
      <c r="E81" s="73"/>
      <c r="F81" s="74">
        <f>+VLOOKUP(C81,TbAlquiler[],13,FALSE)</f>
        <v>0</v>
      </c>
      <c r="G81" s="2"/>
      <c r="H81" s="75" t="str">
        <f t="shared" si="0"/>
        <v>AM.6000</v>
      </c>
      <c r="I81" s="59" t="str">
        <f t="shared" si="1"/>
        <v>ok</v>
      </c>
      <c r="J81" s="77">
        <f>IFERROR(VLOOKUP($H81,TG[],3,FALSE),"NA")</f>
        <v>0</v>
      </c>
      <c r="K81" s="77">
        <f>IFERROR(VLOOKUP($H81,TF[],3,FALSE),"NA")</f>
        <v>0</v>
      </c>
      <c r="L81" s="77">
        <f>IFERROR(VLOOKUP($H81,TT[],3,FALSE),"NA")</f>
        <v>0</v>
      </c>
      <c r="M81" s="77">
        <f>IFERROR(VLOOKUP($H81,TES[],3,FALSE),"NA")</f>
        <v>0</v>
      </c>
      <c r="N81" s="77">
        <f>IFERROR(VLOOKUP($H81,TEC[],3,FALSE),"NA")</f>
        <v>0</v>
      </c>
      <c r="O81" s="77" t="str">
        <f>IFERROR(VLOOKUP($H81,TP[],3,FALSE),"NA")</f>
        <v>NA</v>
      </c>
      <c r="P81" s="77" t="str">
        <f>IFERROR(VLOOKUP($H81,TEN[],3,FALSE),"NA")</f>
        <v>NA</v>
      </c>
      <c r="Q81" s="77" t="str">
        <f>IFERROR(VLOOKUP($H81,TD[],3,FALSE),"NA")</f>
        <v>NA</v>
      </c>
      <c r="R81" s="77" t="str">
        <f>IFERROR(VLOOKUP($H81,TC[],3,FALSE),"NA")</f>
        <v>NA</v>
      </c>
      <c r="S81" s="77" t="str">
        <f>IFERROR(VLOOKUP($H81,TEV[],3,FALSE),"NA")</f>
        <v>NA</v>
      </c>
      <c r="T81" s="79">
        <f>SUM(TbAlquiler[[#This Row],[GENERAL]:[ELEVADOR]])</f>
        <v>0</v>
      </c>
      <c r="U81" s="80">
        <f>IF(VLOOKUP(TbAlquiler[[#This Row],[ITEM]],TbPiezas[],5,FALSE)="NA",0,VLOOKUP(TbAlquiler[[#This Row],[ITEM]],TbPiezas[],5,FALSE))</f>
        <v>18.599999999999994</v>
      </c>
      <c r="V81" s="81">
        <f>+TbAlquiler[[#This Row],[TOTAL]]*TbAlquiler[[#This Row],[P.U. (1)]]</f>
        <v>0</v>
      </c>
      <c r="W81" s="82">
        <f>+VLOOKUP(TbAlquiler[[#This Row],[ITEM]],TbPiezas[],6,FALSE)</f>
        <v>654.70000000000005</v>
      </c>
      <c r="X81" s="83">
        <f>+TbAlquiler[[#This Row],[TOTAL]]*TbAlquiler[[#This Row],[P.U. (2)]]</f>
        <v>0</v>
      </c>
      <c r="Y81" s="82">
        <f>+VLOOKUP(TbAlquiler[[#This Row],[ITEM]],TbPiezas[],7,FALSE)</f>
        <v>32.735000000000007</v>
      </c>
      <c r="Z81" s="84">
        <f>+TbAlquiler[[#This Row],[TOTAL]]*TbAlquiler[[#This Row],[P.U. (3)]]</f>
        <v>0</v>
      </c>
    </row>
    <row r="82" spans="1:26" ht="15" customHeight="1" x14ac:dyDescent="0.3">
      <c r="A82" s="2"/>
      <c r="B82" s="85">
        <v>65</v>
      </c>
      <c r="C82" s="71" t="s">
        <v>131</v>
      </c>
      <c r="D82" s="72" t="s">
        <v>132</v>
      </c>
      <c r="E82" s="73"/>
      <c r="F82" s="74">
        <f>+VLOOKUP(C82,TbAlquiler[],13,FALSE)</f>
        <v>8</v>
      </c>
      <c r="G82" s="2"/>
      <c r="H82" s="75" t="str">
        <f t="shared" ref="H82:H145" si="2">+C82</f>
        <v>AM.6100</v>
      </c>
      <c r="I82" s="59" t="str">
        <f t="shared" ref="I82:I145" si="3">+IF(C82=H82,"ok","mal")</f>
        <v>ok</v>
      </c>
      <c r="J82" s="77">
        <f>IFERROR(VLOOKUP($H82,TG[],3,FALSE),"NA")</f>
        <v>0</v>
      </c>
      <c r="K82" s="77">
        <f>IFERROR(VLOOKUP($H82,TF[],3,FALSE),"NA")</f>
        <v>0</v>
      </c>
      <c r="L82" s="77">
        <f>IFERROR(VLOOKUP($H82,TT[],3,FALSE),"NA")</f>
        <v>8</v>
      </c>
      <c r="M82" s="77">
        <f>IFERROR(VLOOKUP($H82,TES[],3,FALSE),"NA")</f>
        <v>0</v>
      </c>
      <c r="N82" s="77">
        <f>IFERROR(VLOOKUP($H82,TEC[],3,FALSE),"NA")</f>
        <v>0</v>
      </c>
      <c r="O82" s="77" t="str">
        <f>IFERROR(VLOOKUP($H82,TP[],3,FALSE),"NA")</f>
        <v>NA</v>
      </c>
      <c r="P82" s="77" t="str">
        <f>IFERROR(VLOOKUP($H82,TEN[],3,FALSE),"NA")</f>
        <v>NA</v>
      </c>
      <c r="Q82" s="77" t="str">
        <f>IFERROR(VLOOKUP($H82,TD[],3,FALSE),"NA")</f>
        <v>NA</v>
      </c>
      <c r="R82" s="77" t="str">
        <f>IFERROR(VLOOKUP($H82,TC[],3,FALSE),"NA")</f>
        <v>NA</v>
      </c>
      <c r="S82" s="77" t="str">
        <f>IFERROR(VLOOKUP($H82,TEV[],3,FALSE),"NA")</f>
        <v>NA</v>
      </c>
      <c r="T82" s="79">
        <f>SUM(TbAlquiler[[#This Row],[GENERAL]:[ELEVADOR]])</f>
        <v>8</v>
      </c>
      <c r="U82" s="80">
        <f>IF(VLOOKUP(TbAlquiler[[#This Row],[ITEM]],TbPiezas[],5,FALSE)="NA",0,VLOOKUP(TbAlquiler[[#This Row],[ITEM]],TbPiezas[],5,FALSE))</f>
        <v>15.2</v>
      </c>
      <c r="V82" s="81">
        <f>+TbAlquiler[[#This Row],[TOTAL]]*TbAlquiler[[#This Row],[P.U. (1)]]</f>
        <v>121.6</v>
      </c>
      <c r="W82" s="82">
        <f>+VLOOKUP(TbAlquiler[[#This Row],[ITEM]],TbPiezas[],6,FALSE)</f>
        <v>575.04</v>
      </c>
      <c r="X82" s="83">
        <f>+TbAlquiler[[#This Row],[TOTAL]]*TbAlquiler[[#This Row],[P.U. (2)]]</f>
        <v>4600.32</v>
      </c>
      <c r="Y82" s="82">
        <f>+VLOOKUP(TbAlquiler[[#This Row],[ITEM]],TbPiezas[],7,FALSE)</f>
        <v>28.751999999999999</v>
      </c>
      <c r="Z82" s="84">
        <f>+TbAlquiler[[#This Row],[TOTAL]]*TbAlquiler[[#This Row],[P.U. (3)]]</f>
        <v>230.01599999999999</v>
      </c>
    </row>
    <row r="83" spans="1:26" ht="15" customHeight="1" x14ac:dyDescent="0.3">
      <c r="A83" s="2"/>
      <c r="B83" s="85">
        <v>66</v>
      </c>
      <c r="C83" s="71" t="s">
        <v>133</v>
      </c>
      <c r="D83" s="72" t="s">
        <v>134</v>
      </c>
      <c r="E83" s="73"/>
      <c r="F83" s="74">
        <f>+VLOOKUP(C83,TbAlquiler[],13,FALSE)</f>
        <v>0</v>
      </c>
      <c r="G83" s="2"/>
      <c r="H83" s="75" t="str">
        <f t="shared" si="2"/>
        <v>AM.6200</v>
      </c>
      <c r="I83" s="59" t="str">
        <f t="shared" si="3"/>
        <v>ok</v>
      </c>
      <c r="J83" s="77">
        <f>IFERROR(VLOOKUP($H83,TG[],3,FALSE),"NA")</f>
        <v>0</v>
      </c>
      <c r="K83" s="77">
        <f>IFERROR(VLOOKUP($H83,TF[],3,FALSE),"NA")</f>
        <v>0</v>
      </c>
      <c r="L83" s="77">
        <f>IFERROR(VLOOKUP($H83,TT[],3,FALSE),"NA")</f>
        <v>0</v>
      </c>
      <c r="M83" s="77">
        <f>IFERROR(VLOOKUP($H83,TES[],3,FALSE),"NA")</f>
        <v>0</v>
      </c>
      <c r="N83" s="77">
        <f>IFERROR(VLOOKUP($H83,TEC[],3,FALSE),"NA")</f>
        <v>0</v>
      </c>
      <c r="O83" s="77" t="str">
        <f>IFERROR(VLOOKUP($H83,TP[],3,FALSE),"NA")</f>
        <v>NA</v>
      </c>
      <c r="P83" s="77" t="str">
        <f>IFERROR(VLOOKUP($H83,TEN[],3,FALSE),"NA")</f>
        <v>NA</v>
      </c>
      <c r="Q83" s="77" t="str">
        <f>IFERROR(VLOOKUP($H83,TD[],3,FALSE),"NA")</f>
        <v>NA</v>
      </c>
      <c r="R83" s="77" t="str">
        <f>IFERROR(VLOOKUP($H83,TC[],3,FALSE),"NA")</f>
        <v>NA</v>
      </c>
      <c r="S83" s="77" t="str">
        <f>IFERROR(VLOOKUP($H83,TEV[],3,FALSE),"NA")</f>
        <v>NA</v>
      </c>
      <c r="T83" s="79">
        <f>SUM(TbAlquiler[[#This Row],[GENERAL]:[ELEVADOR]])</f>
        <v>0</v>
      </c>
      <c r="U83" s="80">
        <f>IF(VLOOKUP(TbAlquiler[[#This Row],[ITEM]],TbPiezas[],5,FALSE)="NA",0,VLOOKUP(TbAlquiler[[#This Row],[ITEM]],TbPiezas[],5,FALSE))</f>
        <v>11.799999999999997</v>
      </c>
      <c r="V83" s="81">
        <f>+TbAlquiler[[#This Row],[TOTAL]]*TbAlquiler[[#This Row],[P.U. (1)]]</f>
        <v>0</v>
      </c>
      <c r="W83" s="82">
        <f>+VLOOKUP(TbAlquiler[[#This Row],[ITEM]],TbPiezas[],6,FALSE)</f>
        <v>496.07</v>
      </c>
      <c r="X83" s="83">
        <f>+TbAlquiler[[#This Row],[TOTAL]]*TbAlquiler[[#This Row],[P.U. (2)]]</f>
        <v>0</v>
      </c>
      <c r="Y83" s="82">
        <f>+VLOOKUP(TbAlquiler[[#This Row],[ITEM]],TbPiezas[],7,FALSE)</f>
        <v>24.8035</v>
      </c>
      <c r="Z83" s="84">
        <f>+TbAlquiler[[#This Row],[TOTAL]]*TbAlquiler[[#This Row],[P.U. (3)]]</f>
        <v>0</v>
      </c>
    </row>
    <row r="84" spans="1:26" ht="15" customHeight="1" x14ac:dyDescent="0.3">
      <c r="A84" s="2"/>
      <c r="B84" s="85">
        <v>67</v>
      </c>
      <c r="C84" s="71" t="s">
        <v>135</v>
      </c>
      <c r="D84" s="72" t="s">
        <v>136</v>
      </c>
      <c r="E84" s="73"/>
      <c r="F84" s="74">
        <f>+VLOOKUP(C84,TbAlquiler[],13,FALSE)</f>
        <v>0</v>
      </c>
      <c r="G84" s="2"/>
      <c r="H84" s="75" t="str">
        <f t="shared" si="2"/>
        <v>AM.6300</v>
      </c>
      <c r="I84" s="59" t="str">
        <f t="shared" si="3"/>
        <v>ok</v>
      </c>
      <c r="J84" s="77">
        <f>IFERROR(VLOOKUP($H84,TG[],3,FALSE),"NA")</f>
        <v>0</v>
      </c>
      <c r="K84" s="77">
        <f>IFERROR(VLOOKUP($H84,TF[],3,FALSE),"NA")</f>
        <v>0</v>
      </c>
      <c r="L84" s="77">
        <f>IFERROR(VLOOKUP($H84,TT[],3,FALSE),"NA")</f>
        <v>0</v>
      </c>
      <c r="M84" s="77">
        <f>IFERROR(VLOOKUP($H84,TES[],3,FALSE),"NA")</f>
        <v>0</v>
      </c>
      <c r="N84" s="77">
        <f>IFERROR(VLOOKUP($H84,TEC[],3,FALSE),"NA")</f>
        <v>0</v>
      </c>
      <c r="O84" s="77" t="str">
        <f>IFERROR(VLOOKUP($H84,TP[],3,FALSE),"NA")</f>
        <v>NA</v>
      </c>
      <c r="P84" s="77" t="str">
        <f>IFERROR(VLOOKUP($H84,TEN[],3,FALSE),"NA")</f>
        <v>NA</v>
      </c>
      <c r="Q84" s="77" t="str">
        <f>IFERROR(VLOOKUP($H84,TD[],3,FALSE),"NA")</f>
        <v>NA</v>
      </c>
      <c r="R84" s="77" t="str">
        <f>IFERROR(VLOOKUP($H84,TC[],3,FALSE),"NA")</f>
        <v>NA</v>
      </c>
      <c r="S84" s="77" t="str">
        <f>IFERROR(VLOOKUP($H84,TEV[],3,FALSE),"NA")</f>
        <v>NA</v>
      </c>
      <c r="T84" s="79">
        <f>SUM(TbAlquiler[[#This Row],[GENERAL]:[ELEVADOR]])</f>
        <v>0</v>
      </c>
      <c r="U84" s="80">
        <f>IF(VLOOKUP(TbAlquiler[[#This Row],[ITEM]],TbPiezas[],5,FALSE)="NA",0,VLOOKUP(TbAlquiler[[#This Row],[ITEM]],TbPiezas[],5,FALSE))</f>
        <v>9.8999999999999915</v>
      </c>
      <c r="V84" s="81">
        <f>+TbAlquiler[[#This Row],[TOTAL]]*TbAlquiler[[#This Row],[P.U. (1)]]</f>
        <v>0</v>
      </c>
      <c r="W84" s="82">
        <f>+VLOOKUP(TbAlquiler[[#This Row],[ITEM]],TbPiezas[],6,FALSE)</f>
        <v>484.34</v>
      </c>
      <c r="X84" s="83">
        <f>+TbAlquiler[[#This Row],[TOTAL]]*TbAlquiler[[#This Row],[P.U. (2)]]</f>
        <v>0</v>
      </c>
      <c r="Y84" s="82">
        <f>+VLOOKUP(TbAlquiler[[#This Row],[ITEM]],TbPiezas[],7,FALSE)</f>
        <v>24.216999999999999</v>
      </c>
      <c r="Z84" s="84">
        <f>+TbAlquiler[[#This Row],[TOTAL]]*TbAlquiler[[#This Row],[P.U. (3)]]</f>
        <v>0</v>
      </c>
    </row>
    <row r="85" spans="1:26" ht="15" customHeight="1" x14ac:dyDescent="0.3">
      <c r="A85" s="2"/>
      <c r="B85" s="85">
        <v>68</v>
      </c>
      <c r="C85" s="71" t="s">
        <v>137</v>
      </c>
      <c r="D85" s="72" t="s">
        <v>138</v>
      </c>
      <c r="E85" s="73"/>
      <c r="F85" s="74">
        <f>+VLOOKUP(C85,TbAlquiler[],13,FALSE)</f>
        <v>0</v>
      </c>
      <c r="G85" s="2"/>
      <c r="H85" s="75" t="str">
        <f t="shared" si="2"/>
        <v>AM.6400</v>
      </c>
      <c r="I85" s="59" t="str">
        <f t="shared" si="3"/>
        <v>ok</v>
      </c>
      <c r="J85" s="77">
        <f>IFERROR(VLOOKUP($H85,TG[],3,FALSE),"NA")</f>
        <v>0</v>
      </c>
      <c r="K85" s="77">
        <f>IFERROR(VLOOKUP($H85,TF[],3,FALSE),"NA")</f>
        <v>0</v>
      </c>
      <c r="L85" s="77">
        <f>IFERROR(VLOOKUP($H85,TT[],3,FALSE),"NA")</f>
        <v>0</v>
      </c>
      <c r="M85" s="77">
        <f>IFERROR(VLOOKUP($H85,TES[],3,FALSE),"NA")</f>
        <v>0</v>
      </c>
      <c r="N85" s="77">
        <f>IFERROR(VLOOKUP($H85,TEC[],3,FALSE),"NA")</f>
        <v>0</v>
      </c>
      <c r="O85" s="77" t="str">
        <f>IFERROR(VLOOKUP($H85,TP[],3,FALSE),"NA")</f>
        <v>NA</v>
      </c>
      <c r="P85" s="77" t="str">
        <f>IFERROR(VLOOKUP($H85,TEN[],3,FALSE),"NA")</f>
        <v>NA</v>
      </c>
      <c r="Q85" s="77" t="str">
        <f>IFERROR(VLOOKUP($H85,TD[],3,FALSE),"NA")</f>
        <v>NA</v>
      </c>
      <c r="R85" s="77" t="str">
        <f>IFERROR(VLOOKUP($H85,TC[],3,FALSE),"NA")</f>
        <v>NA</v>
      </c>
      <c r="S85" s="77" t="str">
        <f>IFERROR(VLOOKUP($H85,TEV[],3,FALSE),"NA")</f>
        <v>NA</v>
      </c>
      <c r="T85" s="79">
        <f>SUM(TbAlquiler[[#This Row],[GENERAL]:[ELEVADOR]])</f>
        <v>0</v>
      </c>
      <c r="U85" s="80">
        <f>IF(VLOOKUP(TbAlquiler[[#This Row],[ITEM]],TbPiezas[],5,FALSE)="NA",0,VLOOKUP(TbAlquiler[[#This Row],[ITEM]],TbPiezas[],5,FALSE))</f>
        <v>5.7999999999999972</v>
      </c>
      <c r="V85" s="81">
        <f>+TbAlquiler[[#This Row],[TOTAL]]*TbAlquiler[[#This Row],[P.U. (1)]]</f>
        <v>0</v>
      </c>
      <c r="W85" s="82">
        <f>+VLOOKUP(TbAlquiler[[#This Row],[ITEM]],TbPiezas[],6,FALSE)</f>
        <v>452.11</v>
      </c>
      <c r="X85" s="83">
        <f>+TbAlquiler[[#This Row],[TOTAL]]*TbAlquiler[[#This Row],[P.U. (2)]]</f>
        <v>0</v>
      </c>
      <c r="Y85" s="82">
        <f>+VLOOKUP(TbAlquiler[[#This Row],[ITEM]],TbPiezas[],7,FALSE)</f>
        <v>22.605500000000003</v>
      </c>
      <c r="Z85" s="84">
        <f>+TbAlquiler[[#This Row],[TOTAL]]*TbAlquiler[[#This Row],[P.U. (3)]]</f>
        <v>0</v>
      </c>
    </row>
    <row r="86" spans="1:26" ht="15" customHeight="1" x14ac:dyDescent="0.3">
      <c r="A86" s="2"/>
      <c r="B86" s="85">
        <v>69</v>
      </c>
      <c r="C86" s="71" t="s">
        <v>139</v>
      </c>
      <c r="D86" s="72" t="s">
        <v>140</v>
      </c>
      <c r="E86" s="73"/>
      <c r="F86" s="74">
        <f>+VLOOKUP(C86,TbAlquiler[],13,FALSE)</f>
        <v>0</v>
      </c>
      <c r="G86" s="2"/>
      <c r="H86" s="75" t="str">
        <f t="shared" si="2"/>
        <v>AM.6500</v>
      </c>
      <c r="I86" s="59" t="str">
        <f t="shared" si="3"/>
        <v>ok</v>
      </c>
      <c r="J86" s="77">
        <f>IFERROR(VLOOKUP($H86,TG[],3,FALSE),"NA")</f>
        <v>0</v>
      </c>
      <c r="K86" s="77">
        <f>IFERROR(VLOOKUP($H86,TF[],3,FALSE),"NA")</f>
        <v>0</v>
      </c>
      <c r="L86" s="77">
        <f>IFERROR(VLOOKUP($H86,TT[],3,FALSE),"NA")</f>
        <v>0</v>
      </c>
      <c r="M86" s="77">
        <f>IFERROR(VLOOKUP($H86,TES[],3,FALSE),"NA")</f>
        <v>0</v>
      </c>
      <c r="N86" s="77">
        <f>IFERROR(VLOOKUP($H86,TEC[],3,FALSE),"NA")</f>
        <v>0</v>
      </c>
      <c r="O86" s="77" t="str">
        <f>IFERROR(VLOOKUP($H86,TP[],3,FALSE),"NA")</f>
        <v>NA</v>
      </c>
      <c r="P86" s="77" t="str">
        <f>IFERROR(VLOOKUP($H86,TEN[],3,FALSE),"NA")</f>
        <v>NA</v>
      </c>
      <c r="Q86" s="77" t="str">
        <f>IFERROR(VLOOKUP($H86,TD[],3,FALSE),"NA")</f>
        <v>NA</v>
      </c>
      <c r="R86" s="77" t="str">
        <f>IFERROR(VLOOKUP($H86,TC[],3,FALSE),"NA")</f>
        <v>NA</v>
      </c>
      <c r="S86" s="77" t="str">
        <f>IFERROR(VLOOKUP($H86,TEV[],3,FALSE),"NA")</f>
        <v>NA</v>
      </c>
      <c r="T86" s="79">
        <f>SUM(TbAlquiler[[#This Row],[GENERAL]:[ELEVADOR]])</f>
        <v>0</v>
      </c>
      <c r="U86" s="80">
        <f>IF(VLOOKUP(TbAlquiler[[#This Row],[ITEM]],TbPiezas[],5,FALSE)="NA",0,VLOOKUP(TbAlquiler[[#This Row],[ITEM]],TbPiezas[],5,FALSE))</f>
        <v>5.0999999999999943</v>
      </c>
      <c r="V86" s="81">
        <f>+TbAlquiler[[#This Row],[TOTAL]]*TbAlquiler[[#This Row],[P.U. (1)]]</f>
        <v>0</v>
      </c>
      <c r="W86" s="82">
        <f>+VLOOKUP(TbAlquiler[[#This Row],[ITEM]],TbPiezas[],6,FALSE)</f>
        <v>408.3</v>
      </c>
      <c r="X86" s="83">
        <f>+TbAlquiler[[#This Row],[TOTAL]]*TbAlquiler[[#This Row],[P.U. (2)]]</f>
        <v>0</v>
      </c>
      <c r="Y86" s="82">
        <f>+VLOOKUP(TbAlquiler[[#This Row],[ITEM]],TbPiezas[],7,FALSE)</f>
        <v>20.415000000000003</v>
      </c>
      <c r="Z86" s="84">
        <f>+TbAlquiler[[#This Row],[TOTAL]]*TbAlquiler[[#This Row],[P.U. (3)]]</f>
        <v>0</v>
      </c>
    </row>
    <row r="87" spans="1:26" ht="15" customHeight="1" x14ac:dyDescent="0.3">
      <c r="A87" s="2"/>
      <c r="B87" s="85">
        <v>70</v>
      </c>
      <c r="C87" s="71" t="s">
        <v>141</v>
      </c>
      <c r="D87" s="72" t="s">
        <v>142</v>
      </c>
      <c r="E87" s="73"/>
      <c r="F87" s="74">
        <f>+VLOOKUP(C87,TbAlquiler[],13,FALSE)</f>
        <v>0</v>
      </c>
      <c r="G87" s="2"/>
      <c r="H87" s="75" t="str">
        <f t="shared" si="2"/>
        <v>AM.6600</v>
      </c>
      <c r="I87" s="59" t="str">
        <f t="shared" si="3"/>
        <v>ok</v>
      </c>
      <c r="J87" s="77">
        <f>IFERROR(VLOOKUP($H87,TG[],3,FALSE),"NA")</f>
        <v>0</v>
      </c>
      <c r="K87" s="77">
        <f>IFERROR(VLOOKUP($H87,TF[],3,FALSE),"NA")</f>
        <v>0</v>
      </c>
      <c r="L87" s="77">
        <f>IFERROR(VLOOKUP($H87,TT[],3,FALSE),"NA")</f>
        <v>0</v>
      </c>
      <c r="M87" s="77">
        <f>IFERROR(VLOOKUP($H87,TES[],3,FALSE),"NA")</f>
        <v>0</v>
      </c>
      <c r="N87" s="77">
        <f>IFERROR(VLOOKUP($H87,TEC[],3,FALSE),"NA")</f>
        <v>0</v>
      </c>
      <c r="O87" s="77" t="str">
        <f>IFERROR(VLOOKUP($H87,TP[],3,FALSE),"NA")</f>
        <v>NA</v>
      </c>
      <c r="P87" s="77" t="str">
        <f>IFERROR(VLOOKUP($H87,TEN[],3,FALSE),"NA")</f>
        <v>NA</v>
      </c>
      <c r="Q87" s="77" t="str">
        <f>IFERROR(VLOOKUP($H87,TD[],3,FALSE),"NA")</f>
        <v>NA</v>
      </c>
      <c r="R87" s="77" t="str">
        <f>IFERROR(VLOOKUP($H87,TC[],3,FALSE),"NA")</f>
        <v>NA</v>
      </c>
      <c r="S87" s="77" t="str">
        <f>IFERROR(VLOOKUP($H87,TEV[],3,FALSE),"NA")</f>
        <v>NA</v>
      </c>
      <c r="T87" s="79">
        <f>SUM(TbAlquiler[[#This Row],[GENERAL]:[ELEVADOR]])</f>
        <v>0</v>
      </c>
      <c r="U87" s="80">
        <f>IF(VLOOKUP(TbAlquiler[[#This Row],[ITEM]],TbPiezas[],5,FALSE)="NA",0,VLOOKUP(TbAlquiler[[#This Row],[ITEM]],TbPiezas[],5,FALSE))</f>
        <v>24</v>
      </c>
      <c r="V87" s="81">
        <f>+TbAlquiler[[#This Row],[TOTAL]]*TbAlquiler[[#This Row],[P.U. (1)]]</f>
        <v>0</v>
      </c>
      <c r="W87" s="82">
        <f>+VLOOKUP(TbAlquiler[[#This Row],[ITEM]],TbPiezas[],6,FALSE)</f>
        <v>654.70000000000005</v>
      </c>
      <c r="X87" s="83">
        <f>+TbAlquiler[[#This Row],[TOTAL]]*TbAlquiler[[#This Row],[P.U. (2)]]</f>
        <v>0</v>
      </c>
      <c r="Y87" s="82">
        <f>+VLOOKUP(TbAlquiler[[#This Row],[ITEM]],TbPiezas[],7,FALSE)</f>
        <v>32.735000000000007</v>
      </c>
      <c r="Z87" s="84">
        <f>+TbAlquiler[[#This Row],[TOTAL]]*TbAlquiler[[#This Row],[P.U. (3)]]</f>
        <v>0</v>
      </c>
    </row>
    <row r="88" spans="1:26" ht="15" customHeight="1" x14ac:dyDescent="0.3">
      <c r="A88" s="2"/>
      <c r="B88" s="85">
        <v>71</v>
      </c>
      <c r="C88" s="71" t="s">
        <v>143</v>
      </c>
      <c r="D88" s="72" t="s">
        <v>144</v>
      </c>
      <c r="E88" s="73"/>
      <c r="F88" s="74">
        <f>+VLOOKUP(C88,TbAlquiler[],13,FALSE)</f>
        <v>0</v>
      </c>
      <c r="G88" s="2"/>
      <c r="H88" s="75" t="str">
        <f t="shared" si="2"/>
        <v>AM.6700</v>
      </c>
      <c r="I88" s="59" t="str">
        <f t="shared" si="3"/>
        <v>ok</v>
      </c>
      <c r="J88" s="77">
        <f>IFERROR(VLOOKUP($H88,TG[],3,FALSE),"NA")</f>
        <v>0</v>
      </c>
      <c r="K88" s="77">
        <f>IFERROR(VLOOKUP($H88,TF[],3,FALSE),"NA")</f>
        <v>0</v>
      </c>
      <c r="L88" s="77">
        <f>IFERROR(VLOOKUP($H88,TT[],3,FALSE),"NA")</f>
        <v>0</v>
      </c>
      <c r="M88" s="77">
        <f>IFERROR(VLOOKUP($H88,TES[],3,FALSE),"NA")</f>
        <v>0</v>
      </c>
      <c r="N88" s="77">
        <f>IFERROR(VLOOKUP($H88,TEC[],3,FALSE),"NA")</f>
        <v>0</v>
      </c>
      <c r="O88" s="77" t="str">
        <f>IFERROR(VLOOKUP($H88,TP[],3,FALSE),"NA")</f>
        <v>NA</v>
      </c>
      <c r="P88" s="77" t="str">
        <f>IFERROR(VLOOKUP($H88,TEN[],3,FALSE),"NA")</f>
        <v>NA</v>
      </c>
      <c r="Q88" s="77" t="str">
        <f>IFERROR(VLOOKUP($H88,TD[],3,FALSE),"NA")</f>
        <v>NA</v>
      </c>
      <c r="R88" s="77" t="str">
        <f>IFERROR(VLOOKUP($H88,TC[],3,FALSE),"NA")</f>
        <v>NA</v>
      </c>
      <c r="S88" s="77" t="str">
        <f>IFERROR(VLOOKUP($H88,TEV[],3,FALSE),"NA")</f>
        <v>NA</v>
      </c>
      <c r="T88" s="79">
        <f>SUM(TbAlquiler[[#This Row],[GENERAL]:[ELEVADOR]])</f>
        <v>0</v>
      </c>
      <c r="U88" s="80">
        <f>IF(VLOOKUP(TbAlquiler[[#This Row],[ITEM]],TbPiezas[],5,FALSE)="NA",0,VLOOKUP(TbAlquiler[[#This Row],[ITEM]],TbPiezas[],5,FALSE))</f>
        <v>19.700000000000003</v>
      </c>
      <c r="V88" s="81">
        <f>+TbAlquiler[[#This Row],[TOTAL]]*TbAlquiler[[#This Row],[P.U. (1)]]</f>
        <v>0</v>
      </c>
      <c r="W88" s="82">
        <f>+VLOOKUP(TbAlquiler[[#This Row],[ITEM]],TbPiezas[],6,FALSE)</f>
        <v>575.04</v>
      </c>
      <c r="X88" s="83">
        <f>+TbAlquiler[[#This Row],[TOTAL]]*TbAlquiler[[#This Row],[P.U. (2)]]</f>
        <v>0</v>
      </c>
      <c r="Y88" s="82">
        <f>+VLOOKUP(TbAlquiler[[#This Row],[ITEM]],TbPiezas[],7,FALSE)</f>
        <v>28.751999999999999</v>
      </c>
      <c r="Z88" s="84">
        <f>+TbAlquiler[[#This Row],[TOTAL]]*TbAlquiler[[#This Row],[P.U. (3)]]</f>
        <v>0</v>
      </c>
    </row>
    <row r="89" spans="1:26" ht="15" customHeight="1" x14ac:dyDescent="0.3">
      <c r="A89" s="2"/>
      <c r="B89" s="85">
        <v>72</v>
      </c>
      <c r="C89" s="71" t="s">
        <v>145</v>
      </c>
      <c r="D89" s="72" t="s">
        <v>146</v>
      </c>
      <c r="E89" s="73"/>
      <c r="F89" s="74">
        <f>+VLOOKUP(C89,TbAlquiler[],13,FALSE)</f>
        <v>0</v>
      </c>
      <c r="G89" s="2"/>
      <c r="H89" s="75" t="str">
        <f t="shared" si="2"/>
        <v>AM.6800</v>
      </c>
      <c r="I89" s="59" t="str">
        <f t="shared" si="3"/>
        <v>ok</v>
      </c>
      <c r="J89" s="77">
        <f>IFERROR(VLOOKUP($H89,TG[],3,FALSE),"NA")</f>
        <v>0</v>
      </c>
      <c r="K89" s="77">
        <f>IFERROR(VLOOKUP($H89,TF[],3,FALSE),"NA")</f>
        <v>0</v>
      </c>
      <c r="L89" s="77">
        <f>IFERROR(VLOOKUP($H89,TT[],3,FALSE),"NA")</f>
        <v>0</v>
      </c>
      <c r="M89" s="77">
        <f>IFERROR(VLOOKUP($H89,TES[],3,FALSE),"NA")</f>
        <v>0</v>
      </c>
      <c r="N89" s="77">
        <f>IFERROR(VLOOKUP($H89,TEC[],3,FALSE),"NA")</f>
        <v>0</v>
      </c>
      <c r="O89" s="77" t="str">
        <f>IFERROR(VLOOKUP($H89,TP[],3,FALSE),"NA")</f>
        <v>NA</v>
      </c>
      <c r="P89" s="77" t="str">
        <f>IFERROR(VLOOKUP($H89,TEN[],3,FALSE),"NA")</f>
        <v>NA</v>
      </c>
      <c r="Q89" s="77" t="str">
        <f>IFERROR(VLOOKUP($H89,TD[],3,FALSE),"NA")</f>
        <v>NA</v>
      </c>
      <c r="R89" s="77" t="str">
        <f>IFERROR(VLOOKUP($H89,TC[],3,FALSE),"NA")</f>
        <v>NA</v>
      </c>
      <c r="S89" s="77" t="str">
        <f>IFERROR(VLOOKUP($H89,TEV[],3,FALSE),"NA")</f>
        <v>NA</v>
      </c>
      <c r="T89" s="79">
        <f>SUM(TbAlquiler[[#This Row],[GENERAL]:[ELEVADOR]])</f>
        <v>0</v>
      </c>
      <c r="U89" s="80">
        <f>IF(VLOOKUP(TbAlquiler[[#This Row],[ITEM]],TbPiezas[],5,FALSE)="NA",0,VLOOKUP(TbAlquiler[[#This Row],[ITEM]],TbPiezas[],5,FALSE))</f>
        <v>17.700000000000003</v>
      </c>
      <c r="V89" s="81">
        <f>+TbAlquiler[[#This Row],[TOTAL]]*TbAlquiler[[#This Row],[P.U. (1)]]</f>
        <v>0</v>
      </c>
      <c r="W89" s="82">
        <f>+VLOOKUP(TbAlquiler[[#This Row],[ITEM]],TbPiezas[],6,FALSE)</f>
        <v>496.07</v>
      </c>
      <c r="X89" s="83">
        <f>+TbAlquiler[[#This Row],[TOTAL]]*TbAlquiler[[#This Row],[P.U. (2)]]</f>
        <v>0</v>
      </c>
      <c r="Y89" s="82">
        <f>+VLOOKUP(TbAlquiler[[#This Row],[ITEM]],TbPiezas[],7,FALSE)</f>
        <v>24.8035</v>
      </c>
      <c r="Z89" s="84">
        <f>+TbAlquiler[[#This Row],[TOTAL]]*TbAlquiler[[#This Row],[P.U. (3)]]</f>
        <v>0</v>
      </c>
    </row>
    <row r="90" spans="1:26" ht="15" customHeight="1" x14ac:dyDescent="0.3">
      <c r="A90" s="2"/>
      <c r="B90" s="85">
        <v>73</v>
      </c>
      <c r="C90" s="71" t="s">
        <v>147</v>
      </c>
      <c r="D90" s="72" t="s">
        <v>148</v>
      </c>
      <c r="E90" s="73"/>
      <c r="F90" s="74">
        <f>+VLOOKUP(C90,TbAlquiler[],13,FALSE)</f>
        <v>0</v>
      </c>
      <c r="G90" s="2"/>
      <c r="H90" s="75" t="str">
        <f t="shared" si="2"/>
        <v>AM.6900</v>
      </c>
      <c r="I90" s="59" t="str">
        <f t="shared" si="3"/>
        <v>ok</v>
      </c>
      <c r="J90" s="77">
        <f>IFERROR(VLOOKUP($H90,TG[],3,FALSE),"NA")</f>
        <v>0</v>
      </c>
      <c r="K90" s="77">
        <f>IFERROR(VLOOKUP($H90,TF[],3,FALSE),"NA")</f>
        <v>0</v>
      </c>
      <c r="L90" s="77">
        <f>IFERROR(VLOOKUP($H90,TT[],3,FALSE),"NA")</f>
        <v>0</v>
      </c>
      <c r="M90" s="77">
        <f>IFERROR(VLOOKUP($H90,TES[],3,FALSE),"NA")</f>
        <v>0</v>
      </c>
      <c r="N90" s="77">
        <f>IFERROR(VLOOKUP($H90,TEC[],3,FALSE),"NA")</f>
        <v>0</v>
      </c>
      <c r="O90" s="77" t="str">
        <f>IFERROR(VLOOKUP($H90,TP[],3,FALSE),"NA")</f>
        <v>NA</v>
      </c>
      <c r="P90" s="77" t="str">
        <f>IFERROR(VLOOKUP($H90,TEN[],3,FALSE),"NA")</f>
        <v>NA</v>
      </c>
      <c r="Q90" s="77" t="str">
        <f>IFERROR(VLOOKUP($H90,TD[],3,FALSE),"NA")</f>
        <v>NA</v>
      </c>
      <c r="R90" s="77" t="str">
        <f>IFERROR(VLOOKUP($H90,TC[],3,FALSE),"NA")</f>
        <v>NA</v>
      </c>
      <c r="S90" s="77" t="str">
        <f>IFERROR(VLOOKUP($H90,TEV[],3,FALSE),"NA")</f>
        <v>NA</v>
      </c>
      <c r="T90" s="79">
        <f>SUM(TbAlquiler[[#This Row],[GENERAL]:[ELEVADOR]])</f>
        <v>0</v>
      </c>
      <c r="U90" s="80">
        <f>IF(VLOOKUP(TbAlquiler[[#This Row],[ITEM]],TbPiezas[],5,FALSE)="NA",0,VLOOKUP(TbAlquiler[[#This Row],[ITEM]],TbPiezas[],5,FALSE))</f>
        <v>12.200000000000003</v>
      </c>
      <c r="V90" s="81">
        <f>+TbAlquiler[[#This Row],[TOTAL]]*TbAlquiler[[#This Row],[P.U. (1)]]</f>
        <v>0</v>
      </c>
      <c r="W90" s="82">
        <f>+VLOOKUP(TbAlquiler[[#This Row],[ITEM]],TbPiezas[],6,FALSE)</f>
        <v>484.34</v>
      </c>
      <c r="X90" s="83">
        <f>+TbAlquiler[[#This Row],[TOTAL]]*TbAlquiler[[#This Row],[P.U. (2)]]</f>
        <v>0</v>
      </c>
      <c r="Y90" s="82">
        <f>+VLOOKUP(TbAlquiler[[#This Row],[ITEM]],TbPiezas[],7,FALSE)</f>
        <v>24.216999999999999</v>
      </c>
      <c r="Z90" s="84">
        <f>+TbAlquiler[[#This Row],[TOTAL]]*TbAlquiler[[#This Row],[P.U. (3)]]</f>
        <v>0</v>
      </c>
    </row>
    <row r="91" spans="1:26" ht="15" customHeight="1" x14ac:dyDescent="0.3">
      <c r="A91" s="2"/>
      <c r="B91" s="85">
        <v>74</v>
      </c>
      <c r="C91" s="71" t="s">
        <v>149</v>
      </c>
      <c r="D91" s="72" t="s">
        <v>150</v>
      </c>
      <c r="E91" s="73"/>
      <c r="F91" s="74">
        <f>+VLOOKUP(C91,TbAlquiler[],13,FALSE)</f>
        <v>0</v>
      </c>
      <c r="G91" s="2"/>
      <c r="H91" s="75" t="str">
        <f t="shared" si="2"/>
        <v>AM.7000</v>
      </c>
      <c r="I91" s="59" t="str">
        <f t="shared" si="3"/>
        <v>ok</v>
      </c>
      <c r="J91" s="77">
        <f>IFERROR(VLOOKUP($H91,TG[],3,FALSE),"NA")</f>
        <v>0</v>
      </c>
      <c r="K91" s="77">
        <f>IFERROR(VLOOKUP($H91,TF[],3,FALSE),"NA")</f>
        <v>0</v>
      </c>
      <c r="L91" s="77">
        <f>IFERROR(VLOOKUP($H91,TT[],3,FALSE),"NA")</f>
        <v>0</v>
      </c>
      <c r="M91" s="77">
        <f>IFERROR(VLOOKUP($H91,TES[],3,FALSE),"NA")</f>
        <v>0</v>
      </c>
      <c r="N91" s="77">
        <f>IFERROR(VLOOKUP($H91,TEC[],3,FALSE),"NA")</f>
        <v>0</v>
      </c>
      <c r="O91" s="77" t="str">
        <f>IFERROR(VLOOKUP($H91,TP[],3,FALSE),"NA")</f>
        <v>NA</v>
      </c>
      <c r="P91" s="77" t="str">
        <f>IFERROR(VLOOKUP($H91,TEN[],3,FALSE),"NA")</f>
        <v>NA</v>
      </c>
      <c r="Q91" s="77" t="str">
        <f>IFERROR(VLOOKUP($H91,TD[],3,FALSE),"NA")</f>
        <v>NA</v>
      </c>
      <c r="R91" s="77" t="str">
        <f>IFERROR(VLOOKUP($H91,TC[],3,FALSE),"NA")</f>
        <v>NA</v>
      </c>
      <c r="S91" s="77" t="str">
        <f>IFERROR(VLOOKUP($H91,TEV[],3,FALSE),"NA")</f>
        <v>NA</v>
      </c>
      <c r="T91" s="79">
        <f>SUM(TbAlquiler[[#This Row],[GENERAL]:[ELEVADOR]])</f>
        <v>0</v>
      </c>
      <c r="U91" s="80">
        <f>IF(VLOOKUP(TbAlquiler[[#This Row],[ITEM]],TbPiezas[],5,FALSE)="NA",0,VLOOKUP(TbAlquiler[[#This Row],[ITEM]],TbPiezas[],5,FALSE))</f>
        <v>10.399999999999991</v>
      </c>
      <c r="V91" s="81">
        <f>+TbAlquiler[[#This Row],[TOTAL]]*TbAlquiler[[#This Row],[P.U. (1)]]</f>
        <v>0</v>
      </c>
      <c r="W91" s="82">
        <f>+VLOOKUP(TbAlquiler[[#This Row],[ITEM]],TbPiezas[],6,FALSE)</f>
        <v>452.11</v>
      </c>
      <c r="X91" s="83">
        <f>+TbAlquiler[[#This Row],[TOTAL]]*TbAlquiler[[#This Row],[P.U. (2)]]</f>
        <v>0</v>
      </c>
      <c r="Y91" s="82">
        <f>+VLOOKUP(TbAlquiler[[#This Row],[ITEM]],TbPiezas[],7,FALSE)</f>
        <v>22.605500000000003</v>
      </c>
      <c r="Z91" s="84">
        <f>+TbAlquiler[[#This Row],[TOTAL]]*TbAlquiler[[#This Row],[P.U. (3)]]</f>
        <v>0</v>
      </c>
    </row>
    <row r="92" spans="1:26" ht="15" customHeight="1" x14ac:dyDescent="0.3">
      <c r="A92" s="2"/>
      <c r="B92" s="85">
        <v>75</v>
      </c>
      <c r="C92" s="71" t="s">
        <v>151</v>
      </c>
      <c r="D92" s="72" t="s">
        <v>152</v>
      </c>
      <c r="E92" s="73"/>
      <c r="F92" s="74">
        <f>+VLOOKUP(C92,TbAlquiler[],13,FALSE)</f>
        <v>0</v>
      </c>
      <c r="G92" s="2"/>
      <c r="H92" s="75" t="str">
        <f t="shared" si="2"/>
        <v>AM.7100</v>
      </c>
      <c r="I92" s="59" t="str">
        <f t="shared" si="3"/>
        <v>ok</v>
      </c>
      <c r="J92" s="77">
        <f>IFERROR(VLOOKUP($H92,TG[],3,FALSE),"NA")</f>
        <v>0</v>
      </c>
      <c r="K92" s="77">
        <f>IFERROR(VLOOKUP($H92,TF[],3,FALSE),"NA")</f>
        <v>0</v>
      </c>
      <c r="L92" s="77">
        <f>IFERROR(VLOOKUP($H92,TT[],3,FALSE),"NA")</f>
        <v>0</v>
      </c>
      <c r="M92" s="77">
        <f>IFERROR(VLOOKUP($H92,TES[],3,FALSE),"NA")</f>
        <v>0</v>
      </c>
      <c r="N92" s="77">
        <f>IFERROR(VLOOKUP($H92,TEC[],3,FALSE),"NA")</f>
        <v>0</v>
      </c>
      <c r="O92" s="77" t="str">
        <f>IFERROR(VLOOKUP($H92,TP[],3,FALSE),"NA")</f>
        <v>NA</v>
      </c>
      <c r="P92" s="77" t="str">
        <f>IFERROR(VLOOKUP($H92,TEN[],3,FALSE),"NA")</f>
        <v>NA</v>
      </c>
      <c r="Q92" s="77" t="str">
        <f>IFERROR(VLOOKUP($H92,TD[],3,FALSE),"NA")</f>
        <v>NA</v>
      </c>
      <c r="R92" s="77" t="str">
        <f>IFERROR(VLOOKUP($H92,TC[],3,FALSE),"NA")</f>
        <v>NA</v>
      </c>
      <c r="S92" s="77" t="str">
        <f>IFERROR(VLOOKUP($H92,TEV[],3,FALSE),"NA")</f>
        <v>NA</v>
      </c>
      <c r="T92" s="79">
        <f>SUM(TbAlquiler[[#This Row],[GENERAL]:[ELEVADOR]])</f>
        <v>0</v>
      </c>
      <c r="U92" s="80">
        <f>IF(VLOOKUP(TbAlquiler[[#This Row],[ITEM]],TbPiezas[],5,FALSE)="NA",0,VLOOKUP(TbAlquiler[[#This Row],[ITEM]],TbPiezas[],5,FALSE))</f>
        <v>7.9000000000000057</v>
      </c>
      <c r="V92" s="81">
        <f>+TbAlquiler[[#This Row],[TOTAL]]*TbAlquiler[[#This Row],[P.U. (1)]]</f>
        <v>0</v>
      </c>
      <c r="W92" s="82">
        <f>+VLOOKUP(TbAlquiler[[#This Row],[ITEM]],TbPiezas[],6,FALSE)</f>
        <v>408.3</v>
      </c>
      <c r="X92" s="83">
        <f>+TbAlquiler[[#This Row],[TOTAL]]*TbAlquiler[[#This Row],[P.U. (2)]]</f>
        <v>0</v>
      </c>
      <c r="Y92" s="82">
        <f>+VLOOKUP(TbAlquiler[[#This Row],[ITEM]],TbPiezas[],7,FALSE)</f>
        <v>20.415000000000003</v>
      </c>
      <c r="Z92" s="84">
        <f>+TbAlquiler[[#This Row],[TOTAL]]*TbAlquiler[[#This Row],[P.U. (3)]]</f>
        <v>0</v>
      </c>
    </row>
    <row r="93" spans="1:26" ht="15" customHeight="1" x14ac:dyDescent="0.3">
      <c r="A93" s="2"/>
      <c r="B93" s="85">
        <v>76</v>
      </c>
      <c r="C93" s="71" t="s">
        <v>153</v>
      </c>
      <c r="D93" s="72" t="s">
        <v>154</v>
      </c>
      <c r="E93" s="73"/>
      <c r="F93" s="74">
        <f>+VLOOKUP(C93,TbAlquiler[],13,FALSE)</f>
        <v>0</v>
      </c>
      <c r="G93" s="2"/>
      <c r="H93" s="75" t="str">
        <f t="shared" si="2"/>
        <v>AM.7200</v>
      </c>
      <c r="I93" s="59" t="str">
        <f t="shared" si="3"/>
        <v>ok</v>
      </c>
      <c r="J93" s="77">
        <f>IFERROR(VLOOKUP($H93,TG[],3,FALSE),"NA")</f>
        <v>0</v>
      </c>
      <c r="K93" s="77">
        <f>IFERROR(VLOOKUP($H93,TF[],3,FALSE),"NA")</f>
        <v>0</v>
      </c>
      <c r="L93" s="77">
        <f>IFERROR(VLOOKUP($H93,TT[],3,FALSE),"NA")</f>
        <v>0</v>
      </c>
      <c r="M93" s="77">
        <f>IFERROR(VLOOKUP($H93,TES[],3,FALSE),"NA")</f>
        <v>0</v>
      </c>
      <c r="N93" s="77">
        <f>IFERROR(VLOOKUP($H93,TEC[],3,FALSE),"NA")</f>
        <v>0</v>
      </c>
      <c r="O93" s="77" t="str">
        <f>IFERROR(VLOOKUP($H93,TP[],3,FALSE),"NA")</f>
        <v>NA</v>
      </c>
      <c r="P93" s="77" t="str">
        <f>IFERROR(VLOOKUP($H93,TEN[],3,FALSE),"NA")</f>
        <v>NA</v>
      </c>
      <c r="Q93" s="77" t="str">
        <f>IFERROR(VLOOKUP($H93,TD[],3,FALSE),"NA")</f>
        <v>NA</v>
      </c>
      <c r="R93" s="77" t="str">
        <f>IFERROR(VLOOKUP($H93,TC[],3,FALSE),"NA")</f>
        <v>NA</v>
      </c>
      <c r="S93" s="77" t="str">
        <f>IFERROR(VLOOKUP($H93,TEV[],3,FALSE),"NA")</f>
        <v>NA</v>
      </c>
      <c r="T93" s="79">
        <f>SUM(TbAlquiler[[#This Row],[GENERAL]:[ELEVADOR]])</f>
        <v>0</v>
      </c>
      <c r="U93" s="80">
        <f>IF(VLOOKUP(TbAlquiler[[#This Row],[ITEM]],TbPiezas[],5,FALSE)="NA",0,VLOOKUP(TbAlquiler[[#This Row],[ITEM]],TbPiezas[],5,FALSE))</f>
        <v>17.799999999999997</v>
      </c>
      <c r="V93" s="81">
        <f>+TbAlquiler[[#This Row],[TOTAL]]*TbAlquiler[[#This Row],[P.U. (1)]]</f>
        <v>0</v>
      </c>
      <c r="W93" s="82">
        <f>+VLOOKUP(TbAlquiler[[#This Row],[ITEM]],TbPiezas[],6,FALSE)</f>
        <v>654.70000000000005</v>
      </c>
      <c r="X93" s="83">
        <f>+TbAlquiler[[#This Row],[TOTAL]]*TbAlquiler[[#This Row],[P.U. (2)]]</f>
        <v>0</v>
      </c>
      <c r="Y93" s="82">
        <f>+VLOOKUP(TbAlquiler[[#This Row],[ITEM]],TbPiezas[],7,FALSE)</f>
        <v>32.735000000000007</v>
      </c>
      <c r="Z93" s="84">
        <f>+TbAlquiler[[#This Row],[TOTAL]]*TbAlquiler[[#This Row],[P.U. (3)]]</f>
        <v>0</v>
      </c>
    </row>
    <row r="94" spans="1:26" ht="15" customHeight="1" x14ac:dyDescent="0.3">
      <c r="A94" s="2"/>
      <c r="B94" s="85">
        <v>77</v>
      </c>
      <c r="C94" s="71" t="s">
        <v>155</v>
      </c>
      <c r="D94" s="72" t="s">
        <v>156</v>
      </c>
      <c r="E94" s="73"/>
      <c r="F94" s="74">
        <f>+VLOOKUP(C94,TbAlquiler[],13,FALSE)</f>
        <v>0</v>
      </c>
      <c r="G94" s="2"/>
      <c r="H94" s="75" t="str">
        <f t="shared" si="2"/>
        <v>AM.7300</v>
      </c>
      <c r="I94" s="59" t="str">
        <f t="shared" si="3"/>
        <v>ok</v>
      </c>
      <c r="J94" s="77">
        <f>IFERROR(VLOOKUP($H94,TG[],3,FALSE),"NA")</f>
        <v>0</v>
      </c>
      <c r="K94" s="77">
        <f>IFERROR(VLOOKUP($H94,TF[],3,FALSE),"NA")</f>
        <v>0</v>
      </c>
      <c r="L94" s="77">
        <f>IFERROR(VLOOKUP($H94,TT[],3,FALSE),"NA")</f>
        <v>0</v>
      </c>
      <c r="M94" s="77">
        <f>IFERROR(VLOOKUP($H94,TES[],3,FALSE),"NA")</f>
        <v>0</v>
      </c>
      <c r="N94" s="77">
        <f>IFERROR(VLOOKUP($H94,TEC[],3,FALSE),"NA")</f>
        <v>0</v>
      </c>
      <c r="O94" s="77" t="str">
        <f>IFERROR(VLOOKUP($H94,TP[],3,FALSE),"NA")</f>
        <v>NA</v>
      </c>
      <c r="P94" s="77" t="str">
        <f>IFERROR(VLOOKUP($H94,TEN[],3,FALSE),"NA")</f>
        <v>NA</v>
      </c>
      <c r="Q94" s="77" t="str">
        <f>IFERROR(VLOOKUP($H94,TD[],3,FALSE),"NA")</f>
        <v>NA</v>
      </c>
      <c r="R94" s="77" t="str">
        <f>IFERROR(VLOOKUP($H94,TC[],3,FALSE),"NA")</f>
        <v>NA</v>
      </c>
      <c r="S94" s="77" t="str">
        <f>IFERROR(VLOOKUP($H94,TEV[],3,FALSE),"NA")</f>
        <v>NA</v>
      </c>
      <c r="T94" s="79">
        <f>SUM(TbAlquiler[[#This Row],[GENERAL]:[ELEVADOR]])</f>
        <v>0</v>
      </c>
      <c r="U94" s="80">
        <f>IF(VLOOKUP(TbAlquiler[[#This Row],[ITEM]],TbPiezas[],5,FALSE)="NA",0,VLOOKUP(TbAlquiler[[#This Row],[ITEM]],TbPiezas[],5,FALSE))</f>
        <v>14.599999999999994</v>
      </c>
      <c r="V94" s="81">
        <f>+TbAlquiler[[#This Row],[TOTAL]]*TbAlquiler[[#This Row],[P.U. (1)]]</f>
        <v>0</v>
      </c>
      <c r="W94" s="82">
        <f>+VLOOKUP(TbAlquiler[[#This Row],[ITEM]],TbPiezas[],6,FALSE)</f>
        <v>575.04</v>
      </c>
      <c r="X94" s="83">
        <f>+TbAlquiler[[#This Row],[TOTAL]]*TbAlquiler[[#This Row],[P.U. (2)]]</f>
        <v>0</v>
      </c>
      <c r="Y94" s="82">
        <f>+VLOOKUP(TbAlquiler[[#This Row],[ITEM]],TbPiezas[],7,FALSE)</f>
        <v>28.751999999999999</v>
      </c>
      <c r="Z94" s="84">
        <f>+TbAlquiler[[#This Row],[TOTAL]]*TbAlquiler[[#This Row],[P.U. (3)]]</f>
        <v>0</v>
      </c>
    </row>
    <row r="95" spans="1:26" ht="15" customHeight="1" x14ac:dyDescent="0.3">
      <c r="A95" s="2"/>
      <c r="B95" s="85">
        <v>78</v>
      </c>
      <c r="C95" s="71" t="s">
        <v>157</v>
      </c>
      <c r="D95" s="72" t="s">
        <v>158</v>
      </c>
      <c r="E95" s="73"/>
      <c r="F95" s="74">
        <f>+VLOOKUP(C95,TbAlquiler[],13,FALSE)</f>
        <v>0</v>
      </c>
      <c r="G95" s="2"/>
      <c r="H95" s="75" t="str">
        <f t="shared" si="2"/>
        <v>AM.7400</v>
      </c>
      <c r="I95" s="59" t="str">
        <f t="shared" si="3"/>
        <v>ok</v>
      </c>
      <c r="J95" s="77">
        <f>IFERROR(VLOOKUP($H95,TG[],3,FALSE),"NA")</f>
        <v>0</v>
      </c>
      <c r="K95" s="77">
        <f>IFERROR(VLOOKUP($H95,TF[],3,FALSE),"NA")</f>
        <v>0</v>
      </c>
      <c r="L95" s="77">
        <f>IFERROR(VLOOKUP($H95,TT[],3,FALSE),"NA")</f>
        <v>0</v>
      </c>
      <c r="M95" s="77">
        <f>IFERROR(VLOOKUP($H95,TES[],3,FALSE),"NA")</f>
        <v>0</v>
      </c>
      <c r="N95" s="77">
        <f>IFERROR(VLOOKUP($H95,TEC[],3,FALSE),"NA")</f>
        <v>0</v>
      </c>
      <c r="O95" s="77" t="str">
        <f>IFERROR(VLOOKUP($H95,TP[],3,FALSE),"NA")</f>
        <v>NA</v>
      </c>
      <c r="P95" s="77" t="str">
        <f>IFERROR(VLOOKUP($H95,TEN[],3,FALSE),"NA")</f>
        <v>NA</v>
      </c>
      <c r="Q95" s="77" t="str">
        <f>IFERROR(VLOOKUP($H95,TD[],3,FALSE),"NA")</f>
        <v>NA</v>
      </c>
      <c r="R95" s="77" t="str">
        <f>IFERROR(VLOOKUP($H95,TC[],3,FALSE),"NA")</f>
        <v>NA</v>
      </c>
      <c r="S95" s="77" t="str">
        <f>IFERROR(VLOOKUP($H95,TEV[],3,FALSE),"NA")</f>
        <v>NA</v>
      </c>
      <c r="T95" s="79">
        <f>SUM(TbAlquiler[[#This Row],[GENERAL]:[ELEVADOR]])</f>
        <v>0</v>
      </c>
      <c r="U95" s="80">
        <f>IF(VLOOKUP(TbAlquiler[[#This Row],[ITEM]],TbPiezas[],5,FALSE)="NA",0,VLOOKUP(TbAlquiler[[#This Row],[ITEM]],TbPiezas[],5,FALSE))</f>
        <v>12.299999999999997</v>
      </c>
      <c r="V95" s="81">
        <f>+TbAlquiler[[#This Row],[TOTAL]]*TbAlquiler[[#This Row],[P.U. (1)]]</f>
        <v>0</v>
      </c>
      <c r="W95" s="82">
        <f>+VLOOKUP(TbAlquiler[[#This Row],[ITEM]],TbPiezas[],6,FALSE)</f>
        <v>496.07</v>
      </c>
      <c r="X95" s="83">
        <f>+TbAlquiler[[#This Row],[TOTAL]]*TbAlquiler[[#This Row],[P.U. (2)]]</f>
        <v>0</v>
      </c>
      <c r="Y95" s="82">
        <f>+VLOOKUP(TbAlquiler[[#This Row],[ITEM]],TbPiezas[],7,FALSE)</f>
        <v>24.8035</v>
      </c>
      <c r="Z95" s="84">
        <f>+TbAlquiler[[#This Row],[TOTAL]]*TbAlquiler[[#This Row],[P.U. (3)]]</f>
        <v>0</v>
      </c>
    </row>
    <row r="96" spans="1:26" ht="15" customHeight="1" x14ac:dyDescent="0.3">
      <c r="A96" s="2"/>
      <c r="B96" s="85">
        <v>79</v>
      </c>
      <c r="C96" s="71" t="s">
        <v>159</v>
      </c>
      <c r="D96" s="72" t="s">
        <v>160</v>
      </c>
      <c r="E96" s="73"/>
      <c r="F96" s="74">
        <f>+VLOOKUP(C96,TbAlquiler[],13,FALSE)</f>
        <v>0</v>
      </c>
      <c r="G96" s="2"/>
      <c r="H96" s="75" t="str">
        <f t="shared" si="2"/>
        <v>AM.7410</v>
      </c>
      <c r="I96" s="59" t="str">
        <f t="shared" si="3"/>
        <v>ok</v>
      </c>
      <c r="J96" s="77">
        <f>IFERROR(VLOOKUP($H96,TG[],3,FALSE),"NA")</f>
        <v>0</v>
      </c>
      <c r="K96" s="77">
        <f>IFERROR(VLOOKUP($H96,TF[],3,FALSE),"NA")</f>
        <v>0</v>
      </c>
      <c r="L96" s="77">
        <f>IFERROR(VLOOKUP($H96,TT[],3,FALSE),"NA")</f>
        <v>0</v>
      </c>
      <c r="M96" s="77">
        <f>IFERROR(VLOOKUP($H96,TES[],3,FALSE),"NA")</f>
        <v>0</v>
      </c>
      <c r="N96" s="77">
        <f>IFERROR(VLOOKUP($H96,TEC[],3,FALSE),"NA")</f>
        <v>0</v>
      </c>
      <c r="O96" s="77" t="str">
        <f>IFERROR(VLOOKUP($H96,TP[],3,FALSE),"NA")</f>
        <v>NA</v>
      </c>
      <c r="P96" s="77" t="str">
        <f>IFERROR(VLOOKUP($H96,TEN[],3,FALSE),"NA")</f>
        <v>NA</v>
      </c>
      <c r="Q96" s="77" t="str">
        <f>IFERROR(VLOOKUP($H96,TD[],3,FALSE),"NA")</f>
        <v>NA</v>
      </c>
      <c r="R96" s="77" t="str">
        <f>IFERROR(VLOOKUP($H96,TC[],3,FALSE),"NA")</f>
        <v>NA</v>
      </c>
      <c r="S96" s="77" t="str">
        <f>IFERROR(VLOOKUP($H96,TEV[],3,FALSE),"NA")</f>
        <v>NA</v>
      </c>
      <c r="T96" s="79">
        <f>SUM(TbAlquiler[[#This Row],[GENERAL]:[ELEVADOR]])</f>
        <v>0</v>
      </c>
      <c r="U96" s="80">
        <f>IF(VLOOKUP(TbAlquiler[[#This Row],[ITEM]],TbPiezas[],5,FALSE)="NA",0,VLOOKUP(TbAlquiler[[#This Row],[ITEM]],TbPiezas[],5,FALSE))</f>
        <v>9.0500000000000007</v>
      </c>
      <c r="V96" s="81">
        <f>+TbAlquiler[[#This Row],[TOTAL]]*TbAlquiler[[#This Row],[P.U. (1)]]</f>
        <v>0</v>
      </c>
      <c r="W96" s="82">
        <f>+VLOOKUP(TbAlquiler[[#This Row],[ITEM]],TbPiezas[],6,FALSE)</f>
        <v>484.34</v>
      </c>
      <c r="X96" s="83">
        <f>+TbAlquiler[[#This Row],[TOTAL]]*TbAlquiler[[#This Row],[P.U. (2)]]</f>
        <v>0</v>
      </c>
      <c r="Y96" s="82">
        <f>+VLOOKUP(TbAlquiler[[#This Row],[ITEM]],TbPiezas[],7,FALSE)</f>
        <v>24.216999999999999</v>
      </c>
      <c r="Z96" s="84">
        <f>+TbAlquiler[[#This Row],[TOTAL]]*TbAlquiler[[#This Row],[P.U. (3)]]</f>
        <v>0</v>
      </c>
    </row>
    <row r="97" spans="1:26" ht="15" customHeight="1" x14ac:dyDescent="0.3">
      <c r="A97" s="2"/>
      <c r="B97" s="85">
        <v>80</v>
      </c>
      <c r="C97" s="71" t="s">
        <v>161</v>
      </c>
      <c r="D97" s="72" t="s">
        <v>162</v>
      </c>
      <c r="E97" s="73"/>
      <c r="F97" s="74">
        <f>+VLOOKUP(C97,TbAlquiler[],13,FALSE)</f>
        <v>0</v>
      </c>
      <c r="G97" s="2"/>
      <c r="H97" s="75" t="str">
        <f t="shared" si="2"/>
        <v>AM.7420</v>
      </c>
      <c r="I97" s="59" t="str">
        <f t="shared" si="3"/>
        <v>ok</v>
      </c>
      <c r="J97" s="77">
        <f>IFERROR(VLOOKUP($H97,TG[],3,FALSE),"NA")</f>
        <v>0</v>
      </c>
      <c r="K97" s="77">
        <f>IFERROR(VLOOKUP($H97,TF[],3,FALSE),"NA")</f>
        <v>0</v>
      </c>
      <c r="L97" s="77">
        <f>IFERROR(VLOOKUP($H97,TT[],3,FALSE),"NA")</f>
        <v>0</v>
      </c>
      <c r="M97" s="77">
        <f>IFERROR(VLOOKUP($H97,TES[],3,FALSE),"NA")</f>
        <v>0</v>
      </c>
      <c r="N97" s="77">
        <f>IFERROR(VLOOKUP($H97,TEC[],3,FALSE),"NA")</f>
        <v>0</v>
      </c>
      <c r="O97" s="77" t="str">
        <f>IFERROR(VLOOKUP($H97,TP[],3,FALSE),"NA")</f>
        <v>NA</v>
      </c>
      <c r="P97" s="77" t="str">
        <f>IFERROR(VLOOKUP($H97,TEN[],3,FALSE),"NA")</f>
        <v>NA</v>
      </c>
      <c r="Q97" s="77" t="str">
        <f>IFERROR(VLOOKUP($H97,TD[],3,FALSE),"NA")</f>
        <v>NA</v>
      </c>
      <c r="R97" s="77" t="str">
        <f>IFERROR(VLOOKUP($H97,TC[],3,FALSE),"NA")</f>
        <v>NA</v>
      </c>
      <c r="S97" s="77" t="str">
        <f>IFERROR(VLOOKUP($H97,TEV[],3,FALSE),"NA")</f>
        <v>NA</v>
      </c>
      <c r="T97" s="79">
        <f>SUM(TbAlquiler[[#This Row],[GENERAL]:[ELEVADOR]])</f>
        <v>0</v>
      </c>
      <c r="U97" s="80">
        <f>IF(VLOOKUP(TbAlquiler[[#This Row],[ITEM]],TbPiezas[],5,FALSE)="NA",0,VLOOKUP(TbAlquiler[[#This Row],[ITEM]],TbPiezas[],5,FALSE))</f>
        <v>7.71</v>
      </c>
      <c r="V97" s="81">
        <f>+TbAlquiler[[#This Row],[TOTAL]]*TbAlquiler[[#This Row],[P.U. (1)]]</f>
        <v>0</v>
      </c>
      <c r="W97" s="82">
        <f>+VLOOKUP(TbAlquiler[[#This Row],[ITEM]],TbPiezas[],6,FALSE)</f>
        <v>452.11</v>
      </c>
      <c r="X97" s="83">
        <f>+TbAlquiler[[#This Row],[TOTAL]]*TbAlquiler[[#This Row],[P.U. (2)]]</f>
        <v>0</v>
      </c>
      <c r="Y97" s="82">
        <f>+VLOOKUP(TbAlquiler[[#This Row],[ITEM]],TbPiezas[],7,FALSE)</f>
        <v>22.605500000000003</v>
      </c>
      <c r="Z97" s="84">
        <f>+TbAlquiler[[#This Row],[TOTAL]]*TbAlquiler[[#This Row],[P.U. (3)]]</f>
        <v>0</v>
      </c>
    </row>
    <row r="98" spans="1:26" ht="15" customHeight="1" x14ac:dyDescent="0.3">
      <c r="A98" s="2"/>
      <c r="B98" s="85">
        <v>81</v>
      </c>
      <c r="C98" s="71" t="s">
        <v>163</v>
      </c>
      <c r="D98" s="72" t="s">
        <v>164</v>
      </c>
      <c r="E98" s="73"/>
      <c r="F98" s="74">
        <f>+VLOOKUP(C98,TbAlquiler[],13,FALSE)</f>
        <v>0</v>
      </c>
      <c r="G98" s="2"/>
      <c r="H98" s="75" t="str">
        <f t="shared" si="2"/>
        <v>AM.7430</v>
      </c>
      <c r="I98" s="59" t="str">
        <f t="shared" si="3"/>
        <v>ok</v>
      </c>
      <c r="J98" s="77">
        <f>IFERROR(VLOOKUP($H98,TG[],3,FALSE),"NA")</f>
        <v>0</v>
      </c>
      <c r="K98" s="77">
        <f>IFERROR(VLOOKUP($H98,TF[],3,FALSE),"NA")</f>
        <v>0</v>
      </c>
      <c r="L98" s="77">
        <f>IFERROR(VLOOKUP($H98,TT[],3,FALSE),"NA")</f>
        <v>0</v>
      </c>
      <c r="M98" s="77">
        <f>IFERROR(VLOOKUP($H98,TES[],3,FALSE),"NA")</f>
        <v>0</v>
      </c>
      <c r="N98" s="77">
        <f>IFERROR(VLOOKUP($H98,TEC[],3,FALSE),"NA")</f>
        <v>0</v>
      </c>
      <c r="O98" s="77" t="str">
        <f>IFERROR(VLOOKUP($H98,TP[],3,FALSE),"NA")</f>
        <v>NA</v>
      </c>
      <c r="P98" s="77" t="str">
        <f>IFERROR(VLOOKUP($H98,TEN[],3,FALSE),"NA")</f>
        <v>NA</v>
      </c>
      <c r="Q98" s="77" t="str">
        <f>IFERROR(VLOOKUP($H98,TD[],3,FALSE),"NA")</f>
        <v>NA</v>
      </c>
      <c r="R98" s="77" t="str">
        <f>IFERROR(VLOOKUP($H98,TC[],3,FALSE),"NA")</f>
        <v>NA</v>
      </c>
      <c r="S98" s="77" t="str">
        <f>IFERROR(VLOOKUP($H98,TEV[],3,FALSE),"NA")</f>
        <v>NA</v>
      </c>
      <c r="T98" s="79">
        <f>SUM(TbAlquiler[[#This Row],[GENERAL]:[ELEVADOR]])</f>
        <v>0</v>
      </c>
      <c r="U98" s="80">
        <f>IF(VLOOKUP(TbAlquiler[[#This Row],[ITEM]],TbPiezas[],5,FALSE)="NA",0,VLOOKUP(TbAlquiler[[#This Row],[ITEM]],TbPiezas[],5,FALSE))</f>
        <v>4.3</v>
      </c>
      <c r="V98" s="81">
        <f>+TbAlquiler[[#This Row],[TOTAL]]*TbAlquiler[[#This Row],[P.U. (1)]]</f>
        <v>0</v>
      </c>
      <c r="W98" s="82">
        <f>+VLOOKUP(TbAlquiler[[#This Row],[ITEM]],TbPiezas[],6,FALSE)</f>
        <v>452.11</v>
      </c>
      <c r="X98" s="83">
        <f>+TbAlquiler[[#This Row],[TOTAL]]*TbAlquiler[[#This Row],[P.U. (2)]]</f>
        <v>0</v>
      </c>
      <c r="Y98" s="82">
        <f>+VLOOKUP(TbAlquiler[[#This Row],[ITEM]],TbPiezas[],7,FALSE)</f>
        <v>22.605500000000003</v>
      </c>
      <c r="Z98" s="84">
        <f>+TbAlquiler[[#This Row],[TOTAL]]*TbAlquiler[[#This Row],[P.U. (3)]]</f>
        <v>0</v>
      </c>
    </row>
    <row r="99" spans="1:26" ht="15" customHeight="1" x14ac:dyDescent="0.3">
      <c r="A99" s="2"/>
      <c r="B99" s="85">
        <v>82</v>
      </c>
      <c r="C99" s="71" t="s">
        <v>165</v>
      </c>
      <c r="D99" s="72" t="s">
        <v>166</v>
      </c>
      <c r="E99" s="73"/>
      <c r="F99" s="74">
        <f>+VLOOKUP(C99,TbAlquiler[],13,FALSE)</f>
        <v>0</v>
      </c>
      <c r="G99" s="2"/>
      <c r="H99" s="75" t="str">
        <f t="shared" si="2"/>
        <v>AM.7440</v>
      </c>
      <c r="I99" s="59" t="str">
        <f t="shared" si="3"/>
        <v>ok</v>
      </c>
      <c r="J99" s="77">
        <f>IFERROR(VLOOKUP($H99,TG[],3,FALSE),"NA")</f>
        <v>0</v>
      </c>
      <c r="K99" s="77">
        <f>IFERROR(VLOOKUP($H99,TF[],3,FALSE),"NA")</f>
        <v>0</v>
      </c>
      <c r="L99" s="77">
        <f>IFERROR(VLOOKUP($H99,TT[],3,FALSE),"NA")</f>
        <v>0</v>
      </c>
      <c r="M99" s="77">
        <f>IFERROR(VLOOKUP($H99,TES[],3,FALSE),"NA")</f>
        <v>0</v>
      </c>
      <c r="N99" s="77">
        <f>IFERROR(VLOOKUP($H99,TEC[],3,FALSE),"NA")</f>
        <v>0</v>
      </c>
      <c r="O99" s="77" t="str">
        <f>IFERROR(VLOOKUP($H99,TP[],3,FALSE),"NA")</f>
        <v>NA</v>
      </c>
      <c r="P99" s="77" t="str">
        <f>IFERROR(VLOOKUP($H99,TEN[],3,FALSE),"NA")</f>
        <v>NA</v>
      </c>
      <c r="Q99" s="77" t="str">
        <f>IFERROR(VLOOKUP($H99,TD[],3,FALSE),"NA")</f>
        <v>NA</v>
      </c>
      <c r="R99" s="77" t="str">
        <f>IFERROR(VLOOKUP($H99,TC[],3,FALSE),"NA")</f>
        <v>NA</v>
      </c>
      <c r="S99" s="77" t="str">
        <f>IFERROR(VLOOKUP($H99,TEV[],3,FALSE),"NA")</f>
        <v>NA</v>
      </c>
      <c r="T99" s="79">
        <f>SUM(TbAlquiler[[#This Row],[GENERAL]:[ELEVADOR]])</f>
        <v>0</v>
      </c>
      <c r="U99" s="80">
        <f>IF(VLOOKUP(TbAlquiler[[#This Row],[ITEM]],TbPiezas[],5,FALSE)="NA",0,VLOOKUP(TbAlquiler[[#This Row],[ITEM]],TbPiezas[],5,FALSE))</f>
        <v>5.86</v>
      </c>
      <c r="V99" s="81">
        <f>+TbAlquiler[[#This Row],[TOTAL]]*TbAlquiler[[#This Row],[P.U. (1)]]</f>
        <v>0</v>
      </c>
      <c r="W99" s="82">
        <f>+VLOOKUP(TbAlquiler[[#This Row],[ITEM]],TbPiezas[],6,FALSE)</f>
        <v>408.3</v>
      </c>
      <c r="X99" s="83">
        <f>+TbAlquiler[[#This Row],[TOTAL]]*TbAlquiler[[#This Row],[P.U. (2)]]</f>
        <v>0</v>
      </c>
      <c r="Y99" s="82">
        <f>+VLOOKUP(TbAlquiler[[#This Row],[ITEM]],TbPiezas[],7,FALSE)</f>
        <v>20.415000000000003</v>
      </c>
      <c r="Z99" s="84">
        <f>+TbAlquiler[[#This Row],[TOTAL]]*TbAlquiler[[#This Row],[P.U. (3)]]</f>
        <v>0</v>
      </c>
    </row>
    <row r="100" spans="1:26" ht="15" customHeight="1" x14ac:dyDescent="0.3">
      <c r="A100" s="2"/>
      <c r="B100" s="85">
        <v>83</v>
      </c>
      <c r="C100" s="71" t="s">
        <v>167</v>
      </c>
      <c r="D100" s="72" t="s">
        <v>168</v>
      </c>
      <c r="E100" s="73"/>
      <c r="F100" s="74">
        <f>+VLOOKUP(C100,TbAlquiler[],13,FALSE)</f>
        <v>0</v>
      </c>
      <c r="G100" s="2"/>
      <c r="H100" s="75" t="str">
        <f t="shared" si="2"/>
        <v>AM.7450</v>
      </c>
      <c r="I100" s="59" t="str">
        <f t="shared" si="3"/>
        <v>ok</v>
      </c>
      <c r="J100" s="77">
        <f>IFERROR(VLOOKUP($H100,TG[],3,FALSE),"NA")</f>
        <v>0</v>
      </c>
      <c r="K100" s="77">
        <f>IFERROR(VLOOKUP($H100,TF[],3,FALSE),"NA")</f>
        <v>0</v>
      </c>
      <c r="L100" s="77">
        <f>IFERROR(VLOOKUP($H100,TT[],3,FALSE),"NA")</f>
        <v>0</v>
      </c>
      <c r="M100" s="77" t="str">
        <f>IFERROR(VLOOKUP($H100,TES[],3,FALSE),"NA")</f>
        <v>NA</v>
      </c>
      <c r="N100" s="77" t="str">
        <f>IFERROR(VLOOKUP($H100,TEC[],3,FALSE),"NA")</f>
        <v>NA</v>
      </c>
      <c r="O100" s="77" t="str">
        <f>IFERROR(VLOOKUP($H100,TP[],3,FALSE),"NA")</f>
        <v>NA</v>
      </c>
      <c r="P100" s="77" t="str">
        <f>IFERROR(VLOOKUP($H100,TEN[],3,FALSE),"NA")</f>
        <v>NA</v>
      </c>
      <c r="Q100" s="77" t="str">
        <f>IFERROR(VLOOKUP($H100,TD[],3,FALSE),"NA")</f>
        <v>NA</v>
      </c>
      <c r="R100" s="77" t="str">
        <f>IFERROR(VLOOKUP($H100,TC[],3,FALSE),"NA")</f>
        <v>NA</v>
      </c>
      <c r="S100" s="77" t="str">
        <f>IFERROR(VLOOKUP($H100,TEV[],3,FALSE),"NA")</f>
        <v>NA</v>
      </c>
      <c r="T100" s="79">
        <f>SUM(TbAlquiler[[#This Row],[GENERAL]:[ELEVADOR]])</f>
        <v>0</v>
      </c>
      <c r="U100" s="80">
        <f>IF(VLOOKUP(TbAlquiler[[#This Row],[ITEM]],TbPiezas[],5,FALSE)="NA",0,VLOOKUP(TbAlquiler[[#This Row],[ITEM]],TbPiezas[],5,FALSE))</f>
        <v>43.499999999999986</v>
      </c>
      <c r="V100" s="81">
        <f>+TbAlquiler[[#This Row],[TOTAL]]*TbAlquiler[[#This Row],[P.U. (1)]]</f>
        <v>0</v>
      </c>
      <c r="W100" s="82">
        <f>+VLOOKUP(TbAlquiler[[#This Row],[ITEM]],TbPiezas[],6,FALSE)</f>
        <v>2658.2</v>
      </c>
      <c r="X100" s="83">
        <f>+TbAlquiler[[#This Row],[TOTAL]]*TbAlquiler[[#This Row],[P.U. (2)]]</f>
        <v>0</v>
      </c>
      <c r="Y100" s="82">
        <f>+VLOOKUP(TbAlquiler[[#This Row],[ITEM]],TbPiezas[],7,FALSE)</f>
        <v>132.91</v>
      </c>
      <c r="Z100" s="84">
        <f>+TbAlquiler[[#This Row],[TOTAL]]*TbAlquiler[[#This Row],[P.U. (3)]]</f>
        <v>0</v>
      </c>
    </row>
    <row r="101" spans="1:26" ht="15" customHeight="1" x14ac:dyDescent="0.3">
      <c r="A101" s="2"/>
      <c r="B101" s="85">
        <v>84</v>
      </c>
      <c r="C101" s="71" t="s">
        <v>169</v>
      </c>
      <c r="D101" s="72" t="s">
        <v>170</v>
      </c>
      <c r="E101" s="73"/>
      <c r="F101" s="74">
        <f>+VLOOKUP(C101,TbAlquiler[],13,FALSE)</f>
        <v>1</v>
      </c>
      <c r="G101" s="2"/>
      <c r="H101" s="75" t="str">
        <f t="shared" si="2"/>
        <v>AM.7451</v>
      </c>
      <c r="I101" s="59" t="str">
        <f t="shared" si="3"/>
        <v>ok</v>
      </c>
      <c r="J101" s="77">
        <f>IFERROR(VLOOKUP($H101,TG[],3,FALSE),"NA")</f>
        <v>0</v>
      </c>
      <c r="K101" s="77">
        <f>IFERROR(VLOOKUP($H101,TF[],3,FALSE),"NA")</f>
        <v>0</v>
      </c>
      <c r="L101" s="77">
        <f>IFERROR(VLOOKUP($H101,TT[],3,FALSE),"NA")</f>
        <v>1</v>
      </c>
      <c r="M101" s="77" t="str">
        <f>IFERROR(VLOOKUP($H101,TES[],3,FALSE),"NA")</f>
        <v>NA</v>
      </c>
      <c r="N101" s="77" t="str">
        <f>IFERROR(VLOOKUP($H101,TEC[],3,FALSE),"NA")</f>
        <v>NA</v>
      </c>
      <c r="O101" s="77" t="str">
        <f>IFERROR(VLOOKUP($H101,TP[],3,FALSE),"NA")</f>
        <v>NA</v>
      </c>
      <c r="P101" s="77" t="str">
        <f>IFERROR(VLOOKUP($H101,TEN[],3,FALSE),"NA")</f>
        <v>NA</v>
      </c>
      <c r="Q101" s="77" t="str">
        <f>IFERROR(VLOOKUP($H101,TD[],3,FALSE),"NA")</f>
        <v>NA</v>
      </c>
      <c r="R101" s="77" t="str">
        <f>IFERROR(VLOOKUP($H101,TC[],3,FALSE),"NA")</f>
        <v>NA</v>
      </c>
      <c r="S101" s="77" t="str">
        <f>IFERROR(VLOOKUP($H101,TEV[],3,FALSE),"NA")</f>
        <v>NA</v>
      </c>
      <c r="T101" s="79">
        <f>SUM(TbAlquiler[[#This Row],[GENERAL]:[ELEVADOR]])</f>
        <v>1</v>
      </c>
      <c r="U101" s="80">
        <f>IF(VLOOKUP(TbAlquiler[[#This Row],[ITEM]],TbPiezas[],5,FALSE)="NA",0,VLOOKUP(TbAlquiler[[#This Row],[ITEM]],TbPiezas[],5,FALSE))</f>
        <v>36.599999999999994</v>
      </c>
      <c r="V101" s="81">
        <f>+TbAlquiler[[#This Row],[TOTAL]]*TbAlquiler[[#This Row],[P.U. (1)]]</f>
        <v>36.599999999999994</v>
      </c>
      <c r="W101" s="82">
        <f>+VLOOKUP(TbAlquiler[[#This Row],[ITEM]],TbPiezas[],6,FALSE)</f>
        <v>2658.2</v>
      </c>
      <c r="X101" s="83">
        <f>+TbAlquiler[[#This Row],[TOTAL]]*TbAlquiler[[#This Row],[P.U. (2)]]</f>
        <v>2658.2</v>
      </c>
      <c r="Y101" s="82">
        <f>+VLOOKUP(TbAlquiler[[#This Row],[ITEM]],TbPiezas[],7,FALSE)</f>
        <v>132.91</v>
      </c>
      <c r="Z101" s="84">
        <f>+TbAlquiler[[#This Row],[TOTAL]]*TbAlquiler[[#This Row],[P.U. (3)]]</f>
        <v>132.91</v>
      </c>
    </row>
    <row r="102" spans="1:26" ht="15" customHeight="1" x14ac:dyDescent="0.3">
      <c r="A102" s="2"/>
      <c r="B102" s="85">
        <v>85</v>
      </c>
      <c r="C102" s="71" t="s">
        <v>171</v>
      </c>
      <c r="D102" s="72" t="s">
        <v>172</v>
      </c>
      <c r="E102" s="73"/>
      <c r="F102" s="74">
        <f>+VLOOKUP(C102,TbAlquiler[],13,FALSE)</f>
        <v>0</v>
      </c>
      <c r="G102" s="2"/>
      <c r="H102" s="75" t="str">
        <f t="shared" si="2"/>
        <v>AM.7452</v>
      </c>
      <c r="I102" s="59" t="str">
        <f t="shared" si="3"/>
        <v>ok</v>
      </c>
      <c r="J102" s="77">
        <f>IFERROR(VLOOKUP($H102,TG[],3,FALSE),"NA")</f>
        <v>0</v>
      </c>
      <c r="K102" s="77">
        <f>IFERROR(VLOOKUP($H102,TF[],3,FALSE),"NA")</f>
        <v>0</v>
      </c>
      <c r="L102" s="77">
        <f>IFERROR(VLOOKUP($H102,TT[],3,FALSE),"NA")</f>
        <v>0</v>
      </c>
      <c r="M102" s="77" t="str">
        <f>IFERROR(VLOOKUP($H102,TES[],3,FALSE),"NA")</f>
        <v>NA</v>
      </c>
      <c r="N102" s="77" t="str">
        <f>IFERROR(VLOOKUP($H102,TEC[],3,FALSE),"NA")</f>
        <v>NA</v>
      </c>
      <c r="O102" s="77" t="str">
        <f>IFERROR(VLOOKUP($H102,TP[],3,FALSE),"NA")</f>
        <v>NA</v>
      </c>
      <c r="P102" s="77" t="str">
        <f>IFERROR(VLOOKUP($H102,TEN[],3,FALSE),"NA")</f>
        <v>NA</v>
      </c>
      <c r="Q102" s="77" t="str">
        <f>IFERROR(VLOOKUP($H102,TD[],3,FALSE),"NA")</f>
        <v>NA</v>
      </c>
      <c r="R102" s="77" t="str">
        <f>IFERROR(VLOOKUP($H102,TC[],3,FALSE),"NA")</f>
        <v>NA</v>
      </c>
      <c r="S102" s="77" t="str">
        <f>IFERROR(VLOOKUP($H102,TEV[],3,FALSE),"NA")</f>
        <v>NA</v>
      </c>
      <c r="T102" s="79">
        <f>SUM(TbAlquiler[[#This Row],[GENERAL]:[ELEVADOR]])</f>
        <v>0</v>
      </c>
      <c r="U102" s="80">
        <f>IF(VLOOKUP(TbAlquiler[[#This Row],[ITEM]],TbPiezas[],5,FALSE)="NA",0,VLOOKUP(TbAlquiler[[#This Row],[ITEM]],TbPiezas[],5,FALSE))</f>
        <v>31.099999999999994</v>
      </c>
      <c r="V102" s="81">
        <f>+TbAlquiler[[#This Row],[TOTAL]]*TbAlquiler[[#This Row],[P.U. (1)]]</f>
        <v>0</v>
      </c>
      <c r="W102" s="82">
        <f>+VLOOKUP(TbAlquiler[[#This Row],[ITEM]],TbPiezas[],6,FALSE)</f>
        <v>2658.2</v>
      </c>
      <c r="X102" s="83">
        <f>+TbAlquiler[[#This Row],[TOTAL]]*TbAlquiler[[#This Row],[P.U. (2)]]</f>
        <v>0</v>
      </c>
      <c r="Y102" s="82">
        <f>+VLOOKUP(TbAlquiler[[#This Row],[ITEM]],TbPiezas[],7,FALSE)</f>
        <v>132.91</v>
      </c>
      <c r="Z102" s="84">
        <f>+TbAlquiler[[#This Row],[TOTAL]]*TbAlquiler[[#This Row],[P.U. (3)]]</f>
        <v>0</v>
      </c>
    </row>
    <row r="103" spans="1:26" ht="15" customHeight="1" x14ac:dyDescent="0.3">
      <c r="A103" s="2"/>
      <c r="B103" s="85">
        <v>86</v>
      </c>
      <c r="C103" s="429" t="s">
        <v>173</v>
      </c>
      <c r="D103" s="430" t="s">
        <v>174</v>
      </c>
      <c r="E103" s="73"/>
      <c r="F103" s="74">
        <f>+VLOOKUP(C103,TbAlquiler[],13,FALSE)</f>
        <v>0</v>
      </c>
      <c r="G103" s="2"/>
      <c r="H103" s="75" t="str">
        <f t="shared" si="2"/>
        <v>AM.7453</v>
      </c>
      <c r="I103" s="59" t="str">
        <f t="shared" si="3"/>
        <v>ok</v>
      </c>
      <c r="J103" s="77">
        <f>IFERROR(VLOOKUP($H103,TG[],3,FALSE),"NA")</f>
        <v>0</v>
      </c>
      <c r="K103" s="77">
        <f>IFERROR(VLOOKUP($H103,TF[],3,FALSE),"NA")</f>
        <v>0</v>
      </c>
      <c r="L103" s="77">
        <f>IFERROR(VLOOKUP($H103,TT[],3,FALSE),"NA")</f>
        <v>0</v>
      </c>
      <c r="M103" s="77" t="str">
        <f>IFERROR(VLOOKUP($H103,TES[],3,FALSE),"NA")</f>
        <v>NA</v>
      </c>
      <c r="N103" s="77" t="str">
        <f>IFERROR(VLOOKUP($H103,TEC[],3,FALSE),"NA")</f>
        <v>NA</v>
      </c>
      <c r="O103" s="77" t="str">
        <f>IFERROR(VLOOKUP($H103,TP[],3,FALSE),"NA")</f>
        <v>NA</v>
      </c>
      <c r="P103" s="77" t="str">
        <f>IFERROR(VLOOKUP($H103,TEN[],3,FALSE),"NA")</f>
        <v>NA</v>
      </c>
      <c r="Q103" s="77" t="str">
        <f>IFERROR(VLOOKUP($H103,TD[],3,FALSE),"NA")</f>
        <v>NA</v>
      </c>
      <c r="R103" s="77" t="str">
        <f>IFERROR(VLOOKUP($H103,TC[],3,FALSE),"NA")</f>
        <v>NA</v>
      </c>
      <c r="S103" s="77" t="str">
        <f>IFERROR(VLOOKUP($H103,TEV[],3,FALSE),"NA")</f>
        <v>NA</v>
      </c>
      <c r="T103" s="79">
        <f>SUM(TbAlquiler[[#This Row],[GENERAL]:[ELEVADOR]])</f>
        <v>0</v>
      </c>
      <c r="U103" s="80">
        <f>IF(VLOOKUP(TbAlquiler[[#This Row],[ITEM]],TbPiezas[],5,FALSE)="NA",0,VLOOKUP(TbAlquiler[[#This Row],[ITEM]],TbPiezas[],5,FALSE))</f>
        <v>27</v>
      </c>
      <c r="V103" s="81">
        <f>+TbAlquiler[[#This Row],[TOTAL]]*TbAlquiler[[#This Row],[P.U. (1)]]</f>
        <v>0</v>
      </c>
      <c r="W103" s="82">
        <f>+VLOOKUP(TbAlquiler[[#This Row],[ITEM]],TbPiezas[],6,FALSE)</f>
        <v>2658.2</v>
      </c>
      <c r="X103" s="83">
        <f>+TbAlquiler[[#This Row],[TOTAL]]*TbAlquiler[[#This Row],[P.U. (2)]]</f>
        <v>0</v>
      </c>
      <c r="Y103" s="82">
        <f>+VLOOKUP(TbAlquiler[[#This Row],[ITEM]],TbPiezas[],7,FALSE)</f>
        <v>132.91</v>
      </c>
      <c r="Z103" s="84">
        <f>+TbAlquiler[[#This Row],[TOTAL]]*TbAlquiler[[#This Row],[P.U. (3)]]</f>
        <v>0</v>
      </c>
    </row>
    <row r="104" spans="1:26" ht="15" customHeight="1" x14ac:dyDescent="0.3">
      <c r="A104" s="2"/>
      <c r="B104" s="85">
        <v>87</v>
      </c>
      <c r="C104" s="71" t="s">
        <v>175</v>
      </c>
      <c r="D104" s="72" t="s">
        <v>176</v>
      </c>
      <c r="E104" s="73"/>
      <c r="F104" s="74">
        <f>+VLOOKUP(C104,TbAlquiler[],13,FALSE)</f>
        <v>0</v>
      </c>
      <c r="G104" s="2"/>
      <c r="H104" s="75" t="str">
        <f t="shared" si="2"/>
        <v>AM.7500</v>
      </c>
      <c r="I104" s="59" t="str">
        <f t="shared" si="3"/>
        <v>ok</v>
      </c>
      <c r="J104" s="77">
        <f>IFERROR(VLOOKUP($H104,TG[],3,FALSE),"NA")</f>
        <v>0</v>
      </c>
      <c r="K104" s="77" t="str">
        <f>IFERROR(VLOOKUP($H104,TF[],3,FALSE),"NA")</f>
        <v>NA</v>
      </c>
      <c r="L104" s="77" t="str">
        <f>IFERROR(VLOOKUP($H104,TT[],3,FALSE),"NA")</f>
        <v>NA</v>
      </c>
      <c r="M104" s="77" t="str">
        <f>IFERROR(VLOOKUP($H104,TES[],3,FALSE),"NA")</f>
        <v>NA</v>
      </c>
      <c r="N104" s="77" t="str">
        <f>IFERROR(VLOOKUP($H104,TEC[],3,FALSE),"NA")</f>
        <v>NA</v>
      </c>
      <c r="O104" s="77" t="str">
        <f>IFERROR(VLOOKUP($H104,TP[],3,FALSE),"NA")</f>
        <v>NA</v>
      </c>
      <c r="P104" s="77" t="str">
        <f>IFERROR(VLOOKUP($H104,TEN[],3,FALSE),"NA")</f>
        <v>NA</v>
      </c>
      <c r="Q104" s="77" t="str">
        <f>IFERROR(VLOOKUP($H104,TD[],3,FALSE),"NA")</f>
        <v>NA</v>
      </c>
      <c r="R104" s="77" t="str">
        <f>IFERROR(VLOOKUP($H104,TC[],3,FALSE),"NA")</f>
        <v>NA</v>
      </c>
      <c r="S104" s="77" t="str">
        <f>IFERROR(VLOOKUP($H104,TEV[],3,FALSE),"NA")</f>
        <v>NA</v>
      </c>
      <c r="T104" s="79">
        <f>SUM(TbAlquiler[[#This Row],[GENERAL]:[ELEVADOR]])</f>
        <v>0</v>
      </c>
      <c r="U104" s="80">
        <f>IF(VLOOKUP(TbAlquiler[[#This Row],[ITEM]],TbPiezas[],5,FALSE)="NA",0,VLOOKUP(TbAlquiler[[#This Row],[ITEM]],TbPiezas[],5,FALSE))</f>
        <v>30.399999999999991</v>
      </c>
      <c r="V104" s="81">
        <f>+TbAlquiler[[#This Row],[TOTAL]]*TbAlquiler[[#This Row],[P.U. (1)]]</f>
        <v>0</v>
      </c>
      <c r="W104" s="82">
        <f>+VLOOKUP(TbAlquiler[[#This Row],[ITEM]],TbPiezas[],6,FALSE)</f>
        <v>2101.1799999999998</v>
      </c>
      <c r="X104" s="83">
        <f>+TbAlquiler[[#This Row],[TOTAL]]*TbAlquiler[[#This Row],[P.U. (2)]]</f>
        <v>0</v>
      </c>
      <c r="Y104" s="82">
        <f>+VLOOKUP(TbAlquiler[[#This Row],[ITEM]],TbPiezas[],7,FALSE)</f>
        <v>105.059</v>
      </c>
      <c r="Z104" s="84">
        <f>+TbAlquiler[[#This Row],[TOTAL]]*TbAlquiler[[#This Row],[P.U. (3)]]</f>
        <v>0</v>
      </c>
    </row>
    <row r="105" spans="1:26" ht="15" customHeight="1" x14ac:dyDescent="0.3">
      <c r="A105" s="2"/>
      <c r="B105" s="85">
        <v>88</v>
      </c>
      <c r="C105" s="71" t="s">
        <v>177</v>
      </c>
      <c r="D105" s="72" t="s">
        <v>178</v>
      </c>
      <c r="E105" s="73"/>
      <c r="F105" s="74">
        <f>+VLOOKUP(C105,TbAlquiler[],13,FALSE)</f>
        <v>0</v>
      </c>
      <c r="G105" s="2"/>
      <c r="H105" s="75" t="str">
        <f t="shared" si="2"/>
        <v>AM.7600</v>
      </c>
      <c r="I105" s="59" t="str">
        <f t="shared" si="3"/>
        <v>ok</v>
      </c>
      <c r="J105" s="77">
        <f>IFERROR(VLOOKUP($H105,TG[],3,FALSE),"NA")</f>
        <v>0</v>
      </c>
      <c r="K105" s="77" t="str">
        <f>IFERROR(VLOOKUP($H105,TF[],3,FALSE),"NA")</f>
        <v>NA</v>
      </c>
      <c r="L105" s="77" t="str">
        <f>IFERROR(VLOOKUP($H105,TT[],3,FALSE),"NA")</f>
        <v>NA</v>
      </c>
      <c r="M105" s="77" t="str">
        <f>IFERROR(VLOOKUP($H105,TES[],3,FALSE),"NA")</f>
        <v>NA</v>
      </c>
      <c r="N105" s="77" t="str">
        <f>IFERROR(VLOOKUP($H105,TEC[],3,FALSE),"NA")</f>
        <v>NA</v>
      </c>
      <c r="O105" s="77" t="str">
        <f>IFERROR(VLOOKUP($H105,TP[],3,FALSE),"NA")</f>
        <v>NA</v>
      </c>
      <c r="P105" s="77" t="str">
        <f>IFERROR(VLOOKUP($H105,TEN[],3,FALSE),"NA")</f>
        <v>NA</v>
      </c>
      <c r="Q105" s="77" t="str">
        <f>IFERROR(VLOOKUP($H105,TD[],3,FALSE),"NA")</f>
        <v>NA</v>
      </c>
      <c r="R105" s="77" t="str">
        <f>IFERROR(VLOOKUP($H105,TC[],3,FALSE),"NA")</f>
        <v>NA</v>
      </c>
      <c r="S105" s="77" t="str">
        <f>IFERROR(VLOOKUP($H105,TEV[],3,FALSE),"NA")</f>
        <v>NA</v>
      </c>
      <c r="T105" s="79">
        <f>SUM(TbAlquiler[[#This Row],[GENERAL]:[ELEVADOR]])</f>
        <v>0</v>
      </c>
      <c r="U105" s="80">
        <f>IF(VLOOKUP(TbAlquiler[[#This Row],[ITEM]],TbPiezas[],5,FALSE)="NA",0,VLOOKUP(TbAlquiler[[#This Row],[ITEM]],TbPiezas[],5,FALSE))</f>
        <v>23.5</v>
      </c>
      <c r="V105" s="81">
        <f>+TbAlquiler[[#This Row],[TOTAL]]*TbAlquiler[[#This Row],[P.U. (1)]]</f>
        <v>0</v>
      </c>
      <c r="W105" s="82">
        <f>+VLOOKUP(TbAlquiler[[#This Row],[ITEM]],TbPiezas[],6,FALSE)</f>
        <v>2101.1799999999998</v>
      </c>
      <c r="X105" s="83">
        <f>+TbAlquiler[[#This Row],[TOTAL]]*TbAlquiler[[#This Row],[P.U. (2)]]</f>
        <v>0</v>
      </c>
      <c r="Y105" s="82">
        <f>+VLOOKUP(TbAlquiler[[#This Row],[ITEM]],TbPiezas[],7,FALSE)</f>
        <v>105.059</v>
      </c>
      <c r="Z105" s="84">
        <f>+TbAlquiler[[#This Row],[TOTAL]]*TbAlquiler[[#This Row],[P.U. (3)]]</f>
        <v>0</v>
      </c>
    </row>
    <row r="106" spans="1:26" ht="15" customHeight="1" x14ac:dyDescent="0.3">
      <c r="A106" s="2"/>
      <c r="B106" s="85">
        <v>89</v>
      </c>
      <c r="C106" s="71" t="s">
        <v>179</v>
      </c>
      <c r="D106" s="72" t="s">
        <v>180</v>
      </c>
      <c r="E106" s="73"/>
      <c r="F106" s="74">
        <f>+VLOOKUP(C106,TbAlquiler[],13,FALSE)</f>
        <v>0</v>
      </c>
      <c r="G106" s="2"/>
      <c r="H106" s="75" t="str">
        <f t="shared" si="2"/>
        <v>AM.7700</v>
      </c>
      <c r="I106" s="59" t="str">
        <f t="shared" si="3"/>
        <v>ok</v>
      </c>
      <c r="J106" s="77">
        <f>IFERROR(VLOOKUP($H106,TG[],3,FALSE),"NA")</f>
        <v>0</v>
      </c>
      <c r="K106" s="77" t="str">
        <f>IFERROR(VLOOKUP($H106,TF[],3,FALSE),"NA")</f>
        <v>NA</v>
      </c>
      <c r="L106" s="77" t="str">
        <f>IFERROR(VLOOKUP($H106,TT[],3,FALSE),"NA")</f>
        <v>NA</v>
      </c>
      <c r="M106" s="77" t="str">
        <f>IFERROR(VLOOKUP($H106,TES[],3,FALSE),"NA")</f>
        <v>NA</v>
      </c>
      <c r="N106" s="77" t="str">
        <f>IFERROR(VLOOKUP($H106,TEC[],3,FALSE),"NA")</f>
        <v>NA</v>
      </c>
      <c r="O106" s="77" t="str">
        <f>IFERROR(VLOOKUP($H106,TP[],3,FALSE),"NA")</f>
        <v>NA</v>
      </c>
      <c r="P106" s="77" t="str">
        <f>IFERROR(VLOOKUP($H106,TEN[],3,FALSE),"NA")</f>
        <v>NA</v>
      </c>
      <c r="Q106" s="77" t="str">
        <f>IFERROR(VLOOKUP($H106,TD[],3,FALSE),"NA")</f>
        <v>NA</v>
      </c>
      <c r="R106" s="77" t="str">
        <f>IFERROR(VLOOKUP($H106,TC[],3,FALSE),"NA")</f>
        <v>NA</v>
      </c>
      <c r="S106" s="77" t="str">
        <f>IFERROR(VLOOKUP($H106,TEV[],3,FALSE),"NA")</f>
        <v>NA</v>
      </c>
      <c r="T106" s="79">
        <f>SUM(TbAlquiler[[#This Row],[GENERAL]:[ELEVADOR]])</f>
        <v>0</v>
      </c>
      <c r="U106" s="80">
        <f>IF(VLOOKUP(TbAlquiler[[#This Row],[ITEM]],TbPiezas[],5,FALSE)="NA",0,VLOOKUP(TbAlquiler[[#This Row],[ITEM]],TbPiezas[],5,FALSE))</f>
        <v>18</v>
      </c>
      <c r="V106" s="81">
        <f>+TbAlquiler[[#This Row],[TOTAL]]*TbAlquiler[[#This Row],[P.U. (1)]]</f>
        <v>0</v>
      </c>
      <c r="W106" s="82">
        <f>+VLOOKUP(TbAlquiler[[#This Row],[ITEM]],TbPiezas[],6,FALSE)</f>
        <v>2101.1799999999998</v>
      </c>
      <c r="X106" s="83">
        <f>+TbAlquiler[[#This Row],[TOTAL]]*TbAlquiler[[#This Row],[P.U. (2)]]</f>
        <v>0</v>
      </c>
      <c r="Y106" s="82">
        <f>+VLOOKUP(TbAlquiler[[#This Row],[ITEM]],TbPiezas[],7,FALSE)</f>
        <v>105.059</v>
      </c>
      <c r="Z106" s="84">
        <f>+TbAlquiler[[#This Row],[TOTAL]]*TbAlquiler[[#This Row],[P.U. (3)]]</f>
        <v>0</v>
      </c>
    </row>
    <row r="107" spans="1:26" ht="15" customHeight="1" x14ac:dyDescent="0.3">
      <c r="A107" s="2"/>
      <c r="B107" s="85">
        <v>90</v>
      </c>
      <c r="C107" s="71" t="s">
        <v>181</v>
      </c>
      <c r="D107" s="72" t="s">
        <v>182</v>
      </c>
      <c r="E107" s="73"/>
      <c r="F107" s="74">
        <f>+VLOOKUP(C107,TbAlquiler[],13,FALSE)</f>
        <v>0</v>
      </c>
      <c r="G107" s="2"/>
      <c r="H107" s="75" t="str">
        <f t="shared" si="2"/>
        <v>AM.7800</v>
      </c>
      <c r="I107" s="59" t="str">
        <f t="shared" si="3"/>
        <v>ok</v>
      </c>
      <c r="J107" s="77">
        <f>IFERROR(VLOOKUP($H107,TG[],3,FALSE),"NA")</f>
        <v>0</v>
      </c>
      <c r="K107" s="77" t="str">
        <f>IFERROR(VLOOKUP($H107,TF[],3,FALSE),"NA")</f>
        <v>NA</v>
      </c>
      <c r="L107" s="77" t="str">
        <f>IFERROR(VLOOKUP($H107,TT[],3,FALSE),"NA")</f>
        <v>NA</v>
      </c>
      <c r="M107" s="77" t="str">
        <f>IFERROR(VLOOKUP($H107,TES[],3,FALSE),"NA")</f>
        <v>NA</v>
      </c>
      <c r="N107" s="77" t="str">
        <f>IFERROR(VLOOKUP($H107,TEC[],3,FALSE),"NA")</f>
        <v>NA</v>
      </c>
      <c r="O107" s="77" t="str">
        <f>IFERROR(VLOOKUP($H107,TP[],3,FALSE),"NA")</f>
        <v>NA</v>
      </c>
      <c r="P107" s="77" t="str">
        <f>IFERROR(VLOOKUP($H107,TEN[],3,FALSE),"NA")</f>
        <v>NA</v>
      </c>
      <c r="Q107" s="77" t="str">
        <f>IFERROR(VLOOKUP($H107,TD[],3,FALSE),"NA")</f>
        <v>NA</v>
      </c>
      <c r="R107" s="77" t="str">
        <f>IFERROR(VLOOKUP($H107,TC[],3,FALSE),"NA")</f>
        <v>NA</v>
      </c>
      <c r="S107" s="77" t="str">
        <f>IFERROR(VLOOKUP($H107,TEV[],3,FALSE),"NA")</f>
        <v>NA</v>
      </c>
      <c r="T107" s="79">
        <f>SUM(TbAlquiler[[#This Row],[GENERAL]:[ELEVADOR]])</f>
        <v>0</v>
      </c>
      <c r="U107" s="80">
        <f>IF(VLOOKUP(TbAlquiler[[#This Row],[ITEM]],TbPiezas[],5,FALSE)="NA",0,VLOOKUP(TbAlquiler[[#This Row],[ITEM]],TbPiezas[],5,FALSE))</f>
        <v>13.099999999999994</v>
      </c>
      <c r="V107" s="81">
        <f>+TbAlquiler[[#This Row],[TOTAL]]*TbAlquiler[[#This Row],[P.U. (1)]]</f>
        <v>0</v>
      </c>
      <c r="W107" s="82">
        <f>+VLOOKUP(TbAlquiler[[#This Row],[ITEM]],TbPiezas[],6,FALSE)</f>
        <v>557.03</v>
      </c>
      <c r="X107" s="83">
        <f>+TbAlquiler[[#This Row],[TOTAL]]*TbAlquiler[[#This Row],[P.U. (2)]]</f>
        <v>0</v>
      </c>
      <c r="Y107" s="82">
        <f>+VLOOKUP(TbAlquiler[[#This Row],[ITEM]],TbPiezas[],7,FALSE)</f>
        <v>27.851500000000001</v>
      </c>
      <c r="Z107" s="84">
        <f>+TbAlquiler[[#This Row],[TOTAL]]*TbAlquiler[[#This Row],[P.U. (3)]]</f>
        <v>0</v>
      </c>
    </row>
    <row r="108" spans="1:26" ht="15" customHeight="1" x14ac:dyDescent="0.3">
      <c r="A108" s="2"/>
      <c r="B108" s="85">
        <v>91</v>
      </c>
      <c r="C108" s="71" t="s">
        <v>183</v>
      </c>
      <c r="D108" s="72" t="s">
        <v>184</v>
      </c>
      <c r="E108" s="73"/>
      <c r="F108" s="74">
        <f>+VLOOKUP(C108,TbAlquiler[],13,FALSE)</f>
        <v>0</v>
      </c>
      <c r="G108" s="2"/>
      <c r="H108" s="75" t="str">
        <f t="shared" si="2"/>
        <v>AM.7900</v>
      </c>
      <c r="I108" s="59" t="str">
        <f t="shared" si="3"/>
        <v>ok</v>
      </c>
      <c r="J108" s="77">
        <f>IFERROR(VLOOKUP($H108,TG[],3,FALSE),"NA")</f>
        <v>0</v>
      </c>
      <c r="K108" s="77">
        <f>IFERROR(VLOOKUP($H108,TF[],3,FALSE),"NA")</f>
        <v>0</v>
      </c>
      <c r="L108" s="77">
        <f>IFERROR(VLOOKUP($H108,TT[],3,FALSE),"NA")</f>
        <v>0</v>
      </c>
      <c r="M108" s="77" t="str">
        <f>IFERROR(VLOOKUP($H108,TES[],3,FALSE),"NA")</f>
        <v>NA</v>
      </c>
      <c r="N108" s="77" t="str">
        <f>IFERROR(VLOOKUP($H108,TEC[],3,FALSE),"NA")</f>
        <v>NA</v>
      </c>
      <c r="O108" s="77" t="str">
        <f>IFERROR(VLOOKUP($H108,TP[],3,FALSE),"NA")</f>
        <v>NA</v>
      </c>
      <c r="P108" s="77" t="str">
        <f>IFERROR(VLOOKUP($H108,TEN[],3,FALSE),"NA")</f>
        <v>NA</v>
      </c>
      <c r="Q108" s="77" t="str">
        <f>IFERROR(VLOOKUP($H108,TD[],3,FALSE),"NA")</f>
        <v>NA</v>
      </c>
      <c r="R108" s="77" t="str">
        <f>IFERROR(VLOOKUP($H108,TC[],3,FALSE),"NA")</f>
        <v>NA</v>
      </c>
      <c r="S108" s="77" t="str">
        <f>IFERROR(VLOOKUP($H108,TEV[],3,FALSE),"NA")</f>
        <v>NA</v>
      </c>
      <c r="T108" s="79">
        <f>SUM(TbAlquiler[[#This Row],[GENERAL]:[ELEVADOR]])</f>
        <v>0</v>
      </c>
      <c r="U108" s="80">
        <f>IF(VLOOKUP(TbAlquiler[[#This Row],[ITEM]],TbPiezas[],5,FALSE)="NA",0,VLOOKUP(TbAlquiler[[#This Row],[ITEM]],TbPiezas[],5,FALSE))</f>
        <v>38.799999999999997</v>
      </c>
      <c r="V108" s="81">
        <f>+TbAlquiler[[#This Row],[TOTAL]]*TbAlquiler[[#This Row],[P.U. (1)]]</f>
        <v>0</v>
      </c>
      <c r="W108" s="82">
        <f>+VLOOKUP(TbAlquiler[[#This Row],[ITEM]],TbPiezas[],6,FALSE)</f>
        <v>2101.1799999999998</v>
      </c>
      <c r="X108" s="83">
        <f>+TbAlquiler[[#This Row],[TOTAL]]*TbAlquiler[[#This Row],[P.U. (2)]]</f>
        <v>0</v>
      </c>
      <c r="Y108" s="82">
        <f>+VLOOKUP(TbAlquiler[[#This Row],[ITEM]],TbPiezas[],7,FALSE)</f>
        <v>105.059</v>
      </c>
      <c r="Z108" s="84">
        <f>+TbAlquiler[[#This Row],[TOTAL]]*TbAlquiler[[#This Row],[P.U. (3)]]</f>
        <v>0</v>
      </c>
    </row>
    <row r="109" spans="1:26" ht="15" customHeight="1" x14ac:dyDescent="0.3">
      <c r="A109" s="2"/>
      <c r="B109" s="85">
        <v>92</v>
      </c>
      <c r="C109" s="71" t="s">
        <v>185</v>
      </c>
      <c r="D109" s="72" t="s">
        <v>186</v>
      </c>
      <c r="E109" s="73"/>
      <c r="F109" s="74">
        <f>+VLOOKUP(C109,TbAlquiler[],13,FALSE)</f>
        <v>0</v>
      </c>
      <c r="G109" s="2"/>
      <c r="H109" s="75" t="str">
        <f t="shared" si="2"/>
        <v>AM.8000</v>
      </c>
      <c r="I109" s="59" t="str">
        <f t="shared" si="3"/>
        <v>ok</v>
      </c>
      <c r="J109" s="77">
        <f>IFERROR(VLOOKUP($H109,TG[],3,FALSE),"NA")</f>
        <v>0</v>
      </c>
      <c r="K109" s="77">
        <f>IFERROR(VLOOKUP($H109,TF[],3,FALSE),"NA")</f>
        <v>0</v>
      </c>
      <c r="L109" s="77">
        <f>IFERROR(VLOOKUP($H109,TT[],3,FALSE),"NA")</f>
        <v>0</v>
      </c>
      <c r="M109" s="77" t="str">
        <f>IFERROR(VLOOKUP($H109,TES[],3,FALSE),"NA")</f>
        <v>NA</v>
      </c>
      <c r="N109" s="77" t="str">
        <f>IFERROR(VLOOKUP($H109,TEC[],3,FALSE),"NA")</f>
        <v>NA</v>
      </c>
      <c r="O109" s="77" t="str">
        <f>IFERROR(VLOOKUP($H109,TP[],3,FALSE),"NA")</f>
        <v>NA</v>
      </c>
      <c r="P109" s="77" t="str">
        <f>IFERROR(VLOOKUP($H109,TEN[],3,FALSE),"NA")</f>
        <v>NA</v>
      </c>
      <c r="Q109" s="77" t="str">
        <f>IFERROR(VLOOKUP($H109,TD[],3,FALSE),"NA")</f>
        <v>NA</v>
      </c>
      <c r="R109" s="77" t="str">
        <f>IFERROR(VLOOKUP($H109,TC[],3,FALSE),"NA")</f>
        <v>NA</v>
      </c>
      <c r="S109" s="77" t="str">
        <f>IFERROR(VLOOKUP($H109,TEV[],3,FALSE),"NA")</f>
        <v>NA</v>
      </c>
      <c r="T109" s="79">
        <f>SUM(TbAlquiler[[#This Row],[GENERAL]:[ELEVADOR]])</f>
        <v>0</v>
      </c>
      <c r="U109" s="80">
        <f>IF(VLOOKUP(TbAlquiler[[#This Row],[ITEM]],TbPiezas[],5,FALSE)="NA",0,VLOOKUP(TbAlquiler[[#This Row],[ITEM]],TbPiezas[],5,FALSE))</f>
        <v>29.599999999999994</v>
      </c>
      <c r="V109" s="81">
        <f>+TbAlquiler[[#This Row],[TOTAL]]*TbAlquiler[[#This Row],[P.U. (1)]]</f>
        <v>0</v>
      </c>
      <c r="W109" s="82">
        <f>+VLOOKUP(TbAlquiler[[#This Row],[ITEM]],TbPiezas[],6,FALSE)</f>
        <v>2101.1799999999998</v>
      </c>
      <c r="X109" s="83">
        <f>+TbAlquiler[[#This Row],[TOTAL]]*TbAlquiler[[#This Row],[P.U. (2)]]</f>
        <v>0</v>
      </c>
      <c r="Y109" s="82">
        <f>+VLOOKUP(TbAlquiler[[#This Row],[ITEM]],TbPiezas[],7,FALSE)</f>
        <v>105.059</v>
      </c>
      <c r="Z109" s="84">
        <f>+TbAlquiler[[#This Row],[TOTAL]]*TbAlquiler[[#This Row],[P.U. (3)]]</f>
        <v>0</v>
      </c>
    </row>
    <row r="110" spans="1:26" ht="15" customHeight="1" x14ac:dyDescent="0.3">
      <c r="A110" s="2"/>
      <c r="B110" s="85">
        <v>93</v>
      </c>
      <c r="C110" s="429" t="s">
        <v>187</v>
      </c>
      <c r="D110" s="430" t="s">
        <v>188</v>
      </c>
      <c r="E110" s="73"/>
      <c r="F110" s="74">
        <f>+VLOOKUP(C110,TbAlquiler[],13,FALSE)</f>
        <v>0</v>
      </c>
      <c r="G110" s="2"/>
      <c r="H110" s="75" t="str">
        <f t="shared" si="2"/>
        <v>AM.8100</v>
      </c>
      <c r="I110" s="59" t="str">
        <f t="shared" si="3"/>
        <v>ok</v>
      </c>
      <c r="J110" s="77">
        <f>IFERROR(VLOOKUP($H110,TG[],3,FALSE),"NA")</f>
        <v>0</v>
      </c>
      <c r="K110" s="77" t="str">
        <f>IFERROR(VLOOKUP($H110,TF[],3,FALSE),"NA")</f>
        <v>NA</v>
      </c>
      <c r="L110" s="77" t="str">
        <f>IFERROR(VLOOKUP($H110,TT[],3,FALSE),"NA")</f>
        <v>NA</v>
      </c>
      <c r="M110" s="77">
        <f>IFERROR(VLOOKUP($H110,TES[],3,FALSE),"NA")</f>
        <v>0</v>
      </c>
      <c r="N110" s="77" t="str">
        <f>IFERROR(VLOOKUP($H110,TEC[],3,FALSE),"NA")</f>
        <v>NA</v>
      </c>
      <c r="O110" s="77" t="str">
        <f>IFERROR(VLOOKUP($H110,TP[],3,FALSE),"NA")</f>
        <v>NA</v>
      </c>
      <c r="P110" s="77" t="str">
        <f>IFERROR(VLOOKUP($H110,TEN[],3,FALSE),"NA")</f>
        <v>NA</v>
      </c>
      <c r="Q110" s="77" t="str">
        <f>IFERROR(VLOOKUP($H110,TD[],3,FALSE),"NA")</f>
        <v>NA</v>
      </c>
      <c r="R110" s="77" t="str">
        <f>IFERROR(VLOOKUP($H110,TC[],3,FALSE),"NA")</f>
        <v>NA</v>
      </c>
      <c r="S110" s="77" t="str">
        <f>IFERROR(VLOOKUP($H110,TEV[],3,FALSE),"NA")</f>
        <v>NA</v>
      </c>
      <c r="T110" s="79">
        <f>SUM(TbAlquiler[[#This Row],[GENERAL]:[ELEVADOR]])</f>
        <v>0</v>
      </c>
      <c r="U110" s="80">
        <f>IF(VLOOKUP(TbAlquiler[[#This Row],[ITEM]],TbPiezas[],5,FALSE)="NA",0,VLOOKUP(TbAlquiler[[#This Row],[ITEM]],TbPiezas[],5,FALSE))</f>
        <v>19.899999999999991</v>
      </c>
      <c r="V110" s="81">
        <f>+TbAlquiler[[#This Row],[TOTAL]]*TbAlquiler[[#This Row],[P.U. (1)]]</f>
        <v>0</v>
      </c>
      <c r="W110" s="82">
        <f>+VLOOKUP(TbAlquiler[[#This Row],[ITEM]],TbPiezas[],6,FALSE)</f>
        <v>1236.3399999999999</v>
      </c>
      <c r="X110" s="83">
        <f>+TbAlquiler[[#This Row],[TOTAL]]*TbAlquiler[[#This Row],[P.U. (2)]]</f>
        <v>0</v>
      </c>
      <c r="Y110" s="82">
        <f>+VLOOKUP(TbAlquiler[[#This Row],[ITEM]],TbPiezas[],7,FALSE)</f>
        <v>61.817</v>
      </c>
      <c r="Z110" s="84">
        <f>+TbAlquiler[[#This Row],[TOTAL]]*TbAlquiler[[#This Row],[P.U. (3)]]</f>
        <v>0</v>
      </c>
    </row>
    <row r="111" spans="1:26" ht="15" customHeight="1" x14ac:dyDescent="0.3">
      <c r="A111" s="2"/>
      <c r="B111" s="85">
        <v>94</v>
      </c>
      <c r="C111" s="429" t="s">
        <v>189</v>
      </c>
      <c r="D111" s="430" t="s">
        <v>190</v>
      </c>
      <c r="E111" s="73"/>
      <c r="F111" s="74">
        <f>+VLOOKUP(C111,TbAlquiler[],13,FALSE)</f>
        <v>0</v>
      </c>
      <c r="G111" s="2"/>
      <c r="H111" s="75" t="str">
        <f t="shared" si="2"/>
        <v>AM.8200</v>
      </c>
      <c r="I111" s="59" t="str">
        <f t="shared" si="3"/>
        <v>ok</v>
      </c>
      <c r="J111" s="77">
        <f>IFERROR(VLOOKUP($H111,TG[],3,FALSE),"NA")</f>
        <v>0</v>
      </c>
      <c r="K111" s="77" t="str">
        <f>IFERROR(VLOOKUP($H111,TF[],3,FALSE),"NA")</f>
        <v>NA</v>
      </c>
      <c r="L111" s="77" t="str">
        <f>IFERROR(VLOOKUP($H111,TT[],3,FALSE),"NA")</f>
        <v>NA</v>
      </c>
      <c r="M111" s="77">
        <f>IFERROR(VLOOKUP($H111,TES[],3,FALSE),"NA")</f>
        <v>0</v>
      </c>
      <c r="N111" s="77" t="str">
        <f>IFERROR(VLOOKUP($H111,TEC[],3,FALSE),"NA")</f>
        <v>NA</v>
      </c>
      <c r="O111" s="77" t="str">
        <f>IFERROR(VLOOKUP($H111,TP[],3,FALSE),"NA")</f>
        <v>NA</v>
      </c>
      <c r="P111" s="77" t="str">
        <f>IFERROR(VLOOKUP($H111,TEN[],3,FALSE),"NA")</f>
        <v>NA</v>
      </c>
      <c r="Q111" s="77" t="str">
        <f>IFERROR(VLOOKUP($H111,TD[],3,FALSE),"NA")</f>
        <v>NA</v>
      </c>
      <c r="R111" s="77" t="str">
        <f>IFERROR(VLOOKUP($H111,TC[],3,FALSE),"NA")</f>
        <v>NA</v>
      </c>
      <c r="S111" s="77" t="str">
        <f>IFERROR(VLOOKUP($H111,TEV[],3,FALSE),"NA")</f>
        <v>NA</v>
      </c>
      <c r="T111" s="79">
        <f>SUM(TbAlquiler[[#This Row],[GENERAL]:[ELEVADOR]])</f>
        <v>0</v>
      </c>
      <c r="U111" s="80">
        <f>IF(VLOOKUP(TbAlquiler[[#This Row],[ITEM]],TbPiezas[],5,FALSE)="NA",0,VLOOKUP(TbAlquiler[[#This Row],[ITEM]],TbPiezas[],5,FALSE))</f>
        <v>9.2999999999999972</v>
      </c>
      <c r="V111" s="81">
        <f>+TbAlquiler[[#This Row],[TOTAL]]*TbAlquiler[[#This Row],[P.U. (1)]]</f>
        <v>0</v>
      </c>
      <c r="W111" s="82">
        <f>+VLOOKUP(TbAlquiler[[#This Row],[ITEM]],TbPiezas[],6,FALSE)</f>
        <v>677.95</v>
      </c>
      <c r="X111" s="83">
        <f>+TbAlquiler[[#This Row],[TOTAL]]*TbAlquiler[[#This Row],[P.U. (2)]]</f>
        <v>0</v>
      </c>
      <c r="Y111" s="82">
        <f>+VLOOKUP(TbAlquiler[[#This Row],[ITEM]],TbPiezas[],7,FALSE)</f>
        <v>33.897500000000001</v>
      </c>
      <c r="Z111" s="84">
        <f>+TbAlquiler[[#This Row],[TOTAL]]*TbAlquiler[[#This Row],[P.U. (3)]]</f>
        <v>0</v>
      </c>
    </row>
    <row r="112" spans="1:26" ht="15" customHeight="1" x14ac:dyDescent="0.3">
      <c r="A112" s="2"/>
      <c r="B112" s="85">
        <v>95</v>
      </c>
      <c r="C112" s="429" t="s">
        <v>191</v>
      </c>
      <c r="D112" s="430" t="s">
        <v>192</v>
      </c>
      <c r="E112" s="73"/>
      <c r="F112" s="74">
        <f>+VLOOKUP(C112,TbAlquiler[],13,FALSE)</f>
        <v>0</v>
      </c>
      <c r="G112" s="2"/>
      <c r="H112" s="75" t="str">
        <f t="shared" si="2"/>
        <v>AM.8300</v>
      </c>
      <c r="I112" s="59" t="str">
        <f t="shared" si="3"/>
        <v>ok</v>
      </c>
      <c r="J112" s="77">
        <f>IFERROR(VLOOKUP($H112,TG[],3,FALSE),"NA")</f>
        <v>0</v>
      </c>
      <c r="K112" s="77" t="str">
        <f>IFERROR(VLOOKUP($H112,TF[],3,FALSE),"NA")</f>
        <v>NA</v>
      </c>
      <c r="L112" s="77" t="str">
        <f>IFERROR(VLOOKUP($H112,TT[],3,FALSE),"NA")</f>
        <v>NA</v>
      </c>
      <c r="M112" s="77">
        <f>IFERROR(VLOOKUP($H112,TES[],3,FALSE),"NA")</f>
        <v>0</v>
      </c>
      <c r="N112" s="77" t="str">
        <f>IFERROR(VLOOKUP($H112,TEC[],3,FALSE),"NA")</f>
        <v>NA</v>
      </c>
      <c r="O112" s="77" t="str">
        <f>IFERROR(VLOOKUP($H112,TP[],3,FALSE),"NA")</f>
        <v>NA</v>
      </c>
      <c r="P112" s="77" t="str">
        <f>IFERROR(VLOOKUP($H112,TEN[],3,FALSE),"NA")</f>
        <v>NA</v>
      </c>
      <c r="Q112" s="77" t="str">
        <f>IFERROR(VLOOKUP($H112,TD[],3,FALSE),"NA")</f>
        <v>NA</v>
      </c>
      <c r="R112" s="77" t="str">
        <f>IFERROR(VLOOKUP($H112,TC[],3,FALSE),"NA")</f>
        <v>NA</v>
      </c>
      <c r="S112" s="77" t="str">
        <f>IFERROR(VLOOKUP($H112,TEV[],3,FALSE),"NA")</f>
        <v>NA</v>
      </c>
      <c r="T112" s="79">
        <f>SUM(TbAlquiler[[#This Row],[GENERAL]:[ELEVADOR]])</f>
        <v>0</v>
      </c>
      <c r="U112" s="80">
        <f>IF(VLOOKUP(TbAlquiler[[#This Row],[ITEM]],TbPiezas[],5,FALSE)="NA",0,VLOOKUP(TbAlquiler[[#This Row],[ITEM]],TbPiezas[],5,FALSE))</f>
        <v>6.0999999999999943</v>
      </c>
      <c r="V112" s="81">
        <f>+TbAlquiler[[#This Row],[TOTAL]]*TbAlquiler[[#This Row],[P.U. (1)]]</f>
        <v>0</v>
      </c>
      <c r="W112" s="82">
        <f>+VLOOKUP(TbAlquiler[[#This Row],[ITEM]],TbPiezas[],6,FALSE)</f>
        <v>372.73</v>
      </c>
      <c r="X112" s="83">
        <f>+TbAlquiler[[#This Row],[TOTAL]]*TbAlquiler[[#This Row],[P.U. (2)]]</f>
        <v>0</v>
      </c>
      <c r="Y112" s="82">
        <f>+VLOOKUP(TbAlquiler[[#This Row],[ITEM]],TbPiezas[],7,FALSE)</f>
        <v>18.636500000000002</v>
      </c>
      <c r="Z112" s="84">
        <f>+TbAlquiler[[#This Row],[TOTAL]]*TbAlquiler[[#This Row],[P.U. (3)]]</f>
        <v>0</v>
      </c>
    </row>
    <row r="113" spans="1:26" ht="15" customHeight="1" x14ac:dyDescent="0.3">
      <c r="A113" s="2"/>
      <c r="B113" s="85">
        <v>96</v>
      </c>
      <c r="C113" s="71" t="s">
        <v>193</v>
      </c>
      <c r="D113" s="72" t="s">
        <v>194</v>
      </c>
      <c r="E113" s="73"/>
      <c r="F113" s="74">
        <f>+VLOOKUP(C113,TbAlquiler[],13,FALSE)</f>
        <v>0</v>
      </c>
      <c r="G113" s="2"/>
      <c r="H113" s="75" t="str">
        <f t="shared" si="2"/>
        <v>AM.8400</v>
      </c>
      <c r="I113" s="59" t="str">
        <f t="shared" si="3"/>
        <v>ok</v>
      </c>
      <c r="J113" s="77">
        <f>IFERROR(VLOOKUP($H113,TG[],3,FALSE),"NA")</f>
        <v>0</v>
      </c>
      <c r="K113" s="77" t="str">
        <f>IFERROR(VLOOKUP($H113,TF[],3,FALSE),"NA")</f>
        <v>NA</v>
      </c>
      <c r="L113" s="77" t="str">
        <f>IFERROR(VLOOKUP($H113,TT[],3,FALSE),"NA")</f>
        <v>NA</v>
      </c>
      <c r="M113" s="77">
        <f>IFERROR(VLOOKUP($H113,TES[],3,FALSE),"NA")</f>
        <v>0</v>
      </c>
      <c r="N113" s="77" t="str">
        <f>IFERROR(VLOOKUP($H113,TEC[],3,FALSE),"NA")</f>
        <v>NA</v>
      </c>
      <c r="O113" s="77" t="str">
        <f>IFERROR(VLOOKUP($H113,TP[],3,FALSE),"NA")</f>
        <v>NA</v>
      </c>
      <c r="P113" s="77" t="str">
        <f>IFERROR(VLOOKUP($H113,TEN[],3,FALSE),"NA")</f>
        <v>NA</v>
      </c>
      <c r="Q113" s="77" t="str">
        <f>IFERROR(VLOOKUP($H113,TD[],3,FALSE),"NA")</f>
        <v>NA</v>
      </c>
      <c r="R113" s="77" t="str">
        <f>IFERROR(VLOOKUP($H113,TC[],3,FALSE),"NA")</f>
        <v>NA</v>
      </c>
      <c r="S113" s="77" t="str">
        <f>IFERROR(VLOOKUP($H113,TEV[],3,FALSE),"NA")</f>
        <v>NA</v>
      </c>
      <c r="T113" s="79">
        <f>SUM(TbAlquiler[[#This Row],[GENERAL]:[ELEVADOR]])</f>
        <v>0</v>
      </c>
      <c r="U113" s="80">
        <f>IF(VLOOKUP(TbAlquiler[[#This Row],[ITEM]],TbPiezas[],5,FALSE)="NA",0,VLOOKUP(TbAlquiler[[#This Row],[ITEM]],TbPiezas[],5,FALSE))</f>
        <v>1.2000000000000028</v>
      </c>
      <c r="V113" s="81">
        <f>+TbAlquiler[[#This Row],[TOTAL]]*TbAlquiler[[#This Row],[P.U. (1)]]</f>
        <v>0</v>
      </c>
      <c r="W113" s="82">
        <f>+VLOOKUP(TbAlquiler[[#This Row],[ITEM]],TbPiezas[],6,FALSE)</f>
        <v>90.1</v>
      </c>
      <c r="X113" s="83">
        <f>+TbAlquiler[[#This Row],[TOTAL]]*TbAlquiler[[#This Row],[P.U. (2)]]</f>
        <v>0</v>
      </c>
      <c r="Y113" s="82">
        <f>+VLOOKUP(TbAlquiler[[#This Row],[ITEM]],TbPiezas[],7,FALSE)</f>
        <v>4.5049999999999999</v>
      </c>
      <c r="Z113" s="84">
        <f>+TbAlquiler[[#This Row],[TOTAL]]*TbAlquiler[[#This Row],[P.U. (3)]]</f>
        <v>0</v>
      </c>
    </row>
    <row r="114" spans="1:26" ht="15" customHeight="1" x14ac:dyDescent="0.3">
      <c r="A114" s="2"/>
      <c r="B114" s="85">
        <v>97</v>
      </c>
      <c r="C114" s="71" t="s">
        <v>195</v>
      </c>
      <c r="D114" s="72" t="s">
        <v>196</v>
      </c>
      <c r="E114" s="73"/>
      <c r="F114" s="74">
        <f>+VLOOKUP(C114,TbAlquiler[],13,FALSE)</f>
        <v>4</v>
      </c>
      <c r="G114" s="2"/>
      <c r="H114" s="75" t="str">
        <f t="shared" si="2"/>
        <v>AM.8500</v>
      </c>
      <c r="I114" s="59" t="str">
        <f t="shared" si="3"/>
        <v>ok</v>
      </c>
      <c r="J114" s="77">
        <f>IFERROR(VLOOKUP($H114,TG[],3,FALSE),"NA")</f>
        <v>0</v>
      </c>
      <c r="K114" s="77">
        <f>IFERROR(VLOOKUP($H114,TF[],3,FALSE),"NA")</f>
        <v>0</v>
      </c>
      <c r="L114" s="77">
        <f>IFERROR(VLOOKUP($H114,TT[],3,FALSE),"NA")</f>
        <v>2</v>
      </c>
      <c r="M114" s="77">
        <f>IFERROR(VLOOKUP($H114,TES[],3,FALSE),"NA")</f>
        <v>2</v>
      </c>
      <c r="N114" s="77" t="str">
        <f>IFERROR(VLOOKUP($H114,TEC[],3,FALSE),"NA")</f>
        <v>NA</v>
      </c>
      <c r="O114" s="77" t="str">
        <f>IFERROR(VLOOKUP($H114,TP[],3,FALSE),"NA")</f>
        <v>NA</v>
      </c>
      <c r="P114" s="77" t="str">
        <f>IFERROR(VLOOKUP($H114,TEN[],3,FALSE),"NA")</f>
        <v>NA</v>
      </c>
      <c r="Q114" s="77" t="str">
        <f>IFERROR(VLOOKUP($H114,TD[],3,FALSE),"NA")</f>
        <v>NA</v>
      </c>
      <c r="R114" s="77" t="str">
        <f>IFERROR(VLOOKUP($H114,TC[],3,FALSE),"NA")</f>
        <v>NA</v>
      </c>
      <c r="S114" s="77" t="str">
        <f>IFERROR(VLOOKUP($H114,TEV[],3,FALSE),"NA")</f>
        <v>NA</v>
      </c>
      <c r="T114" s="79">
        <f>SUM(TbAlquiler[[#This Row],[GENERAL]:[ELEVADOR]])</f>
        <v>4</v>
      </c>
      <c r="U114" s="80">
        <f>IF(VLOOKUP(TbAlquiler[[#This Row],[ITEM]],TbPiezas[],5,FALSE)="NA",0,VLOOKUP(TbAlquiler[[#This Row],[ITEM]],TbPiezas[],5,FALSE))</f>
        <v>1.2000000000000028</v>
      </c>
      <c r="V114" s="81">
        <f>+TbAlquiler[[#This Row],[TOTAL]]*TbAlquiler[[#This Row],[P.U. (1)]]</f>
        <v>4.8000000000000114</v>
      </c>
      <c r="W114" s="82">
        <f>+VLOOKUP(TbAlquiler[[#This Row],[ITEM]],TbPiezas[],6,FALSE)</f>
        <v>118.69</v>
      </c>
      <c r="X114" s="83">
        <f>+TbAlquiler[[#This Row],[TOTAL]]*TbAlquiler[[#This Row],[P.U. (2)]]</f>
        <v>474.76</v>
      </c>
      <c r="Y114" s="82">
        <f>+VLOOKUP(TbAlquiler[[#This Row],[ITEM]],TbPiezas[],7,FALSE)</f>
        <v>5.9344999999999999</v>
      </c>
      <c r="Z114" s="84">
        <f>+TbAlquiler[[#This Row],[TOTAL]]*TbAlquiler[[#This Row],[P.U. (3)]]</f>
        <v>23.738</v>
      </c>
    </row>
    <row r="115" spans="1:26" ht="15" customHeight="1" x14ac:dyDescent="0.3">
      <c r="A115" s="2"/>
      <c r="B115" s="85">
        <v>98</v>
      </c>
      <c r="C115" s="429" t="s">
        <v>197</v>
      </c>
      <c r="D115" s="430" t="s">
        <v>198</v>
      </c>
      <c r="E115" s="73"/>
      <c r="F115" s="74">
        <f>+VLOOKUP(C115,TbAlquiler[],13,FALSE)</f>
        <v>0</v>
      </c>
      <c r="G115" s="2"/>
      <c r="H115" s="75" t="str">
        <f t="shared" si="2"/>
        <v>AM.8600</v>
      </c>
      <c r="I115" s="59" t="str">
        <f t="shared" si="3"/>
        <v>ok</v>
      </c>
      <c r="J115" s="77">
        <f>IFERROR(VLOOKUP($H115,TG[],3,FALSE),"NA")</f>
        <v>0</v>
      </c>
      <c r="K115" s="77">
        <f>IFERROR(VLOOKUP($H115,TF[],3,FALSE),"NA")</f>
        <v>0</v>
      </c>
      <c r="L115" s="77">
        <f>IFERROR(VLOOKUP($H115,TT[],3,FALSE),"NA")</f>
        <v>0</v>
      </c>
      <c r="M115" s="77">
        <f>IFERROR(VLOOKUP($H115,TES[],3,FALSE),"NA")</f>
        <v>0</v>
      </c>
      <c r="N115" s="77" t="str">
        <f>IFERROR(VLOOKUP($H115,TEC[],3,FALSE),"NA")</f>
        <v>NA</v>
      </c>
      <c r="O115" s="77" t="str">
        <f>IFERROR(VLOOKUP($H115,TP[],3,FALSE),"NA")</f>
        <v>NA</v>
      </c>
      <c r="P115" s="77" t="str">
        <f>IFERROR(VLOOKUP($H115,TEN[],3,FALSE),"NA")</f>
        <v>NA</v>
      </c>
      <c r="Q115" s="77" t="str">
        <f>IFERROR(VLOOKUP($H115,TD[],3,FALSE),"NA")</f>
        <v>NA</v>
      </c>
      <c r="R115" s="77" t="str">
        <f>IFERROR(VLOOKUP($H115,TC[],3,FALSE),"NA")</f>
        <v>NA</v>
      </c>
      <c r="S115" s="77" t="str">
        <f>IFERROR(VLOOKUP($H115,TEV[],3,FALSE),"NA")</f>
        <v>NA</v>
      </c>
      <c r="T115" s="79">
        <f>SUM(TbAlquiler[[#This Row],[GENERAL]:[ELEVADOR]])</f>
        <v>0</v>
      </c>
      <c r="U115" s="80">
        <f>IF(VLOOKUP(TbAlquiler[[#This Row],[ITEM]],TbPiezas[],5,FALSE)="NA",0,VLOOKUP(TbAlquiler[[#This Row],[ITEM]],TbPiezas[],5,FALSE))</f>
        <v>1.7000000000000028</v>
      </c>
      <c r="V115" s="81">
        <f>+TbAlquiler[[#This Row],[TOTAL]]*TbAlquiler[[#This Row],[P.U. (1)]]</f>
        <v>0</v>
      </c>
      <c r="W115" s="82">
        <f>+VLOOKUP(TbAlquiler[[#This Row],[ITEM]],TbPiezas[],6,FALSE)</f>
        <v>59.23</v>
      </c>
      <c r="X115" s="83">
        <f>+TbAlquiler[[#This Row],[TOTAL]]*TbAlquiler[[#This Row],[P.U. (2)]]</f>
        <v>0</v>
      </c>
      <c r="Y115" s="82">
        <f>+VLOOKUP(TbAlquiler[[#This Row],[ITEM]],TbPiezas[],7,FALSE)</f>
        <v>2.9615</v>
      </c>
      <c r="Z115" s="84">
        <f>+TbAlquiler[[#This Row],[TOTAL]]*TbAlquiler[[#This Row],[P.U. (3)]]</f>
        <v>0</v>
      </c>
    </row>
    <row r="116" spans="1:26" ht="15" customHeight="1" x14ac:dyDescent="0.3">
      <c r="A116" s="2"/>
      <c r="B116" s="85">
        <v>99</v>
      </c>
      <c r="C116" s="71" t="s">
        <v>199</v>
      </c>
      <c r="D116" s="72" t="s">
        <v>200</v>
      </c>
      <c r="E116" s="73"/>
      <c r="F116" s="74">
        <f>+VLOOKUP(C116,TbAlquiler[],13,FALSE)</f>
        <v>3</v>
      </c>
      <c r="G116" s="2"/>
      <c r="H116" s="75" t="str">
        <f t="shared" si="2"/>
        <v>AM.8700</v>
      </c>
      <c r="I116" s="59" t="str">
        <f t="shared" si="3"/>
        <v>ok</v>
      </c>
      <c r="J116" s="77">
        <f>IFERROR(VLOOKUP($H116,TG[],3,FALSE),"NA")</f>
        <v>3</v>
      </c>
      <c r="K116" s="77" t="str">
        <f>IFERROR(VLOOKUP($H116,TF[],3,FALSE),"NA")</f>
        <v>NA</v>
      </c>
      <c r="L116" s="77" t="str">
        <f>IFERROR(VLOOKUP($H116,TT[],3,FALSE),"NA")</f>
        <v>NA</v>
      </c>
      <c r="M116" s="77">
        <f>IFERROR(VLOOKUP($H116,TES[],3,FALSE),"NA")</f>
        <v>0</v>
      </c>
      <c r="N116" s="77" t="str">
        <f>IFERROR(VLOOKUP($H116,TEC[],3,FALSE),"NA")</f>
        <v>NA</v>
      </c>
      <c r="O116" s="77" t="str">
        <f>IFERROR(VLOOKUP($H116,TP[],3,FALSE),"NA")</f>
        <v>NA</v>
      </c>
      <c r="P116" s="77" t="str">
        <f>IFERROR(VLOOKUP($H116,TEN[],3,FALSE),"NA")</f>
        <v>NA</v>
      </c>
      <c r="Q116" s="77" t="str">
        <f>IFERROR(VLOOKUP($H116,TD[],3,FALSE),"NA")</f>
        <v>NA</v>
      </c>
      <c r="R116" s="77" t="str">
        <f>IFERROR(VLOOKUP($H116,TC[],3,FALSE),"NA")</f>
        <v>NA</v>
      </c>
      <c r="S116" s="77" t="str">
        <f>IFERROR(VLOOKUP($H116,TEV[],3,FALSE),"NA")</f>
        <v>NA</v>
      </c>
      <c r="T116" s="79">
        <f>SUM(TbAlquiler[[#This Row],[GENERAL]:[ELEVADOR]])</f>
        <v>3</v>
      </c>
      <c r="U116" s="80">
        <f>IF(VLOOKUP(TbAlquiler[[#This Row],[ITEM]],TbPiezas[],5,FALSE)="NA",0,VLOOKUP(TbAlquiler[[#This Row],[ITEM]],TbPiezas[],5,FALSE))</f>
        <v>5.7999999999999972</v>
      </c>
      <c r="V116" s="81">
        <f>+TbAlquiler[[#This Row],[TOTAL]]*TbAlquiler[[#This Row],[P.U. (1)]]</f>
        <v>17.399999999999991</v>
      </c>
      <c r="W116" s="82">
        <f>+VLOOKUP(TbAlquiler[[#This Row],[ITEM]],TbPiezas[],6,FALSE)</f>
        <v>304.92</v>
      </c>
      <c r="X116" s="83">
        <f>+TbAlquiler[[#This Row],[TOTAL]]*TbAlquiler[[#This Row],[P.U. (2)]]</f>
        <v>914.76</v>
      </c>
      <c r="Y116" s="82">
        <f>+VLOOKUP(TbAlquiler[[#This Row],[ITEM]],TbPiezas[],7,FALSE)</f>
        <v>15.246000000000002</v>
      </c>
      <c r="Z116" s="84">
        <f>+TbAlquiler[[#This Row],[TOTAL]]*TbAlquiler[[#This Row],[P.U. (3)]]</f>
        <v>45.738000000000007</v>
      </c>
    </row>
    <row r="117" spans="1:26" ht="15" customHeight="1" x14ac:dyDescent="0.3">
      <c r="A117" s="2"/>
      <c r="B117" s="85">
        <v>100</v>
      </c>
      <c r="C117" s="429" t="s">
        <v>201</v>
      </c>
      <c r="D117" s="430" t="s">
        <v>202</v>
      </c>
      <c r="E117" s="73"/>
      <c r="F117" s="74">
        <f>+VLOOKUP(C117,TbAlquiler[],13,FALSE)</f>
        <v>6</v>
      </c>
      <c r="G117" s="2"/>
      <c r="H117" s="75" t="str">
        <f t="shared" si="2"/>
        <v>AM.8800</v>
      </c>
      <c r="I117" s="59" t="str">
        <f t="shared" si="3"/>
        <v>ok</v>
      </c>
      <c r="J117" s="77">
        <f>IFERROR(VLOOKUP($H117,TG[],3,FALSE),"NA")</f>
        <v>0</v>
      </c>
      <c r="K117" s="77">
        <f>IFERROR(VLOOKUP($H117,TF[],3,FALSE),"NA")</f>
        <v>0</v>
      </c>
      <c r="L117" s="77">
        <f>IFERROR(VLOOKUP($H117,TT[],3,FALSE),"NA")</f>
        <v>2</v>
      </c>
      <c r="M117" s="77">
        <f>IFERROR(VLOOKUP($H117,TES[],3,FALSE),"NA")</f>
        <v>4</v>
      </c>
      <c r="N117" s="77" t="str">
        <f>IFERROR(VLOOKUP($H117,TEC[],3,FALSE),"NA")</f>
        <v>NA</v>
      </c>
      <c r="O117" s="77" t="str">
        <f>IFERROR(VLOOKUP($H117,TP[],3,FALSE),"NA")</f>
        <v>NA</v>
      </c>
      <c r="P117" s="77" t="str">
        <f>IFERROR(VLOOKUP($H117,TEN[],3,FALSE),"NA")</f>
        <v>NA</v>
      </c>
      <c r="Q117" s="77" t="str">
        <f>IFERROR(VLOOKUP($H117,TD[],3,FALSE),"NA")</f>
        <v>NA</v>
      </c>
      <c r="R117" s="77" t="str">
        <f>IFERROR(VLOOKUP($H117,TC[],3,FALSE),"NA")</f>
        <v>NA</v>
      </c>
      <c r="S117" s="77" t="str">
        <f>IFERROR(VLOOKUP($H117,TEV[],3,FALSE),"NA")</f>
        <v>NA</v>
      </c>
      <c r="T117" s="79">
        <f>SUM(TbAlquiler[[#This Row],[GENERAL]:[ELEVADOR]])</f>
        <v>6</v>
      </c>
      <c r="U117" s="80">
        <f>IF(VLOOKUP(TbAlquiler[[#This Row],[ITEM]],TbPiezas[],5,FALSE)="NA",0,VLOOKUP(TbAlquiler[[#This Row],[ITEM]],TbPiezas[],5,FALSE))</f>
        <v>0.4</v>
      </c>
      <c r="V117" s="81">
        <f>+TbAlquiler[[#This Row],[TOTAL]]*TbAlquiler[[#This Row],[P.U. (1)]]</f>
        <v>2.4000000000000004</v>
      </c>
      <c r="W117" s="82">
        <f>+VLOOKUP(TbAlquiler[[#This Row],[ITEM]],TbPiezas[],6,FALSE)</f>
        <v>44.75</v>
      </c>
      <c r="X117" s="83">
        <f>+TbAlquiler[[#This Row],[TOTAL]]*TbAlquiler[[#This Row],[P.U. (2)]]</f>
        <v>268.5</v>
      </c>
      <c r="Y117" s="82">
        <f>+VLOOKUP(TbAlquiler[[#This Row],[ITEM]],TbPiezas[],7,FALSE)</f>
        <v>2.2375000000000003</v>
      </c>
      <c r="Z117" s="84">
        <f>+TbAlquiler[[#This Row],[TOTAL]]*TbAlquiler[[#This Row],[P.U. (3)]]</f>
        <v>13.425000000000001</v>
      </c>
    </row>
    <row r="118" spans="1:26" ht="15" customHeight="1" x14ac:dyDescent="0.3">
      <c r="A118" s="2"/>
      <c r="B118" s="85">
        <v>101</v>
      </c>
      <c r="C118" s="71" t="s">
        <v>203</v>
      </c>
      <c r="D118" s="72" t="s">
        <v>204</v>
      </c>
      <c r="E118" s="73"/>
      <c r="F118" s="74">
        <f>+VLOOKUP(C118,TbAlquiler[],13,FALSE)</f>
        <v>0</v>
      </c>
      <c r="G118" s="2"/>
      <c r="H118" s="75" t="str">
        <f t="shared" si="2"/>
        <v>AM.8900</v>
      </c>
      <c r="I118" s="59" t="str">
        <f t="shared" si="3"/>
        <v>ok</v>
      </c>
      <c r="J118" s="77">
        <f>IFERROR(VLOOKUP($H118,TG[],3,FALSE),"NA")</f>
        <v>0</v>
      </c>
      <c r="K118" s="77">
        <f>IFERROR(VLOOKUP($H118,TF[],3,FALSE),"NA")</f>
        <v>0</v>
      </c>
      <c r="L118" s="77">
        <f>IFERROR(VLOOKUP($H118,TT[],3,FALSE),"NA")</f>
        <v>0</v>
      </c>
      <c r="M118" s="77">
        <f>IFERROR(VLOOKUP($H118,TES[],3,FALSE),"NA")</f>
        <v>0</v>
      </c>
      <c r="N118" s="77" t="str">
        <f>IFERROR(VLOOKUP($H118,TEC[],3,FALSE),"NA")</f>
        <v>NA</v>
      </c>
      <c r="O118" s="77" t="str">
        <f>IFERROR(VLOOKUP($H118,TP[],3,FALSE),"NA")</f>
        <v>NA</v>
      </c>
      <c r="P118" s="77" t="str">
        <f>IFERROR(VLOOKUP($H118,TEN[],3,FALSE),"NA")</f>
        <v>NA</v>
      </c>
      <c r="Q118" s="77" t="str">
        <f>IFERROR(VLOOKUP($H118,TD[],3,FALSE),"NA")</f>
        <v>NA</v>
      </c>
      <c r="R118" s="77" t="str">
        <f>IFERROR(VLOOKUP($H118,TC[],3,FALSE),"NA")</f>
        <v>NA</v>
      </c>
      <c r="S118" s="77" t="str">
        <f>IFERROR(VLOOKUP($H118,TEV[],3,FALSE),"NA")</f>
        <v>NA</v>
      </c>
      <c r="T118" s="79">
        <f>SUM(TbAlquiler[[#This Row],[GENERAL]:[ELEVADOR]])</f>
        <v>0</v>
      </c>
      <c r="U118" s="80">
        <f>IF(VLOOKUP(TbAlquiler[[#This Row],[ITEM]],TbPiezas[],5,FALSE)="NA",0,VLOOKUP(TbAlquiler[[#This Row],[ITEM]],TbPiezas[],5,FALSE))</f>
        <v>0.5</v>
      </c>
      <c r="V118" s="81">
        <f>+TbAlquiler[[#This Row],[TOTAL]]*TbAlquiler[[#This Row],[P.U. (1)]]</f>
        <v>0</v>
      </c>
      <c r="W118" s="82">
        <f>+VLOOKUP(TbAlquiler[[#This Row],[ITEM]],TbPiezas[],6,FALSE)</f>
        <v>44.75</v>
      </c>
      <c r="X118" s="83">
        <f>+TbAlquiler[[#This Row],[TOTAL]]*TbAlquiler[[#This Row],[P.U. (2)]]</f>
        <v>0</v>
      </c>
      <c r="Y118" s="82">
        <f>+VLOOKUP(TbAlquiler[[#This Row],[ITEM]],TbPiezas[],7,FALSE)</f>
        <v>2.2375000000000003</v>
      </c>
      <c r="Z118" s="84">
        <f>+TbAlquiler[[#This Row],[TOTAL]]*TbAlquiler[[#This Row],[P.U. (3)]]</f>
        <v>0</v>
      </c>
    </row>
    <row r="119" spans="1:26" ht="15" customHeight="1" x14ac:dyDescent="0.3">
      <c r="A119" s="2"/>
      <c r="B119" s="85">
        <v>102</v>
      </c>
      <c r="C119" s="71" t="s">
        <v>205</v>
      </c>
      <c r="D119" s="72" t="s">
        <v>206</v>
      </c>
      <c r="E119" s="73"/>
      <c r="F119" s="74">
        <f>+VLOOKUP(C119,TbAlquiler[],13,FALSE)</f>
        <v>2</v>
      </c>
      <c r="G119" s="2"/>
      <c r="H119" s="75" t="str">
        <f t="shared" si="2"/>
        <v>AM.9000</v>
      </c>
      <c r="I119" s="59" t="str">
        <f t="shared" si="3"/>
        <v>ok</v>
      </c>
      <c r="J119" s="77">
        <f>IFERROR(VLOOKUP($H119,TG[],3,FALSE),"NA")</f>
        <v>0</v>
      </c>
      <c r="K119" s="77">
        <f>IFERROR(VLOOKUP($H119,TF[],3,FALSE),"NA")</f>
        <v>0</v>
      </c>
      <c r="L119" s="77">
        <f>IFERROR(VLOOKUP($H119,TT[],3,FALSE),"NA")</f>
        <v>0</v>
      </c>
      <c r="M119" s="77">
        <f>IFERROR(VLOOKUP($H119,TES[],3,FALSE),"NA")</f>
        <v>2</v>
      </c>
      <c r="N119" s="77" t="str">
        <f>IFERROR(VLOOKUP($H119,TEC[],3,FALSE),"NA")</f>
        <v>NA</v>
      </c>
      <c r="O119" s="77" t="str">
        <f>IFERROR(VLOOKUP($H119,TP[],3,FALSE),"NA")</f>
        <v>NA</v>
      </c>
      <c r="P119" s="77" t="str">
        <f>IFERROR(VLOOKUP($H119,TEN[],3,FALSE),"NA")</f>
        <v>NA</v>
      </c>
      <c r="Q119" s="77" t="str">
        <f>IFERROR(VLOOKUP($H119,TD[],3,FALSE),"NA")</f>
        <v>NA</v>
      </c>
      <c r="R119" s="77" t="str">
        <f>IFERROR(VLOOKUP($H119,TC[],3,FALSE),"NA")</f>
        <v>NA</v>
      </c>
      <c r="S119" s="77" t="str">
        <f>IFERROR(VLOOKUP($H119,TEV[],3,FALSE),"NA")</f>
        <v>NA</v>
      </c>
      <c r="T119" s="79">
        <f>SUM(TbAlquiler[[#This Row],[GENERAL]:[ELEVADOR]])</f>
        <v>2</v>
      </c>
      <c r="U119" s="80">
        <f>IF(VLOOKUP(TbAlquiler[[#This Row],[ITEM]],TbPiezas[],5,FALSE)="NA",0,VLOOKUP(TbAlquiler[[#This Row],[ITEM]],TbPiezas[],5,FALSE))</f>
        <v>1.7999999999999972</v>
      </c>
      <c r="V119" s="81">
        <f>+TbAlquiler[[#This Row],[TOTAL]]*TbAlquiler[[#This Row],[P.U. (1)]]</f>
        <v>3.5999999999999943</v>
      </c>
      <c r="W119" s="82">
        <f>+VLOOKUP(TbAlquiler[[#This Row],[ITEM]],TbPiezas[],6,FALSE)</f>
        <v>112.93</v>
      </c>
      <c r="X119" s="83">
        <f>+TbAlquiler[[#This Row],[TOTAL]]*TbAlquiler[[#This Row],[P.U. (2)]]</f>
        <v>225.86</v>
      </c>
      <c r="Y119" s="82">
        <f>+VLOOKUP(TbAlquiler[[#This Row],[ITEM]],TbPiezas[],7,FALSE)</f>
        <v>5.6465000000000005</v>
      </c>
      <c r="Z119" s="84">
        <f>+TbAlquiler[[#This Row],[TOTAL]]*TbAlquiler[[#This Row],[P.U. (3)]]</f>
        <v>11.293000000000001</v>
      </c>
    </row>
    <row r="120" spans="1:26" ht="15" customHeight="1" x14ac:dyDescent="0.3">
      <c r="A120" s="2"/>
      <c r="B120" s="85">
        <v>103</v>
      </c>
      <c r="C120" s="71" t="s">
        <v>207</v>
      </c>
      <c r="D120" s="72" t="s">
        <v>208</v>
      </c>
      <c r="E120" s="73"/>
      <c r="F120" s="74">
        <f>+VLOOKUP(C120,TbAlquiler[],13,FALSE)</f>
        <v>0</v>
      </c>
      <c r="G120" s="2"/>
      <c r="H120" s="75" t="str">
        <f t="shared" si="2"/>
        <v>AM.9100</v>
      </c>
      <c r="I120" s="59" t="str">
        <f t="shared" si="3"/>
        <v>ok</v>
      </c>
      <c r="J120" s="77">
        <f>IFERROR(VLOOKUP($H120,TG[],3,FALSE),"NA")</f>
        <v>0</v>
      </c>
      <c r="K120" s="77">
        <f>IFERROR(VLOOKUP($H120,TF[],3,FALSE),"NA")</f>
        <v>0</v>
      </c>
      <c r="L120" s="77">
        <f>IFERROR(VLOOKUP($H120,TT[],3,FALSE),"NA")</f>
        <v>0</v>
      </c>
      <c r="M120" s="77">
        <f>IFERROR(VLOOKUP($H120,TES[],3,FALSE),"NA")</f>
        <v>0</v>
      </c>
      <c r="N120" s="77" t="str">
        <f>IFERROR(VLOOKUP($H120,TEC[],3,FALSE),"NA")</f>
        <v>NA</v>
      </c>
      <c r="O120" s="77" t="str">
        <f>IFERROR(VLOOKUP($H120,TP[],3,FALSE),"NA")</f>
        <v>NA</v>
      </c>
      <c r="P120" s="77" t="str">
        <f>IFERROR(VLOOKUP($H120,TEN[],3,FALSE),"NA")</f>
        <v>NA</v>
      </c>
      <c r="Q120" s="77" t="str">
        <f>IFERROR(VLOOKUP($H120,TD[],3,FALSE),"NA")</f>
        <v>NA</v>
      </c>
      <c r="R120" s="77" t="str">
        <f>IFERROR(VLOOKUP($H120,TC[],3,FALSE),"NA")</f>
        <v>NA</v>
      </c>
      <c r="S120" s="77" t="str">
        <f>IFERROR(VLOOKUP($H120,TEV[],3,FALSE),"NA")</f>
        <v>NA</v>
      </c>
      <c r="T120" s="79">
        <f>SUM(TbAlquiler[[#This Row],[GENERAL]:[ELEVADOR]])</f>
        <v>0</v>
      </c>
      <c r="U120" s="80">
        <f>IF(VLOOKUP(TbAlquiler[[#This Row],[ITEM]],TbPiezas[],5,FALSE)="NA",0,VLOOKUP(TbAlquiler[[#This Row],[ITEM]],TbPiezas[],5,FALSE))</f>
        <v>3.8</v>
      </c>
      <c r="V120" s="81">
        <f>+TbAlquiler[[#This Row],[TOTAL]]*TbAlquiler[[#This Row],[P.U. (1)]]</f>
        <v>0</v>
      </c>
      <c r="W120" s="82">
        <f>+VLOOKUP(TbAlquiler[[#This Row],[ITEM]],TbPiezas[],6,FALSE)</f>
        <v>173.65</v>
      </c>
      <c r="X120" s="83">
        <f>+TbAlquiler[[#This Row],[TOTAL]]*TbAlquiler[[#This Row],[P.U. (2)]]</f>
        <v>0</v>
      </c>
      <c r="Y120" s="82">
        <f>+VLOOKUP(TbAlquiler[[#This Row],[ITEM]],TbPiezas[],7,FALSE)</f>
        <v>8.682500000000001</v>
      </c>
      <c r="Z120" s="84">
        <f>+TbAlquiler[[#This Row],[TOTAL]]*TbAlquiler[[#This Row],[P.U. (3)]]</f>
        <v>0</v>
      </c>
    </row>
    <row r="121" spans="1:26" ht="15" customHeight="1" x14ac:dyDescent="0.3">
      <c r="A121" s="2"/>
      <c r="B121" s="85">
        <v>104</v>
      </c>
      <c r="C121" s="71" t="s">
        <v>209</v>
      </c>
      <c r="D121" s="72" t="s">
        <v>210</v>
      </c>
      <c r="E121" s="73"/>
      <c r="F121" s="74">
        <f>+VLOOKUP(C121,TbAlquiler[],13,FALSE)</f>
        <v>5</v>
      </c>
      <c r="G121" s="2"/>
      <c r="H121" s="75" t="str">
        <f t="shared" si="2"/>
        <v>AM.9200</v>
      </c>
      <c r="I121" s="59" t="str">
        <f t="shared" si="3"/>
        <v>ok</v>
      </c>
      <c r="J121" s="77">
        <f>IFERROR(VLOOKUP($H121,TG[],3,FALSE),"NA")</f>
        <v>0</v>
      </c>
      <c r="K121" s="77">
        <f>IFERROR(VLOOKUP($H121,TF[],3,FALSE),"NA")</f>
        <v>0</v>
      </c>
      <c r="L121" s="77">
        <f>IFERROR(VLOOKUP($H121,TT[],3,FALSE),"NA")</f>
        <v>0</v>
      </c>
      <c r="M121" s="77">
        <f>IFERROR(VLOOKUP($H121,TES[],3,FALSE),"NA")</f>
        <v>5</v>
      </c>
      <c r="N121" s="77" t="str">
        <f>IFERROR(VLOOKUP($H121,TEC[],3,FALSE),"NA")</f>
        <v>NA</v>
      </c>
      <c r="O121" s="77" t="str">
        <f>IFERROR(VLOOKUP($H121,TP[],3,FALSE),"NA")</f>
        <v>NA</v>
      </c>
      <c r="P121" s="77" t="str">
        <f>IFERROR(VLOOKUP($H121,TEN[],3,FALSE),"NA")</f>
        <v>NA</v>
      </c>
      <c r="Q121" s="77" t="str">
        <f>IFERROR(VLOOKUP($H121,TD[],3,FALSE),"NA")</f>
        <v>NA</v>
      </c>
      <c r="R121" s="77" t="str">
        <f>IFERROR(VLOOKUP($H121,TC[],3,FALSE),"NA")</f>
        <v>NA</v>
      </c>
      <c r="S121" s="77" t="str">
        <f>IFERROR(VLOOKUP($H121,TEV[],3,FALSE),"NA")</f>
        <v>NA</v>
      </c>
      <c r="T121" s="79">
        <f>SUM(TbAlquiler[[#This Row],[GENERAL]:[ELEVADOR]])</f>
        <v>5</v>
      </c>
      <c r="U121" s="80">
        <f>IF(VLOOKUP(TbAlquiler[[#This Row],[ITEM]],TbPiezas[],5,FALSE)="NA",0,VLOOKUP(TbAlquiler[[#This Row],[ITEM]],TbPiezas[],5,FALSE))</f>
        <v>9.9999999999994316E-2</v>
      </c>
      <c r="V121" s="81">
        <f>+TbAlquiler[[#This Row],[TOTAL]]*TbAlquiler[[#This Row],[P.U. (1)]]</f>
        <v>0.49999999999997158</v>
      </c>
      <c r="W121" s="82">
        <f>+VLOOKUP(TbAlquiler[[#This Row],[ITEM]],TbPiezas[],6,FALSE)</f>
        <v>9.91</v>
      </c>
      <c r="X121" s="83">
        <f>+TbAlquiler[[#This Row],[TOTAL]]*TbAlquiler[[#This Row],[P.U. (2)]]</f>
        <v>49.55</v>
      </c>
      <c r="Y121" s="82">
        <f>+VLOOKUP(TbAlquiler[[#This Row],[ITEM]],TbPiezas[],7,FALSE)</f>
        <v>0.49550000000000005</v>
      </c>
      <c r="Z121" s="84">
        <f>+TbAlquiler[[#This Row],[TOTAL]]*TbAlquiler[[#This Row],[P.U. (3)]]</f>
        <v>2.4775</v>
      </c>
    </row>
    <row r="122" spans="1:26" ht="15" customHeight="1" x14ac:dyDescent="0.3">
      <c r="A122" s="2"/>
      <c r="B122" s="85">
        <v>105</v>
      </c>
      <c r="C122" s="429" t="s">
        <v>211</v>
      </c>
      <c r="D122" s="430" t="s">
        <v>212</v>
      </c>
      <c r="E122" s="73"/>
      <c r="F122" s="74">
        <f>+VLOOKUP(C122,TbAlquiler[],13,FALSE)</f>
        <v>4</v>
      </c>
      <c r="G122" s="2"/>
      <c r="H122" s="75" t="str">
        <f t="shared" si="2"/>
        <v>AM.9300</v>
      </c>
      <c r="I122" s="59" t="str">
        <f t="shared" si="3"/>
        <v>ok</v>
      </c>
      <c r="J122" s="77">
        <f>IFERROR(VLOOKUP($H122,TG[],3,FALSE),"NA")</f>
        <v>0</v>
      </c>
      <c r="K122" s="77" t="str">
        <f>IFERROR(VLOOKUP($H122,TF[],3,FALSE),"NA")</f>
        <v>NA</v>
      </c>
      <c r="L122" s="77">
        <f>IFERROR(VLOOKUP($H122,TT[],3,FALSE),"NA")</f>
        <v>4</v>
      </c>
      <c r="M122" s="77">
        <f>IFERROR(VLOOKUP($H122,TES[],3,FALSE),"NA")</f>
        <v>0</v>
      </c>
      <c r="N122" s="77" t="str">
        <f>IFERROR(VLOOKUP($H122,TEC[],3,FALSE),"NA")</f>
        <v>NA</v>
      </c>
      <c r="O122" s="77" t="str">
        <f>IFERROR(VLOOKUP($H122,TP[],3,FALSE),"NA")</f>
        <v>NA</v>
      </c>
      <c r="P122" s="77" t="str">
        <f>IFERROR(VLOOKUP($H122,TEN[],3,FALSE),"NA")</f>
        <v>NA</v>
      </c>
      <c r="Q122" s="77" t="str">
        <f>IFERROR(VLOOKUP($H122,TD[],3,FALSE),"NA")</f>
        <v>NA</v>
      </c>
      <c r="R122" s="77" t="str">
        <f>IFERROR(VLOOKUP($H122,TC[],3,FALSE),"NA")</f>
        <v>NA</v>
      </c>
      <c r="S122" s="77" t="str">
        <f>IFERROR(VLOOKUP($H122,TEV[],3,FALSE),"NA")</f>
        <v>NA</v>
      </c>
      <c r="T122" s="79">
        <f>SUM(TbAlquiler[[#This Row],[GENERAL]:[ELEVADOR]])</f>
        <v>4</v>
      </c>
      <c r="U122" s="80">
        <f>IF(VLOOKUP(TbAlquiler[[#This Row],[ITEM]],TbPiezas[],5,FALSE)="NA",0,VLOOKUP(TbAlquiler[[#This Row],[ITEM]],TbPiezas[],5,FALSE))</f>
        <v>9.9999999999994316E-2</v>
      </c>
      <c r="V122" s="81">
        <f>+TbAlquiler[[#This Row],[TOTAL]]*TbAlquiler[[#This Row],[P.U. (1)]]</f>
        <v>0.39999999999997726</v>
      </c>
      <c r="W122" s="82">
        <f>+VLOOKUP(TbAlquiler[[#This Row],[ITEM]],TbPiezas[],6,FALSE)</f>
        <v>9.91</v>
      </c>
      <c r="X122" s="83">
        <f>+TbAlquiler[[#This Row],[TOTAL]]*TbAlquiler[[#This Row],[P.U. (2)]]</f>
        <v>39.64</v>
      </c>
      <c r="Y122" s="82">
        <f>+VLOOKUP(TbAlquiler[[#This Row],[ITEM]],TbPiezas[],7,FALSE)</f>
        <v>0.49550000000000005</v>
      </c>
      <c r="Z122" s="84">
        <f>+TbAlquiler[[#This Row],[TOTAL]]*TbAlquiler[[#This Row],[P.U. (3)]]</f>
        <v>1.9820000000000002</v>
      </c>
    </row>
    <row r="123" spans="1:26" ht="15" customHeight="1" x14ac:dyDescent="0.3">
      <c r="A123" s="2"/>
      <c r="B123" s="85">
        <v>106</v>
      </c>
      <c r="C123" s="71" t="s">
        <v>213</v>
      </c>
      <c r="D123" s="72" t="s">
        <v>214</v>
      </c>
      <c r="E123" s="73"/>
      <c r="F123" s="74">
        <f>+VLOOKUP(C123,TbAlquiler[],13,FALSE)</f>
        <v>0</v>
      </c>
      <c r="G123" s="2"/>
      <c r="H123" s="75" t="str">
        <f t="shared" si="2"/>
        <v>AM.9400</v>
      </c>
      <c r="I123" s="59" t="str">
        <f t="shared" si="3"/>
        <v>ok</v>
      </c>
      <c r="J123" s="77">
        <f>IFERROR(VLOOKUP($H123,TG[],3,FALSE),"NA")</f>
        <v>0</v>
      </c>
      <c r="K123" s="77">
        <f>IFERROR(VLOOKUP($H123,TF[],3,FALSE),"NA")</f>
        <v>0</v>
      </c>
      <c r="L123" s="77" t="str">
        <f>IFERROR(VLOOKUP($H123,TT[],3,FALSE),"NA")</f>
        <v>NA</v>
      </c>
      <c r="M123" s="77">
        <f>IFERROR(VLOOKUP($H123,TES[],3,FALSE),"NA")</f>
        <v>0</v>
      </c>
      <c r="N123" s="77" t="str">
        <f>IFERROR(VLOOKUP($H123,TEC[],3,FALSE),"NA")</f>
        <v>NA</v>
      </c>
      <c r="O123" s="77" t="str">
        <f>IFERROR(VLOOKUP($H123,TP[],3,FALSE),"NA")</f>
        <v>NA</v>
      </c>
      <c r="P123" s="77" t="str">
        <f>IFERROR(VLOOKUP($H123,TEN[],3,FALSE),"NA")</f>
        <v>NA</v>
      </c>
      <c r="Q123" s="77" t="str">
        <f>IFERROR(VLOOKUP($H123,TD[],3,FALSE),"NA")</f>
        <v>NA</v>
      </c>
      <c r="R123" s="77" t="str">
        <f>IFERROR(VLOOKUP($H123,TC[],3,FALSE),"NA")</f>
        <v>NA</v>
      </c>
      <c r="S123" s="77" t="str">
        <f>IFERROR(VLOOKUP($H123,TEV[],3,FALSE),"NA")</f>
        <v>NA</v>
      </c>
      <c r="T123" s="79">
        <f>SUM(TbAlquiler[[#This Row],[GENERAL]:[ELEVADOR]])</f>
        <v>0</v>
      </c>
      <c r="U123" s="80">
        <f>IF(VLOOKUP(TbAlquiler[[#This Row],[ITEM]],TbPiezas[],5,FALSE)="NA",0,VLOOKUP(TbAlquiler[[#This Row],[ITEM]],TbPiezas[],5,FALSE))</f>
        <v>9.9999999999994316E-2</v>
      </c>
      <c r="V123" s="81">
        <f>+TbAlquiler[[#This Row],[TOTAL]]*TbAlquiler[[#This Row],[P.U. (1)]]</f>
        <v>0</v>
      </c>
      <c r="W123" s="82">
        <f>+VLOOKUP(TbAlquiler[[#This Row],[ITEM]],TbPiezas[],6,FALSE)</f>
        <v>9.91</v>
      </c>
      <c r="X123" s="83">
        <f>+TbAlquiler[[#This Row],[TOTAL]]*TbAlquiler[[#This Row],[P.U. (2)]]</f>
        <v>0</v>
      </c>
      <c r="Y123" s="82">
        <f>+VLOOKUP(TbAlquiler[[#This Row],[ITEM]],TbPiezas[],7,FALSE)</f>
        <v>0.49550000000000005</v>
      </c>
      <c r="Z123" s="84">
        <f>+TbAlquiler[[#This Row],[TOTAL]]*TbAlquiler[[#This Row],[P.U. (3)]]</f>
        <v>0</v>
      </c>
    </row>
    <row r="124" spans="1:26" ht="15" customHeight="1" x14ac:dyDescent="0.3">
      <c r="A124" s="2"/>
      <c r="B124" s="85">
        <v>107</v>
      </c>
      <c r="C124" s="71" t="s">
        <v>215</v>
      </c>
      <c r="D124" s="72" t="s">
        <v>216</v>
      </c>
      <c r="E124" s="73"/>
      <c r="F124" s="74">
        <f>+VLOOKUP(C124,TbAlquiler[],13,FALSE)</f>
        <v>0</v>
      </c>
      <c r="G124" s="2"/>
      <c r="H124" s="75" t="str">
        <f t="shared" si="2"/>
        <v>EA.0100</v>
      </c>
      <c r="I124" s="59" t="str">
        <f t="shared" si="3"/>
        <v>ok</v>
      </c>
      <c r="J124" s="77">
        <f>IFERROR(VLOOKUP($H124,TG[],3,FALSE),"NA")</f>
        <v>0</v>
      </c>
      <c r="K124" s="77" t="str">
        <f>IFERROR(VLOOKUP($H124,TF[],3,FALSE),"NA")</f>
        <v>NA</v>
      </c>
      <c r="L124" s="77" t="str">
        <f>IFERROR(VLOOKUP($H124,TT[],3,FALSE),"NA")</f>
        <v>NA</v>
      </c>
      <c r="M124" s="77">
        <f>IFERROR(VLOOKUP($H124,TES[],3,FALSE),"NA")</f>
        <v>0</v>
      </c>
      <c r="N124" s="77" t="str">
        <f>IFERROR(VLOOKUP($H124,TEC[],3,FALSE),"NA")</f>
        <v>NA</v>
      </c>
      <c r="O124" s="77" t="str">
        <f>IFERROR(VLOOKUP($H124,TP[],3,FALSE),"NA")</f>
        <v>NA</v>
      </c>
      <c r="P124" s="77" t="str">
        <f>IFERROR(VLOOKUP($H124,TEN[],3,FALSE),"NA")</f>
        <v>NA</v>
      </c>
      <c r="Q124" s="77" t="str">
        <f>IFERROR(VLOOKUP($H124,TD[],3,FALSE),"NA")</f>
        <v>NA</v>
      </c>
      <c r="R124" s="77" t="str">
        <f>IFERROR(VLOOKUP($H124,TC[],3,FALSE),"NA")</f>
        <v>NA</v>
      </c>
      <c r="S124" s="77" t="str">
        <f>IFERROR(VLOOKUP($H124,TEV[],3,FALSE),"NA")</f>
        <v>NA</v>
      </c>
      <c r="T124" s="79">
        <f>SUM(TbAlquiler[[#This Row],[GENERAL]:[ELEVADOR]])</f>
        <v>0</v>
      </c>
      <c r="U124" s="80">
        <f>IF(VLOOKUP(TbAlquiler[[#This Row],[ITEM]],TbPiezas[],5,FALSE)="NA",0,VLOOKUP(TbAlquiler[[#This Row],[ITEM]],TbPiezas[],5,FALSE))</f>
        <v>38.200000000000003</v>
      </c>
      <c r="V124" s="81">
        <f>+TbAlquiler[[#This Row],[TOTAL]]*TbAlquiler[[#This Row],[P.U. (1)]]</f>
        <v>0</v>
      </c>
      <c r="W124" s="82">
        <f>+VLOOKUP(TbAlquiler[[#This Row],[ITEM]],TbPiezas[],6,FALSE)</f>
        <v>2188.16</v>
      </c>
      <c r="X124" s="83">
        <f>+TbAlquiler[[#This Row],[TOTAL]]*TbAlquiler[[#This Row],[P.U. (2)]]</f>
        <v>0</v>
      </c>
      <c r="Y124" s="82">
        <f>+VLOOKUP(TbAlquiler[[#This Row],[ITEM]],TbPiezas[],7,FALSE)</f>
        <v>109.408</v>
      </c>
      <c r="Z124" s="84">
        <f>+TbAlquiler[[#This Row],[TOTAL]]*TbAlquiler[[#This Row],[P.U. (3)]]</f>
        <v>0</v>
      </c>
    </row>
    <row r="125" spans="1:26" ht="15" customHeight="1" x14ac:dyDescent="0.3">
      <c r="A125" s="2"/>
      <c r="B125" s="85">
        <v>108</v>
      </c>
      <c r="C125" s="71" t="s">
        <v>217</v>
      </c>
      <c r="D125" s="72" t="s">
        <v>218</v>
      </c>
      <c r="E125" s="73"/>
      <c r="F125" s="74">
        <f>+VLOOKUP(C125,TbAlquiler[],13,FALSE)</f>
        <v>0</v>
      </c>
      <c r="G125" s="2"/>
      <c r="H125" s="75" t="str">
        <f t="shared" si="2"/>
        <v>EA.0200</v>
      </c>
      <c r="I125" s="59" t="str">
        <f t="shared" si="3"/>
        <v>ok</v>
      </c>
      <c r="J125" s="77">
        <f>IFERROR(VLOOKUP($H125,TG[],3,FALSE),"NA")</f>
        <v>0</v>
      </c>
      <c r="K125" s="77" t="str">
        <f>IFERROR(VLOOKUP($H125,TF[],3,FALSE),"NA")</f>
        <v>NA</v>
      </c>
      <c r="L125" s="77" t="str">
        <f>IFERROR(VLOOKUP($H125,TT[],3,FALSE),"NA")</f>
        <v>NA</v>
      </c>
      <c r="M125" s="77">
        <f>IFERROR(VLOOKUP($H125,TES[],3,FALSE),"NA")</f>
        <v>0</v>
      </c>
      <c r="N125" s="77" t="str">
        <f>IFERROR(VLOOKUP($H125,TEC[],3,FALSE),"NA")</f>
        <v>NA</v>
      </c>
      <c r="O125" s="77" t="str">
        <f>IFERROR(VLOOKUP($H125,TP[],3,FALSE),"NA")</f>
        <v>NA</v>
      </c>
      <c r="P125" s="77" t="str">
        <f>IFERROR(VLOOKUP($H125,TEN[],3,FALSE),"NA")</f>
        <v>NA</v>
      </c>
      <c r="Q125" s="77" t="str">
        <f>IFERROR(VLOOKUP($H125,TD[],3,FALSE),"NA")</f>
        <v>NA</v>
      </c>
      <c r="R125" s="77" t="str">
        <f>IFERROR(VLOOKUP($H125,TC[],3,FALSE),"NA")</f>
        <v>NA</v>
      </c>
      <c r="S125" s="77" t="str">
        <f>IFERROR(VLOOKUP($H125,TEV[],3,FALSE),"NA")</f>
        <v>NA</v>
      </c>
      <c r="T125" s="79">
        <f>SUM(TbAlquiler[[#This Row],[GENERAL]:[ELEVADOR]])</f>
        <v>0</v>
      </c>
      <c r="U125" s="80">
        <f>IF(VLOOKUP(TbAlquiler[[#This Row],[ITEM]],TbPiezas[],5,FALSE)="NA",0,VLOOKUP(TbAlquiler[[#This Row],[ITEM]],TbPiezas[],5,FALSE))</f>
        <v>13.099999999999994</v>
      </c>
      <c r="V125" s="81">
        <f>+TbAlquiler[[#This Row],[TOTAL]]*TbAlquiler[[#This Row],[P.U. (1)]]</f>
        <v>0</v>
      </c>
      <c r="W125" s="82">
        <f>+VLOOKUP(TbAlquiler[[#This Row],[ITEM]],TbPiezas[],6,FALSE)</f>
        <v>285.07</v>
      </c>
      <c r="X125" s="83">
        <f>+TbAlquiler[[#This Row],[TOTAL]]*TbAlquiler[[#This Row],[P.U. (2)]]</f>
        <v>0</v>
      </c>
      <c r="Y125" s="82">
        <f>+VLOOKUP(TbAlquiler[[#This Row],[ITEM]],TbPiezas[],7,FALSE)</f>
        <v>14.253500000000001</v>
      </c>
      <c r="Z125" s="84">
        <f>+TbAlquiler[[#This Row],[TOTAL]]*TbAlquiler[[#This Row],[P.U. (3)]]</f>
        <v>0</v>
      </c>
    </row>
    <row r="126" spans="1:26" ht="15" customHeight="1" x14ac:dyDescent="0.3">
      <c r="A126" s="2"/>
      <c r="B126" s="85">
        <v>109</v>
      </c>
      <c r="C126" s="71" t="s">
        <v>219</v>
      </c>
      <c r="D126" s="72" t="s">
        <v>220</v>
      </c>
      <c r="E126" s="73"/>
      <c r="F126" s="74">
        <f>+VLOOKUP(C126,TbAlquiler[],13,FALSE)</f>
        <v>0</v>
      </c>
      <c r="G126" s="2"/>
      <c r="H126" s="75" t="str">
        <f t="shared" si="2"/>
        <v>EA.0300</v>
      </c>
      <c r="I126" s="59" t="str">
        <f t="shared" si="3"/>
        <v>ok</v>
      </c>
      <c r="J126" s="77">
        <f>IFERROR(VLOOKUP($H126,TG[],3,FALSE),"NA")</f>
        <v>0</v>
      </c>
      <c r="K126" s="77" t="str">
        <f>IFERROR(VLOOKUP($H126,TF[],3,FALSE),"NA")</f>
        <v>NA</v>
      </c>
      <c r="L126" s="77" t="str">
        <f>IFERROR(VLOOKUP($H126,TT[],3,FALSE),"NA")</f>
        <v>NA</v>
      </c>
      <c r="M126" s="77">
        <f>IFERROR(VLOOKUP($H126,TES[],3,FALSE),"NA")</f>
        <v>0</v>
      </c>
      <c r="N126" s="77" t="str">
        <f>IFERROR(VLOOKUP($H126,TEC[],3,FALSE),"NA")</f>
        <v>NA</v>
      </c>
      <c r="O126" s="77" t="str">
        <f>IFERROR(VLOOKUP($H126,TP[],3,FALSE),"NA")</f>
        <v>NA</v>
      </c>
      <c r="P126" s="77" t="str">
        <f>IFERROR(VLOOKUP($H126,TEN[],3,FALSE),"NA")</f>
        <v>NA</v>
      </c>
      <c r="Q126" s="77" t="str">
        <f>IFERROR(VLOOKUP($H126,TD[],3,FALSE),"NA")</f>
        <v>NA</v>
      </c>
      <c r="R126" s="77" t="str">
        <f>IFERROR(VLOOKUP($H126,TC[],3,FALSE),"NA")</f>
        <v>NA</v>
      </c>
      <c r="S126" s="77" t="str">
        <f>IFERROR(VLOOKUP($H126,TEV[],3,FALSE),"NA")</f>
        <v>NA</v>
      </c>
      <c r="T126" s="79">
        <f>SUM(TbAlquiler[[#This Row],[GENERAL]:[ELEVADOR]])</f>
        <v>0</v>
      </c>
      <c r="U126" s="80">
        <f>IF(VLOOKUP(TbAlquiler[[#This Row],[ITEM]],TbPiezas[],5,FALSE)="NA",0,VLOOKUP(TbAlquiler[[#This Row],[ITEM]],TbPiezas[],5,FALSE))</f>
        <v>12.700000000000003</v>
      </c>
      <c r="V126" s="81">
        <f>+TbAlquiler[[#This Row],[TOTAL]]*TbAlquiler[[#This Row],[P.U. (1)]]</f>
        <v>0</v>
      </c>
      <c r="W126" s="82">
        <f>+VLOOKUP(TbAlquiler[[#This Row],[ITEM]],TbPiezas[],6,FALSE)</f>
        <v>285.07</v>
      </c>
      <c r="X126" s="83">
        <f>+TbAlquiler[[#This Row],[TOTAL]]*TbAlquiler[[#This Row],[P.U. (2)]]</f>
        <v>0</v>
      </c>
      <c r="Y126" s="82">
        <f>+VLOOKUP(TbAlquiler[[#This Row],[ITEM]],TbPiezas[],7,FALSE)</f>
        <v>14.253500000000001</v>
      </c>
      <c r="Z126" s="84">
        <f>+TbAlquiler[[#This Row],[TOTAL]]*TbAlquiler[[#This Row],[P.U. (3)]]</f>
        <v>0</v>
      </c>
    </row>
    <row r="127" spans="1:26" ht="15" customHeight="1" x14ac:dyDescent="0.3">
      <c r="A127" s="2"/>
      <c r="B127" s="85">
        <v>110</v>
      </c>
      <c r="C127" s="71" t="s">
        <v>221</v>
      </c>
      <c r="D127" s="72" t="s">
        <v>222</v>
      </c>
      <c r="E127" s="73"/>
      <c r="F127" s="74">
        <f>+VLOOKUP(C127,TbAlquiler[],13,FALSE)</f>
        <v>0</v>
      </c>
      <c r="G127" s="2"/>
      <c r="H127" s="75" t="str">
        <f t="shared" si="2"/>
        <v>EA.0400</v>
      </c>
      <c r="I127" s="59" t="str">
        <f t="shared" si="3"/>
        <v>ok</v>
      </c>
      <c r="J127" s="77">
        <f>IFERROR(VLOOKUP($H127,TG[],3,FALSE),"NA")</f>
        <v>0</v>
      </c>
      <c r="K127" s="77" t="str">
        <f>IFERROR(VLOOKUP($H127,TF[],3,FALSE),"NA")</f>
        <v>NA</v>
      </c>
      <c r="L127" s="77" t="str">
        <f>IFERROR(VLOOKUP($H127,TT[],3,FALSE),"NA")</f>
        <v>NA</v>
      </c>
      <c r="M127" s="77">
        <f>IFERROR(VLOOKUP($H127,TES[],3,FALSE),"NA")</f>
        <v>0</v>
      </c>
      <c r="N127" s="77" t="str">
        <f>IFERROR(VLOOKUP($H127,TEC[],3,FALSE),"NA")</f>
        <v>NA</v>
      </c>
      <c r="O127" s="77" t="str">
        <f>IFERROR(VLOOKUP($H127,TP[],3,FALSE),"NA")</f>
        <v>NA</v>
      </c>
      <c r="P127" s="77" t="str">
        <f>IFERROR(VLOOKUP($H127,TEN[],3,FALSE),"NA")</f>
        <v>NA</v>
      </c>
      <c r="Q127" s="77" t="str">
        <f>IFERROR(VLOOKUP($H127,TD[],3,FALSE),"NA")</f>
        <v>NA</v>
      </c>
      <c r="R127" s="77" t="str">
        <f>IFERROR(VLOOKUP($H127,TC[],3,FALSE),"NA")</f>
        <v>NA</v>
      </c>
      <c r="S127" s="77" t="str">
        <f>IFERROR(VLOOKUP($H127,TEV[],3,FALSE),"NA")</f>
        <v>NA</v>
      </c>
      <c r="T127" s="79">
        <f>SUM(TbAlquiler[[#This Row],[GENERAL]:[ELEVADOR]])</f>
        <v>0</v>
      </c>
      <c r="U127" s="80">
        <f>IF(VLOOKUP(TbAlquiler[[#This Row],[ITEM]],TbPiezas[],5,FALSE)="NA",0,VLOOKUP(TbAlquiler[[#This Row],[ITEM]],TbPiezas[],5,FALSE))</f>
        <v>46.5</v>
      </c>
      <c r="V127" s="81">
        <f>+TbAlquiler[[#This Row],[TOTAL]]*TbAlquiler[[#This Row],[P.U. (1)]]</f>
        <v>0</v>
      </c>
      <c r="W127" s="82">
        <f>+VLOOKUP(TbAlquiler[[#This Row],[ITEM]],TbPiezas[],6,FALSE)</f>
        <v>2188.16</v>
      </c>
      <c r="X127" s="83">
        <f>+TbAlquiler[[#This Row],[TOTAL]]*TbAlquiler[[#This Row],[P.U. (2)]]</f>
        <v>0</v>
      </c>
      <c r="Y127" s="82">
        <f>+VLOOKUP(TbAlquiler[[#This Row],[ITEM]],TbPiezas[],7,FALSE)</f>
        <v>109.408</v>
      </c>
      <c r="Z127" s="84">
        <f>+TbAlquiler[[#This Row],[TOTAL]]*TbAlquiler[[#This Row],[P.U. (3)]]</f>
        <v>0</v>
      </c>
    </row>
    <row r="128" spans="1:26" ht="15" customHeight="1" x14ac:dyDescent="0.3">
      <c r="A128" s="2"/>
      <c r="B128" s="85">
        <v>111</v>
      </c>
      <c r="C128" s="71" t="s">
        <v>223</v>
      </c>
      <c r="D128" s="72" t="s">
        <v>224</v>
      </c>
      <c r="E128" s="73"/>
      <c r="F128" s="74">
        <f>+VLOOKUP(C128,TbAlquiler[],13,FALSE)</f>
        <v>0</v>
      </c>
      <c r="G128" s="2"/>
      <c r="H128" s="75" t="str">
        <f t="shared" si="2"/>
        <v>EA.0500</v>
      </c>
      <c r="I128" s="59" t="str">
        <f t="shared" si="3"/>
        <v>ok</v>
      </c>
      <c r="J128" s="77">
        <f>IFERROR(VLOOKUP($H128,TG[],3,FALSE),"NA")</f>
        <v>0</v>
      </c>
      <c r="K128" s="77" t="str">
        <f>IFERROR(VLOOKUP($H128,TF[],3,FALSE),"NA")</f>
        <v>NA</v>
      </c>
      <c r="L128" s="77" t="str">
        <f>IFERROR(VLOOKUP($H128,TT[],3,FALSE),"NA")</f>
        <v>NA</v>
      </c>
      <c r="M128" s="77">
        <f>IFERROR(VLOOKUP($H128,TES[],3,FALSE),"NA")</f>
        <v>0</v>
      </c>
      <c r="N128" s="77" t="str">
        <f>IFERROR(VLOOKUP($H128,TEC[],3,FALSE),"NA")</f>
        <v>NA</v>
      </c>
      <c r="O128" s="77" t="str">
        <f>IFERROR(VLOOKUP($H128,TP[],3,FALSE),"NA")</f>
        <v>NA</v>
      </c>
      <c r="P128" s="77" t="str">
        <f>IFERROR(VLOOKUP($H128,TEN[],3,FALSE),"NA")</f>
        <v>NA</v>
      </c>
      <c r="Q128" s="77" t="str">
        <f>IFERROR(VLOOKUP($H128,TD[],3,FALSE),"NA")</f>
        <v>NA</v>
      </c>
      <c r="R128" s="77" t="str">
        <f>IFERROR(VLOOKUP($H128,TC[],3,FALSE),"NA")</f>
        <v>NA</v>
      </c>
      <c r="S128" s="77" t="str">
        <f>IFERROR(VLOOKUP($H128,TEV[],3,FALSE),"NA")</f>
        <v>NA</v>
      </c>
      <c r="T128" s="79">
        <f>SUM(TbAlquiler[[#This Row],[GENERAL]:[ELEVADOR]])</f>
        <v>0</v>
      </c>
      <c r="U128" s="80">
        <f>IF(VLOOKUP(TbAlquiler[[#This Row],[ITEM]],TbPiezas[],5,FALSE)="NA",0,VLOOKUP(TbAlquiler[[#This Row],[ITEM]],TbPiezas[],5,FALSE))</f>
        <v>6.5999999999999943</v>
      </c>
      <c r="V128" s="81">
        <f>+TbAlquiler[[#This Row],[TOTAL]]*TbAlquiler[[#This Row],[P.U. (1)]]</f>
        <v>0</v>
      </c>
      <c r="W128" s="82">
        <f>+VLOOKUP(TbAlquiler[[#This Row],[ITEM]],TbPiezas[],6,FALSE)</f>
        <v>285.07</v>
      </c>
      <c r="X128" s="83">
        <f>+TbAlquiler[[#This Row],[TOTAL]]*TbAlquiler[[#This Row],[P.U. (2)]]</f>
        <v>0</v>
      </c>
      <c r="Y128" s="82">
        <f>+VLOOKUP(TbAlquiler[[#This Row],[ITEM]],TbPiezas[],7,FALSE)</f>
        <v>14.253500000000001</v>
      </c>
      <c r="Z128" s="84">
        <f>+TbAlquiler[[#This Row],[TOTAL]]*TbAlquiler[[#This Row],[P.U. (3)]]</f>
        <v>0</v>
      </c>
    </row>
    <row r="129" spans="1:26" ht="15" customHeight="1" x14ac:dyDescent="0.3">
      <c r="A129" s="2"/>
      <c r="B129" s="85">
        <v>112</v>
      </c>
      <c r="C129" s="71" t="s">
        <v>225</v>
      </c>
      <c r="D129" s="72" t="s">
        <v>226</v>
      </c>
      <c r="E129" s="73"/>
      <c r="F129" s="74">
        <f>+VLOOKUP(C129,TbAlquiler[],13,FALSE)</f>
        <v>1</v>
      </c>
      <c r="G129" s="2"/>
      <c r="H129" s="75" t="str">
        <f t="shared" si="2"/>
        <v>EA.0600</v>
      </c>
      <c r="I129" s="59" t="str">
        <f t="shared" si="3"/>
        <v>ok</v>
      </c>
      <c r="J129" s="77">
        <f>IFERROR(VLOOKUP($H129,TG[],3,FALSE),"NA")</f>
        <v>0</v>
      </c>
      <c r="K129" s="77" t="str">
        <f>IFERROR(VLOOKUP($H129,TF[],3,FALSE),"NA")</f>
        <v>NA</v>
      </c>
      <c r="L129" s="77" t="str">
        <f>IFERROR(VLOOKUP($H129,TT[],3,FALSE),"NA")</f>
        <v>NA</v>
      </c>
      <c r="M129" s="77">
        <f>IFERROR(VLOOKUP($H129,TES[],3,FALSE),"NA")</f>
        <v>1</v>
      </c>
      <c r="N129" s="77" t="str">
        <f>IFERROR(VLOOKUP($H129,TEC[],3,FALSE),"NA")</f>
        <v>NA</v>
      </c>
      <c r="O129" s="77" t="str">
        <f>IFERROR(VLOOKUP($H129,TP[],3,FALSE),"NA")</f>
        <v>NA</v>
      </c>
      <c r="P129" s="77" t="str">
        <f>IFERROR(VLOOKUP($H129,TEN[],3,FALSE),"NA")</f>
        <v>NA</v>
      </c>
      <c r="Q129" s="77" t="str">
        <f>IFERROR(VLOOKUP($H129,TD[],3,FALSE),"NA")</f>
        <v>NA</v>
      </c>
      <c r="R129" s="77" t="str">
        <f>IFERROR(VLOOKUP($H129,TC[],3,FALSE),"NA")</f>
        <v>NA</v>
      </c>
      <c r="S129" s="77" t="str">
        <f>IFERROR(VLOOKUP($H129,TEV[],3,FALSE),"NA")</f>
        <v>NA</v>
      </c>
      <c r="T129" s="79">
        <f>SUM(TbAlquiler[[#This Row],[GENERAL]:[ELEVADOR]])</f>
        <v>1</v>
      </c>
      <c r="U129" s="80">
        <f>IF(VLOOKUP(TbAlquiler[[#This Row],[ITEM]],TbPiezas[],5,FALSE)="NA",0,VLOOKUP(TbAlquiler[[#This Row],[ITEM]],TbPiezas[],5,FALSE))</f>
        <v>68.600000000000009</v>
      </c>
      <c r="V129" s="81">
        <f>+TbAlquiler[[#This Row],[TOTAL]]*TbAlquiler[[#This Row],[P.U. (1)]]</f>
        <v>68.600000000000009</v>
      </c>
      <c r="W129" s="82">
        <f>+VLOOKUP(TbAlquiler[[#This Row],[ITEM]],TbPiezas[],6,FALSE)</f>
        <v>2188.16</v>
      </c>
      <c r="X129" s="83">
        <f>+TbAlquiler[[#This Row],[TOTAL]]*TbAlquiler[[#This Row],[P.U. (2)]]</f>
        <v>2188.16</v>
      </c>
      <c r="Y129" s="82">
        <f>+VLOOKUP(TbAlquiler[[#This Row],[ITEM]],TbPiezas[],7,FALSE)</f>
        <v>109.408</v>
      </c>
      <c r="Z129" s="84">
        <f>+TbAlquiler[[#This Row],[TOTAL]]*TbAlquiler[[#This Row],[P.U. (3)]]</f>
        <v>109.408</v>
      </c>
    </row>
    <row r="130" spans="1:26" ht="15" customHeight="1" x14ac:dyDescent="0.3">
      <c r="A130" s="2"/>
      <c r="B130" s="85">
        <v>113</v>
      </c>
      <c r="C130" s="71" t="s">
        <v>227</v>
      </c>
      <c r="D130" s="72" t="s">
        <v>228</v>
      </c>
      <c r="E130" s="73"/>
      <c r="F130" s="74">
        <f>+VLOOKUP(C130,TbAlquiler[],13,FALSE)</f>
        <v>0</v>
      </c>
      <c r="G130" s="2"/>
      <c r="H130" s="75" t="str">
        <f t="shared" si="2"/>
        <v>EA.0700</v>
      </c>
      <c r="I130" s="59" t="str">
        <f t="shared" si="3"/>
        <v>ok</v>
      </c>
      <c r="J130" s="77">
        <f>IFERROR(VLOOKUP($H130,TG[],3,FALSE),"NA")</f>
        <v>0</v>
      </c>
      <c r="K130" s="77" t="str">
        <f>IFERROR(VLOOKUP($H130,TF[],3,FALSE),"NA")</f>
        <v>NA</v>
      </c>
      <c r="L130" s="77" t="str">
        <f>IFERROR(VLOOKUP($H130,TT[],3,FALSE),"NA")</f>
        <v>NA</v>
      </c>
      <c r="M130" s="77">
        <f>IFERROR(VLOOKUP($H130,TES[],3,FALSE),"NA")</f>
        <v>0</v>
      </c>
      <c r="N130" s="77" t="str">
        <f>IFERROR(VLOOKUP($H130,TEC[],3,FALSE),"NA")</f>
        <v>NA</v>
      </c>
      <c r="O130" s="77" t="str">
        <f>IFERROR(VLOOKUP($H130,TP[],3,FALSE),"NA")</f>
        <v>NA</v>
      </c>
      <c r="P130" s="77" t="str">
        <f>IFERROR(VLOOKUP($H130,TEN[],3,FALSE),"NA")</f>
        <v>NA</v>
      </c>
      <c r="Q130" s="77" t="str">
        <f>IFERROR(VLOOKUP($H130,TD[],3,FALSE),"NA")</f>
        <v>NA</v>
      </c>
      <c r="R130" s="77" t="str">
        <f>IFERROR(VLOOKUP($H130,TC[],3,FALSE),"NA")</f>
        <v>NA</v>
      </c>
      <c r="S130" s="77" t="str">
        <f>IFERROR(VLOOKUP($H130,TEV[],3,FALSE),"NA")</f>
        <v>NA</v>
      </c>
      <c r="T130" s="79">
        <f>SUM(TbAlquiler[[#This Row],[GENERAL]:[ELEVADOR]])</f>
        <v>0</v>
      </c>
      <c r="U130" s="80">
        <f>IF(VLOOKUP(TbAlquiler[[#This Row],[ITEM]],TbPiezas[],5,FALSE)="NA",0,VLOOKUP(TbAlquiler[[#This Row],[ITEM]],TbPiezas[],5,FALSE))</f>
        <v>61.8</v>
      </c>
      <c r="V130" s="81">
        <f>+TbAlquiler[[#This Row],[TOTAL]]*TbAlquiler[[#This Row],[P.U. (1)]]</f>
        <v>0</v>
      </c>
      <c r="W130" s="82">
        <f>+VLOOKUP(TbAlquiler[[#This Row],[ITEM]],TbPiezas[],6,FALSE)</f>
        <v>2188.16</v>
      </c>
      <c r="X130" s="83">
        <f>+TbAlquiler[[#This Row],[TOTAL]]*TbAlquiler[[#This Row],[P.U. (2)]]</f>
        <v>0</v>
      </c>
      <c r="Y130" s="82">
        <f>+VLOOKUP(TbAlquiler[[#This Row],[ITEM]],TbPiezas[],7,FALSE)</f>
        <v>109.408</v>
      </c>
      <c r="Z130" s="84">
        <f>+TbAlquiler[[#This Row],[TOTAL]]*TbAlquiler[[#This Row],[P.U. (3)]]</f>
        <v>0</v>
      </c>
    </row>
    <row r="131" spans="1:26" ht="15" customHeight="1" x14ac:dyDescent="0.3">
      <c r="A131" s="2"/>
      <c r="B131" s="85">
        <v>114</v>
      </c>
      <c r="C131" s="71" t="s">
        <v>229</v>
      </c>
      <c r="D131" s="72" t="s">
        <v>230</v>
      </c>
      <c r="E131" s="73"/>
      <c r="F131" s="74">
        <f>+VLOOKUP(C131,TbAlquiler[],13,FALSE)</f>
        <v>2</v>
      </c>
      <c r="G131" s="2"/>
      <c r="H131" s="75" t="str">
        <f t="shared" si="2"/>
        <v>EA.0800</v>
      </c>
      <c r="I131" s="59" t="str">
        <f t="shared" si="3"/>
        <v>ok</v>
      </c>
      <c r="J131" s="77">
        <f>IFERROR(VLOOKUP($H131,TG[],3,FALSE),"NA")</f>
        <v>0</v>
      </c>
      <c r="K131" s="77" t="str">
        <f>IFERROR(VLOOKUP($H131,TF[],3,FALSE),"NA")</f>
        <v>NA</v>
      </c>
      <c r="L131" s="77" t="str">
        <f>IFERROR(VLOOKUP($H131,TT[],3,FALSE),"NA")</f>
        <v>NA</v>
      </c>
      <c r="M131" s="77">
        <f>IFERROR(VLOOKUP($H131,TES[],3,FALSE),"NA")</f>
        <v>2</v>
      </c>
      <c r="N131" s="77" t="str">
        <f>IFERROR(VLOOKUP($H131,TEC[],3,FALSE),"NA")</f>
        <v>NA</v>
      </c>
      <c r="O131" s="77" t="str">
        <f>IFERROR(VLOOKUP($H131,TP[],3,FALSE),"NA")</f>
        <v>NA</v>
      </c>
      <c r="P131" s="77" t="str">
        <f>IFERROR(VLOOKUP($H131,TEN[],3,FALSE),"NA")</f>
        <v>NA</v>
      </c>
      <c r="Q131" s="77" t="str">
        <f>IFERROR(VLOOKUP($H131,TD[],3,FALSE),"NA")</f>
        <v>NA</v>
      </c>
      <c r="R131" s="77" t="str">
        <f>IFERROR(VLOOKUP($H131,TC[],3,FALSE),"NA")</f>
        <v>NA</v>
      </c>
      <c r="S131" s="77" t="str">
        <f>IFERROR(VLOOKUP($H131,TEV[],3,FALSE),"NA")</f>
        <v>NA</v>
      </c>
      <c r="T131" s="79">
        <f>SUM(TbAlquiler[[#This Row],[GENERAL]:[ELEVADOR]])</f>
        <v>2</v>
      </c>
      <c r="U131" s="80">
        <f>IF(VLOOKUP(TbAlquiler[[#This Row],[ITEM]],TbPiezas[],5,FALSE)="NA",0,VLOOKUP(TbAlquiler[[#This Row],[ITEM]],TbPiezas[],5,FALSE))</f>
        <v>7.2999999999999972</v>
      </c>
      <c r="V131" s="81">
        <f>+TbAlquiler[[#This Row],[TOTAL]]*TbAlquiler[[#This Row],[P.U. (1)]]</f>
        <v>14.599999999999994</v>
      </c>
      <c r="W131" s="82">
        <f>+VLOOKUP(TbAlquiler[[#This Row],[ITEM]],TbPiezas[],6,FALSE)</f>
        <v>285.07</v>
      </c>
      <c r="X131" s="83">
        <f>+TbAlquiler[[#This Row],[TOTAL]]*TbAlquiler[[#This Row],[P.U. (2)]]</f>
        <v>570.14</v>
      </c>
      <c r="Y131" s="82">
        <f>+VLOOKUP(TbAlquiler[[#This Row],[ITEM]],TbPiezas[],7,FALSE)</f>
        <v>14.253500000000001</v>
      </c>
      <c r="Z131" s="84">
        <f>+TbAlquiler[[#This Row],[TOTAL]]*TbAlquiler[[#This Row],[P.U. (3)]]</f>
        <v>28.507000000000001</v>
      </c>
    </row>
    <row r="132" spans="1:26" ht="15" customHeight="1" x14ac:dyDescent="0.3">
      <c r="A132" s="2"/>
      <c r="B132" s="85">
        <v>115</v>
      </c>
      <c r="C132" s="71" t="s">
        <v>231</v>
      </c>
      <c r="D132" s="72" t="s">
        <v>232</v>
      </c>
      <c r="E132" s="73"/>
      <c r="F132" s="74">
        <f>+VLOOKUP(C132,TbAlquiler[],13,FALSE)</f>
        <v>0</v>
      </c>
      <c r="G132" s="2"/>
      <c r="H132" s="75" t="str">
        <f t="shared" si="2"/>
        <v>EA.0900</v>
      </c>
      <c r="I132" s="59" t="str">
        <f t="shared" si="3"/>
        <v>ok</v>
      </c>
      <c r="J132" s="77">
        <f>IFERROR(VLOOKUP($H132,TG[],3,FALSE),"NA")</f>
        <v>0</v>
      </c>
      <c r="K132" s="77" t="str">
        <f>IFERROR(VLOOKUP($H132,TF[],3,FALSE),"NA")</f>
        <v>NA</v>
      </c>
      <c r="L132" s="77" t="str">
        <f>IFERROR(VLOOKUP($H132,TT[],3,FALSE),"NA")</f>
        <v>NA</v>
      </c>
      <c r="M132" s="77">
        <f>IFERROR(VLOOKUP($H132,TES[],3,FALSE),"NA")</f>
        <v>0</v>
      </c>
      <c r="N132" s="77" t="str">
        <f>IFERROR(VLOOKUP($H132,TEC[],3,FALSE),"NA")</f>
        <v>NA</v>
      </c>
      <c r="O132" s="77" t="str">
        <f>IFERROR(VLOOKUP($H132,TP[],3,FALSE),"NA")</f>
        <v>NA</v>
      </c>
      <c r="P132" s="77" t="str">
        <f>IFERROR(VLOOKUP($H132,TEN[],3,FALSE),"NA")</f>
        <v>NA</v>
      </c>
      <c r="Q132" s="77" t="str">
        <f>IFERROR(VLOOKUP($H132,TD[],3,FALSE),"NA")</f>
        <v>NA</v>
      </c>
      <c r="R132" s="77" t="str">
        <f>IFERROR(VLOOKUP($H132,TC[],3,FALSE),"NA")</f>
        <v>NA</v>
      </c>
      <c r="S132" s="77" t="str">
        <f>IFERROR(VLOOKUP($H132,TEV[],3,FALSE),"NA")</f>
        <v>NA</v>
      </c>
      <c r="T132" s="79">
        <f>SUM(TbAlquiler[[#This Row],[GENERAL]:[ELEVADOR]])</f>
        <v>0</v>
      </c>
      <c r="U132" s="80">
        <f>IF(VLOOKUP(TbAlquiler[[#This Row],[ITEM]],TbPiezas[],5,FALSE)="NA",0,VLOOKUP(TbAlquiler[[#This Row],[ITEM]],TbPiezas[],5,FALSE))</f>
        <v>4.8999999999999915</v>
      </c>
      <c r="V132" s="81">
        <f>+TbAlquiler[[#This Row],[TOTAL]]*TbAlquiler[[#This Row],[P.U. (1)]]</f>
        <v>0</v>
      </c>
      <c r="W132" s="82">
        <f>+VLOOKUP(TbAlquiler[[#This Row],[ITEM]],TbPiezas[],6,FALSE)</f>
        <v>285.07</v>
      </c>
      <c r="X132" s="83">
        <f>+TbAlquiler[[#This Row],[TOTAL]]*TbAlquiler[[#This Row],[P.U. (2)]]</f>
        <v>0</v>
      </c>
      <c r="Y132" s="82">
        <f>+VLOOKUP(TbAlquiler[[#This Row],[ITEM]],TbPiezas[],7,FALSE)</f>
        <v>14.253500000000001</v>
      </c>
      <c r="Z132" s="84">
        <f>+TbAlquiler[[#This Row],[TOTAL]]*TbAlquiler[[#This Row],[P.U. (3)]]</f>
        <v>0</v>
      </c>
    </row>
    <row r="133" spans="1:26" ht="15" customHeight="1" x14ac:dyDescent="0.3">
      <c r="A133" s="2"/>
      <c r="B133" s="85">
        <v>116</v>
      </c>
      <c r="C133" s="71" t="s">
        <v>233</v>
      </c>
      <c r="D133" s="72" t="s">
        <v>234</v>
      </c>
      <c r="E133" s="73"/>
      <c r="F133" s="74">
        <f>+VLOOKUP(C133,TbAlquiler[],13,FALSE)</f>
        <v>0</v>
      </c>
      <c r="G133" s="2"/>
      <c r="H133" s="75" t="str">
        <f t="shared" si="2"/>
        <v>EA.1000</v>
      </c>
      <c r="I133" s="59" t="str">
        <f t="shared" si="3"/>
        <v>ok</v>
      </c>
      <c r="J133" s="77">
        <f>IFERROR(VLOOKUP($H133,TG[],3,FALSE),"NA")</f>
        <v>0</v>
      </c>
      <c r="K133" s="77" t="str">
        <f>IFERROR(VLOOKUP($H133,TF[],3,FALSE),"NA")</f>
        <v>NA</v>
      </c>
      <c r="L133" s="77" t="str">
        <f>IFERROR(VLOOKUP($H133,TT[],3,FALSE),"NA")</f>
        <v>NA</v>
      </c>
      <c r="M133" s="77">
        <f>IFERROR(VLOOKUP($H133,TES[],3,FALSE),"NA")</f>
        <v>0</v>
      </c>
      <c r="N133" s="77" t="str">
        <f>IFERROR(VLOOKUP($H133,TEC[],3,FALSE),"NA")</f>
        <v>NA</v>
      </c>
      <c r="O133" s="77" t="str">
        <f>IFERROR(VLOOKUP($H133,TP[],3,FALSE),"NA")</f>
        <v>NA</v>
      </c>
      <c r="P133" s="77" t="str">
        <f>IFERROR(VLOOKUP($H133,TEN[],3,FALSE),"NA")</f>
        <v>NA</v>
      </c>
      <c r="Q133" s="77" t="str">
        <f>IFERROR(VLOOKUP($H133,TD[],3,FALSE),"NA")</f>
        <v>NA</v>
      </c>
      <c r="R133" s="77" t="str">
        <f>IFERROR(VLOOKUP($H133,TC[],3,FALSE),"NA")</f>
        <v>NA</v>
      </c>
      <c r="S133" s="77" t="str">
        <f>IFERROR(VLOOKUP($H133,TEV[],3,FALSE),"NA")</f>
        <v>NA</v>
      </c>
      <c r="T133" s="79">
        <f>SUM(TbAlquiler[[#This Row],[GENERAL]:[ELEVADOR]])</f>
        <v>0</v>
      </c>
      <c r="U133" s="80">
        <f>IF(VLOOKUP(TbAlquiler[[#This Row],[ITEM]],TbPiezas[],5,FALSE)="NA",0,VLOOKUP(TbAlquiler[[#This Row],[ITEM]],TbPiezas[],5,FALSE))</f>
        <v>2.5</v>
      </c>
      <c r="V133" s="81">
        <f>+TbAlquiler[[#This Row],[TOTAL]]*TbAlquiler[[#This Row],[P.U. (1)]]</f>
        <v>0</v>
      </c>
      <c r="W133" s="82">
        <f>+VLOOKUP(TbAlquiler[[#This Row],[ITEM]],TbPiezas[],6,FALSE)</f>
        <v>208.2</v>
      </c>
      <c r="X133" s="83">
        <f>+TbAlquiler[[#This Row],[TOTAL]]*TbAlquiler[[#This Row],[P.U. (2)]]</f>
        <v>0</v>
      </c>
      <c r="Y133" s="82">
        <f>+VLOOKUP(TbAlquiler[[#This Row],[ITEM]],TbPiezas[],7,FALSE)</f>
        <v>10.41</v>
      </c>
      <c r="Z133" s="84">
        <f>+TbAlquiler[[#This Row],[TOTAL]]*TbAlquiler[[#This Row],[P.U. (3)]]</f>
        <v>0</v>
      </c>
    </row>
    <row r="134" spans="1:26" ht="15" customHeight="1" x14ac:dyDescent="0.3">
      <c r="A134" s="2"/>
      <c r="B134" s="85">
        <v>117</v>
      </c>
      <c r="C134" s="71" t="s">
        <v>235</v>
      </c>
      <c r="D134" s="72" t="s">
        <v>236</v>
      </c>
      <c r="E134" s="73"/>
      <c r="F134" s="74">
        <f>+VLOOKUP(C134,TbAlquiler[],13,FALSE)</f>
        <v>0</v>
      </c>
      <c r="G134" s="2"/>
      <c r="H134" s="75" t="str">
        <f t="shared" si="2"/>
        <v>EA.1100</v>
      </c>
      <c r="I134" s="59" t="str">
        <f t="shared" si="3"/>
        <v>ok</v>
      </c>
      <c r="J134" s="77">
        <f>IFERROR(VLOOKUP($H134,TG[],3,FALSE),"NA")</f>
        <v>0</v>
      </c>
      <c r="K134" s="77" t="str">
        <f>IFERROR(VLOOKUP($H134,TF[],3,FALSE),"NA")</f>
        <v>NA</v>
      </c>
      <c r="L134" s="77" t="str">
        <f>IFERROR(VLOOKUP($H134,TT[],3,FALSE),"NA")</f>
        <v>NA</v>
      </c>
      <c r="M134" s="77">
        <f>IFERROR(VLOOKUP($H134,TES[],3,FALSE),"NA")</f>
        <v>0</v>
      </c>
      <c r="N134" s="77" t="str">
        <f>IFERROR(VLOOKUP($H134,TEC[],3,FALSE),"NA")</f>
        <v>NA</v>
      </c>
      <c r="O134" s="77" t="str">
        <f>IFERROR(VLOOKUP($H134,TP[],3,FALSE),"NA")</f>
        <v>NA</v>
      </c>
      <c r="P134" s="77" t="str">
        <f>IFERROR(VLOOKUP($H134,TEN[],3,FALSE),"NA")</f>
        <v>NA</v>
      </c>
      <c r="Q134" s="77" t="str">
        <f>IFERROR(VLOOKUP($H134,TD[],3,FALSE),"NA")</f>
        <v>NA</v>
      </c>
      <c r="R134" s="77" t="str">
        <f>IFERROR(VLOOKUP($H134,TC[],3,FALSE),"NA")</f>
        <v>NA</v>
      </c>
      <c r="S134" s="77" t="str">
        <f>IFERROR(VLOOKUP($H134,TEV[],3,FALSE),"NA")</f>
        <v>NA</v>
      </c>
      <c r="T134" s="79">
        <f>SUM(TbAlquiler[[#This Row],[GENERAL]:[ELEVADOR]])</f>
        <v>0</v>
      </c>
      <c r="U134" s="80">
        <f>IF(VLOOKUP(TbAlquiler[[#This Row],[ITEM]],TbPiezas[],5,FALSE)="NA",0,VLOOKUP(TbAlquiler[[#This Row],[ITEM]],TbPiezas[],5,FALSE))</f>
        <v>3.7999999999999972</v>
      </c>
      <c r="V134" s="81">
        <f>+TbAlquiler[[#This Row],[TOTAL]]*TbAlquiler[[#This Row],[P.U. (1)]]</f>
        <v>0</v>
      </c>
      <c r="W134" s="82">
        <f>+VLOOKUP(TbAlquiler[[#This Row],[ITEM]],TbPiezas[],6,FALSE)</f>
        <v>208.2</v>
      </c>
      <c r="X134" s="83">
        <f>+TbAlquiler[[#This Row],[TOTAL]]*TbAlquiler[[#This Row],[P.U. (2)]]</f>
        <v>0</v>
      </c>
      <c r="Y134" s="82">
        <f>+VLOOKUP(TbAlquiler[[#This Row],[ITEM]],TbPiezas[],7,FALSE)</f>
        <v>10.41</v>
      </c>
      <c r="Z134" s="84">
        <f>+TbAlquiler[[#This Row],[TOTAL]]*TbAlquiler[[#This Row],[P.U. (3)]]</f>
        <v>0</v>
      </c>
    </row>
    <row r="135" spans="1:26" ht="15" customHeight="1" x14ac:dyDescent="0.3">
      <c r="A135" s="2"/>
      <c r="B135" s="85">
        <v>118</v>
      </c>
      <c r="C135" s="71" t="s">
        <v>237</v>
      </c>
      <c r="D135" s="72" t="s">
        <v>238</v>
      </c>
      <c r="E135" s="73"/>
      <c r="F135" s="74">
        <f>+VLOOKUP(C135,TbAlquiler[],13,FALSE)</f>
        <v>0</v>
      </c>
      <c r="G135" s="2"/>
      <c r="H135" s="75" t="str">
        <f t="shared" si="2"/>
        <v>EA.1200</v>
      </c>
      <c r="I135" s="59" t="str">
        <f t="shared" si="3"/>
        <v>ok</v>
      </c>
      <c r="J135" s="77">
        <f>IFERROR(VLOOKUP($H135,TG[],3,FALSE),"NA")</f>
        <v>0</v>
      </c>
      <c r="K135" s="77" t="str">
        <f>IFERROR(VLOOKUP($H135,TF[],3,FALSE),"NA")</f>
        <v>NA</v>
      </c>
      <c r="L135" s="77" t="str">
        <f>IFERROR(VLOOKUP($H135,TT[],3,FALSE),"NA")</f>
        <v>NA</v>
      </c>
      <c r="M135" s="77">
        <f>IFERROR(VLOOKUP($H135,TES[],3,FALSE),"NA")</f>
        <v>0</v>
      </c>
      <c r="N135" s="77" t="str">
        <f>IFERROR(VLOOKUP($H135,TEC[],3,FALSE),"NA")</f>
        <v>NA</v>
      </c>
      <c r="O135" s="77" t="str">
        <f>IFERROR(VLOOKUP($H135,TP[],3,FALSE),"NA")</f>
        <v>NA</v>
      </c>
      <c r="P135" s="77" t="str">
        <f>IFERROR(VLOOKUP($H135,TEN[],3,FALSE),"NA")</f>
        <v>NA</v>
      </c>
      <c r="Q135" s="77" t="str">
        <f>IFERROR(VLOOKUP($H135,TD[],3,FALSE),"NA")</f>
        <v>NA</v>
      </c>
      <c r="R135" s="77" t="str">
        <f>IFERROR(VLOOKUP($H135,TC[],3,FALSE),"NA")</f>
        <v>NA</v>
      </c>
      <c r="S135" s="77" t="str">
        <f>IFERROR(VLOOKUP($H135,TEV[],3,FALSE),"NA")</f>
        <v>NA</v>
      </c>
      <c r="T135" s="79">
        <f>SUM(TbAlquiler[[#This Row],[GENERAL]:[ELEVADOR]])</f>
        <v>0</v>
      </c>
      <c r="U135" s="80">
        <f>IF(VLOOKUP(TbAlquiler[[#This Row],[ITEM]],TbPiezas[],5,FALSE)="NA",0,VLOOKUP(TbAlquiler[[#This Row],[ITEM]],TbPiezas[],5,FALSE))</f>
        <v>1.7999999999999972</v>
      </c>
      <c r="V135" s="81">
        <f>+TbAlquiler[[#This Row],[TOTAL]]*TbAlquiler[[#This Row],[P.U. (1)]]</f>
        <v>0</v>
      </c>
      <c r="W135" s="82">
        <f>+VLOOKUP(TbAlquiler[[#This Row],[ITEM]],TbPiezas[],6,FALSE)</f>
        <v>208.2</v>
      </c>
      <c r="X135" s="83">
        <f>+TbAlquiler[[#This Row],[TOTAL]]*TbAlquiler[[#This Row],[P.U. (2)]]</f>
        <v>0</v>
      </c>
      <c r="Y135" s="82">
        <f>+VLOOKUP(TbAlquiler[[#This Row],[ITEM]],TbPiezas[],7,FALSE)</f>
        <v>10.41</v>
      </c>
      <c r="Z135" s="84">
        <f>+TbAlquiler[[#This Row],[TOTAL]]*TbAlquiler[[#This Row],[P.U. (3)]]</f>
        <v>0</v>
      </c>
    </row>
    <row r="136" spans="1:26" ht="15" customHeight="1" x14ac:dyDescent="0.3">
      <c r="A136" s="2"/>
      <c r="B136" s="85">
        <v>119</v>
      </c>
      <c r="C136" s="71" t="s">
        <v>239</v>
      </c>
      <c r="D136" s="72" t="s">
        <v>240</v>
      </c>
      <c r="E136" s="73"/>
      <c r="F136" s="74">
        <f>+VLOOKUP(C136,TbAlquiler[],13,FALSE)</f>
        <v>2</v>
      </c>
      <c r="G136" s="2"/>
      <c r="H136" s="75" t="str">
        <f t="shared" si="2"/>
        <v>EA.1300</v>
      </c>
      <c r="I136" s="59" t="str">
        <f t="shared" si="3"/>
        <v>ok</v>
      </c>
      <c r="J136" s="77">
        <f>IFERROR(VLOOKUP($H136,TG[],3,FALSE),"NA")</f>
        <v>0</v>
      </c>
      <c r="K136" s="77" t="str">
        <f>IFERROR(VLOOKUP($H136,TF[],3,FALSE),"NA")</f>
        <v>NA</v>
      </c>
      <c r="L136" s="77" t="str">
        <f>IFERROR(VLOOKUP($H136,TT[],3,FALSE),"NA")</f>
        <v>NA</v>
      </c>
      <c r="M136" s="77">
        <f>IFERROR(VLOOKUP($H136,TES[],3,FALSE),"NA")</f>
        <v>2</v>
      </c>
      <c r="N136" s="77" t="str">
        <f>IFERROR(VLOOKUP($H136,TEC[],3,FALSE),"NA")</f>
        <v>NA</v>
      </c>
      <c r="O136" s="77" t="str">
        <f>IFERROR(VLOOKUP($H136,TP[],3,FALSE),"NA")</f>
        <v>NA</v>
      </c>
      <c r="P136" s="77" t="str">
        <f>IFERROR(VLOOKUP($H136,TEN[],3,FALSE),"NA")</f>
        <v>NA</v>
      </c>
      <c r="Q136" s="77" t="str">
        <f>IFERROR(VLOOKUP($H136,TD[],3,FALSE),"NA")</f>
        <v>NA</v>
      </c>
      <c r="R136" s="77" t="str">
        <f>IFERROR(VLOOKUP($H136,TC[],3,FALSE),"NA")</f>
        <v>NA</v>
      </c>
      <c r="S136" s="77" t="str">
        <f>IFERROR(VLOOKUP($H136,TEV[],3,FALSE),"NA")</f>
        <v>NA</v>
      </c>
      <c r="T136" s="79">
        <f>SUM(TbAlquiler[[#This Row],[GENERAL]:[ELEVADOR]])</f>
        <v>2</v>
      </c>
      <c r="U136" s="80">
        <f>IF(VLOOKUP(TbAlquiler[[#This Row],[ITEM]],TbPiezas[],5,FALSE)="NA",0,VLOOKUP(TbAlquiler[[#This Row],[ITEM]],TbPiezas[],5,FALSE))</f>
        <v>3.2000000000000028</v>
      </c>
      <c r="V136" s="81">
        <f>+TbAlquiler[[#This Row],[TOTAL]]*TbAlquiler[[#This Row],[P.U. (1)]]</f>
        <v>6.4000000000000057</v>
      </c>
      <c r="W136" s="82">
        <f>+VLOOKUP(TbAlquiler[[#This Row],[ITEM]],TbPiezas[],6,FALSE)</f>
        <v>208.2</v>
      </c>
      <c r="X136" s="83">
        <f>+TbAlquiler[[#This Row],[TOTAL]]*TbAlquiler[[#This Row],[P.U. (2)]]</f>
        <v>416.4</v>
      </c>
      <c r="Y136" s="82">
        <f>+VLOOKUP(TbAlquiler[[#This Row],[ITEM]],TbPiezas[],7,FALSE)</f>
        <v>10.41</v>
      </c>
      <c r="Z136" s="84">
        <f>+TbAlquiler[[#This Row],[TOTAL]]*TbAlquiler[[#This Row],[P.U. (3)]]</f>
        <v>20.82</v>
      </c>
    </row>
    <row r="137" spans="1:26" ht="15" customHeight="1" x14ac:dyDescent="0.3">
      <c r="A137" s="2"/>
      <c r="B137" s="85">
        <v>120</v>
      </c>
      <c r="C137" s="71" t="s">
        <v>241</v>
      </c>
      <c r="D137" s="72" t="s">
        <v>242</v>
      </c>
      <c r="E137" s="73"/>
      <c r="F137" s="74">
        <f>+VLOOKUP(C137,TbAlquiler[],13,FALSE)</f>
        <v>0</v>
      </c>
      <c r="G137" s="2"/>
      <c r="H137" s="75" t="str">
        <f t="shared" si="2"/>
        <v>EA.1400</v>
      </c>
      <c r="I137" s="59" t="str">
        <f t="shared" si="3"/>
        <v>ok</v>
      </c>
      <c r="J137" s="77">
        <f>IFERROR(VLOOKUP($H137,TG[],3,FALSE),"NA")</f>
        <v>0</v>
      </c>
      <c r="K137" s="77" t="str">
        <f>IFERROR(VLOOKUP($H137,TF[],3,FALSE),"NA")</f>
        <v>NA</v>
      </c>
      <c r="L137" s="77" t="str">
        <f>IFERROR(VLOOKUP($H137,TT[],3,FALSE),"NA")</f>
        <v>NA</v>
      </c>
      <c r="M137" s="77">
        <f>IFERROR(VLOOKUP($H137,TES[],3,FALSE),"NA")</f>
        <v>0</v>
      </c>
      <c r="N137" s="77" t="str">
        <f>IFERROR(VLOOKUP($H137,TEC[],3,FALSE),"NA")</f>
        <v>NA</v>
      </c>
      <c r="O137" s="77" t="str">
        <f>IFERROR(VLOOKUP($H137,TP[],3,FALSE),"NA")</f>
        <v>NA</v>
      </c>
      <c r="P137" s="77" t="str">
        <f>IFERROR(VLOOKUP($H137,TEN[],3,FALSE),"NA")</f>
        <v>NA</v>
      </c>
      <c r="Q137" s="77" t="str">
        <f>IFERROR(VLOOKUP($H137,TD[],3,FALSE),"NA")</f>
        <v>NA</v>
      </c>
      <c r="R137" s="77" t="str">
        <f>IFERROR(VLOOKUP($H137,TC[],3,FALSE),"NA")</f>
        <v>NA</v>
      </c>
      <c r="S137" s="77" t="str">
        <f>IFERROR(VLOOKUP($H137,TEV[],3,FALSE),"NA")</f>
        <v>NA</v>
      </c>
      <c r="T137" s="79">
        <f>SUM(TbAlquiler[[#This Row],[GENERAL]:[ELEVADOR]])</f>
        <v>0</v>
      </c>
      <c r="U137" s="80">
        <f>IF(VLOOKUP(TbAlquiler[[#This Row],[ITEM]],TbPiezas[],5,FALSE)="NA",0,VLOOKUP(TbAlquiler[[#This Row],[ITEM]],TbPiezas[],5,FALSE))</f>
        <v>56.499999999999986</v>
      </c>
      <c r="V137" s="81">
        <f>+TbAlquiler[[#This Row],[TOTAL]]*TbAlquiler[[#This Row],[P.U. (1)]]</f>
        <v>0</v>
      </c>
      <c r="W137" s="82">
        <f>+VLOOKUP(TbAlquiler[[#This Row],[ITEM]],TbPiezas[],6,FALSE)</f>
        <v>2297.56</v>
      </c>
      <c r="X137" s="83">
        <f>+TbAlquiler[[#This Row],[TOTAL]]*TbAlquiler[[#This Row],[P.U. (2)]]</f>
        <v>0</v>
      </c>
      <c r="Y137" s="82">
        <f>+VLOOKUP(TbAlquiler[[#This Row],[ITEM]],TbPiezas[],7,FALSE)</f>
        <v>114.878</v>
      </c>
      <c r="Z137" s="84">
        <f>+TbAlquiler[[#This Row],[TOTAL]]*TbAlquiler[[#This Row],[P.U. (3)]]</f>
        <v>0</v>
      </c>
    </row>
    <row r="138" spans="1:26" ht="15" customHeight="1" x14ac:dyDescent="0.3">
      <c r="A138" s="2"/>
      <c r="B138" s="85">
        <v>121</v>
      </c>
      <c r="C138" s="71" t="s">
        <v>243</v>
      </c>
      <c r="D138" s="72" t="s">
        <v>244</v>
      </c>
      <c r="E138" s="73"/>
      <c r="F138" s="74">
        <f>+VLOOKUP(C138,TbAlquiler[],13,FALSE)</f>
        <v>0</v>
      </c>
      <c r="G138" s="2"/>
      <c r="H138" s="75" t="str">
        <f t="shared" si="2"/>
        <v>EA.1500</v>
      </c>
      <c r="I138" s="59" t="str">
        <f t="shared" si="3"/>
        <v>ok</v>
      </c>
      <c r="J138" s="77">
        <f>IFERROR(VLOOKUP($H138,TG[],3,FALSE),"NA")</f>
        <v>0</v>
      </c>
      <c r="K138" s="77" t="str">
        <f>IFERROR(VLOOKUP($H138,TF[],3,FALSE),"NA")</f>
        <v>NA</v>
      </c>
      <c r="L138" s="77" t="str">
        <f>IFERROR(VLOOKUP($H138,TT[],3,FALSE),"NA")</f>
        <v>NA</v>
      </c>
      <c r="M138" s="77">
        <f>IFERROR(VLOOKUP($H138,TES[],3,FALSE),"NA")</f>
        <v>0</v>
      </c>
      <c r="N138" s="77" t="str">
        <f>IFERROR(VLOOKUP($H138,TEC[],3,FALSE),"NA")</f>
        <v>NA</v>
      </c>
      <c r="O138" s="77" t="str">
        <f>IFERROR(VLOOKUP($H138,TP[],3,FALSE),"NA")</f>
        <v>NA</v>
      </c>
      <c r="P138" s="77" t="str">
        <f>IFERROR(VLOOKUP($H138,TEN[],3,FALSE),"NA")</f>
        <v>NA</v>
      </c>
      <c r="Q138" s="77" t="str">
        <f>IFERROR(VLOOKUP($H138,TD[],3,FALSE),"NA")</f>
        <v>NA</v>
      </c>
      <c r="R138" s="77" t="str">
        <f>IFERROR(VLOOKUP($H138,TC[],3,FALSE),"NA")</f>
        <v>NA</v>
      </c>
      <c r="S138" s="77" t="str">
        <f>IFERROR(VLOOKUP($H138,TEV[],3,FALSE),"NA")</f>
        <v>NA</v>
      </c>
      <c r="T138" s="79">
        <f>SUM(TbAlquiler[[#This Row],[GENERAL]:[ELEVADOR]])</f>
        <v>0</v>
      </c>
      <c r="U138" s="80">
        <f>IF(VLOOKUP(TbAlquiler[[#This Row],[ITEM]],TbPiezas[],5,FALSE)="NA",0,VLOOKUP(TbAlquiler[[#This Row],[ITEM]],TbPiezas[],5,FALSE))</f>
        <v>7.5</v>
      </c>
      <c r="V138" s="81">
        <f>+TbAlquiler[[#This Row],[TOTAL]]*TbAlquiler[[#This Row],[P.U. (1)]]</f>
        <v>0</v>
      </c>
      <c r="W138" s="82">
        <f>+VLOOKUP(TbAlquiler[[#This Row],[ITEM]],TbPiezas[],6,FALSE)</f>
        <v>299.33</v>
      </c>
      <c r="X138" s="83">
        <f>+TbAlquiler[[#This Row],[TOTAL]]*TbAlquiler[[#This Row],[P.U. (2)]]</f>
        <v>0</v>
      </c>
      <c r="Y138" s="82">
        <f>+VLOOKUP(TbAlquiler[[#This Row],[ITEM]],TbPiezas[],7,FALSE)</f>
        <v>14.9665</v>
      </c>
      <c r="Z138" s="84">
        <f>+TbAlquiler[[#This Row],[TOTAL]]*TbAlquiler[[#This Row],[P.U. (3)]]</f>
        <v>0</v>
      </c>
    </row>
    <row r="139" spans="1:26" ht="15" customHeight="1" x14ac:dyDescent="0.3">
      <c r="A139" s="2"/>
      <c r="B139" s="85">
        <v>122</v>
      </c>
      <c r="C139" s="71" t="s">
        <v>245</v>
      </c>
      <c r="D139" s="72" t="s">
        <v>246</v>
      </c>
      <c r="E139" s="73"/>
      <c r="F139" s="74">
        <f>+VLOOKUP(C139,TbAlquiler[],13,FALSE)</f>
        <v>0</v>
      </c>
      <c r="G139" s="2"/>
      <c r="H139" s="75" t="str">
        <f t="shared" si="2"/>
        <v>EA.1600</v>
      </c>
      <c r="I139" s="59" t="str">
        <f t="shared" si="3"/>
        <v>ok</v>
      </c>
      <c r="J139" s="77">
        <f>IFERROR(VLOOKUP($H139,TG[],3,FALSE),"NA")</f>
        <v>0</v>
      </c>
      <c r="K139" s="77" t="str">
        <f>IFERROR(VLOOKUP($H139,TF[],3,FALSE),"NA")</f>
        <v>NA</v>
      </c>
      <c r="L139" s="77" t="str">
        <f>IFERROR(VLOOKUP($H139,TT[],3,FALSE),"NA")</f>
        <v>NA</v>
      </c>
      <c r="M139" s="77">
        <f>IFERROR(VLOOKUP($H139,TES[],3,FALSE),"NA")</f>
        <v>0</v>
      </c>
      <c r="N139" s="77" t="str">
        <f>IFERROR(VLOOKUP($H139,TEC[],3,FALSE),"NA")</f>
        <v>NA</v>
      </c>
      <c r="O139" s="77" t="str">
        <f>IFERROR(VLOOKUP($H139,TP[],3,FALSE),"NA")</f>
        <v>NA</v>
      </c>
      <c r="P139" s="77" t="str">
        <f>IFERROR(VLOOKUP($H139,TEN[],3,FALSE),"NA")</f>
        <v>NA</v>
      </c>
      <c r="Q139" s="77" t="str">
        <f>IFERROR(VLOOKUP($H139,TD[],3,FALSE),"NA")</f>
        <v>NA</v>
      </c>
      <c r="R139" s="77" t="str">
        <f>IFERROR(VLOOKUP($H139,TC[],3,FALSE),"NA")</f>
        <v>NA</v>
      </c>
      <c r="S139" s="77" t="str">
        <f>IFERROR(VLOOKUP($H139,TEV[],3,FALSE),"NA")</f>
        <v>NA</v>
      </c>
      <c r="T139" s="79">
        <f>SUM(TbAlquiler[[#This Row],[GENERAL]:[ELEVADOR]])</f>
        <v>0</v>
      </c>
      <c r="U139" s="80">
        <f>IF(VLOOKUP(TbAlquiler[[#This Row],[ITEM]],TbPiezas[],5,FALSE)="NA",0,VLOOKUP(TbAlquiler[[#This Row],[ITEM]],TbPiezas[],5,FALSE))</f>
        <v>14.700000000000003</v>
      </c>
      <c r="V139" s="81">
        <f>+TbAlquiler[[#This Row],[TOTAL]]*TbAlquiler[[#This Row],[P.U. (1)]]</f>
        <v>0</v>
      </c>
      <c r="W139" s="82">
        <f>+VLOOKUP(TbAlquiler[[#This Row],[ITEM]],TbPiezas[],6,FALSE)</f>
        <v>864.58</v>
      </c>
      <c r="X139" s="83">
        <f>+TbAlquiler[[#This Row],[TOTAL]]*TbAlquiler[[#This Row],[P.U. (2)]]</f>
        <v>0</v>
      </c>
      <c r="Y139" s="82">
        <f>+VLOOKUP(TbAlquiler[[#This Row],[ITEM]],TbPiezas[],7,FALSE)</f>
        <v>43.229000000000006</v>
      </c>
      <c r="Z139" s="84">
        <f>+TbAlquiler[[#This Row],[TOTAL]]*TbAlquiler[[#This Row],[P.U. (3)]]</f>
        <v>0</v>
      </c>
    </row>
    <row r="140" spans="1:26" ht="15" customHeight="1" x14ac:dyDescent="0.3">
      <c r="A140" s="2"/>
      <c r="B140" s="85">
        <v>123</v>
      </c>
      <c r="C140" s="71" t="s">
        <v>247</v>
      </c>
      <c r="D140" s="72" t="s">
        <v>248</v>
      </c>
      <c r="E140" s="73"/>
      <c r="F140" s="74">
        <f>+VLOOKUP(C140,TbAlquiler[],13,FALSE)</f>
        <v>0</v>
      </c>
      <c r="G140" s="2"/>
      <c r="H140" s="75" t="str">
        <f t="shared" si="2"/>
        <v>EA.1650</v>
      </c>
      <c r="I140" s="59" t="str">
        <f t="shared" si="3"/>
        <v>ok</v>
      </c>
      <c r="J140" s="77">
        <f>IFERROR(VLOOKUP($H140,TG[],3,FALSE),"NA")</f>
        <v>0</v>
      </c>
      <c r="K140" s="77" t="str">
        <f>IFERROR(VLOOKUP($H140,TF[],3,FALSE),"NA")</f>
        <v>NA</v>
      </c>
      <c r="L140" s="77" t="str">
        <f>IFERROR(VLOOKUP($H140,TT[],3,FALSE),"NA")</f>
        <v>NA</v>
      </c>
      <c r="M140" s="77">
        <f>IFERROR(VLOOKUP($H140,TES[],3,FALSE),"NA")</f>
        <v>0</v>
      </c>
      <c r="N140" s="77" t="str">
        <f>IFERROR(VLOOKUP($H140,TEC[],3,FALSE),"NA")</f>
        <v>NA</v>
      </c>
      <c r="O140" s="77" t="str">
        <f>IFERROR(VLOOKUP($H140,TP[],3,FALSE),"NA")</f>
        <v>NA</v>
      </c>
      <c r="P140" s="77" t="str">
        <f>IFERROR(VLOOKUP($H140,TEN[],3,FALSE),"NA")</f>
        <v>NA</v>
      </c>
      <c r="Q140" s="77" t="str">
        <f>IFERROR(VLOOKUP($H140,TD[],3,FALSE),"NA")</f>
        <v>NA</v>
      </c>
      <c r="R140" s="77" t="str">
        <f>IFERROR(VLOOKUP($H140,TC[],3,FALSE),"NA")</f>
        <v>NA</v>
      </c>
      <c r="S140" s="77" t="str">
        <f>IFERROR(VLOOKUP($H140,TEV[],3,FALSE),"NA")</f>
        <v>NA</v>
      </c>
      <c r="T140" s="79">
        <f>SUM(TbAlquiler[[#This Row],[GENERAL]:[ELEVADOR]])</f>
        <v>0</v>
      </c>
      <c r="U140" s="80">
        <f>IF(VLOOKUP(TbAlquiler[[#This Row],[ITEM]],TbPiezas[],5,FALSE)="NA",0,VLOOKUP(TbAlquiler[[#This Row],[ITEM]],TbPiezas[],5,FALSE))</f>
        <v>8.6</v>
      </c>
      <c r="V140" s="81">
        <f>+TbAlquiler[[#This Row],[TOTAL]]*TbAlquiler[[#This Row],[P.U. (1)]]</f>
        <v>0</v>
      </c>
      <c r="W140" s="82">
        <f>+VLOOKUP(TbAlquiler[[#This Row],[ITEM]],TbPiezas[],6,FALSE)</f>
        <v>446.77</v>
      </c>
      <c r="X140" s="83">
        <f>+TbAlquiler[[#This Row],[TOTAL]]*TbAlquiler[[#This Row],[P.U. (2)]]</f>
        <v>0</v>
      </c>
      <c r="Y140" s="82">
        <f>+VLOOKUP(TbAlquiler[[#This Row],[ITEM]],TbPiezas[],7,FALSE)</f>
        <v>22.3385</v>
      </c>
      <c r="Z140" s="84">
        <f>+TbAlquiler[[#This Row],[TOTAL]]*TbAlquiler[[#This Row],[P.U. (3)]]</f>
        <v>0</v>
      </c>
    </row>
    <row r="141" spans="1:26" ht="15" customHeight="1" x14ac:dyDescent="0.3">
      <c r="A141" s="2"/>
      <c r="B141" s="85">
        <v>124</v>
      </c>
      <c r="C141" s="71" t="s">
        <v>249</v>
      </c>
      <c r="D141" s="72" t="s">
        <v>250</v>
      </c>
      <c r="E141" s="73"/>
      <c r="F141" s="74">
        <f>+VLOOKUP(C141,TbAlquiler[],13,FALSE)</f>
        <v>0</v>
      </c>
      <c r="G141" s="2"/>
      <c r="H141" s="75" t="str">
        <f t="shared" si="2"/>
        <v>EA.1700</v>
      </c>
      <c r="I141" s="59" t="str">
        <f t="shared" si="3"/>
        <v>ok</v>
      </c>
      <c r="J141" s="77">
        <f>IFERROR(VLOOKUP($H141,TG[],3,FALSE),"NA")</f>
        <v>0</v>
      </c>
      <c r="K141" s="77" t="str">
        <f>IFERROR(VLOOKUP($H141,TF[],3,FALSE),"NA")</f>
        <v>NA</v>
      </c>
      <c r="L141" s="77" t="str">
        <f>IFERROR(VLOOKUP($H141,TT[],3,FALSE),"NA")</f>
        <v>NA</v>
      </c>
      <c r="M141" s="77">
        <f>IFERROR(VLOOKUP($H141,TES[],3,FALSE),"NA")</f>
        <v>0</v>
      </c>
      <c r="N141" s="77" t="str">
        <f>IFERROR(VLOOKUP($H141,TEC[],3,FALSE),"NA")</f>
        <v>NA</v>
      </c>
      <c r="O141" s="77" t="str">
        <f>IFERROR(VLOOKUP($H141,TP[],3,FALSE),"NA")</f>
        <v>NA</v>
      </c>
      <c r="P141" s="77" t="str">
        <f>IFERROR(VLOOKUP($H141,TEN[],3,FALSE),"NA")</f>
        <v>NA</v>
      </c>
      <c r="Q141" s="77" t="str">
        <f>IFERROR(VLOOKUP($H141,TD[],3,FALSE),"NA")</f>
        <v>NA</v>
      </c>
      <c r="R141" s="77" t="str">
        <f>IFERROR(VLOOKUP($H141,TC[],3,FALSE),"NA")</f>
        <v>NA</v>
      </c>
      <c r="S141" s="77" t="str">
        <f>IFERROR(VLOOKUP($H141,TEV[],3,FALSE),"NA")</f>
        <v>NA</v>
      </c>
      <c r="T141" s="79">
        <f>SUM(TbAlquiler[[#This Row],[GENERAL]:[ELEVADOR]])</f>
        <v>0</v>
      </c>
      <c r="U141" s="80">
        <f>IF(VLOOKUP(TbAlquiler[[#This Row],[ITEM]],TbPiezas[],5,FALSE)="NA",0,VLOOKUP(TbAlquiler[[#This Row],[ITEM]],TbPiezas[],5,FALSE))</f>
        <v>14.700000000000003</v>
      </c>
      <c r="V141" s="81">
        <f>+TbAlquiler[[#This Row],[TOTAL]]*TbAlquiler[[#This Row],[P.U. (1)]]</f>
        <v>0</v>
      </c>
      <c r="W141" s="82">
        <f>+VLOOKUP(TbAlquiler[[#This Row],[ITEM]],TbPiezas[],6,FALSE)</f>
        <v>864.58</v>
      </c>
      <c r="X141" s="83">
        <f>+TbAlquiler[[#This Row],[TOTAL]]*TbAlquiler[[#This Row],[P.U. (2)]]</f>
        <v>0</v>
      </c>
      <c r="Y141" s="82">
        <f>+VLOOKUP(TbAlquiler[[#This Row],[ITEM]],TbPiezas[],7,FALSE)</f>
        <v>43.229000000000006</v>
      </c>
      <c r="Z141" s="84">
        <f>+TbAlquiler[[#This Row],[TOTAL]]*TbAlquiler[[#This Row],[P.U. (3)]]</f>
        <v>0</v>
      </c>
    </row>
    <row r="142" spans="1:26" ht="15" customHeight="1" x14ac:dyDescent="0.3">
      <c r="A142" s="2"/>
      <c r="B142" s="85">
        <v>125</v>
      </c>
      <c r="C142" s="71" t="s">
        <v>251</v>
      </c>
      <c r="D142" s="72" t="s">
        <v>252</v>
      </c>
      <c r="E142" s="73"/>
      <c r="F142" s="74">
        <f>+VLOOKUP(C142,TbAlquiler[],13,FALSE)</f>
        <v>0</v>
      </c>
      <c r="G142" s="2"/>
      <c r="H142" s="75" t="str">
        <f t="shared" si="2"/>
        <v>EA.1750</v>
      </c>
      <c r="I142" s="59" t="str">
        <f t="shared" si="3"/>
        <v>ok</v>
      </c>
      <c r="J142" s="77">
        <f>IFERROR(VLOOKUP($H142,TG[],3,FALSE),"NA")</f>
        <v>0</v>
      </c>
      <c r="K142" s="77" t="str">
        <f>IFERROR(VLOOKUP($H142,TF[],3,FALSE),"NA")</f>
        <v>NA</v>
      </c>
      <c r="L142" s="77" t="str">
        <f>IFERROR(VLOOKUP($H142,TT[],3,FALSE),"NA")</f>
        <v>NA</v>
      </c>
      <c r="M142" s="77">
        <f>IFERROR(VLOOKUP($H142,TES[],3,FALSE),"NA")</f>
        <v>0</v>
      </c>
      <c r="N142" s="77" t="str">
        <f>IFERROR(VLOOKUP($H142,TEC[],3,FALSE),"NA")</f>
        <v>NA</v>
      </c>
      <c r="O142" s="77" t="str">
        <f>IFERROR(VLOOKUP($H142,TP[],3,FALSE),"NA")</f>
        <v>NA</v>
      </c>
      <c r="P142" s="77" t="str">
        <f>IFERROR(VLOOKUP($H142,TEN[],3,FALSE),"NA")</f>
        <v>NA</v>
      </c>
      <c r="Q142" s="77" t="str">
        <f>IFERROR(VLOOKUP($H142,TD[],3,FALSE),"NA")</f>
        <v>NA</v>
      </c>
      <c r="R142" s="77" t="str">
        <f>IFERROR(VLOOKUP($H142,TC[],3,FALSE),"NA")</f>
        <v>NA</v>
      </c>
      <c r="S142" s="77" t="str">
        <f>IFERROR(VLOOKUP($H142,TEV[],3,FALSE),"NA")</f>
        <v>NA</v>
      </c>
      <c r="T142" s="79">
        <f>SUM(TbAlquiler[[#This Row],[GENERAL]:[ELEVADOR]])</f>
        <v>0</v>
      </c>
      <c r="U142" s="80">
        <f>IF(VLOOKUP(TbAlquiler[[#This Row],[ITEM]],TbPiezas[],5,FALSE)="NA",0,VLOOKUP(TbAlquiler[[#This Row],[ITEM]],TbPiezas[],5,FALSE))</f>
        <v>8.6</v>
      </c>
      <c r="V142" s="81">
        <f>+TbAlquiler[[#This Row],[TOTAL]]*TbAlquiler[[#This Row],[P.U. (1)]]</f>
        <v>0</v>
      </c>
      <c r="W142" s="82">
        <f>+VLOOKUP(TbAlquiler[[#This Row],[ITEM]],TbPiezas[],6,FALSE)</f>
        <v>446.77</v>
      </c>
      <c r="X142" s="83">
        <f>+TbAlquiler[[#This Row],[TOTAL]]*TbAlquiler[[#This Row],[P.U. (2)]]</f>
        <v>0</v>
      </c>
      <c r="Y142" s="82">
        <f>+VLOOKUP(TbAlquiler[[#This Row],[ITEM]],TbPiezas[],7,FALSE)</f>
        <v>22.3385</v>
      </c>
      <c r="Z142" s="84">
        <f>+TbAlquiler[[#This Row],[TOTAL]]*TbAlquiler[[#This Row],[P.U. (3)]]</f>
        <v>0</v>
      </c>
    </row>
    <row r="143" spans="1:26" ht="15" customHeight="1" x14ac:dyDescent="0.3">
      <c r="A143" s="2"/>
      <c r="B143" s="85">
        <v>126</v>
      </c>
      <c r="C143" s="71" t="s">
        <v>253</v>
      </c>
      <c r="D143" s="72" t="s">
        <v>254</v>
      </c>
      <c r="E143" s="73"/>
      <c r="F143" s="74">
        <f>+VLOOKUP(C143,TbAlquiler[],13,FALSE)</f>
        <v>0</v>
      </c>
      <c r="G143" s="2"/>
      <c r="H143" s="75" t="str">
        <f t="shared" si="2"/>
        <v>EA.1800</v>
      </c>
      <c r="I143" s="59" t="str">
        <f t="shared" si="3"/>
        <v>ok</v>
      </c>
      <c r="J143" s="77">
        <f>IFERROR(VLOOKUP($H143,TG[],3,FALSE),"NA")</f>
        <v>0</v>
      </c>
      <c r="K143" s="77" t="str">
        <f>IFERROR(VLOOKUP($H143,TF[],3,FALSE),"NA")</f>
        <v>NA</v>
      </c>
      <c r="L143" s="77" t="str">
        <f>IFERROR(VLOOKUP($H143,TT[],3,FALSE),"NA")</f>
        <v>NA</v>
      </c>
      <c r="M143" s="77">
        <f>IFERROR(VLOOKUP($H143,TES[],3,FALSE),"NA")</f>
        <v>0</v>
      </c>
      <c r="N143" s="77" t="str">
        <f>IFERROR(VLOOKUP($H143,TEC[],3,FALSE),"NA")</f>
        <v>NA</v>
      </c>
      <c r="O143" s="77" t="str">
        <f>IFERROR(VLOOKUP($H143,TP[],3,FALSE),"NA")</f>
        <v>NA</v>
      </c>
      <c r="P143" s="77" t="str">
        <f>IFERROR(VLOOKUP($H143,TEN[],3,FALSE),"NA")</f>
        <v>NA</v>
      </c>
      <c r="Q143" s="77" t="str">
        <f>IFERROR(VLOOKUP($H143,TD[],3,FALSE),"NA")</f>
        <v>NA</v>
      </c>
      <c r="R143" s="77" t="str">
        <f>IFERROR(VLOOKUP($H143,TC[],3,FALSE),"NA")</f>
        <v>NA</v>
      </c>
      <c r="S143" s="77" t="str">
        <f>IFERROR(VLOOKUP($H143,TEV[],3,FALSE),"NA")</f>
        <v>NA</v>
      </c>
      <c r="T143" s="79">
        <f>SUM(TbAlquiler[[#This Row],[GENERAL]:[ELEVADOR]])</f>
        <v>0</v>
      </c>
      <c r="U143" s="80">
        <f>IF(VLOOKUP(TbAlquiler[[#This Row],[ITEM]],TbPiezas[],5,FALSE)="NA",0,VLOOKUP(TbAlquiler[[#This Row],[ITEM]],TbPiezas[],5,FALSE))</f>
        <v>3.3999999999999915</v>
      </c>
      <c r="V143" s="81">
        <f>+TbAlquiler[[#This Row],[TOTAL]]*TbAlquiler[[#This Row],[P.U. (1)]]</f>
        <v>0</v>
      </c>
      <c r="W143" s="82">
        <f>+VLOOKUP(TbAlquiler[[#This Row],[ITEM]],TbPiezas[],6,FALSE)</f>
        <v>241.71</v>
      </c>
      <c r="X143" s="83">
        <f>+TbAlquiler[[#This Row],[TOTAL]]*TbAlquiler[[#This Row],[P.U. (2)]]</f>
        <v>0</v>
      </c>
      <c r="Y143" s="82">
        <f>+VLOOKUP(TbAlquiler[[#This Row],[ITEM]],TbPiezas[],7,FALSE)</f>
        <v>12.085500000000001</v>
      </c>
      <c r="Z143" s="84">
        <f>+TbAlquiler[[#This Row],[TOTAL]]*TbAlquiler[[#This Row],[P.U. (3)]]</f>
        <v>0</v>
      </c>
    </row>
    <row r="144" spans="1:26" ht="15" customHeight="1" x14ac:dyDescent="0.3">
      <c r="A144" s="2"/>
      <c r="B144" s="85">
        <v>127</v>
      </c>
      <c r="C144" s="71" t="s">
        <v>255</v>
      </c>
      <c r="D144" s="72" t="s">
        <v>256</v>
      </c>
      <c r="E144" s="73"/>
      <c r="F144" s="74">
        <f>+VLOOKUP(C144,TbAlquiler[],13,FALSE)</f>
        <v>0</v>
      </c>
      <c r="G144" s="2"/>
      <c r="H144" s="75" t="str">
        <f t="shared" si="2"/>
        <v>EA.1850</v>
      </c>
      <c r="I144" s="59" t="str">
        <f t="shared" si="3"/>
        <v>ok</v>
      </c>
      <c r="J144" s="77">
        <f>IFERROR(VLOOKUP($H144,TG[],3,FALSE),"NA")</f>
        <v>0</v>
      </c>
      <c r="K144" s="77" t="str">
        <f>IFERROR(VLOOKUP($H144,TF[],3,FALSE),"NA")</f>
        <v>NA</v>
      </c>
      <c r="L144" s="77" t="str">
        <f>IFERROR(VLOOKUP($H144,TT[],3,FALSE),"NA")</f>
        <v>NA</v>
      </c>
      <c r="M144" s="77">
        <f>IFERROR(VLOOKUP($H144,TES[],3,FALSE),"NA")</f>
        <v>0</v>
      </c>
      <c r="N144" s="77" t="str">
        <f>IFERROR(VLOOKUP($H144,TEC[],3,FALSE),"NA")</f>
        <v>NA</v>
      </c>
      <c r="O144" s="77" t="str">
        <f>IFERROR(VLOOKUP($H144,TP[],3,FALSE),"NA")</f>
        <v>NA</v>
      </c>
      <c r="P144" s="77" t="str">
        <f>IFERROR(VLOOKUP($H144,TEN[],3,FALSE),"NA")</f>
        <v>NA</v>
      </c>
      <c r="Q144" s="77" t="str">
        <f>IFERROR(VLOOKUP($H144,TD[],3,FALSE),"NA")</f>
        <v>NA</v>
      </c>
      <c r="R144" s="77" t="str">
        <f>IFERROR(VLOOKUP($H144,TC[],3,FALSE),"NA")</f>
        <v>NA</v>
      </c>
      <c r="S144" s="77" t="str">
        <f>IFERROR(VLOOKUP($H144,TEV[],3,FALSE),"NA")</f>
        <v>NA</v>
      </c>
      <c r="T144" s="79">
        <f>SUM(TbAlquiler[[#This Row],[GENERAL]:[ELEVADOR]])</f>
        <v>0</v>
      </c>
      <c r="U144" s="80">
        <f>IF(VLOOKUP(TbAlquiler[[#This Row],[ITEM]],TbPiezas[],5,FALSE)="NA",0,VLOOKUP(TbAlquiler[[#This Row],[ITEM]],TbPiezas[],5,FALSE))</f>
        <v>4</v>
      </c>
      <c r="V144" s="81">
        <f>+TbAlquiler[[#This Row],[TOTAL]]*TbAlquiler[[#This Row],[P.U. (1)]]</f>
        <v>0</v>
      </c>
      <c r="W144" s="82">
        <f>+VLOOKUP(TbAlquiler[[#This Row],[ITEM]],TbPiezas[],6,FALSE)</f>
        <v>110</v>
      </c>
      <c r="X144" s="83">
        <f>+TbAlquiler[[#This Row],[TOTAL]]*TbAlquiler[[#This Row],[P.U. (2)]]</f>
        <v>0</v>
      </c>
      <c r="Y144" s="82">
        <f>+VLOOKUP(TbAlquiler[[#This Row],[ITEM]],TbPiezas[],7,FALSE)</f>
        <v>5.5</v>
      </c>
      <c r="Z144" s="84">
        <f>+TbAlquiler[[#This Row],[TOTAL]]*TbAlquiler[[#This Row],[P.U. (3)]]</f>
        <v>0</v>
      </c>
    </row>
    <row r="145" spans="1:26" ht="15" customHeight="1" x14ac:dyDescent="0.3">
      <c r="A145" s="2"/>
      <c r="B145" s="85">
        <v>128</v>
      </c>
      <c r="C145" s="71" t="s">
        <v>257</v>
      </c>
      <c r="D145" s="72" t="s">
        <v>258</v>
      </c>
      <c r="E145" s="73"/>
      <c r="F145" s="74">
        <f>+VLOOKUP(C145,TbAlquiler[],13,FALSE)</f>
        <v>0</v>
      </c>
      <c r="G145" s="2"/>
      <c r="H145" s="75" t="str">
        <f t="shared" si="2"/>
        <v>EA.1900</v>
      </c>
      <c r="I145" s="59" t="str">
        <f t="shared" si="3"/>
        <v>ok</v>
      </c>
      <c r="J145" s="77">
        <f>IFERROR(VLOOKUP($H145,TG[],3,FALSE),"NA")</f>
        <v>0</v>
      </c>
      <c r="K145" s="77" t="str">
        <f>IFERROR(VLOOKUP($H145,TF[],3,FALSE),"NA")</f>
        <v>NA</v>
      </c>
      <c r="L145" s="77" t="str">
        <f>IFERROR(VLOOKUP($H145,TT[],3,FALSE),"NA")</f>
        <v>NA</v>
      </c>
      <c r="M145" s="77">
        <f>IFERROR(VLOOKUP($H145,TES[],3,FALSE),"NA")</f>
        <v>0</v>
      </c>
      <c r="N145" s="77" t="str">
        <f>IFERROR(VLOOKUP($H145,TEC[],3,FALSE),"NA")</f>
        <v>NA</v>
      </c>
      <c r="O145" s="77" t="str">
        <f>IFERROR(VLOOKUP($H145,TP[],3,FALSE),"NA")</f>
        <v>NA</v>
      </c>
      <c r="P145" s="77" t="str">
        <f>IFERROR(VLOOKUP($H145,TEN[],3,FALSE),"NA")</f>
        <v>NA</v>
      </c>
      <c r="Q145" s="77" t="str">
        <f>IFERROR(VLOOKUP($H145,TD[],3,FALSE),"NA")</f>
        <v>NA</v>
      </c>
      <c r="R145" s="77" t="str">
        <f>IFERROR(VLOOKUP($H145,TC[],3,FALSE),"NA")</f>
        <v>NA</v>
      </c>
      <c r="S145" s="77" t="str">
        <f>IFERROR(VLOOKUP($H145,TEV[],3,FALSE),"NA")</f>
        <v>NA</v>
      </c>
      <c r="T145" s="79">
        <f>SUM(TbAlquiler[[#This Row],[GENERAL]:[ELEVADOR]])</f>
        <v>0</v>
      </c>
      <c r="U145" s="80">
        <f>IF(VLOOKUP(TbAlquiler[[#This Row],[ITEM]],TbPiezas[],5,FALSE)="NA",0,VLOOKUP(TbAlquiler[[#This Row],[ITEM]],TbPiezas[],5,FALSE))</f>
        <v>10.200000000000003</v>
      </c>
      <c r="V145" s="81">
        <f>+TbAlquiler[[#This Row],[TOTAL]]*TbAlquiler[[#This Row],[P.U. (1)]]</f>
        <v>0</v>
      </c>
      <c r="W145" s="82">
        <f>+VLOOKUP(TbAlquiler[[#This Row],[ITEM]],TbPiezas[],6,FALSE)</f>
        <v>864.58</v>
      </c>
      <c r="X145" s="83">
        <f>+TbAlquiler[[#This Row],[TOTAL]]*TbAlquiler[[#This Row],[P.U. (2)]]</f>
        <v>0</v>
      </c>
      <c r="Y145" s="82">
        <f>+VLOOKUP(TbAlquiler[[#This Row],[ITEM]],TbPiezas[],7,FALSE)</f>
        <v>43.229000000000006</v>
      </c>
      <c r="Z145" s="84">
        <f>+TbAlquiler[[#This Row],[TOTAL]]*TbAlquiler[[#This Row],[P.U. (3)]]</f>
        <v>0</v>
      </c>
    </row>
    <row r="146" spans="1:26" ht="15" customHeight="1" x14ac:dyDescent="0.3">
      <c r="A146" s="2"/>
      <c r="B146" s="85">
        <v>129</v>
      </c>
      <c r="C146" s="71" t="s">
        <v>259</v>
      </c>
      <c r="D146" s="72" t="s">
        <v>260</v>
      </c>
      <c r="E146" s="73"/>
      <c r="F146" s="74">
        <f>+VLOOKUP(C146,TbAlquiler[],13,FALSE)</f>
        <v>0</v>
      </c>
      <c r="G146" s="2"/>
      <c r="H146" s="75" t="str">
        <f t="shared" ref="H146:H209" si="4">+C146</f>
        <v>EA.1950</v>
      </c>
      <c r="I146" s="59" t="str">
        <f t="shared" ref="I146:I209" si="5">+IF(C146=H146,"ok","mal")</f>
        <v>ok</v>
      </c>
      <c r="J146" s="77">
        <f>IFERROR(VLOOKUP($H146,TG[],3,FALSE),"NA")</f>
        <v>0</v>
      </c>
      <c r="K146" s="77" t="str">
        <f>IFERROR(VLOOKUP($H146,TF[],3,FALSE),"NA")</f>
        <v>NA</v>
      </c>
      <c r="L146" s="77" t="str">
        <f>IFERROR(VLOOKUP($H146,TT[],3,FALSE),"NA")</f>
        <v>NA</v>
      </c>
      <c r="M146" s="77">
        <f>IFERROR(VLOOKUP($H146,TES[],3,FALSE),"NA")</f>
        <v>0</v>
      </c>
      <c r="N146" s="77" t="str">
        <f>IFERROR(VLOOKUP($H146,TEC[],3,FALSE),"NA")</f>
        <v>NA</v>
      </c>
      <c r="O146" s="77" t="str">
        <f>IFERROR(VLOOKUP($H146,TP[],3,FALSE),"NA")</f>
        <v>NA</v>
      </c>
      <c r="P146" s="77" t="str">
        <f>IFERROR(VLOOKUP($H146,TEN[],3,FALSE),"NA")</f>
        <v>NA</v>
      </c>
      <c r="Q146" s="77" t="str">
        <f>IFERROR(VLOOKUP($H146,TD[],3,FALSE),"NA")</f>
        <v>NA</v>
      </c>
      <c r="R146" s="77" t="str">
        <f>IFERROR(VLOOKUP($H146,TC[],3,FALSE),"NA")</f>
        <v>NA</v>
      </c>
      <c r="S146" s="77" t="str">
        <f>IFERROR(VLOOKUP($H146,TEV[],3,FALSE),"NA")</f>
        <v>NA</v>
      </c>
      <c r="T146" s="79">
        <f>SUM(TbAlquiler[[#This Row],[GENERAL]:[ELEVADOR]])</f>
        <v>0</v>
      </c>
      <c r="U146" s="80">
        <f>IF(VLOOKUP(TbAlquiler[[#This Row],[ITEM]],TbPiezas[],5,FALSE)="NA",0,VLOOKUP(TbAlquiler[[#This Row],[ITEM]],TbPiezas[],5,FALSE))</f>
        <v>6.3</v>
      </c>
      <c r="V146" s="81">
        <f>+TbAlquiler[[#This Row],[TOTAL]]*TbAlquiler[[#This Row],[P.U. (1)]]</f>
        <v>0</v>
      </c>
      <c r="W146" s="82">
        <f>+VLOOKUP(TbAlquiler[[#This Row],[ITEM]],TbPiezas[],6,FALSE)</f>
        <v>446.77</v>
      </c>
      <c r="X146" s="83">
        <f>+TbAlquiler[[#This Row],[TOTAL]]*TbAlquiler[[#This Row],[P.U. (2)]]</f>
        <v>0</v>
      </c>
      <c r="Y146" s="82">
        <f>+VLOOKUP(TbAlquiler[[#This Row],[ITEM]],TbPiezas[],7,FALSE)</f>
        <v>22.3385</v>
      </c>
      <c r="Z146" s="84">
        <f>+TbAlquiler[[#This Row],[TOTAL]]*TbAlquiler[[#This Row],[P.U. (3)]]</f>
        <v>0</v>
      </c>
    </row>
    <row r="147" spans="1:26" ht="15" customHeight="1" x14ac:dyDescent="0.3">
      <c r="A147" s="2"/>
      <c r="B147" s="85">
        <v>130</v>
      </c>
      <c r="C147" s="71" t="s">
        <v>261</v>
      </c>
      <c r="D147" s="72" t="s">
        <v>262</v>
      </c>
      <c r="E147" s="73"/>
      <c r="F147" s="74">
        <f>+VLOOKUP(C147,TbAlquiler[],13,FALSE)</f>
        <v>0</v>
      </c>
      <c r="G147" s="2"/>
      <c r="H147" s="75" t="str">
        <f t="shared" si="4"/>
        <v>EA.2000</v>
      </c>
      <c r="I147" s="59" t="str">
        <f t="shared" si="5"/>
        <v>ok</v>
      </c>
      <c r="J147" s="77">
        <f>IFERROR(VLOOKUP($H147,TG[],3,FALSE),"NA")</f>
        <v>0</v>
      </c>
      <c r="K147" s="77" t="str">
        <f>IFERROR(VLOOKUP($H147,TF[],3,FALSE),"NA")</f>
        <v>NA</v>
      </c>
      <c r="L147" s="77" t="str">
        <f>IFERROR(VLOOKUP($H147,TT[],3,FALSE),"NA")</f>
        <v>NA</v>
      </c>
      <c r="M147" s="77">
        <f>IFERROR(VLOOKUP($H147,TES[],3,FALSE),"NA")</f>
        <v>0</v>
      </c>
      <c r="N147" s="77" t="str">
        <f>IFERROR(VLOOKUP($H147,TEC[],3,FALSE),"NA")</f>
        <v>NA</v>
      </c>
      <c r="O147" s="77" t="str">
        <f>IFERROR(VLOOKUP($H147,TP[],3,FALSE),"NA")</f>
        <v>NA</v>
      </c>
      <c r="P147" s="77" t="str">
        <f>IFERROR(VLOOKUP($H147,TEN[],3,FALSE),"NA")</f>
        <v>NA</v>
      </c>
      <c r="Q147" s="77" t="str">
        <f>IFERROR(VLOOKUP($H147,TD[],3,FALSE),"NA")</f>
        <v>NA</v>
      </c>
      <c r="R147" s="77" t="str">
        <f>IFERROR(VLOOKUP($H147,TC[],3,FALSE),"NA")</f>
        <v>NA</v>
      </c>
      <c r="S147" s="77" t="str">
        <f>IFERROR(VLOOKUP($H147,TEV[],3,FALSE),"NA")</f>
        <v>NA</v>
      </c>
      <c r="T147" s="79">
        <f>SUM(TbAlquiler[[#This Row],[GENERAL]:[ELEVADOR]])</f>
        <v>0</v>
      </c>
      <c r="U147" s="80">
        <f>IF(VLOOKUP(TbAlquiler[[#This Row],[ITEM]],TbPiezas[],5,FALSE)="NA",0,VLOOKUP(TbAlquiler[[#This Row],[ITEM]],TbPiezas[],5,FALSE))</f>
        <v>9.9999999999994316E-2</v>
      </c>
      <c r="V147" s="81">
        <f>+TbAlquiler[[#This Row],[TOTAL]]*TbAlquiler[[#This Row],[P.U. (1)]]</f>
        <v>0</v>
      </c>
      <c r="W147" s="82">
        <f>+VLOOKUP(TbAlquiler[[#This Row],[ITEM]],TbPiezas[],6,FALSE)</f>
        <v>10.16</v>
      </c>
      <c r="X147" s="83">
        <f>+TbAlquiler[[#This Row],[TOTAL]]*TbAlquiler[[#This Row],[P.U. (2)]]</f>
        <v>0</v>
      </c>
      <c r="Y147" s="82">
        <f>+VLOOKUP(TbAlquiler[[#This Row],[ITEM]],TbPiezas[],7,FALSE)</f>
        <v>0.50800000000000001</v>
      </c>
      <c r="Z147" s="84">
        <f>+TbAlquiler[[#This Row],[TOTAL]]*TbAlquiler[[#This Row],[P.U. (3)]]</f>
        <v>0</v>
      </c>
    </row>
    <row r="148" spans="1:26" ht="15" customHeight="1" x14ac:dyDescent="0.3">
      <c r="A148" s="2"/>
      <c r="B148" s="85">
        <v>131</v>
      </c>
      <c r="C148" s="71" t="s">
        <v>263</v>
      </c>
      <c r="D148" s="72" t="s">
        <v>264</v>
      </c>
      <c r="E148" s="73"/>
      <c r="F148" s="74">
        <f>+VLOOKUP(C148,TbAlquiler[],13,FALSE)</f>
        <v>6</v>
      </c>
      <c r="G148" s="2"/>
      <c r="H148" s="75" t="str">
        <f t="shared" si="4"/>
        <v>EC.0100</v>
      </c>
      <c r="I148" s="59" t="str">
        <f t="shared" si="5"/>
        <v>ok</v>
      </c>
      <c r="J148" s="77">
        <f>IFERROR(VLOOKUP($H148,TG[],3,FALSE),"NA")</f>
        <v>6</v>
      </c>
      <c r="K148" s="77" t="str">
        <f>IFERROR(VLOOKUP($H148,TF[],3,FALSE),"NA")</f>
        <v>NA</v>
      </c>
      <c r="L148" s="77" t="str">
        <f>IFERROR(VLOOKUP($H148,TT[],3,FALSE),"NA")</f>
        <v>NA</v>
      </c>
      <c r="M148" s="77" t="str">
        <f>IFERROR(VLOOKUP($H148,TES[],3,FALSE),"NA")</f>
        <v>NA</v>
      </c>
      <c r="N148" s="77">
        <f>IFERROR(VLOOKUP($H148,TEC[],3,FALSE),"NA")</f>
        <v>0</v>
      </c>
      <c r="O148" s="77" t="str">
        <f>IFERROR(VLOOKUP($H148,TP[],3,FALSE),"NA")</f>
        <v>NA</v>
      </c>
      <c r="P148" s="77" t="str">
        <f>IFERROR(VLOOKUP($H148,TEN[],3,FALSE),"NA")</f>
        <v>NA</v>
      </c>
      <c r="Q148" s="77" t="str">
        <f>IFERROR(VLOOKUP($H148,TD[],3,FALSE),"NA")</f>
        <v>NA</v>
      </c>
      <c r="R148" s="77" t="str">
        <f>IFERROR(VLOOKUP($H148,TC[],3,FALSE),"NA")</f>
        <v>NA</v>
      </c>
      <c r="S148" s="77" t="str">
        <f>IFERROR(VLOOKUP($H148,TEV[],3,FALSE),"NA")</f>
        <v>NA</v>
      </c>
      <c r="T148" s="79">
        <f>SUM(TbAlquiler[[#This Row],[GENERAL]:[ELEVADOR]])</f>
        <v>6</v>
      </c>
      <c r="U148" s="80">
        <f>IF(VLOOKUP(TbAlquiler[[#This Row],[ITEM]],TbPiezas[],5,FALSE)="NA",0,VLOOKUP(TbAlquiler[[#This Row],[ITEM]],TbPiezas[],5,FALSE))</f>
        <v>32.799999999999997</v>
      </c>
      <c r="V148" s="81">
        <f>+TbAlquiler[[#This Row],[TOTAL]]*TbAlquiler[[#This Row],[P.U. (1)]]</f>
        <v>196.79999999999998</v>
      </c>
      <c r="W148" s="82">
        <f>+VLOOKUP(TbAlquiler[[#This Row],[ITEM]],TbPiezas[],6,FALSE)</f>
        <v>1969.28</v>
      </c>
      <c r="X148" s="83">
        <f>+TbAlquiler[[#This Row],[TOTAL]]*TbAlquiler[[#This Row],[P.U. (2)]]</f>
        <v>11815.68</v>
      </c>
      <c r="Y148" s="82">
        <f>+VLOOKUP(TbAlquiler[[#This Row],[ITEM]],TbPiezas[],7,FALSE)</f>
        <v>70</v>
      </c>
      <c r="Z148" s="84">
        <f>+TbAlquiler[[#This Row],[TOTAL]]*TbAlquiler[[#This Row],[P.U. (3)]]</f>
        <v>420</v>
      </c>
    </row>
    <row r="149" spans="1:26" ht="15" customHeight="1" x14ac:dyDescent="0.3">
      <c r="A149" s="2"/>
      <c r="B149" s="85">
        <v>132</v>
      </c>
      <c r="C149" s="71" t="s">
        <v>265</v>
      </c>
      <c r="D149" s="72" t="s">
        <v>266</v>
      </c>
      <c r="E149" s="73"/>
      <c r="F149" s="74">
        <f>+VLOOKUP(C149,TbAlquiler[],13,FALSE)</f>
        <v>0</v>
      </c>
      <c r="G149" s="2"/>
      <c r="H149" s="75" t="str">
        <f t="shared" si="4"/>
        <v>EC.0200</v>
      </c>
      <c r="I149" s="59" t="str">
        <f t="shared" si="5"/>
        <v>ok</v>
      </c>
      <c r="J149" s="77">
        <f>IFERROR(VLOOKUP($H149,TG[],3,FALSE),"NA")</f>
        <v>0</v>
      </c>
      <c r="K149" s="77" t="str">
        <f>IFERROR(VLOOKUP($H149,TF[],3,FALSE),"NA")</f>
        <v>NA</v>
      </c>
      <c r="L149" s="77" t="str">
        <f>IFERROR(VLOOKUP($H149,TT[],3,FALSE),"NA")</f>
        <v>NA</v>
      </c>
      <c r="M149" s="77" t="str">
        <f>IFERROR(VLOOKUP($H149,TES[],3,FALSE),"NA")</f>
        <v>NA</v>
      </c>
      <c r="N149" s="77" t="str">
        <f>IFERROR(VLOOKUP($H149,TEC[],3,FALSE),"NA")</f>
        <v>NA</v>
      </c>
      <c r="O149" s="77" t="str">
        <f>IFERROR(VLOOKUP($H149,TP[],3,FALSE),"NA")</f>
        <v>NA</v>
      </c>
      <c r="P149" s="77" t="str">
        <f>IFERROR(VLOOKUP($H149,TEN[],3,FALSE),"NA")</f>
        <v>NA</v>
      </c>
      <c r="Q149" s="77" t="str">
        <f>IFERROR(VLOOKUP($H149,TD[],3,FALSE),"NA")</f>
        <v>NA</v>
      </c>
      <c r="R149" s="77" t="str">
        <f>IFERROR(VLOOKUP($H149,TC[],3,FALSE),"NA")</f>
        <v>NA</v>
      </c>
      <c r="S149" s="77" t="str">
        <f>IFERROR(VLOOKUP($H149,TEV[],3,FALSE),"NA")</f>
        <v>NA</v>
      </c>
      <c r="T149" s="79">
        <f>SUM(TbAlquiler[[#This Row],[GENERAL]:[ELEVADOR]])</f>
        <v>0</v>
      </c>
      <c r="U149" s="80">
        <f>IF(VLOOKUP(TbAlquiler[[#This Row],[ITEM]],TbPiezas[],5,FALSE)="NA",0,VLOOKUP(TbAlquiler[[#This Row],[ITEM]],TbPiezas[],5,FALSE))</f>
        <v>10.7</v>
      </c>
      <c r="V149" s="81">
        <f>+TbAlquiler[[#This Row],[TOTAL]]*TbAlquiler[[#This Row],[P.U. (1)]]</f>
        <v>0</v>
      </c>
      <c r="W149" s="82">
        <f>+VLOOKUP(TbAlquiler[[#This Row],[ITEM]],TbPiezas[],6,FALSE)</f>
        <v>457.38</v>
      </c>
      <c r="X149" s="83">
        <f>+TbAlquiler[[#This Row],[TOTAL]]*TbAlquiler[[#This Row],[P.U. (2)]]</f>
        <v>0</v>
      </c>
      <c r="Y149" s="82">
        <f>+VLOOKUP(TbAlquiler[[#This Row],[ITEM]],TbPiezas[],7,FALSE)</f>
        <v>25</v>
      </c>
      <c r="Z149" s="84">
        <f>+TbAlquiler[[#This Row],[TOTAL]]*TbAlquiler[[#This Row],[P.U. (3)]]</f>
        <v>0</v>
      </c>
    </row>
    <row r="150" spans="1:26" ht="15" customHeight="1" x14ac:dyDescent="0.3">
      <c r="A150" s="2"/>
      <c r="B150" s="85">
        <v>133</v>
      </c>
      <c r="C150" s="71" t="s">
        <v>267</v>
      </c>
      <c r="D150" s="72" t="s">
        <v>268</v>
      </c>
      <c r="E150" s="73"/>
      <c r="F150" s="74">
        <f>+VLOOKUP(C150,TbAlquiler[],13,FALSE)</f>
        <v>6</v>
      </c>
      <c r="G150" s="2"/>
      <c r="H150" s="75" t="str">
        <f t="shared" si="4"/>
        <v>EC.0300</v>
      </c>
      <c r="I150" s="59" t="str">
        <f t="shared" si="5"/>
        <v>ok</v>
      </c>
      <c r="J150" s="77">
        <f>IFERROR(VLOOKUP($H150,TG[],3,FALSE),"NA")</f>
        <v>6</v>
      </c>
      <c r="K150" s="77" t="str">
        <f>IFERROR(VLOOKUP($H150,TF[],3,FALSE),"NA")</f>
        <v>NA</v>
      </c>
      <c r="L150" s="77" t="str">
        <f>IFERROR(VLOOKUP($H150,TT[],3,FALSE),"NA")</f>
        <v>NA</v>
      </c>
      <c r="M150" s="77" t="str">
        <f>IFERROR(VLOOKUP($H150,TES[],3,FALSE),"NA")</f>
        <v>NA</v>
      </c>
      <c r="N150" s="77">
        <f>IFERROR(VLOOKUP($H150,TEC[],3,FALSE),"NA")</f>
        <v>0</v>
      </c>
      <c r="O150" s="77" t="str">
        <f>IFERROR(VLOOKUP($H150,TP[],3,FALSE),"NA")</f>
        <v>NA</v>
      </c>
      <c r="P150" s="77" t="str">
        <f>IFERROR(VLOOKUP($H150,TEN[],3,FALSE),"NA")</f>
        <v>NA</v>
      </c>
      <c r="Q150" s="77" t="str">
        <f>IFERROR(VLOOKUP($H150,TD[],3,FALSE),"NA")</f>
        <v>NA</v>
      </c>
      <c r="R150" s="77" t="str">
        <f>IFERROR(VLOOKUP($H150,TC[],3,FALSE),"NA")</f>
        <v>NA</v>
      </c>
      <c r="S150" s="77" t="str">
        <f>IFERROR(VLOOKUP($H150,TEV[],3,FALSE),"NA")</f>
        <v>NA</v>
      </c>
      <c r="T150" s="79">
        <f>SUM(TbAlquiler[[#This Row],[GENERAL]:[ELEVADOR]])</f>
        <v>6</v>
      </c>
      <c r="U150" s="80">
        <f>IF(VLOOKUP(TbAlquiler[[#This Row],[ITEM]],TbPiezas[],5,FALSE)="NA",0,VLOOKUP(TbAlquiler[[#This Row],[ITEM]],TbPiezas[],5,FALSE))</f>
        <v>13.9</v>
      </c>
      <c r="V150" s="81">
        <f>+TbAlquiler[[#This Row],[TOTAL]]*TbAlquiler[[#This Row],[P.U. (1)]]</f>
        <v>83.4</v>
      </c>
      <c r="W150" s="82">
        <f>+VLOOKUP(TbAlquiler[[#This Row],[ITEM]],TbPiezas[],6,FALSE)</f>
        <v>457.38</v>
      </c>
      <c r="X150" s="83">
        <f>+TbAlquiler[[#This Row],[TOTAL]]*TbAlquiler[[#This Row],[P.U. (2)]]</f>
        <v>2744.2799999999997</v>
      </c>
      <c r="Y150" s="82">
        <f>+VLOOKUP(TbAlquiler[[#This Row],[ITEM]],TbPiezas[],7,FALSE)</f>
        <v>25</v>
      </c>
      <c r="Z150" s="84">
        <f>+TbAlquiler[[#This Row],[TOTAL]]*TbAlquiler[[#This Row],[P.U. (3)]]</f>
        <v>150</v>
      </c>
    </row>
    <row r="151" spans="1:26" ht="15" customHeight="1" x14ac:dyDescent="0.3">
      <c r="A151" s="2"/>
      <c r="B151" s="85">
        <v>134</v>
      </c>
      <c r="C151" s="71" t="s">
        <v>269</v>
      </c>
      <c r="D151" s="72" t="s">
        <v>270</v>
      </c>
      <c r="E151" s="73"/>
      <c r="F151" s="74">
        <f>+VLOOKUP(C151,TbAlquiler[],13,FALSE)</f>
        <v>0</v>
      </c>
      <c r="G151" s="2"/>
      <c r="H151" s="75" t="str">
        <f t="shared" si="4"/>
        <v>EC.0400</v>
      </c>
      <c r="I151" s="59" t="str">
        <f t="shared" si="5"/>
        <v>ok</v>
      </c>
      <c r="J151" s="77">
        <f>IFERROR(VLOOKUP($H151,TG[],3,FALSE),"NA")</f>
        <v>0</v>
      </c>
      <c r="K151" s="77" t="str">
        <f>IFERROR(VLOOKUP($H151,TF[],3,FALSE),"NA")</f>
        <v>NA</v>
      </c>
      <c r="L151" s="77" t="str">
        <f>IFERROR(VLOOKUP($H151,TT[],3,FALSE),"NA")</f>
        <v>NA</v>
      </c>
      <c r="M151" s="77" t="str">
        <f>IFERROR(VLOOKUP($H151,TES[],3,FALSE),"NA")</f>
        <v>NA</v>
      </c>
      <c r="N151" s="77" t="str">
        <f>IFERROR(VLOOKUP($H151,TEC[],3,FALSE),"NA")</f>
        <v>NA</v>
      </c>
      <c r="O151" s="77" t="str">
        <f>IFERROR(VLOOKUP($H151,TP[],3,FALSE),"NA")</f>
        <v>NA</v>
      </c>
      <c r="P151" s="77" t="str">
        <f>IFERROR(VLOOKUP($H151,TEN[],3,FALSE),"NA")</f>
        <v>NA</v>
      </c>
      <c r="Q151" s="77" t="str">
        <f>IFERROR(VLOOKUP($H151,TD[],3,FALSE),"NA")</f>
        <v>NA</v>
      </c>
      <c r="R151" s="77" t="str">
        <f>IFERROR(VLOOKUP($H151,TC[],3,FALSE),"NA")</f>
        <v>NA</v>
      </c>
      <c r="S151" s="77" t="str">
        <f>IFERROR(VLOOKUP($H151,TEV[],3,FALSE),"NA")</f>
        <v>NA</v>
      </c>
      <c r="T151" s="79">
        <f>SUM(TbAlquiler[[#This Row],[GENERAL]:[ELEVADOR]])</f>
        <v>0</v>
      </c>
      <c r="U151" s="80">
        <f>IF(VLOOKUP(TbAlquiler[[#This Row],[ITEM]],TbPiezas[],5,FALSE)="NA",0,VLOOKUP(TbAlquiler[[#This Row],[ITEM]],TbPiezas[],5,FALSE))</f>
        <v>20.700000000000003</v>
      </c>
      <c r="V151" s="81">
        <f>+TbAlquiler[[#This Row],[TOTAL]]*TbAlquiler[[#This Row],[P.U. (1)]]</f>
        <v>0</v>
      </c>
      <c r="W151" s="82">
        <f>+VLOOKUP(TbAlquiler[[#This Row],[ITEM]],TbPiezas[],6,FALSE)</f>
        <v>635.25</v>
      </c>
      <c r="X151" s="83">
        <f>+TbAlquiler[[#This Row],[TOTAL]]*TbAlquiler[[#This Row],[P.U. (2)]]</f>
        <v>0</v>
      </c>
      <c r="Y151" s="82">
        <f>+VLOOKUP(TbAlquiler[[#This Row],[ITEM]],TbPiezas[],7,FALSE)</f>
        <v>25</v>
      </c>
      <c r="Z151" s="84">
        <f>+TbAlquiler[[#This Row],[TOTAL]]*TbAlquiler[[#This Row],[P.U. (3)]]</f>
        <v>0</v>
      </c>
    </row>
    <row r="152" spans="1:26" ht="15" customHeight="1" x14ac:dyDescent="0.3">
      <c r="A152" s="2"/>
      <c r="B152" s="85">
        <v>135</v>
      </c>
      <c r="C152" s="71" t="s">
        <v>271</v>
      </c>
      <c r="D152" s="72" t="s">
        <v>272</v>
      </c>
      <c r="E152" s="73"/>
      <c r="F152" s="74">
        <f>+VLOOKUP(C152,TbAlquiler[],13,FALSE)</f>
        <v>0</v>
      </c>
      <c r="G152" s="2"/>
      <c r="H152" s="75" t="str">
        <f t="shared" si="4"/>
        <v>EC.0500</v>
      </c>
      <c r="I152" s="59" t="str">
        <f t="shared" si="5"/>
        <v>ok</v>
      </c>
      <c r="J152" s="77">
        <f>IFERROR(VLOOKUP($H152,TG[],3,FALSE),"NA")</f>
        <v>0</v>
      </c>
      <c r="K152" s="77" t="str">
        <f>IFERROR(VLOOKUP($H152,TF[],3,FALSE),"NA")</f>
        <v>NA</v>
      </c>
      <c r="L152" s="77" t="str">
        <f>IFERROR(VLOOKUP($H152,TT[],3,FALSE),"NA")</f>
        <v>NA</v>
      </c>
      <c r="M152" s="77" t="str">
        <f>IFERROR(VLOOKUP($H152,TES[],3,FALSE),"NA")</f>
        <v>NA</v>
      </c>
      <c r="N152" s="77" t="str">
        <f>IFERROR(VLOOKUP($H152,TEC[],3,FALSE),"NA")</f>
        <v>NA</v>
      </c>
      <c r="O152" s="77" t="str">
        <f>IFERROR(VLOOKUP($H152,TP[],3,FALSE),"NA")</f>
        <v>NA</v>
      </c>
      <c r="P152" s="77" t="str">
        <f>IFERROR(VLOOKUP($H152,TEN[],3,FALSE),"NA")</f>
        <v>NA</v>
      </c>
      <c r="Q152" s="77" t="str">
        <f>IFERROR(VLOOKUP($H152,TD[],3,FALSE),"NA")</f>
        <v>NA</v>
      </c>
      <c r="R152" s="77" t="str">
        <f>IFERROR(VLOOKUP($H152,TC[],3,FALSE),"NA")</f>
        <v>NA</v>
      </c>
      <c r="S152" s="77" t="str">
        <f>IFERROR(VLOOKUP($H152,TEV[],3,FALSE),"NA")</f>
        <v>NA</v>
      </c>
      <c r="T152" s="79">
        <f>SUM(TbAlquiler[[#This Row],[GENERAL]:[ELEVADOR]])</f>
        <v>0</v>
      </c>
      <c r="U152" s="80">
        <f>IF(VLOOKUP(TbAlquiler[[#This Row],[ITEM]],TbPiezas[],5,FALSE)="NA",0,VLOOKUP(TbAlquiler[[#This Row],[ITEM]],TbPiezas[],5,FALSE))</f>
        <v>7.5</v>
      </c>
      <c r="V152" s="81">
        <f>+TbAlquiler[[#This Row],[TOTAL]]*TbAlquiler[[#This Row],[P.U. (1)]]</f>
        <v>0</v>
      </c>
      <c r="W152" s="82">
        <f>+VLOOKUP(TbAlquiler[[#This Row],[ITEM]],TbPiezas[],6,FALSE)</f>
        <v>670.32</v>
      </c>
      <c r="X152" s="83">
        <f>+TbAlquiler[[#This Row],[TOTAL]]*TbAlquiler[[#This Row],[P.U. (2)]]</f>
        <v>0</v>
      </c>
      <c r="Y152" s="82">
        <f>+VLOOKUP(TbAlquiler[[#This Row],[ITEM]],TbPiezas[],7,FALSE)</f>
        <v>25</v>
      </c>
      <c r="Z152" s="84">
        <f>+TbAlquiler[[#This Row],[TOTAL]]*TbAlquiler[[#This Row],[P.U. (3)]]</f>
        <v>0</v>
      </c>
    </row>
    <row r="153" spans="1:26" ht="15" customHeight="1" x14ac:dyDescent="0.3">
      <c r="A153" s="2"/>
      <c r="B153" s="85">
        <v>136</v>
      </c>
      <c r="C153" s="71" t="s">
        <v>273</v>
      </c>
      <c r="D153" s="72" t="s">
        <v>274</v>
      </c>
      <c r="E153" s="73"/>
      <c r="F153" s="74">
        <f>+VLOOKUP(C153,TbAlquiler[],13,FALSE)</f>
        <v>0</v>
      </c>
      <c r="G153" s="2"/>
      <c r="H153" s="75" t="str">
        <f t="shared" si="4"/>
        <v>EC.0600</v>
      </c>
      <c r="I153" s="59" t="str">
        <f t="shared" si="5"/>
        <v>ok</v>
      </c>
      <c r="J153" s="77">
        <f>IFERROR(VLOOKUP($H153,TG[],3,FALSE),"NA")</f>
        <v>0</v>
      </c>
      <c r="K153" s="77" t="str">
        <f>IFERROR(VLOOKUP($H153,TF[],3,FALSE),"NA")</f>
        <v>NA</v>
      </c>
      <c r="L153" s="77" t="str">
        <f>IFERROR(VLOOKUP($H153,TT[],3,FALSE),"NA")</f>
        <v>NA</v>
      </c>
      <c r="M153" s="77" t="str">
        <f>IFERROR(VLOOKUP($H153,TES[],3,FALSE),"NA")</f>
        <v>NA</v>
      </c>
      <c r="N153" s="77" t="str">
        <f>IFERROR(VLOOKUP($H153,TEC[],3,FALSE),"NA")</f>
        <v>NA</v>
      </c>
      <c r="O153" s="77" t="str">
        <f>IFERROR(VLOOKUP($H153,TP[],3,FALSE),"NA")</f>
        <v>NA</v>
      </c>
      <c r="P153" s="77" t="str">
        <f>IFERROR(VLOOKUP($H153,TEN[],3,FALSE),"NA")</f>
        <v>NA</v>
      </c>
      <c r="Q153" s="77">
        <f>IFERROR(VLOOKUP($H153,TD[],3,FALSE),"NA")</f>
        <v>0</v>
      </c>
      <c r="R153" s="77" t="str">
        <f>IFERROR(VLOOKUP($H153,TC[],3,FALSE),"NA")</f>
        <v>NA</v>
      </c>
      <c r="S153" s="77" t="str">
        <f>IFERROR(VLOOKUP($H153,TEV[],3,FALSE),"NA")</f>
        <v>NA</v>
      </c>
      <c r="T153" s="79">
        <f>SUM(TbAlquiler[[#This Row],[GENERAL]:[ELEVADOR]])</f>
        <v>0</v>
      </c>
      <c r="U153" s="80">
        <f>IF(VLOOKUP(TbAlquiler[[#This Row],[ITEM]],TbPiezas[],5,FALSE)="NA",0,VLOOKUP(TbAlquiler[[#This Row],[ITEM]],TbPiezas[],5,FALSE))</f>
        <v>203</v>
      </c>
      <c r="V153" s="81">
        <f>+TbAlquiler[[#This Row],[TOTAL]]*TbAlquiler[[#This Row],[P.U. (1)]]</f>
        <v>0</v>
      </c>
      <c r="W153" s="82">
        <f>+VLOOKUP(TbAlquiler[[#This Row],[ITEM]],TbPiezas[],6,FALSE)</f>
        <v>6098.4</v>
      </c>
      <c r="X153" s="83">
        <f>+TbAlquiler[[#This Row],[TOTAL]]*TbAlquiler[[#This Row],[P.U. (2)]]</f>
        <v>0</v>
      </c>
      <c r="Y153" s="82">
        <f>+VLOOKUP(TbAlquiler[[#This Row],[ITEM]],TbPiezas[],7,FALSE)</f>
        <v>304.92</v>
      </c>
      <c r="Z153" s="84">
        <f>+TbAlquiler[[#This Row],[TOTAL]]*TbAlquiler[[#This Row],[P.U. (3)]]</f>
        <v>0</v>
      </c>
    </row>
    <row r="154" spans="1:26" ht="15" customHeight="1" x14ac:dyDescent="0.3">
      <c r="A154" s="2"/>
      <c r="B154" s="85">
        <v>137</v>
      </c>
      <c r="C154" s="71" t="s">
        <v>275</v>
      </c>
      <c r="D154" s="72" t="s">
        <v>276</v>
      </c>
      <c r="E154" s="73"/>
      <c r="F154" s="74">
        <f>+VLOOKUP(C154,TbAlquiler[],13,FALSE)</f>
        <v>0</v>
      </c>
      <c r="G154" s="2"/>
      <c r="H154" s="75" t="str">
        <f t="shared" si="4"/>
        <v>EC.0700</v>
      </c>
      <c r="I154" s="59" t="str">
        <f t="shared" si="5"/>
        <v>ok</v>
      </c>
      <c r="J154" s="77">
        <f>IFERROR(VLOOKUP($H154,TG[],3,FALSE),"NA")</f>
        <v>0</v>
      </c>
      <c r="K154" s="77" t="str">
        <f>IFERROR(VLOOKUP($H154,TF[],3,FALSE),"NA")</f>
        <v>NA</v>
      </c>
      <c r="L154" s="77" t="str">
        <f>IFERROR(VLOOKUP($H154,TT[],3,FALSE),"NA")</f>
        <v>NA</v>
      </c>
      <c r="M154" s="77" t="str">
        <f>IFERROR(VLOOKUP($H154,TES[],3,FALSE),"NA")</f>
        <v>NA</v>
      </c>
      <c r="N154" s="77" t="str">
        <f>IFERROR(VLOOKUP($H154,TEC[],3,FALSE),"NA")</f>
        <v>NA</v>
      </c>
      <c r="O154" s="77" t="str">
        <f>IFERROR(VLOOKUP($H154,TP[],3,FALSE),"NA")</f>
        <v>NA</v>
      </c>
      <c r="P154" s="77" t="str">
        <f>IFERROR(VLOOKUP($H154,TEN[],3,FALSE),"NA")</f>
        <v>NA</v>
      </c>
      <c r="Q154" s="77">
        <f>IFERROR(VLOOKUP($H154,TD[],3,FALSE),"NA")</f>
        <v>0</v>
      </c>
      <c r="R154" s="77" t="str">
        <f>IFERROR(VLOOKUP($H154,TC[],3,FALSE),"NA")</f>
        <v>NA</v>
      </c>
      <c r="S154" s="77" t="str">
        <f>IFERROR(VLOOKUP($H154,TEV[],3,FALSE),"NA")</f>
        <v>NA</v>
      </c>
      <c r="T154" s="79">
        <f>SUM(TbAlquiler[[#This Row],[GENERAL]:[ELEVADOR]])</f>
        <v>0</v>
      </c>
      <c r="U154" s="80">
        <f>IF(VLOOKUP(TbAlquiler[[#This Row],[ITEM]],TbPiezas[],5,FALSE)="NA",0,VLOOKUP(TbAlquiler[[#This Row],[ITEM]],TbPiezas[],5,FALSE))</f>
        <v>290</v>
      </c>
      <c r="V154" s="81">
        <f>+TbAlquiler[[#This Row],[TOTAL]]*TbAlquiler[[#This Row],[P.U. (1)]]</f>
        <v>0</v>
      </c>
      <c r="W154" s="82">
        <f>+VLOOKUP(TbAlquiler[[#This Row],[ITEM]],TbPiezas[],6,FALSE)</f>
        <v>8639.4</v>
      </c>
      <c r="X154" s="83">
        <f>+TbAlquiler[[#This Row],[TOTAL]]*TbAlquiler[[#This Row],[P.U. (2)]]</f>
        <v>0</v>
      </c>
      <c r="Y154" s="82">
        <f>+VLOOKUP(TbAlquiler[[#This Row],[ITEM]],TbPiezas[],7,FALSE)</f>
        <v>431.97</v>
      </c>
      <c r="Z154" s="84">
        <f>+TbAlquiler[[#This Row],[TOTAL]]*TbAlquiler[[#This Row],[P.U. (3)]]</f>
        <v>0</v>
      </c>
    </row>
    <row r="155" spans="1:26" ht="15" customHeight="1" x14ac:dyDescent="0.3">
      <c r="A155" s="2"/>
      <c r="B155" s="85">
        <v>138</v>
      </c>
      <c r="C155" s="71" t="s">
        <v>277</v>
      </c>
      <c r="D155" s="72" t="s">
        <v>278</v>
      </c>
      <c r="E155" s="73"/>
      <c r="F155" s="74">
        <f>+VLOOKUP(C155,TbAlquiler[],13,FALSE)</f>
        <v>4</v>
      </c>
      <c r="G155" s="2"/>
      <c r="H155" s="75" t="str">
        <f t="shared" si="4"/>
        <v>EC.0710</v>
      </c>
      <c r="I155" s="59" t="str">
        <f t="shared" si="5"/>
        <v>ok</v>
      </c>
      <c r="J155" s="77">
        <f>IFERROR(VLOOKUP($H155,TG[],3,FALSE),"NA")</f>
        <v>0</v>
      </c>
      <c r="K155" s="77" t="str">
        <f>IFERROR(VLOOKUP($H155,TF[],3,FALSE),"NA")</f>
        <v>NA</v>
      </c>
      <c r="L155" s="77" t="str">
        <f>IFERROR(VLOOKUP($H155,TT[],3,FALSE),"NA")</f>
        <v>NA</v>
      </c>
      <c r="M155" s="77" t="str">
        <f>IFERROR(VLOOKUP($H155,TES[],3,FALSE),"NA")</f>
        <v>NA</v>
      </c>
      <c r="N155" s="77" t="str">
        <f>IFERROR(VLOOKUP($H155,TEC[],3,FALSE),"NA")</f>
        <v>NA</v>
      </c>
      <c r="O155" s="77" t="str">
        <f>IFERROR(VLOOKUP($H155,TP[],3,FALSE),"NA")</f>
        <v>NA</v>
      </c>
      <c r="P155" s="77" t="str">
        <f>IFERROR(VLOOKUP($H155,TEN[],3,FALSE),"NA")</f>
        <v>NA</v>
      </c>
      <c r="Q155" s="77">
        <f>IFERROR(VLOOKUP($H155,TD[],3,FALSE),"NA")</f>
        <v>4</v>
      </c>
      <c r="R155" s="77" t="str">
        <f>IFERROR(VLOOKUP($H155,TC[],3,FALSE),"NA")</f>
        <v>NA</v>
      </c>
      <c r="S155" s="77" t="str">
        <f>IFERROR(VLOOKUP($H155,TEV[],3,FALSE),"NA")</f>
        <v>NA</v>
      </c>
      <c r="T155" s="79">
        <f>SUM(TbAlquiler[[#This Row],[GENERAL]:[ELEVADOR]])</f>
        <v>4</v>
      </c>
      <c r="U155" s="80">
        <f>IF(VLOOKUP(TbAlquiler[[#This Row],[ITEM]],TbPiezas[],5,FALSE)="NA",0,VLOOKUP(TbAlquiler[[#This Row],[ITEM]],TbPiezas[],5,FALSE))</f>
        <v>13.1</v>
      </c>
      <c r="V155" s="81">
        <f>+TbAlquiler[[#This Row],[TOTAL]]*TbAlquiler[[#This Row],[P.U. (1)]]</f>
        <v>52.4</v>
      </c>
      <c r="W155" s="82">
        <f>+VLOOKUP(TbAlquiler[[#This Row],[ITEM]],TbPiezas[],6,FALSE)</f>
        <v>825.83</v>
      </c>
      <c r="X155" s="83">
        <f>+TbAlquiler[[#This Row],[TOTAL]]*TbAlquiler[[#This Row],[P.U. (2)]]</f>
        <v>3303.32</v>
      </c>
      <c r="Y155" s="82">
        <f>+VLOOKUP(TbAlquiler[[#This Row],[ITEM]],TbPiezas[],7,FALSE)</f>
        <v>41.291500000000006</v>
      </c>
      <c r="Z155" s="84">
        <f>+TbAlquiler[[#This Row],[TOTAL]]*TbAlquiler[[#This Row],[P.U. (3)]]</f>
        <v>165.16600000000003</v>
      </c>
    </row>
    <row r="156" spans="1:26" ht="15" customHeight="1" x14ac:dyDescent="0.3">
      <c r="A156" s="2"/>
      <c r="B156" s="85">
        <v>139</v>
      </c>
      <c r="C156" s="71" t="s">
        <v>279</v>
      </c>
      <c r="D156" s="72" t="s">
        <v>280</v>
      </c>
      <c r="E156" s="73"/>
      <c r="F156" s="74">
        <f>+VLOOKUP(C156,TbAlquiler[],13,FALSE)</f>
        <v>0</v>
      </c>
      <c r="G156" s="2"/>
      <c r="H156" s="75" t="str">
        <f t="shared" si="4"/>
        <v>EC.0711</v>
      </c>
      <c r="I156" s="59" t="str">
        <f t="shared" si="5"/>
        <v>ok</v>
      </c>
      <c r="J156" s="77">
        <f>IFERROR(VLOOKUP($H156,TG[],3,FALSE),"NA")</f>
        <v>0</v>
      </c>
      <c r="K156" s="77" t="str">
        <f>IFERROR(VLOOKUP($H156,TF[],3,FALSE),"NA")</f>
        <v>NA</v>
      </c>
      <c r="L156" s="77" t="str">
        <f>IFERROR(VLOOKUP($H156,TT[],3,FALSE),"NA")</f>
        <v>NA</v>
      </c>
      <c r="M156" s="77" t="str">
        <f>IFERROR(VLOOKUP($H156,TES[],3,FALSE),"NA")</f>
        <v>NA</v>
      </c>
      <c r="N156" s="77" t="str">
        <f>IFERROR(VLOOKUP($H156,TEC[],3,FALSE),"NA")</f>
        <v>NA</v>
      </c>
      <c r="O156" s="77" t="str">
        <f>IFERROR(VLOOKUP($H156,TP[],3,FALSE),"NA")</f>
        <v>NA</v>
      </c>
      <c r="P156" s="77" t="str">
        <f>IFERROR(VLOOKUP($H156,TEN[],3,FALSE),"NA")</f>
        <v>NA</v>
      </c>
      <c r="Q156" s="77">
        <f>IFERROR(VLOOKUP($H156,TD[],3,FALSE),"NA")</f>
        <v>0</v>
      </c>
      <c r="R156" s="77" t="str">
        <f>IFERROR(VLOOKUP($H156,TC[],3,FALSE),"NA")</f>
        <v>NA</v>
      </c>
      <c r="S156" s="77" t="str">
        <f>IFERROR(VLOOKUP($H156,TEV[],3,FALSE),"NA")</f>
        <v>NA</v>
      </c>
      <c r="T156" s="79">
        <f>SUM(TbAlquiler[[#This Row],[GENERAL]:[ELEVADOR]])</f>
        <v>0</v>
      </c>
      <c r="U156" s="80">
        <f>IF(VLOOKUP(TbAlquiler[[#This Row],[ITEM]],TbPiezas[],5,FALSE)="NA",0,VLOOKUP(TbAlquiler[[#This Row],[ITEM]],TbPiezas[],5,FALSE))</f>
        <v>12.2</v>
      </c>
      <c r="V156" s="81">
        <f>+TbAlquiler[[#This Row],[TOTAL]]*TbAlquiler[[#This Row],[P.U. (1)]]</f>
        <v>0</v>
      </c>
      <c r="W156" s="82">
        <f>+VLOOKUP(TbAlquiler[[#This Row],[ITEM]],TbPiezas[],6,FALSE)</f>
        <v>974.64</v>
      </c>
      <c r="X156" s="83">
        <f>+TbAlquiler[[#This Row],[TOTAL]]*TbAlquiler[[#This Row],[P.U. (2)]]</f>
        <v>0</v>
      </c>
      <c r="Y156" s="82">
        <f>+VLOOKUP(TbAlquiler[[#This Row],[ITEM]],TbPiezas[],7,FALSE)</f>
        <v>48.731999999999999</v>
      </c>
      <c r="Z156" s="84">
        <f>+TbAlquiler[[#This Row],[TOTAL]]*TbAlquiler[[#This Row],[P.U. (3)]]</f>
        <v>0</v>
      </c>
    </row>
    <row r="157" spans="1:26" ht="15" customHeight="1" x14ac:dyDescent="0.3">
      <c r="A157" s="2"/>
      <c r="B157" s="85">
        <v>140</v>
      </c>
      <c r="C157" s="71" t="s">
        <v>281</v>
      </c>
      <c r="D157" s="72" t="s">
        <v>282</v>
      </c>
      <c r="E157" s="73"/>
      <c r="F157" s="74">
        <f>+VLOOKUP(C157,TbAlquiler[],13,FALSE)</f>
        <v>0</v>
      </c>
      <c r="G157" s="2"/>
      <c r="H157" s="75" t="str">
        <f t="shared" si="4"/>
        <v>EC.0712</v>
      </c>
      <c r="I157" s="59" t="str">
        <f t="shared" si="5"/>
        <v>ok</v>
      </c>
      <c r="J157" s="77">
        <f>IFERROR(VLOOKUP($H157,TG[],3,FALSE),"NA")</f>
        <v>0</v>
      </c>
      <c r="K157" s="77" t="str">
        <f>IFERROR(VLOOKUP($H157,TF[],3,FALSE),"NA")</f>
        <v>NA</v>
      </c>
      <c r="L157" s="77" t="str">
        <f>IFERROR(VLOOKUP($H157,TT[],3,FALSE),"NA")</f>
        <v>NA</v>
      </c>
      <c r="M157" s="77" t="str">
        <f>IFERROR(VLOOKUP($H157,TES[],3,FALSE),"NA")</f>
        <v>NA</v>
      </c>
      <c r="N157" s="77" t="str">
        <f>IFERROR(VLOOKUP($H157,TEC[],3,FALSE),"NA")</f>
        <v>NA</v>
      </c>
      <c r="O157" s="77" t="str">
        <f>IFERROR(VLOOKUP($H157,TP[],3,FALSE),"NA")</f>
        <v>NA</v>
      </c>
      <c r="P157" s="77" t="str">
        <f>IFERROR(VLOOKUP($H157,TEN[],3,FALSE),"NA")</f>
        <v>NA</v>
      </c>
      <c r="Q157" s="77">
        <f>IFERROR(VLOOKUP($H157,TD[],3,FALSE),"NA")</f>
        <v>0</v>
      </c>
      <c r="R157" s="77" t="str">
        <f>IFERROR(VLOOKUP($H157,TC[],3,FALSE),"NA")</f>
        <v>NA</v>
      </c>
      <c r="S157" s="77" t="str">
        <f>IFERROR(VLOOKUP($H157,TEV[],3,FALSE),"NA")</f>
        <v>NA</v>
      </c>
      <c r="T157" s="79">
        <f>SUM(TbAlquiler[[#This Row],[GENERAL]:[ELEVADOR]])</f>
        <v>0</v>
      </c>
      <c r="U157" s="80">
        <f>IF(VLOOKUP(TbAlquiler[[#This Row],[ITEM]],TbPiezas[],5,FALSE)="NA",0,VLOOKUP(TbAlquiler[[#This Row],[ITEM]],TbPiezas[],5,FALSE))</f>
        <v>12.2</v>
      </c>
      <c r="V157" s="81">
        <f>+TbAlquiler[[#This Row],[TOTAL]]*TbAlquiler[[#This Row],[P.U. (1)]]</f>
        <v>0</v>
      </c>
      <c r="W157" s="82">
        <f>+VLOOKUP(TbAlquiler[[#This Row],[ITEM]],TbPiezas[],6,FALSE)</f>
        <v>974.64</v>
      </c>
      <c r="X157" s="83">
        <f>+TbAlquiler[[#This Row],[TOTAL]]*TbAlquiler[[#This Row],[P.U. (2)]]</f>
        <v>0</v>
      </c>
      <c r="Y157" s="82">
        <f>+VLOOKUP(TbAlquiler[[#This Row],[ITEM]],TbPiezas[],7,FALSE)</f>
        <v>48.731999999999999</v>
      </c>
      <c r="Z157" s="84">
        <f>+TbAlquiler[[#This Row],[TOTAL]]*TbAlquiler[[#This Row],[P.U. (3)]]</f>
        <v>0</v>
      </c>
    </row>
    <row r="158" spans="1:26" ht="15" customHeight="1" x14ac:dyDescent="0.3">
      <c r="A158" s="2"/>
      <c r="B158" s="85">
        <v>141</v>
      </c>
      <c r="C158" s="71" t="s">
        <v>283</v>
      </c>
      <c r="D158" s="72" t="s">
        <v>284</v>
      </c>
      <c r="E158" s="73"/>
      <c r="F158" s="74">
        <f>+VLOOKUP(C158,TbAlquiler[],13,FALSE)</f>
        <v>4</v>
      </c>
      <c r="G158" s="2"/>
      <c r="H158" s="75" t="str">
        <f t="shared" si="4"/>
        <v>EC.0713</v>
      </c>
      <c r="I158" s="59" t="str">
        <f t="shared" si="5"/>
        <v>ok</v>
      </c>
      <c r="J158" s="77">
        <f>IFERROR(VLOOKUP($H158,TG[],3,FALSE),"NA")</f>
        <v>0</v>
      </c>
      <c r="K158" s="77" t="str">
        <f>IFERROR(VLOOKUP($H158,TF[],3,FALSE),"NA")</f>
        <v>NA</v>
      </c>
      <c r="L158" s="77" t="str">
        <f>IFERROR(VLOOKUP($H158,TT[],3,FALSE),"NA")</f>
        <v>NA</v>
      </c>
      <c r="M158" s="77" t="str">
        <f>IFERROR(VLOOKUP($H158,TES[],3,FALSE),"NA")</f>
        <v>NA</v>
      </c>
      <c r="N158" s="77" t="str">
        <f>IFERROR(VLOOKUP($H158,TEC[],3,FALSE),"NA")</f>
        <v>NA</v>
      </c>
      <c r="O158" s="77" t="str">
        <f>IFERROR(VLOOKUP($H158,TP[],3,FALSE),"NA")</f>
        <v>NA</v>
      </c>
      <c r="P158" s="77" t="str">
        <f>IFERROR(VLOOKUP($H158,TEN[],3,FALSE),"NA")</f>
        <v>NA</v>
      </c>
      <c r="Q158" s="77">
        <f>IFERROR(VLOOKUP($H158,TD[],3,FALSE),"NA")</f>
        <v>4</v>
      </c>
      <c r="R158" s="77" t="str">
        <f>IFERROR(VLOOKUP($H158,TC[],3,FALSE),"NA")</f>
        <v>NA</v>
      </c>
      <c r="S158" s="77" t="str">
        <f>IFERROR(VLOOKUP($H158,TEV[],3,FALSE),"NA")</f>
        <v>NA</v>
      </c>
      <c r="T158" s="79">
        <f>SUM(TbAlquiler[[#This Row],[GENERAL]:[ELEVADOR]])</f>
        <v>4</v>
      </c>
      <c r="U158" s="80">
        <f>IF(VLOOKUP(TbAlquiler[[#This Row],[ITEM]],TbPiezas[],5,FALSE)="NA",0,VLOOKUP(TbAlquiler[[#This Row],[ITEM]],TbPiezas[],5,FALSE))</f>
        <v>12</v>
      </c>
      <c r="V158" s="81">
        <f>+TbAlquiler[[#This Row],[TOTAL]]*TbAlquiler[[#This Row],[P.U. (1)]]</f>
        <v>48</v>
      </c>
      <c r="W158" s="82">
        <f>+VLOOKUP(TbAlquiler[[#This Row],[ITEM]],TbPiezas[],6,FALSE)</f>
        <v>947.63</v>
      </c>
      <c r="X158" s="83">
        <f>+TbAlquiler[[#This Row],[TOTAL]]*TbAlquiler[[#This Row],[P.U. (2)]]</f>
        <v>3790.52</v>
      </c>
      <c r="Y158" s="82">
        <f>+VLOOKUP(TbAlquiler[[#This Row],[ITEM]],TbPiezas[],7,FALSE)</f>
        <v>47.381500000000003</v>
      </c>
      <c r="Z158" s="84">
        <f>+TbAlquiler[[#This Row],[TOTAL]]*TbAlquiler[[#This Row],[P.U. (3)]]</f>
        <v>189.52600000000001</v>
      </c>
    </row>
    <row r="159" spans="1:26" ht="15" customHeight="1" x14ac:dyDescent="0.3">
      <c r="A159" s="2"/>
      <c r="B159" s="85">
        <v>142</v>
      </c>
      <c r="C159" s="71" t="s">
        <v>285</v>
      </c>
      <c r="D159" s="72" t="s">
        <v>286</v>
      </c>
      <c r="E159" s="73"/>
      <c r="F159" s="74">
        <f>+VLOOKUP(C159,TbAlquiler[],13,FALSE)</f>
        <v>0</v>
      </c>
      <c r="G159" s="2"/>
      <c r="H159" s="75" t="str">
        <f t="shared" si="4"/>
        <v>EC.0714</v>
      </c>
      <c r="I159" s="59" t="str">
        <f t="shared" si="5"/>
        <v>ok</v>
      </c>
      <c r="J159" s="77">
        <f>IFERROR(VLOOKUP($H159,TG[],3,FALSE),"NA")</f>
        <v>0</v>
      </c>
      <c r="K159" s="77" t="str">
        <f>IFERROR(VLOOKUP($H159,TF[],3,FALSE),"NA")</f>
        <v>NA</v>
      </c>
      <c r="L159" s="77" t="str">
        <f>IFERROR(VLOOKUP($H159,TT[],3,FALSE),"NA")</f>
        <v>NA</v>
      </c>
      <c r="M159" s="77" t="str">
        <f>IFERROR(VLOOKUP($H159,TES[],3,FALSE),"NA")</f>
        <v>NA</v>
      </c>
      <c r="N159" s="77" t="str">
        <f>IFERROR(VLOOKUP($H159,TEC[],3,FALSE),"NA")</f>
        <v>NA</v>
      </c>
      <c r="O159" s="77" t="str">
        <f>IFERROR(VLOOKUP($H159,TP[],3,FALSE),"NA")</f>
        <v>NA</v>
      </c>
      <c r="P159" s="77" t="str">
        <f>IFERROR(VLOOKUP($H159,TEN[],3,FALSE),"NA")</f>
        <v>NA</v>
      </c>
      <c r="Q159" s="77">
        <f>IFERROR(VLOOKUP($H159,TD[],3,FALSE),"NA")</f>
        <v>0</v>
      </c>
      <c r="R159" s="77" t="str">
        <f>IFERROR(VLOOKUP($H159,TC[],3,FALSE),"NA")</f>
        <v>NA</v>
      </c>
      <c r="S159" s="77" t="str">
        <f>IFERROR(VLOOKUP($H159,TEV[],3,FALSE),"NA")</f>
        <v>NA</v>
      </c>
      <c r="T159" s="79">
        <f>SUM(TbAlquiler[[#This Row],[GENERAL]:[ELEVADOR]])</f>
        <v>0</v>
      </c>
      <c r="U159" s="80">
        <f>IF(VLOOKUP(TbAlquiler[[#This Row],[ITEM]],TbPiezas[],5,FALSE)="NA",0,VLOOKUP(TbAlquiler[[#This Row],[ITEM]],TbPiezas[],5,FALSE))</f>
        <v>13.1</v>
      </c>
      <c r="V159" s="81">
        <f>+TbAlquiler[[#This Row],[TOTAL]]*TbAlquiler[[#This Row],[P.U. (1)]]</f>
        <v>0</v>
      </c>
      <c r="W159" s="82">
        <f>+VLOOKUP(TbAlquiler[[#This Row],[ITEM]],TbPiezas[],6,FALSE)</f>
        <v>1114.8599999999999</v>
      </c>
      <c r="X159" s="83">
        <f>+TbAlquiler[[#This Row],[TOTAL]]*TbAlquiler[[#This Row],[P.U. (2)]]</f>
        <v>0</v>
      </c>
      <c r="Y159" s="82">
        <f>+VLOOKUP(TbAlquiler[[#This Row],[ITEM]],TbPiezas[],7,FALSE)</f>
        <v>55.742999999999995</v>
      </c>
      <c r="Z159" s="84">
        <f>+TbAlquiler[[#This Row],[TOTAL]]*TbAlquiler[[#This Row],[P.U. (3)]]</f>
        <v>0</v>
      </c>
    </row>
    <row r="160" spans="1:26" ht="15" customHeight="1" x14ac:dyDescent="0.3">
      <c r="A160" s="2"/>
      <c r="B160" s="85">
        <v>143</v>
      </c>
      <c r="C160" s="71" t="s">
        <v>287</v>
      </c>
      <c r="D160" s="72" t="s">
        <v>288</v>
      </c>
      <c r="E160" s="73"/>
      <c r="F160" s="74">
        <f>+VLOOKUP(C160,TbAlquiler[],13,FALSE)</f>
        <v>0</v>
      </c>
      <c r="G160" s="2"/>
      <c r="H160" s="75" t="str">
        <f t="shared" si="4"/>
        <v>EC.0720</v>
      </c>
      <c r="I160" s="59" t="str">
        <f t="shared" si="5"/>
        <v>ok</v>
      </c>
      <c r="J160" s="77">
        <f>IFERROR(VLOOKUP($H160,TG[],3,FALSE),"NA")</f>
        <v>0</v>
      </c>
      <c r="K160" s="77" t="str">
        <f>IFERROR(VLOOKUP($H160,TF[],3,FALSE),"NA")</f>
        <v>NA</v>
      </c>
      <c r="L160" s="77" t="str">
        <f>IFERROR(VLOOKUP($H160,TT[],3,FALSE),"NA")</f>
        <v>NA</v>
      </c>
      <c r="M160" s="77" t="str">
        <f>IFERROR(VLOOKUP($H160,TES[],3,FALSE),"NA")</f>
        <v>NA</v>
      </c>
      <c r="N160" s="77" t="str">
        <f>IFERROR(VLOOKUP($H160,TEC[],3,FALSE),"NA")</f>
        <v>NA</v>
      </c>
      <c r="O160" s="77" t="str">
        <f>IFERROR(VLOOKUP($H160,TP[],3,FALSE),"NA")</f>
        <v>NA</v>
      </c>
      <c r="P160" s="77" t="str">
        <f>IFERROR(VLOOKUP($H160,TEN[],3,FALSE),"NA")</f>
        <v>NA</v>
      </c>
      <c r="Q160" s="77">
        <f>IFERROR(VLOOKUP($H160,TD[],3,FALSE),"NA")</f>
        <v>0</v>
      </c>
      <c r="R160" s="77" t="str">
        <f>IFERROR(VLOOKUP($H160,TC[],3,FALSE),"NA")</f>
        <v>NA</v>
      </c>
      <c r="S160" s="77" t="str">
        <f>IFERROR(VLOOKUP($H160,TEV[],3,FALSE),"NA")</f>
        <v>NA</v>
      </c>
      <c r="T160" s="79">
        <f>SUM(TbAlquiler[[#This Row],[GENERAL]:[ELEVADOR]])</f>
        <v>0</v>
      </c>
      <c r="U160" s="80">
        <f>IF(VLOOKUP(TbAlquiler[[#This Row],[ITEM]],TbPiezas[],5,FALSE)="NA",0,VLOOKUP(TbAlquiler[[#This Row],[ITEM]],TbPiezas[],5,FALSE))</f>
        <v>3.4</v>
      </c>
      <c r="V160" s="81">
        <f>+TbAlquiler[[#This Row],[TOTAL]]*TbAlquiler[[#This Row],[P.U. (1)]]</f>
        <v>0</v>
      </c>
      <c r="W160" s="82">
        <f>+VLOOKUP(TbAlquiler[[#This Row],[ITEM]],TbPiezas[],6,FALSE)</f>
        <v>228.69</v>
      </c>
      <c r="X160" s="83">
        <f>+TbAlquiler[[#This Row],[TOTAL]]*TbAlquiler[[#This Row],[P.U. (2)]]</f>
        <v>0</v>
      </c>
      <c r="Y160" s="82">
        <f>+VLOOKUP(TbAlquiler[[#This Row],[ITEM]],TbPiezas[],7,FALSE)</f>
        <v>11.4345</v>
      </c>
      <c r="Z160" s="84">
        <f>+TbAlquiler[[#This Row],[TOTAL]]*TbAlquiler[[#This Row],[P.U. (3)]]</f>
        <v>0</v>
      </c>
    </row>
    <row r="161" spans="1:26" ht="15" customHeight="1" x14ac:dyDescent="0.3">
      <c r="A161" s="2"/>
      <c r="B161" s="85">
        <v>144</v>
      </c>
      <c r="C161" s="71" t="s">
        <v>289</v>
      </c>
      <c r="D161" s="72" t="s">
        <v>290</v>
      </c>
      <c r="E161" s="73"/>
      <c r="F161" s="74">
        <f>+VLOOKUP(C161,TbAlquiler[],13,FALSE)</f>
        <v>0</v>
      </c>
      <c r="G161" s="2"/>
      <c r="H161" s="75" t="str">
        <f t="shared" si="4"/>
        <v>EC.0730</v>
      </c>
      <c r="I161" s="59" t="str">
        <f t="shared" si="5"/>
        <v>ok</v>
      </c>
      <c r="J161" s="77">
        <f>IFERROR(VLOOKUP($H161,TG[],3,FALSE),"NA")</f>
        <v>0</v>
      </c>
      <c r="K161" s="77" t="str">
        <f>IFERROR(VLOOKUP($H161,TF[],3,FALSE),"NA")</f>
        <v>NA</v>
      </c>
      <c r="L161" s="77" t="str">
        <f>IFERROR(VLOOKUP($H161,TT[],3,FALSE),"NA")</f>
        <v>NA</v>
      </c>
      <c r="M161" s="77" t="str">
        <f>IFERROR(VLOOKUP($H161,TES[],3,FALSE),"NA")</f>
        <v>NA</v>
      </c>
      <c r="N161" s="77" t="str">
        <f>IFERROR(VLOOKUP($H161,TEC[],3,FALSE),"NA")</f>
        <v>NA</v>
      </c>
      <c r="O161" s="77" t="str">
        <f>IFERROR(VLOOKUP($H161,TP[],3,FALSE),"NA")</f>
        <v>NA</v>
      </c>
      <c r="P161" s="77" t="str">
        <f>IFERROR(VLOOKUP($H161,TEN[],3,FALSE),"NA")</f>
        <v>NA</v>
      </c>
      <c r="Q161" s="77">
        <f>IFERROR(VLOOKUP($H161,TD[],3,FALSE),"NA")</f>
        <v>0</v>
      </c>
      <c r="R161" s="77" t="str">
        <f>IFERROR(VLOOKUP($H161,TC[],3,FALSE),"NA")</f>
        <v>NA</v>
      </c>
      <c r="S161" s="77" t="str">
        <f>IFERROR(VLOOKUP($H161,TEV[],3,FALSE),"NA")</f>
        <v>NA</v>
      </c>
      <c r="T161" s="79">
        <f>SUM(TbAlquiler[[#This Row],[GENERAL]:[ELEVADOR]])</f>
        <v>0</v>
      </c>
      <c r="U161" s="80">
        <f>IF(VLOOKUP(TbAlquiler[[#This Row],[ITEM]],TbPiezas[],5,FALSE)="NA",0,VLOOKUP(TbAlquiler[[#This Row],[ITEM]],TbPiezas[],5,FALSE))</f>
        <v>0.15</v>
      </c>
      <c r="V161" s="81">
        <f>+TbAlquiler[[#This Row],[TOTAL]]*TbAlquiler[[#This Row],[P.U. (1)]]</f>
        <v>0</v>
      </c>
      <c r="W161" s="82">
        <f>+VLOOKUP(TbAlquiler[[#This Row],[ITEM]],TbPiezas[],6,FALSE)</f>
        <v>19.059999999999999</v>
      </c>
      <c r="X161" s="83">
        <f>+TbAlquiler[[#This Row],[TOTAL]]*TbAlquiler[[#This Row],[P.U. (2)]]</f>
        <v>0</v>
      </c>
      <c r="Y161" s="82">
        <f>+VLOOKUP(TbAlquiler[[#This Row],[ITEM]],TbPiezas[],7,FALSE)</f>
        <v>0.95299999999999996</v>
      </c>
      <c r="Z161" s="84">
        <f>+TbAlquiler[[#This Row],[TOTAL]]*TbAlquiler[[#This Row],[P.U. (3)]]</f>
        <v>0</v>
      </c>
    </row>
    <row r="162" spans="1:26" ht="15" customHeight="1" x14ac:dyDescent="0.3">
      <c r="A162" s="2"/>
      <c r="B162" s="85">
        <v>145</v>
      </c>
      <c r="C162" s="71" t="s">
        <v>291</v>
      </c>
      <c r="D162" s="72" t="s">
        <v>292</v>
      </c>
      <c r="E162" s="73"/>
      <c r="F162" s="74">
        <f>+VLOOKUP(C162,TbAlquiler[],13,FALSE)</f>
        <v>0</v>
      </c>
      <c r="G162" s="2"/>
      <c r="H162" s="75" t="str">
        <f t="shared" si="4"/>
        <v>EC.0800</v>
      </c>
      <c r="I162" s="59" t="str">
        <f t="shared" si="5"/>
        <v>ok</v>
      </c>
      <c r="J162" s="77">
        <f>IFERROR(VLOOKUP($H162,TG[],3,FALSE),"NA")</f>
        <v>0</v>
      </c>
      <c r="K162" s="77" t="str">
        <f>IFERROR(VLOOKUP($H162,TF[],3,FALSE),"NA")</f>
        <v>NA</v>
      </c>
      <c r="L162" s="77" t="str">
        <f>IFERROR(VLOOKUP($H162,TT[],3,FALSE),"NA")</f>
        <v>NA</v>
      </c>
      <c r="M162" s="77" t="str">
        <f>IFERROR(VLOOKUP($H162,TES[],3,FALSE),"NA")</f>
        <v>NA</v>
      </c>
      <c r="N162" s="77">
        <f>IFERROR(VLOOKUP($H162,TEC[],3,FALSE),"NA")</f>
        <v>0</v>
      </c>
      <c r="O162" s="77" t="str">
        <f>IFERROR(VLOOKUP($H162,TP[],3,FALSE),"NA")</f>
        <v>NA</v>
      </c>
      <c r="P162" s="77" t="str">
        <f>IFERROR(VLOOKUP($H162,TEN[],3,FALSE),"NA")</f>
        <v>NA</v>
      </c>
      <c r="Q162" s="77" t="str">
        <f>IFERROR(VLOOKUP($H162,TD[],3,FALSE),"NA")</f>
        <v>NA</v>
      </c>
      <c r="R162" s="77" t="str">
        <f>IFERROR(VLOOKUP($H162,TC[],3,FALSE),"NA")</f>
        <v>NA</v>
      </c>
      <c r="S162" s="77" t="str">
        <f>IFERROR(VLOOKUP($H162,TEV[],3,FALSE),"NA")</f>
        <v>NA</v>
      </c>
      <c r="T162" s="79">
        <f>SUM(TbAlquiler[[#This Row],[GENERAL]:[ELEVADOR]])</f>
        <v>0</v>
      </c>
      <c r="U162" s="80">
        <f>IF(VLOOKUP(TbAlquiler[[#This Row],[ITEM]],TbPiezas[],5,FALSE)="NA",0,VLOOKUP(TbAlquiler[[#This Row],[ITEM]],TbPiezas[],5,FALSE))</f>
        <v>2.9000000000000057</v>
      </c>
      <c r="V162" s="81">
        <f>+TbAlquiler[[#This Row],[TOTAL]]*TbAlquiler[[#This Row],[P.U. (1)]]</f>
        <v>0</v>
      </c>
      <c r="W162" s="82">
        <f>+VLOOKUP(TbAlquiler[[#This Row],[ITEM]],TbPiezas[],6,FALSE)</f>
        <v>190.58</v>
      </c>
      <c r="X162" s="83">
        <f>+TbAlquiler[[#This Row],[TOTAL]]*TbAlquiler[[#This Row],[P.U. (2)]]</f>
        <v>0</v>
      </c>
      <c r="Y162" s="82">
        <f>+VLOOKUP(TbAlquiler[[#This Row],[ITEM]],TbPiezas[],7,FALSE)</f>
        <v>9.5290000000000017</v>
      </c>
      <c r="Z162" s="84">
        <f>+TbAlquiler[[#This Row],[TOTAL]]*TbAlquiler[[#This Row],[P.U. (3)]]</f>
        <v>0</v>
      </c>
    </row>
    <row r="163" spans="1:26" ht="15" customHeight="1" x14ac:dyDescent="0.3">
      <c r="A163" s="2"/>
      <c r="B163" s="85">
        <v>146</v>
      </c>
      <c r="C163" s="71" t="s">
        <v>293</v>
      </c>
      <c r="D163" s="72" t="s">
        <v>294</v>
      </c>
      <c r="E163" s="73"/>
      <c r="F163" s="74">
        <f>+VLOOKUP(C163,TbAlquiler[],13,FALSE)</f>
        <v>2</v>
      </c>
      <c r="G163" s="2"/>
      <c r="H163" s="75" t="str">
        <f t="shared" si="4"/>
        <v>EC.0900</v>
      </c>
      <c r="I163" s="59" t="str">
        <f t="shared" si="5"/>
        <v>ok</v>
      </c>
      <c r="J163" s="77">
        <f>IFERROR(VLOOKUP($H163,TG[],3,FALSE),"NA")</f>
        <v>0</v>
      </c>
      <c r="K163" s="77" t="str">
        <f>IFERROR(VLOOKUP($H163,TF[],3,FALSE),"NA")</f>
        <v>NA</v>
      </c>
      <c r="L163" s="77" t="str">
        <f>IFERROR(VLOOKUP($H163,TT[],3,FALSE),"NA")</f>
        <v>NA</v>
      </c>
      <c r="M163" s="77" t="str">
        <f>IFERROR(VLOOKUP($H163,TES[],3,FALSE),"NA")</f>
        <v>NA</v>
      </c>
      <c r="N163" s="77" t="str">
        <f>IFERROR(VLOOKUP($H163,TEC[],3,FALSE),"NA")</f>
        <v>NA</v>
      </c>
      <c r="O163" s="77" t="str">
        <f>IFERROR(VLOOKUP($H163,TP[],3,FALSE),"NA")</f>
        <v>NA</v>
      </c>
      <c r="P163" s="77" t="str">
        <f>IFERROR(VLOOKUP($H163,TEN[],3,FALSE),"NA")</f>
        <v>NA</v>
      </c>
      <c r="Q163" s="77">
        <f>IFERROR(VLOOKUP($H163,TD[],3,FALSE),"NA")</f>
        <v>2</v>
      </c>
      <c r="R163" s="77" t="str">
        <f>IFERROR(VLOOKUP($H163,TC[],3,FALSE),"NA")</f>
        <v>NA</v>
      </c>
      <c r="S163" s="77" t="str">
        <f>IFERROR(VLOOKUP($H163,TEV[],3,FALSE),"NA")</f>
        <v>NA</v>
      </c>
      <c r="T163" s="79">
        <f>SUM(TbAlquiler[[#This Row],[GENERAL]:[ELEVADOR]])</f>
        <v>2</v>
      </c>
      <c r="U163" s="80">
        <f>IF(VLOOKUP(TbAlquiler[[#This Row],[ITEM]],TbPiezas[],5,FALSE)="NA",0,VLOOKUP(TbAlquiler[[#This Row],[ITEM]],TbPiezas[],5,FALSE))</f>
        <v>170</v>
      </c>
      <c r="V163" s="81">
        <f>+TbAlquiler[[#This Row],[TOTAL]]*TbAlquiler[[#This Row],[P.U. (1)]]</f>
        <v>340</v>
      </c>
      <c r="W163" s="82">
        <f>+VLOOKUP(TbAlquiler[[#This Row],[ITEM]],TbPiezas[],6,FALSE)</f>
        <v>8639.4</v>
      </c>
      <c r="X163" s="83">
        <f>+TbAlquiler[[#This Row],[TOTAL]]*TbAlquiler[[#This Row],[P.U. (2)]]</f>
        <v>17278.8</v>
      </c>
      <c r="Y163" s="82">
        <f>+VLOOKUP(TbAlquiler[[#This Row],[ITEM]],TbPiezas[],7,FALSE)</f>
        <v>431.97</v>
      </c>
      <c r="Z163" s="84">
        <f>+TbAlquiler[[#This Row],[TOTAL]]*TbAlquiler[[#This Row],[P.U. (3)]]</f>
        <v>863.94</v>
      </c>
    </row>
    <row r="164" spans="1:26" ht="15" customHeight="1" x14ac:dyDescent="0.3">
      <c r="A164" s="2"/>
      <c r="B164" s="85">
        <v>147</v>
      </c>
      <c r="C164" s="71" t="s">
        <v>295</v>
      </c>
      <c r="D164" s="72" t="s">
        <v>296</v>
      </c>
      <c r="E164" s="73"/>
      <c r="F164" s="74">
        <f>+VLOOKUP(C164,TbAlquiler[],13,FALSE)</f>
        <v>0</v>
      </c>
      <c r="G164" s="2"/>
      <c r="H164" s="75" t="str">
        <f t="shared" si="4"/>
        <v>AA.0100</v>
      </c>
      <c r="I164" s="59" t="str">
        <f t="shared" si="5"/>
        <v>ok</v>
      </c>
      <c r="J164" s="77">
        <f>IFERROR(VLOOKUP($H164,TG[],3,FALSE),"NA")</f>
        <v>0</v>
      </c>
      <c r="K164" s="77" t="str">
        <f>IFERROR(VLOOKUP($H164,TF[],3,FALSE),"NA")</f>
        <v>NA</v>
      </c>
      <c r="L164" s="77" t="str">
        <f>IFERROR(VLOOKUP($H164,TT[],3,FALSE),"NA")</f>
        <v>NA</v>
      </c>
      <c r="M164" s="77" t="str">
        <f>IFERROR(VLOOKUP($H164,TES[],3,FALSE),"NA")</f>
        <v>NA</v>
      </c>
      <c r="N164" s="77" t="str">
        <f>IFERROR(VLOOKUP($H164,TEC[],3,FALSE),"NA")</f>
        <v>NA</v>
      </c>
      <c r="O164" s="77" t="str">
        <f>IFERROR(VLOOKUP($H164,TP[],3,FALSE),"NA")</f>
        <v>NA</v>
      </c>
      <c r="P164" s="77" t="str">
        <f>IFERROR(VLOOKUP($H164,TEN[],3,FALSE),"NA")</f>
        <v>NA</v>
      </c>
      <c r="Q164" s="77" t="str">
        <f>IFERROR(VLOOKUP($H164,TD[],3,FALSE),"NA")</f>
        <v>NA</v>
      </c>
      <c r="R164" s="77" t="str">
        <f>IFERROR(VLOOKUP($H164,TC[],3,FALSE),"NA")</f>
        <v>NA</v>
      </c>
      <c r="S164" s="77" t="str">
        <f>IFERROR(VLOOKUP($H164,TEV[],3,FALSE),"NA")</f>
        <v>NA</v>
      </c>
      <c r="T164" s="79">
        <f>SUM(TbAlquiler[[#This Row],[GENERAL]:[ELEVADOR]])</f>
        <v>0</v>
      </c>
      <c r="U164" s="80">
        <f>IF(VLOOKUP(TbAlquiler[[#This Row],[ITEM]],TbPiezas[],5,FALSE)="NA",0,VLOOKUP(TbAlquiler[[#This Row],[ITEM]],TbPiezas[],5,FALSE))</f>
        <v>6.5</v>
      </c>
      <c r="V164" s="81">
        <f>+TbAlquiler[[#This Row],[TOTAL]]*TbAlquiler[[#This Row],[P.U. (1)]]</f>
        <v>0</v>
      </c>
      <c r="W164" s="82">
        <f>+VLOOKUP(TbAlquiler[[#This Row],[ITEM]],TbPiezas[],6,FALSE)</f>
        <v>76.23</v>
      </c>
      <c r="X164" s="83">
        <f>+TbAlquiler[[#This Row],[TOTAL]]*TbAlquiler[[#This Row],[P.U. (2)]]</f>
        <v>0</v>
      </c>
      <c r="Y164" s="82">
        <f>+VLOOKUP(TbAlquiler[[#This Row],[ITEM]],TbPiezas[],7,FALSE)</f>
        <v>3.8115000000000006</v>
      </c>
      <c r="Z164" s="84">
        <f>+TbAlquiler[[#This Row],[TOTAL]]*TbAlquiler[[#This Row],[P.U. (3)]]</f>
        <v>0</v>
      </c>
    </row>
    <row r="165" spans="1:26" ht="15" customHeight="1" x14ac:dyDescent="0.3">
      <c r="A165" s="2"/>
      <c r="B165" s="85">
        <v>148</v>
      </c>
      <c r="C165" s="71" t="s">
        <v>297</v>
      </c>
      <c r="D165" s="72" t="s">
        <v>298</v>
      </c>
      <c r="E165" s="73"/>
      <c r="F165" s="74">
        <f>+VLOOKUP(C165,TbAlquiler[],13,FALSE)</f>
        <v>0</v>
      </c>
      <c r="G165" s="2"/>
      <c r="H165" s="75" t="str">
        <f t="shared" si="4"/>
        <v>AA.0200</v>
      </c>
      <c r="I165" s="59" t="str">
        <f t="shared" si="5"/>
        <v>ok</v>
      </c>
      <c r="J165" s="77">
        <f>IFERROR(VLOOKUP($H165,TG[],3,FALSE),"NA")</f>
        <v>0</v>
      </c>
      <c r="K165" s="77" t="str">
        <f>IFERROR(VLOOKUP($H165,TF[],3,FALSE),"NA")</f>
        <v>NA</v>
      </c>
      <c r="L165" s="77" t="str">
        <f>IFERROR(VLOOKUP($H165,TT[],3,FALSE),"NA")</f>
        <v>NA</v>
      </c>
      <c r="M165" s="77" t="str">
        <f>IFERROR(VLOOKUP($H165,TES[],3,FALSE),"NA")</f>
        <v>NA</v>
      </c>
      <c r="N165" s="77" t="str">
        <f>IFERROR(VLOOKUP($H165,TEC[],3,FALSE),"NA")</f>
        <v>NA</v>
      </c>
      <c r="O165" s="77" t="str">
        <f>IFERROR(VLOOKUP($H165,TP[],3,FALSE),"NA")</f>
        <v>NA</v>
      </c>
      <c r="P165" s="77" t="str">
        <f>IFERROR(VLOOKUP($H165,TEN[],3,FALSE),"NA")</f>
        <v>NA</v>
      </c>
      <c r="Q165" s="77" t="str">
        <f>IFERROR(VLOOKUP($H165,TD[],3,FALSE),"NA")</f>
        <v>NA</v>
      </c>
      <c r="R165" s="77" t="str">
        <f>IFERROR(VLOOKUP($H165,TC[],3,FALSE),"NA")</f>
        <v>NA</v>
      </c>
      <c r="S165" s="77" t="str">
        <f>IFERROR(VLOOKUP($H165,TEV[],3,FALSE),"NA")</f>
        <v>NA</v>
      </c>
      <c r="T165" s="79">
        <f>SUM(TbAlquiler[[#This Row],[GENERAL]:[ELEVADOR]])</f>
        <v>0</v>
      </c>
      <c r="U165" s="80">
        <f>IF(VLOOKUP(TbAlquiler[[#This Row],[ITEM]],TbPiezas[],5,FALSE)="NA",0,VLOOKUP(TbAlquiler[[#This Row],[ITEM]],TbPiezas[],5,FALSE))</f>
        <v>14.5</v>
      </c>
      <c r="V165" s="81">
        <f>+TbAlquiler[[#This Row],[TOTAL]]*TbAlquiler[[#This Row],[P.U. (1)]]</f>
        <v>0</v>
      </c>
      <c r="W165" s="82">
        <f>+VLOOKUP(TbAlquiler[[#This Row],[ITEM]],TbPiezas[],6,FALSE)</f>
        <v>241.4</v>
      </c>
      <c r="X165" s="83">
        <f>+TbAlquiler[[#This Row],[TOTAL]]*TbAlquiler[[#This Row],[P.U. (2)]]</f>
        <v>0</v>
      </c>
      <c r="Y165" s="82">
        <f>+VLOOKUP(TbAlquiler[[#This Row],[ITEM]],TbPiezas[],7,FALSE)</f>
        <v>12.07</v>
      </c>
      <c r="Z165" s="84">
        <f>+TbAlquiler[[#This Row],[TOTAL]]*TbAlquiler[[#This Row],[P.U. (3)]]</f>
        <v>0</v>
      </c>
    </row>
    <row r="166" spans="1:26" ht="15" customHeight="1" x14ac:dyDescent="0.3">
      <c r="A166" s="2"/>
      <c r="B166" s="85">
        <v>151</v>
      </c>
      <c r="C166" s="71" t="s">
        <v>303</v>
      </c>
      <c r="D166" s="72" t="s">
        <v>304</v>
      </c>
      <c r="E166" s="73"/>
      <c r="F166" s="74">
        <f>+VLOOKUP(C166,TbAlquiler[],13,FALSE)</f>
        <v>0</v>
      </c>
      <c r="G166" s="2"/>
      <c r="H166" s="75" t="str">
        <f t="shared" si="4"/>
        <v>CON.0300</v>
      </c>
      <c r="I166" s="59" t="str">
        <f t="shared" si="5"/>
        <v>ok</v>
      </c>
      <c r="J166" s="77">
        <f>IFERROR(VLOOKUP($H166,TG[],3,FALSE),"NA")</f>
        <v>0</v>
      </c>
      <c r="K166" s="77" t="str">
        <f>IFERROR(VLOOKUP($H166,TF[],3,FALSE),"NA")</f>
        <v>NA</v>
      </c>
      <c r="L166" s="77" t="str">
        <f>IFERROR(VLOOKUP($H166,TT[],3,FALSE),"NA")</f>
        <v>NA</v>
      </c>
      <c r="M166" s="77" t="str">
        <f>IFERROR(VLOOKUP($H166,TES[],3,FALSE),"NA")</f>
        <v>NA</v>
      </c>
      <c r="N166" s="77">
        <f>IFERROR(VLOOKUP($H166,TEC[],3,FALSE),"NA")</f>
        <v>0</v>
      </c>
      <c r="O166" s="77" t="str">
        <f>IFERROR(VLOOKUP($H166,TP[],3,FALSE),"NA")</f>
        <v>NA</v>
      </c>
      <c r="P166" s="77" t="str">
        <f>IFERROR(VLOOKUP($H166,TEN[],3,FALSE),"NA")</f>
        <v>NA</v>
      </c>
      <c r="Q166" s="77" t="str">
        <f>IFERROR(VLOOKUP($H166,TD[],3,FALSE),"NA")</f>
        <v>NA</v>
      </c>
      <c r="R166" s="77" t="str">
        <f>IFERROR(VLOOKUP($H166,TC[],3,FALSE),"NA")</f>
        <v>NA</v>
      </c>
      <c r="S166" s="77" t="str">
        <f>IFERROR(VLOOKUP($H166,TEV[],3,FALSE),"NA")</f>
        <v>NA</v>
      </c>
      <c r="T166" s="79">
        <f>SUM(TbAlquiler[[#This Row],[GENERAL]:[ELEVADOR]])</f>
        <v>0</v>
      </c>
      <c r="U166" s="80">
        <f>IF(VLOOKUP(TbAlquiler[[#This Row],[ITEM]],TbPiezas[],5,FALSE)="NA",0,VLOOKUP(TbAlquiler[[#This Row],[ITEM]],TbPiezas[],5,FALSE))</f>
        <v>0.1</v>
      </c>
      <c r="V166" s="81">
        <f>+TbAlquiler[[#This Row],[TOTAL]]*TbAlquiler[[#This Row],[P.U. (1)]]</f>
        <v>0</v>
      </c>
      <c r="W166" s="82">
        <f>+VLOOKUP(TbAlquiler[[#This Row],[ITEM]],TbPiezas[],6,FALSE)</f>
        <v>10.16</v>
      </c>
      <c r="X166" s="83">
        <f>+TbAlquiler[[#This Row],[TOTAL]]*TbAlquiler[[#This Row],[P.U. (2)]]</f>
        <v>0</v>
      </c>
      <c r="Y166" s="82">
        <f>+VLOOKUP(TbAlquiler[[#This Row],[ITEM]],TbPiezas[],7,FALSE)</f>
        <v>0.50800000000000001</v>
      </c>
      <c r="Z166" s="84">
        <f>+TbAlquiler[[#This Row],[TOTAL]]*TbAlquiler[[#This Row],[P.U. (3)]]</f>
        <v>0</v>
      </c>
    </row>
    <row r="167" spans="1:26" ht="15" customHeight="1" x14ac:dyDescent="0.3">
      <c r="A167" s="2"/>
      <c r="B167" s="85">
        <v>152</v>
      </c>
      <c r="C167" s="71" t="s">
        <v>305</v>
      </c>
      <c r="D167" s="72" t="s">
        <v>306</v>
      </c>
      <c r="E167" s="73"/>
      <c r="F167" s="74">
        <f>+VLOOKUP(C167,TbAlquiler[],13,FALSE)</f>
        <v>0</v>
      </c>
      <c r="G167" s="2"/>
      <c r="H167" s="75" t="str">
        <f t="shared" si="4"/>
        <v>CON.0400</v>
      </c>
      <c r="I167" s="59" t="str">
        <f t="shared" si="5"/>
        <v>ok</v>
      </c>
      <c r="J167" s="77">
        <f>IFERROR(VLOOKUP($H167,TG[],3,FALSE),"NA")</f>
        <v>0</v>
      </c>
      <c r="K167" s="77" t="str">
        <f>IFERROR(VLOOKUP($H167,TF[],3,FALSE),"NA")</f>
        <v>NA</v>
      </c>
      <c r="L167" s="77" t="str">
        <f>IFERROR(VLOOKUP($H167,TT[],3,FALSE),"NA")</f>
        <v>NA</v>
      </c>
      <c r="M167" s="77" t="str">
        <f>IFERROR(VLOOKUP($H167,TES[],3,FALSE),"NA")</f>
        <v>NA</v>
      </c>
      <c r="N167" s="77" t="str">
        <f>IFERROR(VLOOKUP($H167,TEC[],3,FALSE),"NA")</f>
        <v>NA</v>
      </c>
      <c r="O167" s="77" t="str">
        <f>IFERROR(VLOOKUP($H167,TP[],3,FALSE),"NA")</f>
        <v>NA</v>
      </c>
      <c r="P167" s="77" t="str">
        <f>IFERROR(VLOOKUP($H167,TEN[],3,FALSE),"NA")</f>
        <v>NA</v>
      </c>
      <c r="Q167" s="77" t="str">
        <f>IFERROR(VLOOKUP($H167,TD[],3,FALSE),"NA")</f>
        <v>NA</v>
      </c>
      <c r="R167" s="77" t="str">
        <f>IFERROR(VLOOKUP($H167,TC[],3,FALSE),"NA")</f>
        <v>NA</v>
      </c>
      <c r="S167" s="77" t="str">
        <f>IFERROR(VLOOKUP($H167,TEV[],3,FALSE),"NA")</f>
        <v>NA</v>
      </c>
      <c r="T167" s="79">
        <f>SUM(TbAlquiler[[#This Row],[GENERAL]:[ELEVADOR]])</f>
        <v>0</v>
      </c>
      <c r="U167" s="80">
        <f>IF(VLOOKUP(TbAlquiler[[#This Row],[ITEM]],TbPiezas[],5,FALSE)="NA",0,VLOOKUP(TbAlquiler[[#This Row],[ITEM]],TbPiezas[],5,FALSE))</f>
        <v>0.1</v>
      </c>
      <c r="V167" s="81">
        <f>+TbAlquiler[[#This Row],[TOTAL]]*TbAlquiler[[#This Row],[P.U. (1)]]</f>
        <v>0</v>
      </c>
      <c r="W167" s="82">
        <f>+VLOOKUP(TbAlquiler[[#This Row],[ITEM]],TbPiezas[],6,FALSE)</f>
        <v>10.16</v>
      </c>
      <c r="X167" s="83">
        <f>+TbAlquiler[[#This Row],[TOTAL]]*TbAlquiler[[#This Row],[P.U. (2)]]</f>
        <v>0</v>
      </c>
      <c r="Y167" s="82">
        <f>+VLOOKUP(TbAlquiler[[#This Row],[ITEM]],TbPiezas[],7,FALSE)</f>
        <v>0.50800000000000001</v>
      </c>
      <c r="Z167" s="84">
        <f>+TbAlquiler[[#This Row],[TOTAL]]*TbAlquiler[[#This Row],[P.U. (3)]]</f>
        <v>0</v>
      </c>
    </row>
    <row r="168" spans="1:26" ht="15" customHeight="1" x14ac:dyDescent="0.3">
      <c r="A168" s="2"/>
      <c r="B168" s="85">
        <v>153</v>
      </c>
      <c r="C168" s="427" t="s">
        <v>307</v>
      </c>
      <c r="D168" s="428" t="s">
        <v>308</v>
      </c>
      <c r="E168" s="73"/>
      <c r="F168" s="74">
        <f>+VLOOKUP(C168,TbAlquiler[],13,FALSE)</f>
        <v>0</v>
      </c>
      <c r="G168" s="2"/>
      <c r="H168" s="75" t="str">
        <f t="shared" si="4"/>
        <v>CON.0500</v>
      </c>
      <c r="I168" s="59" t="str">
        <f t="shared" si="5"/>
        <v>ok</v>
      </c>
      <c r="J168" s="77">
        <f>IFERROR(VLOOKUP($H168,TG[],3,FALSE),"NA")</f>
        <v>0</v>
      </c>
      <c r="K168" s="77" t="str">
        <f>IFERROR(VLOOKUP($H168,TF[],3,FALSE),"NA")</f>
        <v>NA</v>
      </c>
      <c r="L168" s="77" t="str">
        <f>IFERROR(VLOOKUP($H168,TT[],3,FALSE),"NA")</f>
        <v>NA</v>
      </c>
      <c r="M168" s="77" t="str">
        <f>IFERROR(VLOOKUP($H168,TES[],3,FALSE),"NA")</f>
        <v>NA</v>
      </c>
      <c r="N168" s="77" t="str">
        <f>IFERROR(VLOOKUP($H168,TEC[],3,FALSE),"NA")</f>
        <v>NA</v>
      </c>
      <c r="O168" s="77" t="str">
        <f>IFERROR(VLOOKUP($H168,TP[],3,FALSE),"NA")</f>
        <v>NA</v>
      </c>
      <c r="P168" s="77" t="str">
        <f>IFERROR(VLOOKUP($H168,TEN[],3,FALSE),"NA")</f>
        <v>NA</v>
      </c>
      <c r="Q168" s="77" t="str">
        <f>IFERROR(VLOOKUP($H168,TD[],3,FALSE),"NA")</f>
        <v>NA</v>
      </c>
      <c r="R168" s="77" t="str">
        <f>IFERROR(VLOOKUP($H168,TC[],3,FALSE),"NA")</f>
        <v>NA</v>
      </c>
      <c r="S168" s="77" t="str">
        <f>IFERROR(VLOOKUP($H168,TEV[],3,FALSE),"NA")</f>
        <v>NA</v>
      </c>
      <c r="T168" s="79">
        <f>SUM(TbAlquiler[[#This Row],[GENERAL]:[ELEVADOR]])</f>
        <v>0</v>
      </c>
      <c r="U168" s="80">
        <f>IF(VLOOKUP(TbAlquiler[[#This Row],[ITEM]],TbPiezas[],5,FALSE)="NA",0,VLOOKUP(TbAlquiler[[#This Row],[ITEM]],TbPiezas[],5,FALSE))</f>
        <v>1</v>
      </c>
      <c r="V168" s="81">
        <f>+TbAlquiler[[#This Row],[TOTAL]]*TbAlquiler[[#This Row],[P.U. (1)]]</f>
        <v>0</v>
      </c>
      <c r="W168" s="82">
        <f>+VLOOKUP(TbAlquiler[[#This Row],[ITEM]],TbPiezas[],6,FALSE)</f>
        <v>82.58</v>
      </c>
      <c r="X168" s="83">
        <f>+TbAlquiler[[#This Row],[TOTAL]]*TbAlquiler[[#This Row],[P.U. (2)]]</f>
        <v>0</v>
      </c>
      <c r="Y168" s="82">
        <f>+VLOOKUP(TbAlquiler[[#This Row],[ITEM]],TbPiezas[],7,FALSE)</f>
        <v>4.1290000000000004</v>
      </c>
      <c r="Z168" s="84">
        <f>+TbAlquiler[[#This Row],[TOTAL]]*TbAlquiler[[#This Row],[P.U. (3)]]</f>
        <v>0</v>
      </c>
    </row>
    <row r="169" spans="1:26" ht="15" customHeight="1" x14ac:dyDescent="0.3">
      <c r="A169" s="2"/>
      <c r="B169" s="85">
        <v>154</v>
      </c>
      <c r="C169" s="427" t="s">
        <v>309</v>
      </c>
      <c r="D169" s="428" t="s">
        <v>310</v>
      </c>
      <c r="E169" s="73"/>
      <c r="F169" s="74">
        <f>+VLOOKUP(C169,TbAlquiler[],13,FALSE)</f>
        <v>0</v>
      </c>
      <c r="G169" s="2"/>
      <c r="H169" s="75" t="str">
        <f t="shared" si="4"/>
        <v>CON.0600</v>
      </c>
      <c r="I169" s="59" t="str">
        <f t="shared" si="5"/>
        <v>ok</v>
      </c>
      <c r="J169" s="77">
        <f>IFERROR(VLOOKUP($H169,TG[],3,FALSE),"NA")</f>
        <v>0</v>
      </c>
      <c r="K169" s="77" t="str">
        <f>IFERROR(VLOOKUP($H169,TF[],3,FALSE),"NA")</f>
        <v>NA</v>
      </c>
      <c r="L169" s="77" t="str">
        <f>IFERROR(VLOOKUP($H169,TT[],3,FALSE),"NA")</f>
        <v>NA</v>
      </c>
      <c r="M169" s="77" t="str">
        <f>IFERROR(VLOOKUP($H169,TES[],3,FALSE),"NA")</f>
        <v>NA</v>
      </c>
      <c r="N169" s="77" t="str">
        <f>IFERROR(VLOOKUP($H169,TEC[],3,FALSE),"NA")</f>
        <v>NA</v>
      </c>
      <c r="O169" s="77" t="str">
        <f>IFERROR(VLOOKUP($H169,TP[],3,FALSE),"NA")</f>
        <v>NA</v>
      </c>
      <c r="P169" s="77" t="str">
        <f>IFERROR(VLOOKUP($H169,TEN[],3,FALSE),"NA")</f>
        <v>NA</v>
      </c>
      <c r="Q169" s="77" t="str">
        <f>IFERROR(VLOOKUP($H169,TD[],3,FALSE),"NA")</f>
        <v>NA</v>
      </c>
      <c r="R169" s="77" t="str">
        <f>IFERROR(VLOOKUP($H169,TC[],3,FALSE),"NA")</f>
        <v>NA</v>
      </c>
      <c r="S169" s="77" t="str">
        <f>IFERROR(VLOOKUP($H169,TEV[],3,FALSE),"NA")</f>
        <v>NA</v>
      </c>
      <c r="T169" s="79">
        <f>SUM(TbAlquiler[[#This Row],[GENERAL]:[ELEVADOR]])</f>
        <v>0</v>
      </c>
      <c r="U169" s="80">
        <f>IF(VLOOKUP(TbAlquiler[[#This Row],[ITEM]],TbPiezas[],5,FALSE)="NA",0,VLOOKUP(TbAlquiler[[#This Row],[ITEM]],TbPiezas[],5,FALSE))</f>
        <v>0.8</v>
      </c>
      <c r="V169" s="81">
        <f>+TbAlquiler[[#This Row],[TOTAL]]*TbAlquiler[[#This Row],[P.U. (1)]]</f>
        <v>0</v>
      </c>
      <c r="W169" s="82">
        <f>+VLOOKUP(TbAlquiler[[#This Row],[ITEM]],TbPiezas[],6,FALSE)</f>
        <v>69.88</v>
      </c>
      <c r="X169" s="83">
        <f>+TbAlquiler[[#This Row],[TOTAL]]*TbAlquiler[[#This Row],[P.U. (2)]]</f>
        <v>0</v>
      </c>
      <c r="Y169" s="82">
        <f>+VLOOKUP(TbAlquiler[[#This Row],[ITEM]],TbPiezas[],7,FALSE)</f>
        <v>3.4939999999999998</v>
      </c>
      <c r="Z169" s="84">
        <f>+TbAlquiler[[#This Row],[TOTAL]]*TbAlquiler[[#This Row],[P.U. (3)]]</f>
        <v>0</v>
      </c>
    </row>
    <row r="170" spans="1:26" ht="15" customHeight="1" x14ac:dyDescent="0.3">
      <c r="A170" s="2"/>
      <c r="B170" s="85">
        <v>155</v>
      </c>
      <c r="C170" s="427" t="s">
        <v>311</v>
      </c>
      <c r="D170" s="428" t="s">
        <v>312</v>
      </c>
      <c r="E170" s="73"/>
      <c r="F170" s="74">
        <f>+VLOOKUP(C170,TbAlquiler[],13,FALSE)</f>
        <v>0</v>
      </c>
      <c r="G170" s="2"/>
      <c r="H170" s="75" t="str">
        <f t="shared" si="4"/>
        <v>CON.0700</v>
      </c>
      <c r="I170" s="59" t="str">
        <f t="shared" si="5"/>
        <v>ok</v>
      </c>
      <c r="J170" s="77">
        <f>IFERROR(VLOOKUP($H170,TG[],3,FALSE),"NA")</f>
        <v>0</v>
      </c>
      <c r="K170" s="77" t="str">
        <f>IFERROR(VLOOKUP($H170,TF[],3,FALSE),"NA")</f>
        <v>NA</v>
      </c>
      <c r="L170" s="77" t="str">
        <f>IFERROR(VLOOKUP($H170,TT[],3,FALSE),"NA")</f>
        <v>NA</v>
      </c>
      <c r="M170" s="77" t="str">
        <f>IFERROR(VLOOKUP($H170,TES[],3,FALSE),"NA")</f>
        <v>NA</v>
      </c>
      <c r="N170" s="77" t="str">
        <f>IFERROR(VLOOKUP($H170,TEC[],3,FALSE),"NA")</f>
        <v>NA</v>
      </c>
      <c r="O170" s="77" t="str">
        <f>IFERROR(VLOOKUP($H170,TP[],3,FALSE),"NA")</f>
        <v>NA</v>
      </c>
      <c r="P170" s="77" t="str">
        <f>IFERROR(VLOOKUP($H170,TEN[],3,FALSE),"NA")</f>
        <v>NA</v>
      </c>
      <c r="Q170" s="77" t="str">
        <f>IFERROR(VLOOKUP($H170,TD[],3,FALSE),"NA")</f>
        <v>NA</v>
      </c>
      <c r="R170" s="77" t="str">
        <f>IFERROR(VLOOKUP($H170,TC[],3,FALSE),"NA")</f>
        <v>NA</v>
      </c>
      <c r="S170" s="77">
        <f>IFERROR(VLOOKUP($H170,TEV[],3,FALSE),"NA")</f>
        <v>0</v>
      </c>
      <c r="T170" s="79">
        <f>SUM(TbAlquiler[[#This Row],[GENERAL]:[ELEVADOR]])</f>
        <v>0</v>
      </c>
      <c r="U170" s="80">
        <f>IF(VLOOKUP(TbAlquiler[[#This Row],[ITEM]],TbPiezas[],5,FALSE)="NA",0,VLOOKUP(TbAlquiler[[#This Row],[ITEM]],TbPiezas[],5,FALSE))</f>
        <v>0.6</v>
      </c>
      <c r="V170" s="81">
        <f>+TbAlquiler[[#This Row],[TOTAL]]*TbAlquiler[[#This Row],[P.U. (1)]]</f>
        <v>0</v>
      </c>
      <c r="W170" s="82">
        <f>+VLOOKUP(TbAlquiler[[#This Row],[ITEM]],TbPiezas[],6,FALSE)</f>
        <v>57.17</v>
      </c>
      <c r="X170" s="83">
        <f>+TbAlquiler[[#This Row],[TOTAL]]*TbAlquiler[[#This Row],[P.U. (2)]]</f>
        <v>0</v>
      </c>
      <c r="Y170" s="82">
        <f>+VLOOKUP(TbAlquiler[[#This Row],[ITEM]],TbPiezas[],7,FALSE)</f>
        <v>2.8585000000000003</v>
      </c>
      <c r="Z170" s="84">
        <f>+TbAlquiler[[#This Row],[TOTAL]]*TbAlquiler[[#This Row],[P.U. (3)]]</f>
        <v>0</v>
      </c>
    </row>
    <row r="171" spans="1:26" ht="15" customHeight="1" x14ac:dyDescent="0.3">
      <c r="A171" s="2"/>
      <c r="B171" s="85">
        <v>156</v>
      </c>
      <c r="C171" s="71" t="s">
        <v>313</v>
      </c>
      <c r="D171" s="72" t="s">
        <v>314</v>
      </c>
      <c r="E171" s="73"/>
      <c r="F171" s="74">
        <f>+VLOOKUP(C171,TbAlquiler[],13,FALSE)</f>
        <v>0</v>
      </c>
      <c r="G171" s="2"/>
      <c r="H171" s="75" t="str">
        <f t="shared" si="4"/>
        <v>PU.0100</v>
      </c>
      <c r="I171" s="59" t="str">
        <f t="shared" si="5"/>
        <v>ok</v>
      </c>
      <c r="J171" s="77">
        <f>IFERROR(VLOOKUP($H171,TG[],3,FALSE),"NA")</f>
        <v>0</v>
      </c>
      <c r="K171" s="77" t="str">
        <f>IFERROR(VLOOKUP($H171,TF[],3,FALSE),"NA")</f>
        <v>NA</v>
      </c>
      <c r="L171" s="77" t="str">
        <f>IFERROR(VLOOKUP($H171,TT[],3,FALSE),"NA")</f>
        <v>NA</v>
      </c>
      <c r="M171" s="77" t="str">
        <f>IFERROR(VLOOKUP($H171,TES[],3,FALSE),"NA")</f>
        <v>NA</v>
      </c>
      <c r="N171" s="77" t="str">
        <f>IFERROR(VLOOKUP($H171,TEC[],3,FALSE),"NA")</f>
        <v>NA</v>
      </c>
      <c r="O171" s="77">
        <f>IFERROR(VLOOKUP($H171,TP[],3,FALSE),"NA")</f>
        <v>0</v>
      </c>
      <c r="P171" s="77">
        <f>IFERROR(VLOOKUP($H171,TEN[],3,FALSE),"NA")</f>
        <v>0</v>
      </c>
      <c r="Q171" s="77" t="str">
        <f>IFERROR(VLOOKUP($H171,TD[],3,FALSE),"NA")</f>
        <v>NA</v>
      </c>
      <c r="R171" s="77" t="str">
        <f>IFERROR(VLOOKUP($H171,TC[],3,FALSE),"NA")</f>
        <v>NA</v>
      </c>
      <c r="S171" s="77" t="str">
        <f>IFERROR(VLOOKUP($H171,TEV[],3,FALSE),"NA")</f>
        <v>NA</v>
      </c>
      <c r="T171" s="79">
        <f>SUM(TbAlquiler[[#This Row],[GENERAL]:[ELEVADOR]])</f>
        <v>0</v>
      </c>
      <c r="U171" s="80">
        <f>IF(VLOOKUP(TbAlquiler[[#This Row],[ITEM]],TbPiezas[],5,FALSE)="NA",0,VLOOKUP(TbAlquiler[[#This Row],[ITEM]],TbPiezas[],5,FALSE))</f>
        <v>8.9</v>
      </c>
      <c r="V171" s="81">
        <f>+TbAlquiler[[#This Row],[TOTAL]]*TbAlquiler[[#This Row],[P.U. (1)]]</f>
        <v>0</v>
      </c>
      <c r="W171" s="82">
        <f>+VLOOKUP(TbAlquiler[[#This Row],[ITEM]],TbPiezas[],6,FALSE)</f>
        <v>180</v>
      </c>
      <c r="X171" s="83">
        <f>+TbAlquiler[[#This Row],[TOTAL]]*TbAlquiler[[#This Row],[P.U. (2)]]</f>
        <v>0</v>
      </c>
      <c r="Y171" s="82">
        <f>+VLOOKUP(TbAlquiler[[#This Row],[ITEM]],TbPiezas[],7,FALSE)</f>
        <v>4.5</v>
      </c>
      <c r="Z171" s="84">
        <f>+TbAlquiler[[#This Row],[TOTAL]]*TbAlquiler[[#This Row],[P.U. (3)]]</f>
        <v>0</v>
      </c>
    </row>
    <row r="172" spans="1:26" ht="15" customHeight="1" x14ac:dyDescent="0.3">
      <c r="A172" s="2"/>
      <c r="B172" s="85">
        <v>157</v>
      </c>
      <c r="C172" s="71" t="s">
        <v>315</v>
      </c>
      <c r="D172" s="72" t="s">
        <v>316</v>
      </c>
      <c r="E172" s="73"/>
      <c r="F172" s="74">
        <f>+VLOOKUP(C172,TbAlquiler[],13,FALSE)</f>
        <v>0</v>
      </c>
      <c r="G172" s="2"/>
      <c r="H172" s="75" t="str">
        <f t="shared" si="4"/>
        <v>PU.0200</v>
      </c>
      <c r="I172" s="59" t="str">
        <f t="shared" si="5"/>
        <v>ok</v>
      </c>
      <c r="J172" s="77">
        <f>IFERROR(VLOOKUP($H172,TG[],3,FALSE),"NA")</f>
        <v>0</v>
      </c>
      <c r="K172" s="77" t="str">
        <f>IFERROR(VLOOKUP($H172,TF[],3,FALSE),"NA")</f>
        <v>NA</v>
      </c>
      <c r="L172" s="77" t="str">
        <f>IFERROR(VLOOKUP($H172,TT[],3,FALSE),"NA")</f>
        <v>NA</v>
      </c>
      <c r="M172" s="77" t="str">
        <f>IFERROR(VLOOKUP($H172,TES[],3,FALSE),"NA")</f>
        <v>NA</v>
      </c>
      <c r="N172" s="77" t="str">
        <f>IFERROR(VLOOKUP($H172,TEC[],3,FALSE),"NA")</f>
        <v>NA</v>
      </c>
      <c r="O172" s="77">
        <f>IFERROR(VLOOKUP($H172,TP[],3,FALSE),"NA")</f>
        <v>0</v>
      </c>
      <c r="P172" s="77">
        <f>IFERROR(VLOOKUP($H172,TEN[],3,FALSE),"NA")</f>
        <v>0</v>
      </c>
      <c r="Q172" s="77" t="str">
        <f>IFERROR(VLOOKUP($H172,TD[],3,FALSE),"NA")</f>
        <v>NA</v>
      </c>
      <c r="R172" s="77" t="str">
        <f>IFERROR(VLOOKUP($H172,TC[],3,FALSE),"NA")</f>
        <v>NA</v>
      </c>
      <c r="S172" s="77" t="str">
        <f>IFERROR(VLOOKUP($H172,TEV[],3,FALSE),"NA")</f>
        <v>NA</v>
      </c>
      <c r="T172" s="79">
        <f>SUM(TbAlquiler[[#This Row],[GENERAL]:[ELEVADOR]])</f>
        <v>0</v>
      </c>
      <c r="U172" s="80">
        <f>IF(VLOOKUP(TbAlquiler[[#This Row],[ITEM]],TbPiezas[],5,FALSE)="NA",0,VLOOKUP(TbAlquiler[[#This Row],[ITEM]],TbPiezas[],5,FALSE))</f>
        <v>8.9</v>
      </c>
      <c r="V172" s="81">
        <f>+TbAlquiler[[#This Row],[TOTAL]]*TbAlquiler[[#This Row],[P.U. (1)]]</f>
        <v>0</v>
      </c>
      <c r="W172" s="82">
        <f>+VLOOKUP(TbAlquiler[[#This Row],[ITEM]],TbPiezas[],6,FALSE)</f>
        <v>180</v>
      </c>
      <c r="X172" s="83">
        <f>+TbAlquiler[[#This Row],[TOTAL]]*TbAlquiler[[#This Row],[P.U. (2)]]</f>
        <v>0</v>
      </c>
      <c r="Y172" s="82">
        <f>+VLOOKUP(TbAlquiler[[#This Row],[ITEM]],TbPiezas[],7,FALSE)</f>
        <v>4.5</v>
      </c>
      <c r="Z172" s="84">
        <f>+TbAlquiler[[#This Row],[TOTAL]]*TbAlquiler[[#This Row],[P.U. (3)]]</f>
        <v>0</v>
      </c>
    </row>
    <row r="173" spans="1:26" ht="15" customHeight="1" x14ac:dyDescent="0.3">
      <c r="A173" s="2"/>
      <c r="B173" s="85">
        <v>158</v>
      </c>
      <c r="C173" s="71" t="s">
        <v>317</v>
      </c>
      <c r="D173" s="72" t="s">
        <v>318</v>
      </c>
      <c r="E173" s="73"/>
      <c r="F173" s="74">
        <f>+VLOOKUP(C173,TbAlquiler[],13,FALSE)</f>
        <v>250</v>
      </c>
      <c r="G173" s="2"/>
      <c r="H173" s="75" t="str">
        <f t="shared" si="4"/>
        <v>PU.0300</v>
      </c>
      <c r="I173" s="59" t="str">
        <f t="shared" si="5"/>
        <v>ok</v>
      </c>
      <c r="J173" s="77">
        <f>IFERROR(VLOOKUP($H173,TG[],3,FALSE),"NA")</f>
        <v>0</v>
      </c>
      <c r="K173" s="77">
        <f>IFERROR(VLOOKUP($H173,TF[],3,FALSE),"NA")</f>
        <v>0</v>
      </c>
      <c r="L173" s="77" t="str">
        <f>IFERROR(VLOOKUP($H173,TT[],3,FALSE),"NA")</f>
        <v>NA</v>
      </c>
      <c r="M173" s="77" t="str">
        <f>IFERROR(VLOOKUP($H173,TES[],3,FALSE),"NA")</f>
        <v>NA</v>
      </c>
      <c r="N173" s="77" t="str">
        <f>IFERROR(VLOOKUP($H173,TEC[],3,FALSE),"NA")</f>
        <v>NA</v>
      </c>
      <c r="O173" s="77">
        <f>IFERROR(VLOOKUP($H173,TP[],3,FALSE),"NA")</f>
        <v>250</v>
      </c>
      <c r="P173" s="77">
        <f>IFERROR(VLOOKUP($H173,TEN[],3,FALSE),"NA")</f>
        <v>0</v>
      </c>
      <c r="Q173" s="77" t="str">
        <f>IFERROR(VLOOKUP($H173,TD[],3,FALSE),"NA")</f>
        <v>NA</v>
      </c>
      <c r="R173" s="77" t="str">
        <f>IFERROR(VLOOKUP($H173,TC[],3,FALSE),"NA")</f>
        <v>NA</v>
      </c>
      <c r="S173" s="77" t="str">
        <f>IFERROR(VLOOKUP($H173,TEV[],3,FALSE),"NA")</f>
        <v>NA</v>
      </c>
      <c r="T173" s="79">
        <f>SUM(TbAlquiler[[#This Row],[GENERAL]:[ELEVADOR]])</f>
        <v>250</v>
      </c>
      <c r="U173" s="80">
        <f>IF(VLOOKUP(TbAlquiler[[#This Row],[ITEM]],TbPiezas[],5,FALSE)="NA",0,VLOOKUP(TbAlquiler[[#This Row],[ITEM]],TbPiezas[],5,FALSE))</f>
        <v>8.9</v>
      </c>
      <c r="V173" s="81">
        <f>+TbAlquiler[[#This Row],[TOTAL]]*TbAlquiler[[#This Row],[P.U. (1)]]</f>
        <v>2225</v>
      </c>
      <c r="W173" s="82">
        <f>+VLOOKUP(TbAlquiler[[#This Row],[ITEM]],TbPiezas[],6,FALSE)</f>
        <v>180</v>
      </c>
      <c r="X173" s="83">
        <f>+TbAlquiler[[#This Row],[TOTAL]]*TbAlquiler[[#This Row],[P.U. (2)]]</f>
        <v>45000</v>
      </c>
      <c r="Y173" s="82">
        <f>+VLOOKUP(TbAlquiler[[#This Row],[ITEM]],TbPiezas[],7,FALSE)</f>
        <v>4.5</v>
      </c>
      <c r="Z173" s="84">
        <f>+TbAlquiler[[#This Row],[TOTAL]]*TbAlquiler[[#This Row],[P.U. (3)]]</f>
        <v>1125</v>
      </c>
    </row>
    <row r="174" spans="1:26" ht="15" customHeight="1" x14ac:dyDescent="0.3">
      <c r="A174" s="2"/>
      <c r="B174" s="85"/>
      <c r="C174" s="71" t="s">
        <v>1396</v>
      </c>
      <c r="D174" s="72" t="s">
        <v>1397</v>
      </c>
      <c r="E174" s="73"/>
      <c r="F174" s="74">
        <f>+VLOOKUP(C174,TbAlquiler[],13,FALSE)</f>
        <v>0</v>
      </c>
      <c r="G174" s="2"/>
      <c r="H174" s="75" t="str">
        <f t="shared" si="4"/>
        <v>PU.0350</v>
      </c>
      <c r="I174" s="59" t="str">
        <f t="shared" si="5"/>
        <v>ok</v>
      </c>
      <c r="J174" s="77">
        <f>IFERROR(VLOOKUP($H174,TG[],3,FALSE),"NA")</f>
        <v>0</v>
      </c>
      <c r="K174" s="86" t="str">
        <f>IFERROR(VLOOKUP($H174,TF[],3,FALSE),"NA")</f>
        <v>NA</v>
      </c>
      <c r="L174" s="408" t="str">
        <f>IFERROR(VLOOKUP($H174,TT[],3,FALSE),"NA")</f>
        <v>NA</v>
      </c>
      <c r="M174" s="77" t="str">
        <f>IFERROR(VLOOKUP($H174,TES[],3,FALSE),"NA")</f>
        <v>NA</v>
      </c>
      <c r="N174" s="139" t="str">
        <f>IFERROR(VLOOKUP($H174,TEC[],3,FALSE),"NA")</f>
        <v>NA</v>
      </c>
      <c r="O174" s="77">
        <f>IFERROR(VLOOKUP($H174,TP[],3,FALSE),"NA")</f>
        <v>0</v>
      </c>
      <c r="P174" s="77">
        <f>IFERROR(VLOOKUP($H174,TEN[],3,FALSE),"NA")</f>
        <v>0</v>
      </c>
      <c r="Q174" s="77" t="str">
        <f>IFERROR(VLOOKUP($H174,TD[],3,FALSE),"NA")</f>
        <v>NA</v>
      </c>
      <c r="R174" s="139" t="str">
        <f>IFERROR(VLOOKUP($H174,TC[],3,FALSE),"NA")</f>
        <v>NA</v>
      </c>
      <c r="S174" s="78" t="str">
        <f>IFERROR(VLOOKUP($H174,TEV[],3,FALSE),"NA")</f>
        <v>NA</v>
      </c>
      <c r="T174" s="78">
        <f>SUM(TbAlquiler[[#This Row],[GENERAL]:[ELEVADOR]])</f>
        <v>0</v>
      </c>
      <c r="U174" s="80">
        <f>IF(VLOOKUP(TbAlquiler[[#This Row],[ITEM]],TbPiezas[],5,FALSE)="NA",0,VLOOKUP(TbAlquiler[[#This Row],[ITEM]],TbPiezas[],5,FALSE))</f>
        <v>9</v>
      </c>
      <c r="V174" s="295">
        <f>+TbAlquiler[[#This Row],[TOTAL]]*TbAlquiler[[#This Row],[P.U. (1)]]</f>
        <v>0</v>
      </c>
      <c r="W174" s="84">
        <f>+VLOOKUP(TbAlquiler[[#This Row],[ITEM]],TbPiezas[],6,FALSE)</f>
        <v>180</v>
      </c>
      <c r="X174" s="296">
        <f>+TbAlquiler[[#This Row],[TOTAL]]*TbAlquiler[[#This Row],[P.U. (2)]]</f>
        <v>0</v>
      </c>
      <c r="Y174" s="84">
        <f>+VLOOKUP(TbAlquiler[[#This Row],[ITEM]],TbPiezas[],7,FALSE)</f>
        <v>4.5</v>
      </c>
      <c r="Z174" s="296">
        <f>+TbAlquiler[[#This Row],[TOTAL]]*TbAlquiler[[#This Row],[P.U. (3)]]</f>
        <v>0</v>
      </c>
    </row>
    <row r="175" spans="1:26" ht="15" customHeight="1" x14ac:dyDescent="0.3">
      <c r="A175" s="2"/>
      <c r="B175" s="85">
        <v>159</v>
      </c>
      <c r="C175" s="71" t="s">
        <v>319</v>
      </c>
      <c r="D175" s="72" t="s">
        <v>320</v>
      </c>
      <c r="E175" s="73"/>
      <c r="F175" s="74">
        <f>+VLOOKUP(C175,TbAlquiler[],13,FALSE)</f>
        <v>0</v>
      </c>
      <c r="G175" s="2"/>
      <c r="H175" s="75" t="str">
        <f t="shared" si="4"/>
        <v>PU.0400</v>
      </c>
      <c r="I175" s="59" t="str">
        <f t="shared" si="5"/>
        <v>ok</v>
      </c>
      <c r="J175" s="77">
        <f>IFERROR(VLOOKUP($H175,TG[],3,FALSE),"NA")</f>
        <v>0</v>
      </c>
      <c r="K175" s="77" t="str">
        <f>IFERROR(VLOOKUP($H175,TF[],3,FALSE),"NA")</f>
        <v>NA</v>
      </c>
      <c r="L175" s="77" t="str">
        <f>IFERROR(VLOOKUP($H175,TT[],3,FALSE),"NA")</f>
        <v>NA</v>
      </c>
      <c r="M175" s="77" t="str">
        <f>IFERROR(VLOOKUP($H175,TES[],3,FALSE),"NA")</f>
        <v>NA</v>
      </c>
      <c r="N175" s="77" t="str">
        <f>IFERROR(VLOOKUP($H175,TEC[],3,FALSE),"NA")</f>
        <v>NA</v>
      </c>
      <c r="O175" s="77">
        <f>IFERROR(VLOOKUP($H175,TP[],3,FALSE),"NA")</f>
        <v>0</v>
      </c>
      <c r="P175" s="77">
        <f>IFERROR(VLOOKUP($H175,TEN[],3,FALSE),"NA")</f>
        <v>0</v>
      </c>
      <c r="Q175" s="77" t="str">
        <f>IFERROR(VLOOKUP($H175,TD[],3,FALSE),"NA")</f>
        <v>NA</v>
      </c>
      <c r="R175" s="77" t="str">
        <f>IFERROR(VLOOKUP($H175,TC[],3,FALSE),"NA")</f>
        <v>NA</v>
      </c>
      <c r="S175" s="77" t="str">
        <f>IFERROR(VLOOKUP($H175,TEV[],3,FALSE),"NA")</f>
        <v>NA</v>
      </c>
      <c r="T175" s="79">
        <f>SUM(TbAlquiler[[#This Row],[GENERAL]:[ELEVADOR]])</f>
        <v>0</v>
      </c>
      <c r="U175" s="80">
        <f>IF(VLOOKUP(TbAlquiler[[#This Row],[ITEM]],TbPiezas[],5,FALSE)="NA",0,VLOOKUP(TbAlquiler[[#This Row],[ITEM]],TbPiezas[],5,FALSE))</f>
        <v>11.8</v>
      </c>
      <c r="V175" s="81">
        <f>+TbAlquiler[[#This Row],[TOTAL]]*TbAlquiler[[#This Row],[P.U. (1)]]</f>
        <v>0</v>
      </c>
      <c r="W175" s="82">
        <f>+VLOOKUP(TbAlquiler[[#This Row],[ITEM]],TbPiezas[],6,FALSE)</f>
        <v>200</v>
      </c>
      <c r="X175" s="83">
        <f>+TbAlquiler[[#This Row],[TOTAL]]*TbAlquiler[[#This Row],[P.U. (2)]]</f>
        <v>0</v>
      </c>
      <c r="Y175" s="82">
        <f>+VLOOKUP(TbAlquiler[[#This Row],[ITEM]],TbPiezas[],7,FALSE)</f>
        <v>6.6</v>
      </c>
      <c r="Z175" s="84">
        <f>+TbAlquiler[[#This Row],[TOTAL]]*TbAlquiler[[#This Row],[P.U. (3)]]</f>
        <v>0</v>
      </c>
    </row>
    <row r="176" spans="1:26" ht="15" customHeight="1" x14ac:dyDescent="0.3">
      <c r="A176" s="2"/>
      <c r="B176" s="85">
        <v>160</v>
      </c>
      <c r="C176" s="71" t="s">
        <v>321</v>
      </c>
      <c r="D176" s="72" t="s">
        <v>322</v>
      </c>
      <c r="E176" s="73"/>
      <c r="F176" s="74">
        <f>+VLOOKUP(C176,TbAlquiler[],13,FALSE)</f>
        <v>0</v>
      </c>
      <c r="G176" s="2"/>
      <c r="H176" s="75" t="str">
        <f t="shared" si="4"/>
        <v>PU.0500</v>
      </c>
      <c r="I176" s="59" t="str">
        <f t="shared" si="5"/>
        <v>ok</v>
      </c>
      <c r="J176" s="77">
        <f>IFERROR(VLOOKUP($H176,TG[],3,FALSE),"NA")</f>
        <v>0</v>
      </c>
      <c r="K176" s="77" t="str">
        <f>IFERROR(VLOOKUP($H176,TF[],3,FALSE),"NA")</f>
        <v>NA</v>
      </c>
      <c r="L176" s="77" t="str">
        <f>IFERROR(VLOOKUP($H176,TT[],3,FALSE),"NA")</f>
        <v>NA</v>
      </c>
      <c r="M176" s="77" t="str">
        <f>IFERROR(VLOOKUP($H176,TES[],3,FALSE),"NA")</f>
        <v>NA</v>
      </c>
      <c r="N176" s="77" t="str">
        <f>IFERROR(VLOOKUP($H176,TEC[],3,FALSE),"NA")</f>
        <v>NA</v>
      </c>
      <c r="O176" s="77">
        <f>IFERROR(VLOOKUP($H176,TP[],3,FALSE),"NA")</f>
        <v>0</v>
      </c>
      <c r="P176" s="77">
        <f>IFERROR(VLOOKUP($H176,TEN[],3,FALSE),"NA")</f>
        <v>0</v>
      </c>
      <c r="Q176" s="77" t="str">
        <f>IFERROR(VLOOKUP($H176,TD[],3,FALSE),"NA")</f>
        <v>NA</v>
      </c>
      <c r="R176" s="77" t="str">
        <f>IFERROR(VLOOKUP($H176,TC[],3,FALSE),"NA")</f>
        <v>NA</v>
      </c>
      <c r="S176" s="77" t="str">
        <f>IFERROR(VLOOKUP($H176,TEV[],3,FALSE),"NA")</f>
        <v>NA</v>
      </c>
      <c r="T176" s="79">
        <f>SUM(TbAlquiler[[#This Row],[GENERAL]:[ELEVADOR]])</f>
        <v>0</v>
      </c>
      <c r="U176" s="80">
        <f>IF(VLOOKUP(TbAlquiler[[#This Row],[ITEM]],TbPiezas[],5,FALSE)="NA",0,VLOOKUP(TbAlquiler[[#This Row],[ITEM]],TbPiezas[],5,FALSE))</f>
        <v>11.8</v>
      </c>
      <c r="V176" s="81">
        <f>+TbAlquiler[[#This Row],[TOTAL]]*TbAlquiler[[#This Row],[P.U. (1)]]</f>
        <v>0</v>
      </c>
      <c r="W176" s="82">
        <f>+VLOOKUP(TbAlquiler[[#This Row],[ITEM]],TbPiezas[],6,FALSE)</f>
        <v>200</v>
      </c>
      <c r="X176" s="83">
        <f>+TbAlquiler[[#This Row],[TOTAL]]*TbAlquiler[[#This Row],[P.U. (2)]]</f>
        <v>0</v>
      </c>
      <c r="Y176" s="82">
        <f>+VLOOKUP(TbAlquiler[[#This Row],[ITEM]],TbPiezas[],7,FALSE)</f>
        <v>6.6</v>
      </c>
      <c r="Z176" s="84">
        <f>+TbAlquiler[[#This Row],[TOTAL]]*TbAlquiler[[#This Row],[P.U. (3)]]</f>
        <v>0</v>
      </c>
    </row>
    <row r="177" spans="1:26" ht="15" customHeight="1" x14ac:dyDescent="0.3">
      <c r="A177" s="2"/>
      <c r="B177" s="85">
        <v>161</v>
      </c>
      <c r="C177" s="71" t="s">
        <v>323</v>
      </c>
      <c r="D177" s="72" t="s">
        <v>324</v>
      </c>
      <c r="E177" s="73"/>
      <c r="F177" s="74">
        <f>+VLOOKUP(C177,TbAlquiler[],13,FALSE)</f>
        <v>0</v>
      </c>
      <c r="G177" s="2"/>
      <c r="H177" s="75" t="str">
        <f t="shared" si="4"/>
        <v>PU.0600</v>
      </c>
      <c r="I177" s="59" t="str">
        <f t="shared" si="5"/>
        <v>ok</v>
      </c>
      <c r="J177" s="77">
        <f>IFERROR(VLOOKUP($H177,TG[],3,FALSE),"NA")</f>
        <v>0</v>
      </c>
      <c r="K177" s="77" t="str">
        <f>IFERROR(VLOOKUP($H177,TF[],3,FALSE),"NA")</f>
        <v>NA</v>
      </c>
      <c r="L177" s="77" t="str">
        <f>IFERROR(VLOOKUP($H177,TT[],3,FALSE),"NA")</f>
        <v>NA</v>
      </c>
      <c r="M177" s="77" t="str">
        <f>IFERROR(VLOOKUP($H177,TES[],3,FALSE),"NA")</f>
        <v>NA</v>
      </c>
      <c r="N177" s="77" t="str">
        <f>IFERROR(VLOOKUP($H177,TEC[],3,FALSE),"NA")</f>
        <v>NA</v>
      </c>
      <c r="O177" s="77">
        <f>IFERROR(VLOOKUP($H177,TP[],3,FALSE),"NA")</f>
        <v>0</v>
      </c>
      <c r="P177" s="77">
        <f>IFERROR(VLOOKUP($H177,TEN[],3,FALSE),"NA")</f>
        <v>0</v>
      </c>
      <c r="Q177" s="77" t="str">
        <f>IFERROR(VLOOKUP($H177,TD[],3,FALSE),"NA")</f>
        <v>NA</v>
      </c>
      <c r="R177" s="77" t="str">
        <f>IFERROR(VLOOKUP($H177,TC[],3,FALSE),"NA")</f>
        <v>NA</v>
      </c>
      <c r="S177" s="77" t="str">
        <f>IFERROR(VLOOKUP($H177,TEV[],3,FALSE),"NA")</f>
        <v>NA</v>
      </c>
      <c r="T177" s="79">
        <f>SUM(TbAlquiler[[#This Row],[GENERAL]:[ELEVADOR]])</f>
        <v>0</v>
      </c>
      <c r="U177" s="80">
        <f>IF(VLOOKUP(TbAlquiler[[#This Row],[ITEM]],TbPiezas[],5,FALSE)="NA",0,VLOOKUP(TbAlquiler[[#This Row],[ITEM]],TbPiezas[],5,FALSE))</f>
        <v>17.3</v>
      </c>
      <c r="V177" s="81">
        <f>+TbAlquiler[[#This Row],[TOTAL]]*TbAlquiler[[#This Row],[P.U. (1)]]</f>
        <v>0</v>
      </c>
      <c r="W177" s="82">
        <f>+VLOOKUP(TbAlquiler[[#This Row],[ITEM]],TbPiezas[],6,FALSE)</f>
        <v>300</v>
      </c>
      <c r="X177" s="83">
        <f>+TbAlquiler[[#This Row],[TOTAL]]*TbAlquiler[[#This Row],[P.U. (2)]]</f>
        <v>0</v>
      </c>
      <c r="Y177" s="82">
        <f>+VLOOKUP(TbAlquiler[[#This Row],[ITEM]],TbPiezas[],7,FALSE)</f>
        <v>10.5</v>
      </c>
      <c r="Z177" s="84">
        <f>+TbAlquiler[[#This Row],[TOTAL]]*TbAlquiler[[#This Row],[P.U. (3)]]</f>
        <v>0</v>
      </c>
    </row>
    <row r="178" spans="1:26" ht="15" customHeight="1" x14ac:dyDescent="0.3">
      <c r="A178" s="2"/>
      <c r="B178" s="85">
        <v>162</v>
      </c>
      <c r="C178" s="71" t="s">
        <v>325</v>
      </c>
      <c r="D178" s="72" t="s">
        <v>326</v>
      </c>
      <c r="E178" s="73"/>
      <c r="F178" s="74">
        <f>+VLOOKUP(C178,TbAlquiler[],13,FALSE)</f>
        <v>250</v>
      </c>
      <c r="G178" s="2"/>
      <c r="H178" s="75" t="str">
        <f t="shared" si="4"/>
        <v>PU.0700</v>
      </c>
      <c r="I178" s="59" t="str">
        <f t="shared" si="5"/>
        <v>ok</v>
      </c>
      <c r="J178" s="77">
        <f>IFERROR(VLOOKUP($H178,TG[],3,FALSE),"NA")</f>
        <v>0</v>
      </c>
      <c r="K178" s="77">
        <f>IFERROR(VLOOKUP($H178,TF[],3,FALSE),"NA")</f>
        <v>0</v>
      </c>
      <c r="L178" s="77" t="str">
        <f>IFERROR(VLOOKUP($H178,TT[],3,FALSE),"NA")</f>
        <v>NA</v>
      </c>
      <c r="M178" s="77" t="str">
        <f>IFERROR(VLOOKUP($H178,TES[],3,FALSE),"NA")</f>
        <v>NA</v>
      </c>
      <c r="N178" s="77" t="str">
        <f>IFERROR(VLOOKUP($H178,TEC[],3,FALSE),"NA")</f>
        <v>NA</v>
      </c>
      <c r="O178" s="77">
        <f>IFERROR(VLOOKUP($H178,TP[],3,FALSE),"NA")</f>
        <v>250</v>
      </c>
      <c r="P178" s="77">
        <f>IFERROR(VLOOKUP($H178,TEN[],3,FALSE),"NA")</f>
        <v>0</v>
      </c>
      <c r="Q178" s="77" t="str">
        <f>IFERROR(VLOOKUP($H178,TD[],3,FALSE),"NA")</f>
        <v>NA</v>
      </c>
      <c r="R178" s="77" t="str">
        <f>IFERROR(VLOOKUP($H178,TC[],3,FALSE),"NA")</f>
        <v>NA</v>
      </c>
      <c r="S178" s="77" t="str">
        <f>IFERROR(VLOOKUP($H178,TEV[],3,FALSE),"NA")</f>
        <v>NA</v>
      </c>
      <c r="T178" s="79">
        <f>SUM(TbAlquiler[[#This Row],[GENERAL]:[ELEVADOR]])</f>
        <v>250</v>
      </c>
      <c r="U178" s="80">
        <f>IF(VLOOKUP(TbAlquiler[[#This Row],[ITEM]],TbPiezas[],5,FALSE)="NA",0,VLOOKUP(TbAlquiler[[#This Row],[ITEM]],TbPiezas[],5,FALSE))</f>
        <v>9.9999999999994316E-2</v>
      </c>
      <c r="V178" s="81">
        <f>+TbAlquiler[[#This Row],[TOTAL]]*TbAlquiler[[#This Row],[P.U. (1)]]</f>
        <v>24.999999999998579</v>
      </c>
      <c r="W178" s="82">
        <f>+VLOOKUP(TbAlquiler[[#This Row],[ITEM]],TbPiezas[],6,FALSE)</f>
        <v>30</v>
      </c>
      <c r="X178" s="83">
        <f>+TbAlquiler[[#This Row],[TOTAL]]*TbAlquiler[[#This Row],[P.U. (2)]]</f>
        <v>7500</v>
      </c>
      <c r="Y178" s="82">
        <f>+VLOOKUP(TbAlquiler[[#This Row],[ITEM]],TbPiezas[],7,FALSE)</f>
        <v>1.5</v>
      </c>
      <c r="Z178" s="84">
        <f>+TbAlquiler[[#This Row],[TOTAL]]*TbAlquiler[[#This Row],[P.U. (3)]]</f>
        <v>375</v>
      </c>
    </row>
    <row r="179" spans="1:26" ht="15" customHeight="1" x14ac:dyDescent="0.3">
      <c r="A179" s="2"/>
      <c r="B179" s="85">
        <v>163</v>
      </c>
      <c r="C179" s="71" t="s">
        <v>327</v>
      </c>
      <c r="D179" s="72" t="s">
        <v>328</v>
      </c>
      <c r="E179" s="73"/>
      <c r="F179" s="74">
        <f>+VLOOKUP(C179,TbAlquiler[],13,FALSE)</f>
        <v>0</v>
      </c>
      <c r="G179" s="2"/>
      <c r="H179" s="75" t="str">
        <f t="shared" si="4"/>
        <v>PU.0800</v>
      </c>
      <c r="I179" s="59" t="str">
        <f t="shared" si="5"/>
        <v>ok</v>
      </c>
      <c r="J179" s="77">
        <f>IFERROR(VLOOKUP($H179,TG[],3,FALSE),"NA")</f>
        <v>0</v>
      </c>
      <c r="K179" s="77" t="str">
        <f>IFERROR(VLOOKUP($H179,TF[],3,FALSE),"NA")</f>
        <v>NA</v>
      </c>
      <c r="L179" s="77" t="str">
        <f>IFERROR(VLOOKUP($H179,TT[],3,FALSE),"NA")</f>
        <v>NA</v>
      </c>
      <c r="M179" s="77" t="str">
        <f>IFERROR(VLOOKUP($H179,TES[],3,FALSE),"NA")</f>
        <v>NA</v>
      </c>
      <c r="N179" s="77" t="str">
        <f>IFERROR(VLOOKUP($H179,TEC[],3,FALSE),"NA")</f>
        <v>NA</v>
      </c>
      <c r="O179" s="77">
        <f>IFERROR(VLOOKUP($H179,TP[],3,FALSE),"NA")</f>
        <v>0</v>
      </c>
      <c r="P179" s="77">
        <f>IFERROR(VLOOKUP($H179,TEN[],3,FALSE),"NA")</f>
        <v>0</v>
      </c>
      <c r="Q179" s="77" t="str">
        <f>IFERROR(VLOOKUP($H179,TD[],3,FALSE),"NA")</f>
        <v>NA</v>
      </c>
      <c r="R179" s="77" t="str">
        <f>IFERROR(VLOOKUP($H179,TC[],3,FALSE),"NA")</f>
        <v>NA</v>
      </c>
      <c r="S179" s="77" t="str">
        <f>IFERROR(VLOOKUP($H179,TEV[],3,FALSE),"NA")</f>
        <v>NA</v>
      </c>
      <c r="T179" s="79">
        <f>SUM(TbAlquiler[[#This Row],[GENERAL]:[ELEVADOR]])</f>
        <v>0</v>
      </c>
      <c r="U179" s="80">
        <f>IF(VLOOKUP(TbAlquiler[[#This Row],[ITEM]],TbPiezas[],5,FALSE)="NA",0,VLOOKUP(TbAlquiler[[#This Row],[ITEM]],TbPiezas[],5,FALSE))</f>
        <v>9.9999999999994316E-2</v>
      </c>
      <c r="V179" s="81">
        <f>+TbAlquiler[[#This Row],[TOTAL]]*TbAlquiler[[#This Row],[P.U. (1)]]</f>
        <v>0</v>
      </c>
      <c r="W179" s="82">
        <f>+VLOOKUP(TbAlquiler[[#This Row],[ITEM]],TbPiezas[],6,FALSE)</f>
        <v>30</v>
      </c>
      <c r="X179" s="83">
        <f>+TbAlquiler[[#This Row],[TOTAL]]*TbAlquiler[[#This Row],[P.U. (2)]]</f>
        <v>0</v>
      </c>
      <c r="Y179" s="82">
        <f>+VLOOKUP(TbAlquiler[[#This Row],[ITEM]],TbPiezas[],7,FALSE)</f>
        <v>1.5</v>
      </c>
      <c r="Z179" s="84">
        <f>+TbAlquiler[[#This Row],[TOTAL]]*TbAlquiler[[#This Row],[P.U. (3)]]</f>
        <v>0</v>
      </c>
    </row>
    <row r="180" spans="1:26" ht="15" customHeight="1" x14ac:dyDescent="0.3">
      <c r="A180" s="2"/>
      <c r="B180" s="85">
        <v>164</v>
      </c>
      <c r="C180" s="71" t="s">
        <v>329</v>
      </c>
      <c r="D180" s="72" t="s">
        <v>330</v>
      </c>
      <c r="E180" s="73"/>
      <c r="F180" s="74">
        <f>+VLOOKUP(C180,TbAlquiler[],13,FALSE)</f>
        <v>250</v>
      </c>
      <c r="G180" s="2"/>
      <c r="H180" s="75" t="str">
        <f t="shared" si="4"/>
        <v>PU.0900</v>
      </c>
      <c r="I180" s="59" t="str">
        <f t="shared" si="5"/>
        <v>ok</v>
      </c>
      <c r="J180" s="77">
        <f>IFERROR(VLOOKUP($H180,TG[],3,FALSE),"NA")</f>
        <v>0</v>
      </c>
      <c r="K180" s="77">
        <f>IFERROR(VLOOKUP($H180,TF[],3,FALSE),"NA")</f>
        <v>0</v>
      </c>
      <c r="L180" s="77" t="str">
        <f>IFERROR(VLOOKUP($H180,TT[],3,FALSE),"NA")</f>
        <v>NA</v>
      </c>
      <c r="M180" s="77" t="str">
        <f>IFERROR(VLOOKUP($H180,TES[],3,FALSE),"NA")</f>
        <v>NA</v>
      </c>
      <c r="N180" s="77" t="str">
        <f>IFERROR(VLOOKUP($H180,TEC[],3,FALSE),"NA")</f>
        <v>NA</v>
      </c>
      <c r="O180" s="77">
        <f>IFERROR(VLOOKUP($H180,TP[],3,FALSE),"NA")</f>
        <v>250</v>
      </c>
      <c r="P180" s="77">
        <f>IFERROR(VLOOKUP($H180,TEN[],3,FALSE),"NA")</f>
        <v>0</v>
      </c>
      <c r="Q180" s="77" t="str">
        <f>IFERROR(VLOOKUP($H180,TD[],3,FALSE),"NA")</f>
        <v>NA</v>
      </c>
      <c r="R180" s="77" t="str">
        <f>IFERROR(VLOOKUP($H180,TC[],3,FALSE),"NA")</f>
        <v>NA</v>
      </c>
      <c r="S180" s="77" t="str">
        <f>IFERROR(VLOOKUP($H180,TEV[],3,FALSE),"NA")</f>
        <v>NA</v>
      </c>
      <c r="T180" s="79">
        <f>SUM(TbAlquiler[[#This Row],[GENERAL]:[ELEVADOR]])</f>
        <v>250</v>
      </c>
      <c r="U180" s="80">
        <f>IF(VLOOKUP(TbAlquiler[[#This Row],[ITEM]],TbPiezas[],5,FALSE)="NA",0,VLOOKUP(TbAlquiler[[#This Row],[ITEM]],TbPiezas[],5,FALSE))</f>
        <v>9.9999999999994316E-2</v>
      </c>
      <c r="V180" s="81">
        <f>+TbAlquiler[[#This Row],[TOTAL]]*TbAlquiler[[#This Row],[P.U. (1)]]</f>
        <v>24.999999999998579</v>
      </c>
      <c r="W180" s="82">
        <f>+VLOOKUP(TbAlquiler[[#This Row],[ITEM]],TbPiezas[],6,FALSE)</f>
        <v>30</v>
      </c>
      <c r="X180" s="83">
        <f>+TbAlquiler[[#This Row],[TOTAL]]*TbAlquiler[[#This Row],[P.U. (2)]]</f>
        <v>7500</v>
      </c>
      <c r="Y180" s="82">
        <f>+VLOOKUP(TbAlquiler[[#This Row],[ITEM]],TbPiezas[],7,FALSE)</f>
        <v>1.5</v>
      </c>
      <c r="Z180" s="84">
        <f>+TbAlquiler[[#This Row],[TOTAL]]*TbAlquiler[[#This Row],[P.U. (3)]]</f>
        <v>375</v>
      </c>
    </row>
    <row r="181" spans="1:26" ht="15" customHeight="1" x14ac:dyDescent="0.3">
      <c r="A181" s="2"/>
      <c r="B181" s="85">
        <v>165</v>
      </c>
      <c r="C181" s="71" t="s">
        <v>331</v>
      </c>
      <c r="D181" s="72" t="s">
        <v>332</v>
      </c>
      <c r="E181" s="73"/>
      <c r="F181" s="74">
        <f>+VLOOKUP(C181,TbAlquiler[],13,FALSE)</f>
        <v>0</v>
      </c>
      <c r="G181" s="2"/>
      <c r="H181" s="75" t="str">
        <f t="shared" si="4"/>
        <v>PU.1000</v>
      </c>
      <c r="I181" s="59" t="str">
        <f t="shared" si="5"/>
        <v>ok</v>
      </c>
      <c r="J181" s="77">
        <f>IFERROR(VLOOKUP($H181,TG[],3,FALSE),"NA")</f>
        <v>0</v>
      </c>
      <c r="K181" s="77" t="str">
        <f>IFERROR(VLOOKUP($H181,TF[],3,FALSE),"NA")</f>
        <v>NA</v>
      </c>
      <c r="L181" s="77" t="str">
        <f>IFERROR(VLOOKUP($H181,TT[],3,FALSE),"NA")</f>
        <v>NA</v>
      </c>
      <c r="M181" s="77" t="str">
        <f>IFERROR(VLOOKUP($H181,TES[],3,FALSE),"NA")</f>
        <v>NA</v>
      </c>
      <c r="N181" s="77" t="str">
        <f>IFERROR(VLOOKUP($H181,TEC[],3,FALSE),"NA")</f>
        <v>NA</v>
      </c>
      <c r="O181" s="77">
        <f>IFERROR(VLOOKUP($H181,TP[],3,FALSE),"NA")</f>
        <v>0</v>
      </c>
      <c r="P181" s="77">
        <f>IFERROR(VLOOKUP($H181,TEN[],3,FALSE),"NA")</f>
        <v>0</v>
      </c>
      <c r="Q181" s="77" t="str">
        <f>IFERROR(VLOOKUP($H181,TD[],3,FALSE),"NA")</f>
        <v>NA</v>
      </c>
      <c r="R181" s="77" t="str">
        <f>IFERROR(VLOOKUP($H181,TC[],3,FALSE),"NA")</f>
        <v>NA</v>
      </c>
      <c r="S181" s="77" t="str">
        <f>IFERROR(VLOOKUP($H181,TEV[],3,FALSE),"NA")</f>
        <v>NA</v>
      </c>
      <c r="T181" s="79">
        <f>SUM(TbAlquiler[[#This Row],[GENERAL]:[ELEVADOR]])</f>
        <v>0</v>
      </c>
      <c r="U181" s="80">
        <f>IF(VLOOKUP(TbAlquiler[[#This Row],[ITEM]],TbPiezas[],5,FALSE)="NA",0,VLOOKUP(TbAlquiler[[#This Row],[ITEM]],TbPiezas[],5,FALSE))</f>
        <v>9.9999999999994316E-2</v>
      </c>
      <c r="V181" s="81">
        <f>+TbAlquiler[[#This Row],[TOTAL]]*TbAlquiler[[#This Row],[P.U. (1)]]</f>
        <v>0</v>
      </c>
      <c r="W181" s="82">
        <f>+VLOOKUP(TbAlquiler[[#This Row],[ITEM]],TbPiezas[],6,FALSE)</f>
        <v>30</v>
      </c>
      <c r="X181" s="83">
        <f>+TbAlquiler[[#This Row],[TOTAL]]*TbAlquiler[[#This Row],[P.U. (2)]]</f>
        <v>0</v>
      </c>
      <c r="Y181" s="82">
        <f>+VLOOKUP(TbAlquiler[[#This Row],[ITEM]],TbPiezas[],7,FALSE)</f>
        <v>1.5</v>
      </c>
      <c r="Z181" s="84">
        <f>+TbAlquiler[[#This Row],[TOTAL]]*TbAlquiler[[#This Row],[P.U. (3)]]</f>
        <v>0</v>
      </c>
    </row>
    <row r="182" spans="1:26" ht="15" customHeight="1" x14ac:dyDescent="0.3">
      <c r="A182" s="2"/>
      <c r="B182" s="85">
        <v>166</v>
      </c>
      <c r="C182" s="71" t="s">
        <v>333</v>
      </c>
      <c r="D182" s="72" t="s">
        <v>334</v>
      </c>
      <c r="E182" s="73"/>
      <c r="F182" s="74">
        <f>+VLOOKUP(C182,TbAlquiler[],13,FALSE)</f>
        <v>250</v>
      </c>
      <c r="G182" s="2"/>
      <c r="H182" s="75" t="str">
        <f t="shared" si="4"/>
        <v>PU.1100</v>
      </c>
      <c r="I182" s="59" t="str">
        <f t="shared" si="5"/>
        <v>ok</v>
      </c>
      <c r="J182" s="77">
        <f>IFERROR(VLOOKUP($H182,TG[],3,FALSE),"NA")</f>
        <v>0</v>
      </c>
      <c r="K182" s="77" t="str">
        <f>IFERROR(VLOOKUP($H182,TF[],3,FALSE),"NA")</f>
        <v>NA</v>
      </c>
      <c r="L182" s="77" t="str">
        <f>IFERROR(VLOOKUP($H182,TT[],3,FALSE),"NA")</f>
        <v>NA</v>
      </c>
      <c r="M182" s="77" t="str">
        <f>IFERROR(VLOOKUP($H182,TES[],3,FALSE),"NA")</f>
        <v>NA</v>
      </c>
      <c r="N182" s="77" t="str">
        <f>IFERROR(VLOOKUP($H182,TEC[],3,FALSE),"NA")</f>
        <v>NA</v>
      </c>
      <c r="O182" s="77">
        <f>IFERROR(VLOOKUP($H182,TP[],3,FALSE),"NA")</f>
        <v>250</v>
      </c>
      <c r="P182" s="77">
        <f>IFERROR(VLOOKUP($H182,TEN[],3,FALSE),"NA")</f>
        <v>0</v>
      </c>
      <c r="Q182" s="77" t="str">
        <f>IFERROR(VLOOKUP($H182,TD[],3,FALSE),"NA")</f>
        <v>NA</v>
      </c>
      <c r="R182" s="77" t="str">
        <f>IFERROR(VLOOKUP($H182,TC[],3,FALSE),"NA")</f>
        <v>NA</v>
      </c>
      <c r="S182" s="77" t="str">
        <f>IFERROR(VLOOKUP($H182,TEV[],3,FALSE),"NA")</f>
        <v>NA</v>
      </c>
      <c r="T182" s="79">
        <f>SUM(TbAlquiler[[#This Row],[GENERAL]:[ELEVADOR]])</f>
        <v>250</v>
      </c>
      <c r="U182" s="80">
        <f>IF(VLOOKUP(TbAlquiler[[#This Row],[ITEM]],TbPiezas[],5,FALSE)="NA",0,VLOOKUP(TbAlquiler[[#This Row],[ITEM]],TbPiezas[],5,FALSE))</f>
        <v>6.2999999999999972</v>
      </c>
      <c r="V182" s="81">
        <f>+TbAlquiler[[#This Row],[TOTAL]]*TbAlquiler[[#This Row],[P.U. (1)]]</f>
        <v>1574.9999999999993</v>
      </c>
      <c r="W182" s="82">
        <f>+VLOOKUP(TbAlquiler[[#This Row],[ITEM]],TbPiezas[],6,FALSE)</f>
        <v>192.23</v>
      </c>
      <c r="X182" s="83">
        <f>+TbAlquiler[[#This Row],[TOTAL]]*TbAlquiler[[#This Row],[P.U. (2)]]</f>
        <v>48057.5</v>
      </c>
      <c r="Y182" s="82">
        <f>+VLOOKUP(TbAlquiler[[#This Row],[ITEM]],TbPiezas[],7,FALSE)</f>
        <v>9.6114999999999995</v>
      </c>
      <c r="Z182" s="84">
        <f>+TbAlquiler[[#This Row],[TOTAL]]*TbAlquiler[[#This Row],[P.U. (3)]]</f>
        <v>2402.875</v>
      </c>
    </row>
    <row r="183" spans="1:26" ht="15" customHeight="1" x14ac:dyDescent="0.3">
      <c r="A183" s="2"/>
      <c r="B183" s="85">
        <v>167</v>
      </c>
      <c r="C183" s="71" t="s">
        <v>335</v>
      </c>
      <c r="D183" s="72" t="s">
        <v>336</v>
      </c>
      <c r="E183" s="73"/>
      <c r="F183" s="74">
        <f>+VLOOKUP(C183,TbAlquiler[],13,FALSE)</f>
        <v>0</v>
      </c>
      <c r="G183" s="2"/>
      <c r="H183" s="75" t="str">
        <f t="shared" si="4"/>
        <v>AE.0100</v>
      </c>
      <c r="I183" s="59" t="str">
        <f t="shared" si="5"/>
        <v>ok</v>
      </c>
      <c r="J183" s="77">
        <f>IFERROR(VLOOKUP($H183,TG[],3,FALSE),"NA")</f>
        <v>0</v>
      </c>
      <c r="K183" s="77" t="str">
        <f>IFERROR(VLOOKUP($H183,TF[],3,FALSE),"NA")</f>
        <v>NA</v>
      </c>
      <c r="L183" s="77" t="str">
        <f>IFERROR(VLOOKUP($H183,TT[],3,FALSE),"NA")</f>
        <v>NA</v>
      </c>
      <c r="M183" s="77" t="str">
        <f>IFERROR(VLOOKUP($H183,TES[],3,FALSE),"NA")</f>
        <v>NA</v>
      </c>
      <c r="N183" s="77" t="str">
        <f>IFERROR(VLOOKUP($H183,TEC[],3,FALSE),"NA")</f>
        <v>NA</v>
      </c>
      <c r="O183" s="77" t="str">
        <f>IFERROR(VLOOKUP($H183,TP[],3,FALSE),"NA")</f>
        <v>NA</v>
      </c>
      <c r="P183" s="77" t="str">
        <f>IFERROR(VLOOKUP($H183,TEN[],3,FALSE),"NA")</f>
        <v>NA</v>
      </c>
      <c r="Q183" s="77" t="str">
        <f>IFERROR(VLOOKUP($H183,TD[],3,FALSE),"NA")</f>
        <v>NA</v>
      </c>
      <c r="R183" s="77">
        <f>IFERROR(VLOOKUP($H183,TC[],3,FALSE),"NA")</f>
        <v>0</v>
      </c>
      <c r="S183" s="77" t="str">
        <f>IFERROR(VLOOKUP($H183,TEV[],3,FALSE),"NA")</f>
        <v>NA</v>
      </c>
      <c r="T183" s="79">
        <f>SUM(TbAlquiler[[#This Row],[GENERAL]:[ELEVADOR]])</f>
        <v>0</v>
      </c>
      <c r="U183" s="80">
        <f>IF(VLOOKUP(TbAlquiler[[#This Row],[ITEM]],TbPiezas[],5,FALSE)="NA",0,VLOOKUP(TbAlquiler[[#This Row],[ITEM]],TbPiezas[],5,FALSE))</f>
        <v>48.8</v>
      </c>
      <c r="V183" s="81">
        <f>+TbAlquiler[[#This Row],[TOTAL]]*TbAlquiler[[#This Row],[P.U. (1)]]</f>
        <v>0</v>
      </c>
      <c r="W183" s="82">
        <f>+VLOOKUP(TbAlquiler[[#This Row],[ITEM]],TbPiezas[],6,FALSE)</f>
        <v>3303.3</v>
      </c>
      <c r="X183" s="83">
        <f>+TbAlquiler[[#This Row],[TOTAL]]*TbAlquiler[[#This Row],[P.U. (2)]]</f>
        <v>0</v>
      </c>
      <c r="Y183" s="82">
        <f>+VLOOKUP(TbAlquiler[[#This Row],[ITEM]],TbPiezas[],7,FALSE)</f>
        <v>165.16500000000002</v>
      </c>
      <c r="Z183" s="84">
        <f>+TbAlquiler[[#This Row],[TOTAL]]*TbAlquiler[[#This Row],[P.U. (3)]]</f>
        <v>0</v>
      </c>
    </row>
    <row r="184" spans="1:26" ht="15" customHeight="1" x14ac:dyDescent="0.3">
      <c r="A184" s="2"/>
      <c r="B184" s="85">
        <v>168</v>
      </c>
      <c r="C184" s="71" t="s">
        <v>337</v>
      </c>
      <c r="D184" s="72" t="s">
        <v>338</v>
      </c>
      <c r="E184" s="73"/>
      <c r="F184" s="74">
        <f>+VLOOKUP(C184,TbAlquiler[],13,FALSE)</f>
        <v>0</v>
      </c>
      <c r="G184" s="2"/>
      <c r="H184" s="75" t="str">
        <f t="shared" si="4"/>
        <v>AE.0200</v>
      </c>
      <c r="I184" s="59" t="str">
        <f t="shared" si="5"/>
        <v>ok</v>
      </c>
      <c r="J184" s="77">
        <f>IFERROR(VLOOKUP($H184,TG[],3,FALSE),"NA")</f>
        <v>0</v>
      </c>
      <c r="K184" s="77" t="str">
        <f>IFERROR(VLOOKUP($H184,TF[],3,FALSE),"NA")</f>
        <v>NA</v>
      </c>
      <c r="L184" s="77" t="str">
        <f>IFERROR(VLOOKUP($H184,TT[],3,FALSE),"NA")</f>
        <v>NA</v>
      </c>
      <c r="M184" s="77" t="str">
        <f>IFERROR(VLOOKUP($H184,TES[],3,FALSE),"NA")</f>
        <v>NA</v>
      </c>
      <c r="N184" s="77" t="str">
        <f>IFERROR(VLOOKUP($H184,TEC[],3,FALSE),"NA")</f>
        <v>NA</v>
      </c>
      <c r="O184" s="77" t="str">
        <f>IFERROR(VLOOKUP($H184,TP[],3,FALSE),"NA")</f>
        <v>NA</v>
      </c>
      <c r="P184" s="77" t="str">
        <f>IFERROR(VLOOKUP($H184,TEN[],3,FALSE),"NA")</f>
        <v>NA</v>
      </c>
      <c r="Q184" s="77" t="str">
        <f>IFERROR(VLOOKUP($H184,TD[],3,FALSE),"NA")</f>
        <v>NA</v>
      </c>
      <c r="R184" s="77">
        <f>IFERROR(VLOOKUP($H184,TC[],3,FALSE),"NA")</f>
        <v>0</v>
      </c>
      <c r="S184" s="77" t="str">
        <f>IFERROR(VLOOKUP($H184,TEV[],3,FALSE),"NA")</f>
        <v>NA</v>
      </c>
      <c r="T184" s="79">
        <f>SUM(TbAlquiler[[#This Row],[GENERAL]:[ELEVADOR]])</f>
        <v>0</v>
      </c>
      <c r="U184" s="80">
        <f>IF(VLOOKUP(TbAlquiler[[#This Row],[ITEM]],TbPiezas[],5,FALSE)="NA",0,VLOOKUP(TbAlquiler[[#This Row],[ITEM]],TbPiezas[],5,FALSE))</f>
        <v>48.8</v>
      </c>
      <c r="V184" s="81">
        <f>+TbAlquiler[[#This Row],[TOTAL]]*TbAlquiler[[#This Row],[P.U. (1)]]</f>
        <v>0</v>
      </c>
      <c r="W184" s="82">
        <f>+VLOOKUP(TbAlquiler[[#This Row],[ITEM]],TbPiezas[],6,FALSE)</f>
        <v>3303.3</v>
      </c>
      <c r="X184" s="83">
        <f>+TbAlquiler[[#This Row],[TOTAL]]*TbAlquiler[[#This Row],[P.U. (2)]]</f>
        <v>0</v>
      </c>
      <c r="Y184" s="82">
        <f>+VLOOKUP(TbAlquiler[[#This Row],[ITEM]],TbPiezas[],7,FALSE)</f>
        <v>165.16500000000002</v>
      </c>
      <c r="Z184" s="84">
        <f>+TbAlquiler[[#This Row],[TOTAL]]*TbAlquiler[[#This Row],[P.U. (3)]]</f>
        <v>0</v>
      </c>
    </row>
    <row r="185" spans="1:26" ht="15" customHeight="1" x14ac:dyDescent="0.3">
      <c r="A185" s="2"/>
      <c r="B185" s="85">
        <v>169</v>
      </c>
      <c r="C185" s="71" t="s">
        <v>339</v>
      </c>
      <c r="D185" s="72" t="s">
        <v>340</v>
      </c>
      <c r="E185" s="73"/>
      <c r="F185" s="74">
        <f>+VLOOKUP(C185,TbAlquiler[],13,FALSE)</f>
        <v>0</v>
      </c>
      <c r="G185" s="2"/>
      <c r="H185" s="75" t="str">
        <f t="shared" si="4"/>
        <v>AE.0300</v>
      </c>
      <c r="I185" s="59" t="str">
        <f t="shared" si="5"/>
        <v>ok</v>
      </c>
      <c r="J185" s="77">
        <f>IFERROR(VLOOKUP($H185,TG[],3,FALSE),"NA")</f>
        <v>0</v>
      </c>
      <c r="K185" s="77" t="str">
        <f>IFERROR(VLOOKUP($H185,TF[],3,FALSE),"NA")</f>
        <v>NA</v>
      </c>
      <c r="L185" s="77" t="str">
        <f>IFERROR(VLOOKUP($H185,TT[],3,FALSE),"NA")</f>
        <v>NA</v>
      </c>
      <c r="M185" s="77" t="str">
        <f>IFERROR(VLOOKUP($H185,TES[],3,FALSE),"NA")</f>
        <v>NA</v>
      </c>
      <c r="N185" s="77" t="str">
        <f>IFERROR(VLOOKUP($H185,TEC[],3,FALSE),"NA")</f>
        <v>NA</v>
      </c>
      <c r="O185" s="77" t="str">
        <f>IFERROR(VLOOKUP($H185,TP[],3,FALSE),"NA")</f>
        <v>NA</v>
      </c>
      <c r="P185" s="77" t="str">
        <f>IFERROR(VLOOKUP($H185,TEN[],3,FALSE),"NA")</f>
        <v>NA</v>
      </c>
      <c r="Q185" s="77" t="str">
        <f>IFERROR(VLOOKUP($H185,TD[],3,FALSE),"NA")</f>
        <v>NA</v>
      </c>
      <c r="R185" s="77">
        <f>IFERROR(VLOOKUP($H185,TC[],3,FALSE),"NA")</f>
        <v>0</v>
      </c>
      <c r="S185" s="77" t="str">
        <f>IFERROR(VLOOKUP($H185,TEV[],3,FALSE),"NA")</f>
        <v>NA</v>
      </c>
      <c r="T185" s="79">
        <f>SUM(TbAlquiler[[#This Row],[GENERAL]:[ELEVADOR]])</f>
        <v>0</v>
      </c>
      <c r="U185" s="80">
        <f>IF(VLOOKUP(TbAlquiler[[#This Row],[ITEM]],TbPiezas[],5,FALSE)="NA",0,VLOOKUP(TbAlquiler[[#This Row],[ITEM]],TbPiezas[],5,FALSE))</f>
        <v>48.8</v>
      </c>
      <c r="V185" s="81">
        <f>+TbAlquiler[[#This Row],[TOTAL]]*TbAlquiler[[#This Row],[P.U. (1)]]</f>
        <v>0</v>
      </c>
      <c r="W185" s="82">
        <f>+VLOOKUP(TbAlquiler[[#This Row],[ITEM]],TbPiezas[],6,FALSE)</f>
        <v>3303.3</v>
      </c>
      <c r="X185" s="83">
        <f>+TbAlquiler[[#This Row],[TOTAL]]*TbAlquiler[[#This Row],[P.U. (2)]]</f>
        <v>0</v>
      </c>
      <c r="Y185" s="82">
        <f>+VLOOKUP(TbAlquiler[[#This Row],[ITEM]],TbPiezas[],7,FALSE)</f>
        <v>165.16500000000002</v>
      </c>
      <c r="Z185" s="84">
        <f>+TbAlquiler[[#This Row],[TOTAL]]*TbAlquiler[[#This Row],[P.U. (3)]]</f>
        <v>0</v>
      </c>
    </row>
    <row r="186" spans="1:26" ht="15" customHeight="1" x14ac:dyDescent="0.3">
      <c r="A186" s="2"/>
      <c r="B186" s="85">
        <v>170</v>
      </c>
      <c r="C186" s="71" t="s">
        <v>341</v>
      </c>
      <c r="D186" s="72" t="s">
        <v>342</v>
      </c>
      <c r="E186" s="73"/>
      <c r="F186" s="74">
        <f>+VLOOKUP(C186,TbAlquiler[],13,FALSE)</f>
        <v>0</v>
      </c>
      <c r="G186" s="2"/>
      <c r="H186" s="75" t="str">
        <f t="shared" si="4"/>
        <v>AE.0400</v>
      </c>
      <c r="I186" s="59" t="str">
        <f t="shared" si="5"/>
        <v>ok</v>
      </c>
      <c r="J186" s="77">
        <f>IFERROR(VLOOKUP($H186,TG[],3,FALSE),"NA")</f>
        <v>0</v>
      </c>
      <c r="K186" s="77" t="str">
        <f>IFERROR(VLOOKUP($H186,TF[],3,FALSE),"NA")</f>
        <v>NA</v>
      </c>
      <c r="L186" s="77" t="str">
        <f>IFERROR(VLOOKUP($H186,TT[],3,FALSE),"NA")</f>
        <v>NA</v>
      </c>
      <c r="M186" s="77" t="str">
        <f>IFERROR(VLOOKUP($H186,TES[],3,FALSE),"NA")</f>
        <v>NA</v>
      </c>
      <c r="N186" s="77" t="str">
        <f>IFERROR(VLOOKUP($H186,TEC[],3,FALSE),"NA")</f>
        <v>NA</v>
      </c>
      <c r="O186" s="77" t="str">
        <f>IFERROR(VLOOKUP($H186,TP[],3,FALSE),"NA")</f>
        <v>NA</v>
      </c>
      <c r="P186" s="77" t="str">
        <f>IFERROR(VLOOKUP($H186,TEN[],3,FALSE),"NA")</f>
        <v>NA</v>
      </c>
      <c r="Q186" s="77" t="str">
        <f>IFERROR(VLOOKUP($H186,TD[],3,FALSE),"NA")</f>
        <v>NA</v>
      </c>
      <c r="R186" s="77">
        <f>IFERROR(VLOOKUP($H186,TC[],3,FALSE),"NA")</f>
        <v>0</v>
      </c>
      <c r="S186" s="77" t="str">
        <f>IFERROR(VLOOKUP($H186,TEV[],3,FALSE),"NA")</f>
        <v>NA</v>
      </c>
      <c r="T186" s="79">
        <f>SUM(TbAlquiler[[#This Row],[GENERAL]:[ELEVADOR]])</f>
        <v>0</v>
      </c>
      <c r="U186" s="80">
        <f>IF(VLOOKUP(TbAlquiler[[#This Row],[ITEM]],TbPiezas[],5,FALSE)="NA",0,VLOOKUP(TbAlquiler[[#This Row],[ITEM]],TbPiezas[],5,FALSE))</f>
        <v>48.8</v>
      </c>
      <c r="V186" s="81">
        <f>+TbAlquiler[[#This Row],[TOTAL]]*TbAlquiler[[#This Row],[P.U. (1)]]</f>
        <v>0</v>
      </c>
      <c r="W186" s="82">
        <f>+VLOOKUP(TbAlquiler[[#This Row],[ITEM]],TbPiezas[],6,FALSE)</f>
        <v>3303.3</v>
      </c>
      <c r="X186" s="83">
        <f>+TbAlquiler[[#This Row],[TOTAL]]*TbAlquiler[[#This Row],[P.U. (2)]]</f>
        <v>0</v>
      </c>
      <c r="Y186" s="82">
        <f>+VLOOKUP(TbAlquiler[[#This Row],[ITEM]],TbPiezas[],7,FALSE)</f>
        <v>165.16500000000002</v>
      </c>
      <c r="Z186" s="84">
        <f>+TbAlquiler[[#This Row],[TOTAL]]*TbAlquiler[[#This Row],[P.U. (3)]]</f>
        <v>0</v>
      </c>
    </row>
    <row r="187" spans="1:26" ht="15" customHeight="1" x14ac:dyDescent="0.3">
      <c r="A187" s="2"/>
      <c r="B187" s="85">
        <v>171</v>
      </c>
      <c r="C187" s="71" t="s">
        <v>343</v>
      </c>
      <c r="D187" s="72" t="s">
        <v>344</v>
      </c>
      <c r="E187" s="73"/>
      <c r="F187" s="74">
        <f>+VLOOKUP(C187,TbAlquiler[],13,FALSE)</f>
        <v>0</v>
      </c>
      <c r="G187" s="2"/>
      <c r="H187" s="75" t="str">
        <f t="shared" si="4"/>
        <v>AE.0401</v>
      </c>
      <c r="I187" s="59" t="str">
        <f t="shared" si="5"/>
        <v>ok</v>
      </c>
      <c r="J187" s="77">
        <f>IFERROR(VLOOKUP($H187,TG[],3,FALSE),"NA")</f>
        <v>0</v>
      </c>
      <c r="K187" s="77" t="str">
        <f>IFERROR(VLOOKUP($H187,TF[],3,FALSE),"NA")</f>
        <v>NA</v>
      </c>
      <c r="L187" s="77" t="str">
        <f>IFERROR(VLOOKUP($H187,TT[],3,FALSE),"NA")</f>
        <v>NA</v>
      </c>
      <c r="M187" s="77" t="str">
        <f>IFERROR(VLOOKUP($H187,TES[],3,FALSE),"NA")</f>
        <v>NA</v>
      </c>
      <c r="N187" s="77" t="str">
        <f>IFERROR(VLOOKUP($H187,TEC[],3,FALSE),"NA")</f>
        <v>NA</v>
      </c>
      <c r="O187" s="77" t="str">
        <f>IFERROR(VLOOKUP($H187,TP[],3,FALSE),"NA")</f>
        <v>NA</v>
      </c>
      <c r="P187" s="77" t="str">
        <f>IFERROR(VLOOKUP($H187,TEN[],3,FALSE),"NA")</f>
        <v>NA</v>
      </c>
      <c r="Q187" s="77" t="str">
        <f>IFERROR(VLOOKUP($H187,TD[],3,FALSE),"NA")</f>
        <v>NA</v>
      </c>
      <c r="R187" s="77">
        <f>IFERROR(VLOOKUP($H187,TC[],3,FALSE),"NA")</f>
        <v>0</v>
      </c>
      <c r="S187" s="77" t="str">
        <f>IFERROR(VLOOKUP($H187,TEV[],3,FALSE),"NA")</f>
        <v>NA</v>
      </c>
      <c r="T187" s="79">
        <f>SUM(TbAlquiler[[#This Row],[GENERAL]:[ELEVADOR]])</f>
        <v>0</v>
      </c>
      <c r="U187" s="80">
        <f>IF(VLOOKUP(TbAlquiler[[#This Row],[ITEM]],TbPiezas[],5,FALSE)="NA",0,VLOOKUP(TbAlquiler[[#This Row],[ITEM]],TbPiezas[],5,FALSE))</f>
        <v>48.8</v>
      </c>
      <c r="V187" s="81">
        <f>+TbAlquiler[[#This Row],[TOTAL]]*TbAlquiler[[#This Row],[P.U. (1)]]</f>
        <v>0</v>
      </c>
      <c r="W187" s="82">
        <f>+VLOOKUP(TbAlquiler[[#This Row],[ITEM]],TbPiezas[],6,FALSE)</f>
        <v>3303.3</v>
      </c>
      <c r="X187" s="83">
        <f>+TbAlquiler[[#This Row],[TOTAL]]*TbAlquiler[[#This Row],[P.U. (2)]]</f>
        <v>0</v>
      </c>
      <c r="Y187" s="82">
        <f>+VLOOKUP(TbAlquiler[[#This Row],[ITEM]],TbPiezas[],7,FALSE)</f>
        <v>165.16500000000002</v>
      </c>
      <c r="Z187" s="84">
        <f>+TbAlquiler[[#This Row],[TOTAL]]*TbAlquiler[[#This Row],[P.U. (3)]]</f>
        <v>0</v>
      </c>
    </row>
    <row r="188" spans="1:26" ht="15" customHeight="1" x14ac:dyDescent="0.3">
      <c r="A188" s="2"/>
      <c r="B188" s="85">
        <v>172</v>
      </c>
      <c r="C188" s="71" t="s">
        <v>345</v>
      </c>
      <c r="D188" s="72" t="s">
        <v>346</v>
      </c>
      <c r="E188" s="73"/>
      <c r="F188" s="74">
        <f>+VLOOKUP(C188,TbAlquiler[],13,FALSE)</f>
        <v>0</v>
      </c>
      <c r="G188" s="2"/>
      <c r="H188" s="75" t="str">
        <f t="shared" si="4"/>
        <v>AE.0500</v>
      </c>
      <c r="I188" s="59" t="str">
        <f t="shared" si="5"/>
        <v>ok</v>
      </c>
      <c r="J188" s="77">
        <f>IFERROR(VLOOKUP($H188,TG[],3,FALSE),"NA")</f>
        <v>0</v>
      </c>
      <c r="K188" s="77" t="str">
        <f>IFERROR(VLOOKUP($H188,TF[],3,FALSE),"NA")</f>
        <v>NA</v>
      </c>
      <c r="L188" s="77" t="str">
        <f>IFERROR(VLOOKUP($H188,TT[],3,FALSE),"NA")</f>
        <v>NA</v>
      </c>
      <c r="M188" s="77" t="str">
        <f>IFERROR(VLOOKUP($H188,TES[],3,FALSE),"NA")</f>
        <v>NA</v>
      </c>
      <c r="N188" s="77" t="str">
        <f>IFERROR(VLOOKUP($H188,TEC[],3,FALSE),"NA")</f>
        <v>NA</v>
      </c>
      <c r="O188" s="77" t="str">
        <f>IFERROR(VLOOKUP($H188,TP[],3,FALSE),"NA")</f>
        <v>NA</v>
      </c>
      <c r="P188" s="77" t="str">
        <f>IFERROR(VLOOKUP($H188,TEN[],3,FALSE),"NA")</f>
        <v>NA</v>
      </c>
      <c r="Q188" s="77" t="str">
        <f>IFERROR(VLOOKUP($H188,TD[],3,FALSE),"NA")</f>
        <v>NA</v>
      </c>
      <c r="R188" s="77">
        <f>IFERROR(VLOOKUP($H188,TC[],3,FALSE),"NA")</f>
        <v>0</v>
      </c>
      <c r="S188" s="77" t="str">
        <f>IFERROR(VLOOKUP($H188,TEV[],3,FALSE),"NA")</f>
        <v>NA</v>
      </c>
      <c r="T188" s="79">
        <f>SUM(TbAlquiler[[#This Row],[GENERAL]:[ELEVADOR]])</f>
        <v>0</v>
      </c>
      <c r="U188" s="80">
        <f>IF(VLOOKUP(TbAlquiler[[#This Row],[ITEM]],TbPiezas[],5,FALSE)="NA",0,VLOOKUP(TbAlquiler[[#This Row],[ITEM]],TbPiezas[],5,FALSE))</f>
        <v>13.299999999999997</v>
      </c>
      <c r="V188" s="81">
        <f>+TbAlquiler[[#This Row],[TOTAL]]*TbAlquiler[[#This Row],[P.U. (1)]]</f>
        <v>0</v>
      </c>
      <c r="W188" s="82">
        <f>+VLOOKUP(TbAlquiler[[#This Row],[ITEM]],TbPiezas[],6,FALSE)</f>
        <v>2369.94</v>
      </c>
      <c r="X188" s="83">
        <f>+TbAlquiler[[#This Row],[TOTAL]]*TbAlquiler[[#This Row],[P.U. (2)]]</f>
        <v>0</v>
      </c>
      <c r="Y188" s="82">
        <f>+VLOOKUP(TbAlquiler[[#This Row],[ITEM]],TbPiezas[],7,FALSE)</f>
        <v>118.49700000000001</v>
      </c>
      <c r="Z188" s="84">
        <f>+TbAlquiler[[#This Row],[TOTAL]]*TbAlquiler[[#This Row],[P.U. (3)]]</f>
        <v>0</v>
      </c>
    </row>
    <row r="189" spans="1:26" ht="15" customHeight="1" x14ac:dyDescent="0.3">
      <c r="A189" s="2"/>
      <c r="B189" s="85">
        <v>173</v>
      </c>
      <c r="C189" s="71" t="s">
        <v>347</v>
      </c>
      <c r="D189" s="72" t="s">
        <v>348</v>
      </c>
      <c r="E189" s="73"/>
      <c r="F189" s="74">
        <f>+VLOOKUP(C189,TbAlquiler[],13,FALSE)</f>
        <v>0</v>
      </c>
      <c r="G189" s="2"/>
      <c r="H189" s="75" t="str">
        <f t="shared" si="4"/>
        <v>AE.0600</v>
      </c>
      <c r="I189" s="59" t="str">
        <f t="shared" si="5"/>
        <v>ok</v>
      </c>
      <c r="J189" s="77">
        <f>IFERROR(VLOOKUP($H189,TG[],3,FALSE),"NA")</f>
        <v>0</v>
      </c>
      <c r="K189" s="77" t="str">
        <f>IFERROR(VLOOKUP($H189,TF[],3,FALSE),"NA")</f>
        <v>NA</v>
      </c>
      <c r="L189" s="77" t="str">
        <f>IFERROR(VLOOKUP($H189,TT[],3,FALSE),"NA")</f>
        <v>NA</v>
      </c>
      <c r="M189" s="77" t="str">
        <f>IFERROR(VLOOKUP($H189,TES[],3,FALSE),"NA")</f>
        <v>NA</v>
      </c>
      <c r="N189" s="77" t="str">
        <f>IFERROR(VLOOKUP($H189,TEC[],3,FALSE),"NA")</f>
        <v>NA</v>
      </c>
      <c r="O189" s="77" t="str">
        <f>IFERROR(VLOOKUP($H189,TP[],3,FALSE),"NA")</f>
        <v>NA</v>
      </c>
      <c r="P189" s="77" t="str">
        <f>IFERROR(VLOOKUP($H189,TEN[],3,FALSE),"NA")</f>
        <v>NA</v>
      </c>
      <c r="Q189" s="77" t="str">
        <f>IFERROR(VLOOKUP($H189,TD[],3,FALSE),"NA")</f>
        <v>NA</v>
      </c>
      <c r="R189" s="77">
        <f>IFERROR(VLOOKUP($H189,TC[],3,FALSE),"NA")</f>
        <v>0</v>
      </c>
      <c r="S189" s="77" t="str">
        <f>IFERROR(VLOOKUP($H189,TEV[],3,FALSE),"NA")</f>
        <v>NA</v>
      </c>
      <c r="T189" s="79">
        <f>SUM(TbAlquiler[[#This Row],[GENERAL]:[ELEVADOR]])</f>
        <v>0</v>
      </c>
      <c r="U189" s="80">
        <f>IF(VLOOKUP(TbAlquiler[[#This Row],[ITEM]],TbPiezas[],5,FALSE)="NA",0,VLOOKUP(TbAlquiler[[#This Row],[ITEM]],TbPiezas[],5,FALSE))</f>
        <v>13.299999999999997</v>
      </c>
      <c r="V189" s="81">
        <f>+TbAlquiler[[#This Row],[TOTAL]]*TbAlquiler[[#This Row],[P.U. (1)]]</f>
        <v>0</v>
      </c>
      <c r="W189" s="82">
        <f>+VLOOKUP(TbAlquiler[[#This Row],[ITEM]],TbPiezas[],6,FALSE)</f>
        <v>2369.94</v>
      </c>
      <c r="X189" s="83">
        <f>+TbAlquiler[[#This Row],[TOTAL]]*TbAlquiler[[#This Row],[P.U. (2)]]</f>
        <v>0</v>
      </c>
      <c r="Y189" s="82">
        <f>+VLOOKUP(TbAlquiler[[#This Row],[ITEM]],TbPiezas[],7,FALSE)</f>
        <v>118.49700000000001</v>
      </c>
      <c r="Z189" s="84">
        <f>+TbAlquiler[[#This Row],[TOTAL]]*TbAlquiler[[#This Row],[P.U. (3)]]</f>
        <v>0</v>
      </c>
    </row>
    <row r="190" spans="1:26" ht="15" customHeight="1" x14ac:dyDescent="0.3">
      <c r="A190" s="2"/>
      <c r="B190" s="85">
        <v>174</v>
      </c>
      <c r="C190" s="71" t="s">
        <v>349</v>
      </c>
      <c r="D190" s="72" t="s">
        <v>350</v>
      </c>
      <c r="E190" s="73"/>
      <c r="F190" s="74">
        <f>+VLOOKUP(C190,TbAlquiler[],13,FALSE)</f>
        <v>0</v>
      </c>
      <c r="G190" s="2"/>
      <c r="H190" s="75" t="str">
        <f t="shared" si="4"/>
        <v>AE.0700</v>
      </c>
      <c r="I190" s="59" t="str">
        <f t="shared" si="5"/>
        <v>ok</v>
      </c>
      <c r="J190" s="77">
        <f>IFERROR(VLOOKUP($H190,TG[],3,FALSE),"NA")</f>
        <v>0</v>
      </c>
      <c r="K190" s="77" t="str">
        <f>IFERROR(VLOOKUP($H190,TF[],3,FALSE),"NA")</f>
        <v>NA</v>
      </c>
      <c r="L190" s="77" t="str">
        <f>IFERROR(VLOOKUP($H190,TT[],3,FALSE),"NA")</f>
        <v>NA</v>
      </c>
      <c r="M190" s="77" t="str">
        <f>IFERROR(VLOOKUP($H190,TES[],3,FALSE),"NA")</f>
        <v>NA</v>
      </c>
      <c r="N190" s="77" t="str">
        <f>IFERROR(VLOOKUP($H190,TEC[],3,FALSE),"NA")</f>
        <v>NA</v>
      </c>
      <c r="O190" s="77" t="str">
        <f>IFERROR(VLOOKUP($H190,TP[],3,FALSE),"NA")</f>
        <v>NA</v>
      </c>
      <c r="P190" s="77" t="str">
        <f>IFERROR(VLOOKUP($H190,TEN[],3,FALSE),"NA")</f>
        <v>NA</v>
      </c>
      <c r="Q190" s="77" t="str">
        <f>IFERROR(VLOOKUP($H190,TD[],3,FALSE),"NA")</f>
        <v>NA</v>
      </c>
      <c r="R190" s="77">
        <f>IFERROR(VLOOKUP($H190,TC[],3,FALSE),"NA")</f>
        <v>0</v>
      </c>
      <c r="S190" s="77" t="str">
        <f>IFERROR(VLOOKUP($H190,TEV[],3,FALSE),"NA")</f>
        <v>NA</v>
      </c>
      <c r="T190" s="79">
        <f>SUM(TbAlquiler[[#This Row],[GENERAL]:[ELEVADOR]])</f>
        <v>0</v>
      </c>
      <c r="U190" s="80">
        <f>IF(VLOOKUP(TbAlquiler[[#This Row],[ITEM]],TbPiezas[],5,FALSE)="NA",0,VLOOKUP(TbAlquiler[[#This Row],[ITEM]],TbPiezas[],5,FALSE))</f>
        <v>13.299999999999997</v>
      </c>
      <c r="V190" s="81">
        <f>+TbAlquiler[[#This Row],[TOTAL]]*TbAlquiler[[#This Row],[P.U. (1)]]</f>
        <v>0</v>
      </c>
      <c r="W190" s="82">
        <f>+VLOOKUP(TbAlquiler[[#This Row],[ITEM]],TbPiezas[],6,FALSE)</f>
        <v>2369.94</v>
      </c>
      <c r="X190" s="83">
        <f>+TbAlquiler[[#This Row],[TOTAL]]*TbAlquiler[[#This Row],[P.U. (2)]]</f>
        <v>0</v>
      </c>
      <c r="Y190" s="82">
        <f>+VLOOKUP(TbAlquiler[[#This Row],[ITEM]],TbPiezas[],7,FALSE)</f>
        <v>118.49700000000001</v>
      </c>
      <c r="Z190" s="84">
        <f>+TbAlquiler[[#This Row],[TOTAL]]*TbAlquiler[[#This Row],[P.U. (3)]]</f>
        <v>0</v>
      </c>
    </row>
    <row r="191" spans="1:26" ht="15" customHeight="1" x14ac:dyDescent="0.3">
      <c r="A191" s="2"/>
      <c r="B191" s="85">
        <v>175</v>
      </c>
      <c r="C191" s="71" t="s">
        <v>351</v>
      </c>
      <c r="D191" s="72" t="s">
        <v>352</v>
      </c>
      <c r="E191" s="73"/>
      <c r="F191" s="74">
        <f>+VLOOKUP(C191,TbAlquiler[],13,FALSE)</f>
        <v>0</v>
      </c>
      <c r="G191" s="2"/>
      <c r="H191" s="75" t="str">
        <f t="shared" si="4"/>
        <v>AE.0800</v>
      </c>
      <c r="I191" s="59" t="str">
        <f t="shared" si="5"/>
        <v>ok</v>
      </c>
      <c r="J191" s="77">
        <f>IFERROR(VLOOKUP($H191,TG[],3,FALSE),"NA")</f>
        <v>0</v>
      </c>
      <c r="K191" s="77" t="str">
        <f>IFERROR(VLOOKUP($H191,TF[],3,FALSE),"NA")</f>
        <v>NA</v>
      </c>
      <c r="L191" s="77" t="str">
        <f>IFERROR(VLOOKUP($H191,TT[],3,FALSE),"NA")</f>
        <v>NA</v>
      </c>
      <c r="M191" s="77" t="str">
        <f>IFERROR(VLOOKUP($H191,TES[],3,FALSE),"NA")</f>
        <v>NA</v>
      </c>
      <c r="N191" s="77" t="str">
        <f>IFERROR(VLOOKUP($H191,TEC[],3,FALSE),"NA")</f>
        <v>NA</v>
      </c>
      <c r="O191" s="77" t="str">
        <f>IFERROR(VLOOKUP($H191,TP[],3,FALSE),"NA")</f>
        <v>NA</v>
      </c>
      <c r="P191" s="77" t="str">
        <f>IFERROR(VLOOKUP($H191,TEN[],3,FALSE),"NA")</f>
        <v>NA</v>
      </c>
      <c r="Q191" s="77" t="str">
        <f>IFERROR(VLOOKUP($H191,TD[],3,FALSE),"NA")</f>
        <v>NA</v>
      </c>
      <c r="R191" s="77">
        <f>IFERROR(VLOOKUP($H191,TC[],3,FALSE),"NA")</f>
        <v>0</v>
      </c>
      <c r="S191" s="77" t="str">
        <f>IFERROR(VLOOKUP($H191,TEV[],3,FALSE),"NA")</f>
        <v>NA</v>
      </c>
      <c r="T191" s="79">
        <f>SUM(TbAlquiler[[#This Row],[GENERAL]:[ELEVADOR]])</f>
        <v>0</v>
      </c>
      <c r="U191" s="80">
        <f>IF(VLOOKUP(TbAlquiler[[#This Row],[ITEM]],TbPiezas[],5,FALSE)="NA",0,VLOOKUP(TbAlquiler[[#This Row],[ITEM]],TbPiezas[],5,FALSE))</f>
        <v>13.299999999999997</v>
      </c>
      <c r="V191" s="81">
        <f>+TbAlquiler[[#This Row],[TOTAL]]*TbAlquiler[[#This Row],[P.U. (1)]]</f>
        <v>0</v>
      </c>
      <c r="W191" s="82">
        <f>+VLOOKUP(TbAlquiler[[#This Row],[ITEM]],TbPiezas[],6,FALSE)</f>
        <v>2369.94</v>
      </c>
      <c r="X191" s="83">
        <f>+TbAlquiler[[#This Row],[TOTAL]]*TbAlquiler[[#This Row],[P.U. (2)]]</f>
        <v>0</v>
      </c>
      <c r="Y191" s="82">
        <f>+VLOOKUP(TbAlquiler[[#This Row],[ITEM]],TbPiezas[],7,FALSE)</f>
        <v>118.49700000000001</v>
      </c>
      <c r="Z191" s="84">
        <f>+TbAlquiler[[#This Row],[TOTAL]]*TbAlquiler[[#This Row],[P.U. (3)]]</f>
        <v>0</v>
      </c>
    </row>
    <row r="192" spans="1:26" ht="15" customHeight="1" x14ac:dyDescent="0.3">
      <c r="A192" s="2"/>
      <c r="B192" s="85">
        <v>176</v>
      </c>
      <c r="C192" s="71" t="s">
        <v>353</v>
      </c>
      <c r="D192" s="72" t="s">
        <v>354</v>
      </c>
      <c r="E192" s="73"/>
      <c r="F192" s="74">
        <f>+VLOOKUP(C192,TbAlquiler[],13,FALSE)</f>
        <v>0</v>
      </c>
      <c r="G192" s="2"/>
      <c r="H192" s="75" t="str">
        <f t="shared" si="4"/>
        <v>AE.0801</v>
      </c>
      <c r="I192" s="59" t="str">
        <f t="shared" si="5"/>
        <v>ok</v>
      </c>
      <c r="J192" s="77">
        <f>IFERROR(VLOOKUP($H192,TG[],3,FALSE),"NA")</f>
        <v>0</v>
      </c>
      <c r="K192" s="77" t="str">
        <f>IFERROR(VLOOKUP($H192,TF[],3,FALSE),"NA")</f>
        <v>NA</v>
      </c>
      <c r="L192" s="77" t="str">
        <f>IFERROR(VLOOKUP($H192,TT[],3,FALSE),"NA")</f>
        <v>NA</v>
      </c>
      <c r="M192" s="77" t="str">
        <f>IFERROR(VLOOKUP($H192,TES[],3,FALSE),"NA")</f>
        <v>NA</v>
      </c>
      <c r="N192" s="77" t="str">
        <f>IFERROR(VLOOKUP($H192,TEC[],3,FALSE),"NA")</f>
        <v>NA</v>
      </c>
      <c r="O192" s="77" t="str">
        <f>IFERROR(VLOOKUP($H192,TP[],3,FALSE),"NA")</f>
        <v>NA</v>
      </c>
      <c r="P192" s="77" t="str">
        <f>IFERROR(VLOOKUP($H192,TEN[],3,FALSE),"NA")</f>
        <v>NA</v>
      </c>
      <c r="Q192" s="77" t="str">
        <f>IFERROR(VLOOKUP($H192,TD[],3,FALSE),"NA")</f>
        <v>NA</v>
      </c>
      <c r="R192" s="77">
        <f>IFERROR(VLOOKUP($H192,TC[],3,FALSE),"NA")</f>
        <v>0</v>
      </c>
      <c r="S192" s="77" t="str">
        <f>IFERROR(VLOOKUP($H192,TEV[],3,FALSE),"NA")</f>
        <v>NA</v>
      </c>
      <c r="T192" s="79">
        <f>SUM(TbAlquiler[[#This Row],[GENERAL]:[ELEVADOR]])</f>
        <v>0</v>
      </c>
      <c r="U192" s="80">
        <f>IF(VLOOKUP(TbAlquiler[[#This Row],[ITEM]],TbPiezas[],5,FALSE)="NA",0,VLOOKUP(TbAlquiler[[#This Row],[ITEM]],TbPiezas[],5,FALSE))</f>
        <v>13.299999999999997</v>
      </c>
      <c r="V192" s="81">
        <f>+TbAlquiler[[#This Row],[TOTAL]]*TbAlquiler[[#This Row],[P.U. (1)]]</f>
        <v>0</v>
      </c>
      <c r="W192" s="82">
        <f>+VLOOKUP(TbAlquiler[[#This Row],[ITEM]],TbPiezas[],6,FALSE)</f>
        <v>2369.94</v>
      </c>
      <c r="X192" s="83">
        <f>+TbAlquiler[[#This Row],[TOTAL]]*TbAlquiler[[#This Row],[P.U. (2)]]</f>
        <v>0</v>
      </c>
      <c r="Y192" s="82">
        <f>+VLOOKUP(TbAlquiler[[#This Row],[ITEM]],TbPiezas[],7,FALSE)</f>
        <v>118.49700000000001</v>
      </c>
      <c r="Z192" s="84">
        <f>+TbAlquiler[[#This Row],[TOTAL]]*TbAlquiler[[#This Row],[P.U. (3)]]</f>
        <v>0</v>
      </c>
    </row>
    <row r="193" spans="1:26" ht="15" customHeight="1" x14ac:dyDescent="0.3">
      <c r="A193" s="2"/>
      <c r="B193" s="85">
        <v>177</v>
      </c>
      <c r="C193" s="71" t="s">
        <v>355</v>
      </c>
      <c r="D193" s="72" t="s">
        <v>356</v>
      </c>
      <c r="E193" s="73"/>
      <c r="F193" s="74">
        <f>+VLOOKUP(C193,TbAlquiler[],13,FALSE)</f>
        <v>0</v>
      </c>
      <c r="G193" s="2"/>
      <c r="H193" s="75" t="str">
        <f t="shared" si="4"/>
        <v>AE.0900</v>
      </c>
      <c r="I193" s="59" t="str">
        <f t="shared" si="5"/>
        <v>ok</v>
      </c>
      <c r="J193" s="77">
        <f>IFERROR(VLOOKUP($H193,TG[],3,FALSE),"NA")</f>
        <v>0</v>
      </c>
      <c r="K193" s="77" t="str">
        <f>IFERROR(VLOOKUP($H193,TF[],3,FALSE),"NA")</f>
        <v>NA</v>
      </c>
      <c r="L193" s="77" t="str">
        <f>IFERROR(VLOOKUP($H193,TT[],3,FALSE),"NA")</f>
        <v>NA</v>
      </c>
      <c r="M193" s="77" t="str">
        <f>IFERROR(VLOOKUP($H193,TES[],3,FALSE),"NA")</f>
        <v>NA</v>
      </c>
      <c r="N193" s="77" t="str">
        <f>IFERROR(VLOOKUP($H193,TEC[],3,FALSE),"NA")</f>
        <v>NA</v>
      </c>
      <c r="O193" s="77" t="str">
        <f>IFERROR(VLOOKUP($H193,TP[],3,FALSE),"NA")</f>
        <v>NA</v>
      </c>
      <c r="P193" s="77" t="str">
        <f>IFERROR(VLOOKUP($H193,TEN[],3,FALSE),"NA")</f>
        <v>NA</v>
      </c>
      <c r="Q193" s="77" t="str">
        <f>IFERROR(VLOOKUP($H193,TD[],3,FALSE),"NA")</f>
        <v>NA</v>
      </c>
      <c r="R193" s="77">
        <f>IFERROR(VLOOKUP($H193,TC[],3,FALSE),"NA")</f>
        <v>0</v>
      </c>
      <c r="S193" s="77" t="str">
        <f>IFERROR(VLOOKUP($H193,TEV[],3,FALSE),"NA")</f>
        <v>NA</v>
      </c>
      <c r="T193" s="79">
        <f>SUM(TbAlquiler[[#This Row],[GENERAL]:[ELEVADOR]])</f>
        <v>0</v>
      </c>
      <c r="U193" s="80">
        <f>IF(VLOOKUP(TbAlquiler[[#This Row],[ITEM]],TbPiezas[],5,FALSE)="NA",0,VLOOKUP(TbAlquiler[[#This Row],[ITEM]],TbPiezas[],5,FALSE))</f>
        <v>46.5</v>
      </c>
      <c r="V193" s="81">
        <f>+TbAlquiler[[#This Row],[TOTAL]]*TbAlquiler[[#This Row],[P.U. (1)]]</f>
        <v>0</v>
      </c>
      <c r="W193" s="82">
        <f>+VLOOKUP(TbAlquiler[[#This Row],[ITEM]],TbPiezas[],6,FALSE)</f>
        <v>5200</v>
      </c>
      <c r="X193" s="83">
        <f>+TbAlquiler[[#This Row],[TOTAL]]*TbAlquiler[[#This Row],[P.U. (2)]]</f>
        <v>0</v>
      </c>
      <c r="Y193" s="82">
        <f>+VLOOKUP(TbAlquiler[[#This Row],[ITEM]],TbPiezas[],7,FALSE)</f>
        <v>260</v>
      </c>
      <c r="Z193" s="84">
        <f>+TbAlquiler[[#This Row],[TOTAL]]*TbAlquiler[[#This Row],[P.U. (3)]]</f>
        <v>0</v>
      </c>
    </row>
    <row r="194" spans="1:26" ht="15" customHeight="1" x14ac:dyDescent="0.3">
      <c r="A194" s="2"/>
      <c r="B194" s="85">
        <v>178</v>
      </c>
      <c r="C194" s="71" t="s">
        <v>357</v>
      </c>
      <c r="D194" s="72" t="s">
        <v>358</v>
      </c>
      <c r="E194" s="73"/>
      <c r="F194" s="74">
        <f>+VLOOKUP(C194,TbAlquiler[],13,FALSE)</f>
        <v>0</v>
      </c>
      <c r="G194" s="2"/>
      <c r="H194" s="75" t="str">
        <f t="shared" si="4"/>
        <v>AE.0950</v>
      </c>
      <c r="I194" s="59" t="str">
        <f t="shared" si="5"/>
        <v>ok</v>
      </c>
      <c r="J194" s="77">
        <f>IFERROR(VLOOKUP($H194,TG[],3,FALSE),"NA")</f>
        <v>0</v>
      </c>
      <c r="K194" s="77" t="str">
        <f>IFERROR(VLOOKUP($H194,TF[],3,FALSE),"NA")</f>
        <v>NA</v>
      </c>
      <c r="L194" s="77" t="str">
        <f>IFERROR(VLOOKUP($H194,TT[],3,FALSE),"NA")</f>
        <v>NA</v>
      </c>
      <c r="M194" s="77" t="str">
        <f>IFERROR(VLOOKUP($H194,TES[],3,FALSE),"NA")</f>
        <v>NA</v>
      </c>
      <c r="N194" s="77" t="str">
        <f>IFERROR(VLOOKUP($H194,TEC[],3,FALSE),"NA")</f>
        <v>NA</v>
      </c>
      <c r="O194" s="77" t="str">
        <f>IFERROR(VLOOKUP($H194,TP[],3,FALSE),"NA")</f>
        <v>NA</v>
      </c>
      <c r="P194" s="77" t="str">
        <f>IFERROR(VLOOKUP($H194,TEN[],3,FALSE),"NA")</f>
        <v>NA</v>
      </c>
      <c r="Q194" s="77" t="str">
        <f>IFERROR(VLOOKUP($H194,TD[],3,FALSE),"NA")</f>
        <v>NA</v>
      </c>
      <c r="R194" s="77">
        <f>IFERROR(VLOOKUP($H194,TC[],3,FALSE),"NA")</f>
        <v>0</v>
      </c>
      <c r="S194" s="77" t="str">
        <f>IFERROR(VLOOKUP($H194,TEV[],3,FALSE),"NA")</f>
        <v>NA</v>
      </c>
      <c r="T194" s="79">
        <f>SUM(TbAlquiler[[#This Row],[GENERAL]:[ELEVADOR]])</f>
        <v>0</v>
      </c>
      <c r="U194" s="80">
        <f>IF(VLOOKUP(TbAlquiler[[#This Row],[ITEM]],TbPiezas[],5,FALSE)="NA",0,VLOOKUP(TbAlquiler[[#This Row],[ITEM]],TbPiezas[],5,FALSE))</f>
        <v>46.4</v>
      </c>
      <c r="V194" s="81">
        <f>+TbAlquiler[[#This Row],[TOTAL]]*TbAlquiler[[#This Row],[P.U. (1)]]</f>
        <v>0</v>
      </c>
      <c r="W194" s="82">
        <f>+VLOOKUP(TbAlquiler[[#This Row],[ITEM]],TbPiezas[],6,FALSE)</f>
        <v>8500</v>
      </c>
      <c r="X194" s="83">
        <f>+TbAlquiler[[#This Row],[TOTAL]]*TbAlquiler[[#This Row],[P.U. (2)]]</f>
        <v>0</v>
      </c>
      <c r="Y194" s="82">
        <f>+VLOOKUP(TbAlquiler[[#This Row],[ITEM]],TbPiezas[],7,FALSE)</f>
        <v>425</v>
      </c>
      <c r="Z194" s="84">
        <f>+TbAlquiler[[#This Row],[TOTAL]]*TbAlquiler[[#This Row],[P.U. (3)]]</f>
        <v>0</v>
      </c>
    </row>
    <row r="195" spans="1:26" ht="15" customHeight="1" x14ac:dyDescent="0.3">
      <c r="A195" s="2"/>
      <c r="B195" s="85">
        <v>179</v>
      </c>
      <c r="C195" s="71" t="s">
        <v>359</v>
      </c>
      <c r="D195" s="72" t="s">
        <v>360</v>
      </c>
      <c r="E195" s="73"/>
      <c r="F195" s="74">
        <f>+VLOOKUP(C195,TbAlquiler[],13,FALSE)</f>
        <v>0</v>
      </c>
      <c r="G195" s="2"/>
      <c r="H195" s="75" t="str">
        <f t="shared" si="4"/>
        <v>AE.0970</v>
      </c>
      <c r="I195" s="59" t="str">
        <f t="shared" si="5"/>
        <v>ok</v>
      </c>
      <c r="J195" s="77">
        <f>IFERROR(VLOOKUP($H195,TG[],3,FALSE),"NA")</f>
        <v>0</v>
      </c>
      <c r="K195" s="77" t="str">
        <f>IFERROR(VLOOKUP($H195,TF[],3,FALSE),"NA")</f>
        <v>NA</v>
      </c>
      <c r="L195" s="77" t="str">
        <f>IFERROR(VLOOKUP($H195,TT[],3,FALSE),"NA")</f>
        <v>NA</v>
      </c>
      <c r="M195" s="77" t="str">
        <f>IFERROR(VLOOKUP($H195,TES[],3,FALSE),"NA")</f>
        <v>NA</v>
      </c>
      <c r="N195" s="77" t="str">
        <f>IFERROR(VLOOKUP($H195,TEC[],3,FALSE),"NA")</f>
        <v>NA</v>
      </c>
      <c r="O195" s="77" t="str">
        <f>IFERROR(VLOOKUP($H195,TP[],3,FALSE),"NA")</f>
        <v>NA</v>
      </c>
      <c r="P195" s="77" t="str">
        <f>IFERROR(VLOOKUP($H195,TEN[],3,FALSE),"NA")</f>
        <v>NA</v>
      </c>
      <c r="Q195" s="77" t="str">
        <f>IFERROR(VLOOKUP($H195,TD[],3,FALSE),"NA")</f>
        <v>NA</v>
      </c>
      <c r="R195" s="77">
        <f>IFERROR(VLOOKUP($H195,TC[],3,FALSE),"NA")</f>
        <v>0</v>
      </c>
      <c r="S195" s="77" t="str">
        <f>IFERROR(VLOOKUP($H195,TEV[],3,FALSE),"NA")</f>
        <v>NA</v>
      </c>
      <c r="T195" s="79">
        <f>SUM(TbAlquiler[[#This Row],[GENERAL]:[ELEVADOR]])</f>
        <v>0</v>
      </c>
      <c r="U195" s="80">
        <f>IF(VLOOKUP(TbAlquiler[[#This Row],[ITEM]],TbPiezas[],5,FALSE)="NA",0,VLOOKUP(TbAlquiler[[#This Row],[ITEM]],TbPiezas[],5,FALSE))</f>
        <v>39.5</v>
      </c>
      <c r="V195" s="81">
        <f>+TbAlquiler[[#This Row],[TOTAL]]*TbAlquiler[[#This Row],[P.U. (1)]]</f>
        <v>0</v>
      </c>
      <c r="W195" s="82">
        <f>+VLOOKUP(TbAlquiler[[#This Row],[ITEM]],TbPiezas[],6,FALSE)</f>
        <v>2315.96</v>
      </c>
      <c r="X195" s="83">
        <f>+TbAlquiler[[#This Row],[TOTAL]]*TbAlquiler[[#This Row],[P.U. (2)]]</f>
        <v>0</v>
      </c>
      <c r="Y195" s="82">
        <f>+VLOOKUP(TbAlquiler[[#This Row],[ITEM]],TbPiezas[],7,FALSE)</f>
        <v>115.798</v>
      </c>
      <c r="Z195" s="84">
        <f>+TbAlquiler[[#This Row],[TOTAL]]*TbAlquiler[[#This Row],[P.U. (3)]]</f>
        <v>0</v>
      </c>
    </row>
    <row r="196" spans="1:26" ht="15" customHeight="1" x14ac:dyDescent="0.3">
      <c r="A196" s="2"/>
      <c r="B196" s="85">
        <v>180</v>
      </c>
      <c r="C196" s="71" t="s">
        <v>361</v>
      </c>
      <c r="D196" s="72" t="s">
        <v>362</v>
      </c>
      <c r="E196" s="73"/>
      <c r="F196" s="74">
        <f>+VLOOKUP(C196,TbAlquiler[],13,FALSE)</f>
        <v>0</v>
      </c>
      <c r="G196" s="2"/>
      <c r="H196" s="75" t="str">
        <f t="shared" si="4"/>
        <v>AE.0975</v>
      </c>
      <c r="I196" s="59" t="str">
        <f t="shared" si="5"/>
        <v>ok</v>
      </c>
      <c r="J196" s="77">
        <f>IFERROR(VLOOKUP($H196,TG[],3,FALSE),"NA")</f>
        <v>0</v>
      </c>
      <c r="K196" s="77" t="str">
        <f>IFERROR(VLOOKUP($H196,TF[],3,FALSE),"NA")</f>
        <v>NA</v>
      </c>
      <c r="L196" s="77" t="str">
        <f>IFERROR(VLOOKUP($H196,TT[],3,FALSE),"NA")</f>
        <v>NA</v>
      </c>
      <c r="M196" s="77" t="str">
        <f>IFERROR(VLOOKUP($H196,TES[],3,FALSE),"NA")</f>
        <v>NA</v>
      </c>
      <c r="N196" s="77" t="str">
        <f>IFERROR(VLOOKUP($H196,TEC[],3,FALSE),"NA")</f>
        <v>NA</v>
      </c>
      <c r="O196" s="77" t="str">
        <f>IFERROR(VLOOKUP($H196,TP[],3,FALSE),"NA")</f>
        <v>NA</v>
      </c>
      <c r="P196" s="77" t="str">
        <f>IFERROR(VLOOKUP($H196,TEN[],3,FALSE),"NA")</f>
        <v>NA</v>
      </c>
      <c r="Q196" s="77" t="str">
        <f>IFERROR(VLOOKUP($H196,TD[],3,FALSE),"NA")</f>
        <v>NA</v>
      </c>
      <c r="R196" s="77">
        <f>IFERROR(VLOOKUP($H196,TC[],3,FALSE),"NA")</f>
        <v>0</v>
      </c>
      <c r="S196" s="77" t="str">
        <f>IFERROR(VLOOKUP($H196,TEV[],3,FALSE),"NA")</f>
        <v>NA</v>
      </c>
      <c r="T196" s="79">
        <f>SUM(TbAlquiler[[#This Row],[GENERAL]:[ELEVADOR]])</f>
        <v>0</v>
      </c>
      <c r="U196" s="80">
        <f>IF(VLOOKUP(TbAlquiler[[#This Row],[ITEM]],TbPiezas[],5,FALSE)="NA",0,VLOOKUP(TbAlquiler[[#This Row],[ITEM]],TbPiezas[],5,FALSE))</f>
        <v>36.4</v>
      </c>
      <c r="V196" s="81">
        <f>+TbAlquiler[[#This Row],[TOTAL]]*TbAlquiler[[#This Row],[P.U. (1)]]</f>
        <v>0</v>
      </c>
      <c r="W196" s="82">
        <f>+VLOOKUP(TbAlquiler[[#This Row],[ITEM]],TbPiezas[],6,FALSE)</f>
        <v>2137.81</v>
      </c>
      <c r="X196" s="83">
        <f>+TbAlquiler[[#This Row],[TOTAL]]*TbAlquiler[[#This Row],[P.U. (2)]]</f>
        <v>0</v>
      </c>
      <c r="Y196" s="82">
        <f>+VLOOKUP(TbAlquiler[[#This Row],[ITEM]],TbPiezas[],7,FALSE)</f>
        <v>106.8905</v>
      </c>
      <c r="Z196" s="84">
        <f>+TbAlquiler[[#This Row],[TOTAL]]*TbAlquiler[[#This Row],[P.U. (3)]]</f>
        <v>0</v>
      </c>
    </row>
    <row r="197" spans="1:26" ht="15" customHeight="1" x14ac:dyDescent="0.3">
      <c r="A197" s="2"/>
      <c r="B197" s="85">
        <v>181</v>
      </c>
      <c r="C197" s="71" t="s">
        <v>363</v>
      </c>
      <c r="D197" s="72" t="s">
        <v>364</v>
      </c>
      <c r="E197" s="73"/>
      <c r="F197" s="74">
        <f>+VLOOKUP(C197,TbAlquiler[],13,FALSE)</f>
        <v>0</v>
      </c>
      <c r="G197" s="2"/>
      <c r="H197" s="75" t="str">
        <f t="shared" si="4"/>
        <v>AE.1000</v>
      </c>
      <c r="I197" s="59" t="str">
        <f t="shared" si="5"/>
        <v>ok</v>
      </c>
      <c r="J197" s="77">
        <f>IFERROR(VLOOKUP($H197,TG[],3,FALSE),"NA")</f>
        <v>0</v>
      </c>
      <c r="K197" s="77" t="str">
        <f>IFERROR(VLOOKUP($H197,TF[],3,FALSE),"NA")</f>
        <v>NA</v>
      </c>
      <c r="L197" s="77" t="str">
        <f>IFERROR(VLOOKUP($H197,TT[],3,FALSE),"NA")</f>
        <v>NA</v>
      </c>
      <c r="M197" s="77" t="str">
        <f>IFERROR(VLOOKUP($H197,TES[],3,FALSE),"NA")</f>
        <v>NA</v>
      </c>
      <c r="N197" s="77" t="str">
        <f>IFERROR(VLOOKUP($H197,TEC[],3,FALSE),"NA")</f>
        <v>NA</v>
      </c>
      <c r="O197" s="77" t="str">
        <f>IFERROR(VLOOKUP($H197,TP[],3,FALSE),"NA")</f>
        <v>NA</v>
      </c>
      <c r="P197" s="77" t="str">
        <f>IFERROR(VLOOKUP($H197,TEN[],3,FALSE),"NA")</f>
        <v>NA</v>
      </c>
      <c r="Q197" s="77" t="str">
        <f>IFERROR(VLOOKUP($H197,TD[],3,FALSE),"NA")</f>
        <v>NA</v>
      </c>
      <c r="R197" s="77">
        <f>IFERROR(VLOOKUP($H197,TC[],3,FALSE),"NA")</f>
        <v>0</v>
      </c>
      <c r="S197" s="77" t="str">
        <f>IFERROR(VLOOKUP($H197,TEV[],3,FALSE),"NA")</f>
        <v>NA</v>
      </c>
      <c r="T197" s="79">
        <f>SUM(TbAlquiler[[#This Row],[GENERAL]:[ELEVADOR]])</f>
        <v>0</v>
      </c>
      <c r="U197" s="80">
        <f>IF(VLOOKUP(TbAlquiler[[#This Row],[ITEM]],TbPiezas[],5,FALSE)="NA",0,VLOOKUP(TbAlquiler[[#This Row],[ITEM]],TbPiezas[],5,FALSE))</f>
        <v>27.099999999999994</v>
      </c>
      <c r="V197" s="81">
        <f>+TbAlquiler[[#This Row],[TOTAL]]*TbAlquiler[[#This Row],[P.U. (1)]]</f>
        <v>0</v>
      </c>
      <c r="W197" s="82">
        <f>+VLOOKUP(TbAlquiler[[#This Row],[ITEM]],TbPiezas[],6,FALSE)</f>
        <v>1238.74</v>
      </c>
      <c r="X197" s="83">
        <f>+TbAlquiler[[#This Row],[TOTAL]]*TbAlquiler[[#This Row],[P.U. (2)]]</f>
        <v>0</v>
      </c>
      <c r="Y197" s="82">
        <f>+VLOOKUP(TbAlquiler[[#This Row],[ITEM]],TbPiezas[],7,FALSE)</f>
        <v>61.937000000000005</v>
      </c>
      <c r="Z197" s="84">
        <f>+TbAlquiler[[#This Row],[TOTAL]]*TbAlquiler[[#This Row],[P.U. (3)]]</f>
        <v>0</v>
      </c>
    </row>
    <row r="198" spans="1:26" ht="15" customHeight="1" x14ac:dyDescent="0.3">
      <c r="A198" s="2"/>
      <c r="B198" s="85">
        <v>182</v>
      </c>
      <c r="C198" s="71" t="s">
        <v>365</v>
      </c>
      <c r="D198" s="72" t="s">
        <v>366</v>
      </c>
      <c r="E198" s="73"/>
      <c r="F198" s="74">
        <f>+VLOOKUP(C198,TbAlquiler[],13,FALSE)</f>
        <v>0</v>
      </c>
      <c r="G198" s="2"/>
      <c r="H198" s="75" t="str">
        <f t="shared" si="4"/>
        <v>AE.1100</v>
      </c>
      <c r="I198" s="59" t="str">
        <f t="shared" si="5"/>
        <v>ok</v>
      </c>
      <c r="J198" s="77">
        <f>IFERROR(VLOOKUP($H198,TG[],3,FALSE),"NA")</f>
        <v>0</v>
      </c>
      <c r="K198" s="77" t="str">
        <f>IFERROR(VLOOKUP($H198,TF[],3,FALSE),"NA")</f>
        <v>NA</v>
      </c>
      <c r="L198" s="77" t="str">
        <f>IFERROR(VLOOKUP($H198,TT[],3,FALSE),"NA")</f>
        <v>NA</v>
      </c>
      <c r="M198" s="77" t="str">
        <f>IFERROR(VLOOKUP($H198,TES[],3,FALSE),"NA")</f>
        <v>NA</v>
      </c>
      <c r="N198" s="77" t="str">
        <f>IFERROR(VLOOKUP($H198,TEC[],3,FALSE),"NA")</f>
        <v>NA</v>
      </c>
      <c r="O198" s="77" t="str">
        <f>IFERROR(VLOOKUP($H198,TP[],3,FALSE),"NA")</f>
        <v>NA</v>
      </c>
      <c r="P198" s="77" t="str">
        <f>IFERROR(VLOOKUP($H198,TEN[],3,FALSE),"NA")</f>
        <v>NA</v>
      </c>
      <c r="Q198" s="77" t="str">
        <f>IFERROR(VLOOKUP($H198,TD[],3,FALSE),"NA")</f>
        <v>NA</v>
      </c>
      <c r="R198" s="77">
        <f>IFERROR(VLOOKUP($H198,TC[],3,FALSE),"NA")</f>
        <v>0</v>
      </c>
      <c r="S198" s="77" t="str">
        <f>IFERROR(VLOOKUP($H198,TEV[],3,FALSE),"NA")</f>
        <v>NA</v>
      </c>
      <c r="T198" s="79">
        <f>SUM(TbAlquiler[[#This Row],[GENERAL]:[ELEVADOR]])</f>
        <v>0</v>
      </c>
      <c r="U198" s="80">
        <f>IF(VLOOKUP(TbAlquiler[[#This Row],[ITEM]],TbPiezas[],5,FALSE)="NA",0,VLOOKUP(TbAlquiler[[#This Row],[ITEM]],TbPiezas[],5,FALSE))</f>
        <v>24.399999999999991</v>
      </c>
      <c r="V198" s="81">
        <f>+TbAlquiler[[#This Row],[TOTAL]]*TbAlquiler[[#This Row],[P.U. (1)]]</f>
        <v>0</v>
      </c>
      <c r="W198" s="82">
        <f>+VLOOKUP(TbAlquiler[[#This Row],[ITEM]],TbPiezas[],6,FALSE)</f>
        <v>1114.8599999999999</v>
      </c>
      <c r="X198" s="83">
        <f>+TbAlquiler[[#This Row],[TOTAL]]*TbAlquiler[[#This Row],[P.U. (2)]]</f>
        <v>0</v>
      </c>
      <c r="Y198" s="82">
        <f>+VLOOKUP(TbAlquiler[[#This Row],[ITEM]],TbPiezas[],7,FALSE)</f>
        <v>55.742999999999995</v>
      </c>
      <c r="Z198" s="84">
        <f>+TbAlquiler[[#This Row],[TOTAL]]*TbAlquiler[[#This Row],[P.U. (3)]]</f>
        <v>0</v>
      </c>
    </row>
    <row r="199" spans="1:26" ht="15" customHeight="1" x14ac:dyDescent="0.3">
      <c r="A199" s="2"/>
      <c r="B199" s="85">
        <v>183</v>
      </c>
      <c r="C199" s="71" t="s">
        <v>367</v>
      </c>
      <c r="D199" s="72" t="s">
        <v>368</v>
      </c>
      <c r="E199" s="73"/>
      <c r="F199" s="74">
        <f>+VLOOKUP(C199,TbAlquiler[],13,FALSE)</f>
        <v>0</v>
      </c>
      <c r="G199" s="2"/>
      <c r="H199" s="75" t="str">
        <f t="shared" si="4"/>
        <v>AE.1200</v>
      </c>
      <c r="I199" s="59" t="str">
        <f t="shared" si="5"/>
        <v>ok</v>
      </c>
      <c r="J199" s="77">
        <f>IFERROR(VLOOKUP($H199,TG[],3,FALSE),"NA")</f>
        <v>0</v>
      </c>
      <c r="K199" s="77" t="str">
        <f>IFERROR(VLOOKUP($H199,TF[],3,FALSE),"NA")</f>
        <v>NA</v>
      </c>
      <c r="L199" s="77" t="str">
        <f>IFERROR(VLOOKUP($H199,TT[],3,FALSE),"NA")</f>
        <v>NA</v>
      </c>
      <c r="M199" s="77" t="str">
        <f>IFERROR(VLOOKUP($H199,TES[],3,FALSE),"NA")</f>
        <v>NA</v>
      </c>
      <c r="N199" s="77" t="str">
        <f>IFERROR(VLOOKUP($H199,TEC[],3,FALSE),"NA")</f>
        <v>NA</v>
      </c>
      <c r="O199" s="77" t="str">
        <f>IFERROR(VLOOKUP($H199,TP[],3,FALSE),"NA")</f>
        <v>NA</v>
      </c>
      <c r="P199" s="77" t="str">
        <f>IFERROR(VLOOKUP($H199,TEN[],3,FALSE),"NA")</f>
        <v>NA</v>
      </c>
      <c r="Q199" s="77" t="str">
        <f>IFERROR(VLOOKUP($H199,TD[],3,FALSE),"NA")</f>
        <v>NA</v>
      </c>
      <c r="R199" s="77">
        <f>IFERROR(VLOOKUP($H199,TC[],3,FALSE),"NA")</f>
        <v>0</v>
      </c>
      <c r="S199" s="77" t="str">
        <f>IFERROR(VLOOKUP($H199,TEV[],3,FALSE),"NA")</f>
        <v>NA</v>
      </c>
      <c r="T199" s="79">
        <f>SUM(TbAlquiler[[#This Row],[GENERAL]:[ELEVADOR]])</f>
        <v>0</v>
      </c>
      <c r="U199" s="80">
        <f>IF(VLOOKUP(TbAlquiler[[#This Row],[ITEM]],TbPiezas[],5,FALSE)="NA",0,VLOOKUP(TbAlquiler[[#This Row],[ITEM]],TbPiezas[],5,FALSE))</f>
        <v>21.700000000000003</v>
      </c>
      <c r="V199" s="81">
        <f>+TbAlquiler[[#This Row],[TOTAL]]*TbAlquiler[[#This Row],[P.U. (1)]]</f>
        <v>0</v>
      </c>
      <c r="W199" s="82">
        <f>+VLOOKUP(TbAlquiler[[#This Row],[ITEM]],TbPiezas[],6,FALSE)</f>
        <v>990.99</v>
      </c>
      <c r="X199" s="83">
        <f>+TbAlquiler[[#This Row],[TOTAL]]*TbAlquiler[[#This Row],[P.U. (2)]]</f>
        <v>0</v>
      </c>
      <c r="Y199" s="82">
        <f>+VLOOKUP(TbAlquiler[[#This Row],[ITEM]],TbPiezas[],7,FALSE)</f>
        <v>49.549500000000002</v>
      </c>
      <c r="Z199" s="84">
        <f>+TbAlquiler[[#This Row],[TOTAL]]*TbAlquiler[[#This Row],[P.U. (3)]]</f>
        <v>0</v>
      </c>
    </row>
    <row r="200" spans="1:26" ht="15" customHeight="1" x14ac:dyDescent="0.3">
      <c r="A200" s="2"/>
      <c r="B200" s="85">
        <v>184</v>
      </c>
      <c r="C200" s="71" t="s">
        <v>369</v>
      </c>
      <c r="D200" s="72" t="s">
        <v>370</v>
      </c>
      <c r="E200" s="73"/>
      <c r="F200" s="74">
        <f>+VLOOKUP(C200,TbAlquiler[],13,FALSE)</f>
        <v>0</v>
      </c>
      <c r="G200" s="2"/>
      <c r="H200" s="75" t="str">
        <f t="shared" si="4"/>
        <v>AE.1300</v>
      </c>
      <c r="I200" s="59" t="str">
        <f t="shared" si="5"/>
        <v>ok</v>
      </c>
      <c r="J200" s="77">
        <f>IFERROR(VLOOKUP($H200,TG[],3,FALSE),"NA")</f>
        <v>0</v>
      </c>
      <c r="K200" s="77" t="str">
        <f>IFERROR(VLOOKUP($H200,TF[],3,FALSE),"NA")</f>
        <v>NA</v>
      </c>
      <c r="L200" s="77" t="str">
        <f>IFERROR(VLOOKUP($H200,TT[],3,FALSE),"NA")</f>
        <v>NA</v>
      </c>
      <c r="M200" s="77" t="str">
        <f>IFERROR(VLOOKUP($H200,TES[],3,FALSE),"NA")</f>
        <v>NA</v>
      </c>
      <c r="N200" s="77" t="str">
        <f>IFERROR(VLOOKUP($H200,TEC[],3,FALSE),"NA")</f>
        <v>NA</v>
      </c>
      <c r="O200" s="77" t="str">
        <f>IFERROR(VLOOKUP($H200,TP[],3,FALSE),"NA")</f>
        <v>NA</v>
      </c>
      <c r="P200" s="77" t="str">
        <f>IFERROR(VLOOKUP($H200,TEN[],3,FALSE),"NA")</f>
        <v>NA</v>
      </c>
      <c r="Q200" s="77" t="str">
        <f>IFERROR(VLOOKUP($H200,TD[],3,FALSE),"NA")</f>
        <v>NA</v>
      </c>
      <c r="R200" s="77">
        <f>IFERROR(VLOOKUP($H200,TC[],3,FALSE),"NA")</f>
        <v>0</v>
      </c>
      <c r="S200" s="77" t="str">
        <f>IFERROR(VLOOKUP($H200,TEV[],3,FALSE),"NA")</f>
        <v>NA</v>
      </c>
      <c r="T200" s="79">
        <f>SUM(TbAlquiler[[#This Row],[GENERAL]:[ELEVADOR]])</f>
        <v>0</v>
      </c>
      <c r="U200" s="80">
        <f>IF(VLOOKUP(TbAlquiler[[#This Row],[ITEM]],TbPiezas[],5,FALSE)="NA",0,VLOOKUP(TbAlquiler[[#This Row],[ITEM]],TbPiezas[],5,FALSE))</f>
        <v>19</v>
      </c>
      <c r="V200" s="81">
        <f>+TbAlquiler[[#This Row],[TOTAL]]*TbAlquiler[[#This Row],[P.U. (1)]]</f>
        <v>0</v>
      </c>
      <c r="W200" s="82">
        <f>+VLOOKUP(TbAlquiler[[#This Row],[ITEM]],TbPiezas[],6,FALSE)</f>
        <v>867.12</v>
      </c>
      <c r="X200" s="83">
        <f>+TbAlquiler[[#This Row],[TOTAL]]*TbAlquiler[[#This Row],[P.U. (2)]]</f>
        <v>0</v>
      </c>
      <c r="Y200" s="82">
        <f>+VLOOKUP(TbAlquiler[[#This Row],[ITEM]],TbPiezas[],7,FALSE)</f>
        <v>43.356000000000002</v>
      </c>
      <c r="Z200" s="84">
        <f>+TbAlquiler[[#This Row],[TOTAL]]*TbAlquiler[[#This Row],[P.U. (3)]]</f>
        <v>0</v>
      </c>
    </row>
    <row r="201" spans="1:26" ht="15" customHeight="1" x14ac:dyDescent="0.3">
      <c r="A201" s="2"/>
      <c r="B201" s="85">
        <v>185</v>
      </c>
      <c r="C201" s="71" t="s">
        <v>371</v>
      </c>
      <c r="D201" s="72" t="s">
        <v>372</v>
      </c>
      <c r="E201" s="73"/>
      <c r="F201" s="74">
        <f>+VLOOKUP(C201,TbAlquiler[],13,FALSE)</f>
        <v>0</v>
      </c>
      <c r="G201" s="2"/>
      <c r="H201" s="75" t="str">
        <f t="shared" si="4"/>
        <v>AE.1400</v>
      </c>
      <c r="I201" s="59" t="str">
        <f t="shared" si="5"/>
        <v>ok</v>
      </c>
      <c r="J201" s="77">
        <f>IFERROR(VLOOKUP($H201,TG[],3,FALSE),"NA")</f>
        <v>0</v>
      </c>
      <c r="K201" s="77" t="str">
        <f>IFERROR(VLOOKUP($H201,TF[],3,FALSE),"NA")</f>
        <v>NA</v>
      </c>
      <c r="L201" s="77" t="str">
        <f>IFERROR(VLOOKUP($H201,TT[],3,FALSE),"NA")</f>
        <v>NA</v>
      </c>
      <c r="M201" s="77" t="str">
        <f>IFERROR(VLOOKUP($H201,TES[],3,FALSE),"NA")</f>
        <v>NA</v>
      </c>
      <c r="N201" s="77" t="str">
        <f>IFERROR(VLOOKUP($H201,TEC[],3,FALSE),"NA")</f>
        <v>NA</v>
      </c>
      <c r="O201" s="77" t="str">
        <f>IFERROR(VLOOKUP($H201,TP[],3,FALSE),"NA")</f>
        <v>NA</v>
      </c>
      <c r="P201" s="77" t="str">
        <f>IFERROR(VLOOKUP($H201,TEN[],3,FALSE),"NA")</f>
        <v>NA</v>
      </c>
      <c r="Q201" s="77" t="str">
        <f>IFERROR(VLOOKUP($H201,TD[],3,FALSE),"NA")</f>
        <v>NA</v>
      </c>
      <c r="R201" s="77">
        <f>IFERROR(VLOOKUP($H201,TC[],3,FALSE),"NA")</f>
        <v>0</v>
      </c>
      <c r="S201" s="77" t="str">
        <f>IFERROR(VLOOKUP($H201,TEV[],3,FALSE),"NA")</f>
        <v>NA</v>
      </c>
      <c r="T201" s="79">
        <f>SUM(TbAlquiler[[#This Row],[GENERAL]:[ELEVADOR]])</f>
        <v>0</v>
      </c>
      <c r="U201" s="80">
        <f>IF(VLOOKUP(TbAlquiler[[#This Row],[ITEM]],TbPiezas[],5,FALSE)="NA",0,VLOOKUP(TbAlquiler[[#This Row],[ITEM]],TbPiezas[],5,FALSE))</f>
        <v>16.299999999999997</v>
      </c>
      <c r="V201" s="81">
        <f>+TbAlquiler[[#This Row],[TOTAL]]*TbAlquiler[[#This Row],[P.U. (1)]]</f>
        <v>0</v>
      </c>
      <c r="W201" s="82">
        <f>+VLOOKUP(TbAlquiler[[#This Row],[ITEM]],TbPiezas[],6,FALSE)</f>
        <v>743.24</v>
      </c>
      <c r="X201" s="83">
        <f>+TbAlquiler[[#This Row],[TOTAL]]*TbAlquiler[[#This Row],[P.U. (2)]]</f>
        <v>0</v>
      </c>
      <c r="Y201" s="82">
        <f>+VLOOKUP(TbAlquiler[[#This Row],[ITEM]],TbPiezas[],7,FALSE)</f>
        <v>37.161999999999999</v>
      </c>
      <c r="Z201" s="84">
        <f>+TbAlquiler[[#This Row],[TOTAL]]*TbAlquiler[[#This Row],[P.U. (3)]]</f>
        <v>0</v>
      </c>
    </row>
    <row r="202" spans="1:26" ht="15" customHeight="1" x14ac:dyDescent="0.3">
      <c r="A202" s="2"/>
      <c r="B202" s="85">
        <v>186</v>
      </c>
      <c r="C202" s="71" t="s">
        <v>373</v>
      </c>
      <c r="D202" s="72" t="s">
        <v>374</v>
      </c>
      <c r="E202" s="73"/>
      <c r="F202" s="74">
        <f>+VLOOKUP(C202,TbAlquiler[],13,FALSE)</f>
        <v>0</v>
      </c>
      <c r="G202" s="2"/>
      <c r="H202" s="75" t="str">
        <f t="shared" si="4"/>
        <v>AE.1500</v>
      </c>
      <c r="I202" s="59" t="str">
        <f t="shared" si="5"/>
        <v>ok</v>
      </c>
      <c r="J202" s="77">
        <f>IFERROR(VLOOKUP($H202,TG[],3,FALSE),"NA")</f>
        <v>0</v>
      </c>
      <c r="K202" s="77" t="str">
        <f>IFERROR(VLOOKUP($H202,TF[],3,FALSE),"NA")</f>
        <v>NA</v>
      </c>
      <c r="L202" s="77" t="str">
        <f>IFERROR(VLOOKUP($H202,TT[],3,FALSE),"NA")</f>
        <v>NA</v>
      </c>
      <c r="M202" s="77" t="str">
        <f>IFERROR(VLOOKUP($H202,TES[],3,FALSE),"NA")</f>
        <v>NA</v>
      </c>
      <c r="N202" s="77" t="str">
        <f>IFERROR(VLOOKUP($H202,TEC[],3,FALSE),"NA")</f>
        <v>NA</v>
      </c>
      <c r="O202" s="77" t="str">
        <f>IFERROR(VLOOKUP($H202,TP[],3,FALSE),"NA")</f>
        <v>NA</v>
      </c>
      <c r="P202" s="77" t="str">
        <f>IFERROR(VLOOKUP($H202,TEN[],3,FALSE),"NA")</f>
        <v>NA</v>
      </c>
      <c r="Q202" s="77" t="str">
        <f>IFERROR(VLOOKUP($H202,TD[],3,FALSE),"NA")</f>
        <v>NA</v>
      </c>
      <c r="R202" s="77">
        <f>IFERROR(VLOOKUP($H202,TC[],3,FALSE),"NA")</f>
        <v>0</v>
      </c>
      <c r="S202" s="77" t="str">
        <f>IFERROR(VLOOKUP($H202,TEV[],3,FALSE),"NA")</f>
        <v>NA</v>
      </c>
      <c r="T202" s="79">
        <f>SUM(TbAlquiler[[#This Row],[GENERAL]:[ELEVADOR]])</f>
        <v>0</v>
      </c>
      <c r="U202" s="80">
        <f>IF(VLOOKUP(TbAlquiler[[#This Row],[ITEM]],TbPiezas[],5,FALSE)="NA",0,VLOOKUP(TbAlquiler[[#This Row],[ITEM]],TbPiezas[],5,FALSE))</f>
        <v>13.599999999999994</v>
      </c>
      <c r="V202" s="81">
        <f>+TbAlquiler[[#This Row],[TOTAL]]*TbAlquiler[[#This Row],[P.U. (1)]]</f>
        <v>0</v>
      </c>
      <c r="W202" s="82">
        <f>+VLOOKUP(TbAlquiler[[#This Row],[ITEM]],TbPiezas[],6,FALSE)</f>
        <v>619.37</v>
      </c>
      <c r="X202" s="83">
        <f>+TbAlquiler[[#This Row],[TOTAL]]*TbAlquiler[[#This Row],[P.U. (2)]]</f>
        <v>0</v>
      </c>
      <c r="Y202" s="82">
        <f>+VLOOKUP(TbAlquiler[[#This Row],[ITEM]],TbPiezas[],7,FALSE)</f>
        <v>30.968500000000002</v>
      </c>
      <c r="Z202" s="84">
        <f>+TbAlquiler[[#This Row],[TOTAL]]*TbAlquiler[[#This Row],[P.U. (3)]]</f>
        <v>0</v>
      </c>
    </row>
    <row r="203" spans="1:26" ht="15" customHeight="1" x14ac:dyDescent="0.3">
      <c r="A203" s="2"/>
      <c r="B203" s="85">
        <v>187</v>
      </c>
      <c r="C203" s="71" t="s">
        <v>375</v>
      </c>
      <c r="D203" s="72" t="s">
        <v>376</v>
      </c>
      <c r="E203" s="73"/>
      <c r="F203" s="74">
        <f>+VLOOKUP(C203,TbAlquiler[],13,FALSE)</f>
        <v>0</v>
      </c>
      <c r="G203" s="2"/>
      <c r="H203" s="75" t="str">
        <f t="shared" si="4"/>
        <v>AE.1600</v>
      </c>
      <c r="I203" s="59" t="str">
        <f t="shared" si="5"/>
        <v>ok</v>
      </c>
      <c r="J203" s="77">
        <f>IFERROR(VLOOKUP($H203,TG[],3,FALSE),"NA")</f>
        <v>0</v>
      </c>
      <c r="K203" s="77" t="str">
        <f>IFERROR(VLOOKUP($H203,TF[],3,FALSE),"NA")</f>
        <v>NA</v>
      </c>
      <c r="L203" s="77" t="str">
        <f>IFERROR(VLOOKUP($H203,TT[],3,FALSE),"NA")</f>
        <v>NA</v>
      </c>
      <c r="M203" s="77" t="str">
        <f>IFERROR(VLOOKUP($H203,TES[],3,FALSE),"NA")</f>
        <v>NA</v>
      </c>
      <c r="N203" s="77" t="str">
        <f>IFERROR(VLOOKUP($H203,TEC[],3,FALSE),"NA")</f>
        <v>NA</v>
      </c>
      <c r="O203" s="77" t="str">
        <f>IFERROR(VLOOKUP($H203,TP[],3,FALSE),"NA")</f>
        <v>NA</v>
      </c>
      <c r="P203" s="77" t="str">
        <f>IFERROR(VLOOKUP($H203,TEN[],3,FALSE),"NA")</f>
        <v>NA</v>
      </c>
      <c r="Q203" s="77" t="str">
        <f>IFERROR(VLOOKUP($H203,TD[],3,FALSE),"NA")</f>
        <v>NA</v>
      </c>
      <c r="R203" s="77">
        <f>IFERROR(VLOOKUP($H203,TC[],3,FALSE),"NA")</f>
        <v>0</v>
      </c>
      <c r="S203" s="77" t="str">
        <f>IFERROR(VLOOKUP($H203,TEV[],3,FALSE),"NA")</f>
        <v>NA</v>
      </c>
      <c r="T203" s="79">
        <f>SUM(TbAlquiler[[#This Row],[GENERAL]:[ELEVADOR]])</f>
        <v>0</v>
      </c>
      <c r="U203" s="80">
        <f>IF(VLOOKUP(TbAlquiler[[#This Row],[ITEM]],TbPiezas[],5,FALSE)="NA",0,VLOOKUP(TbAlquiler[[#This Row],[ITEM]],TbPiezas[],5,FALSE))</f>
        <v>10.799999999999997</v>
      </c>
      <c r="V203" s="81">
        <f>+TbAlquiler[[#This Row],[TOTAL]]*TbAlquiler[[#This Row],[P.U. (1)]]</f>
        <v>0</v>
      </c>
      <c r="W203" s="82">
        <f>+VLOOKUP(TbAlquiler[[#This Row],[ITEM]],TbPiezas[],6,FALSE)</f>
        <v>495.5</v>
      </c>
      <c r="X203" s="83">
        <f>+TbAlquiler[[#This Row],[TOTAL]]*TbAlquiler[[#This Row],[P.U. (2)]]</f>
        <v>0</v>
      </c>
      <c r="Y203" s="82">
        <f>+VLOOKUP(TbAlquiler[[#This Row],[ITEM]],TbPiezas[],7,FALSE)</f>
        <v>24.775000000000002</v>
      </c>
      <c r="Z203" s="84">
        <f>+TbAlquiler[[#This Row],[TOTAL]]*TbAlquiler[[#This Row],[P.U. (3)]]</f>
        <v>0</v>
      </c>
    </row>
    <row r="204" spans="1:26" ht="15" customHeight="1" x14ac:dyDescent="0.3">
      <c r="A204" s="2"/>
      <c r="B204" s="85">
        <v>188</v>
      </c>
      <c r="C204" s="71" t="s">
        <v>377</v>
      </c>
      <c r="D204" s="72" t="s">
        <v>378</v>
      </c>
      <c r="E204" s="73"/>
      <c r="F204" s="74">
        <f>+VLOOKUP(C204,TbAlquiler[],13,FALSE)</f>
        <v>0</v>
      </c>
      <c r="G204" s="2"/>
      <c r="H204" s="75" t="str">
        <f t="shared" si="4"/>
        <v>AE.1700</v>
      </c>
      <c r="I204" s="59" t="str">
        <f t="shared" si="5"/>
        <v>ok</v>
      </c>
      <c r="J204" s="77">
        <f>IFERROR(VLOOKUP($H204,TG[],3,FALSE),"NA")</f>
        <v>0</v>
      </c>
      <c r="K204" s="77" t="str">
        <f>IFERROR(VLOOKUP($H204,TF[],3,FALSE),"NA")</f>
        <v>NA</v>
      </c>
      <c r="L204" s="77" t="str">
        <f>IFERROR(VLOOKUP($H204,TT[],3,FALSE),"NA")</f>
        <v>NA</v>
      </c>
      <c r="M204" s="77" t="str">
        <f>IFERROR(VLOOKUP($H204,TES[],3,FALSE),"NA")</f>
        <v>NA</v>
      </c>
      <c r="N204" s="77" t="str">
        <f>IFERROR(VLOOKUP($H204,TEC[],3,FALSE),"NA")</f>
        <v>NA</v>
      </c>
      <c r="O204" s="77" t="str">
        <f>IFERROR(VLOOKUP($H204,TP[],3,FALSE),"NA")</f>
        <v>NA</v>
      </c>
      <c r="P204" s="77" t="str">
        <f>IFERROR(VLOOKUP($H204,TEN[],3,FALSE),"NA")</f>
        <v>NA</v>
      </c>
      <c r="Q204" s="77" t="str">
        <f>IFERROR(VLOOKUP($H204,TD[],3,FALSE),"NA")</f>
        <v>NA</v>
      </c>
      <c r="R204" s="77">
        <f>IFERROR(VLOOKUP($H204,TC[],3,FALSE),"NA")</f>
        <v>0</v>
      </c>
      <c r="S204" s="77" t="str">
        <f>IFERROR(VLOOKUP($H204,TEV[],3,FALSE),"NA")</f>
        <v>NA</v>
      </c>
      <c r="T204" s="79">
        <f>SUM(TbAlquiler[[#This Row],[GENERAL]:[ELEVADOR]])</f>
        <v>0</v>
      </c>
      <c r="U204" s="80">
        <f>IF(VLOOKUP(TbAlquiler[[#This Row],[ITEM]],TbPiezas[],5,FALSE)="NA",0,VLOOKUP(TbAlquiler[[#This Row],[ITEM]],TbPiezas[],5,FALSE))</f>
        <v>8.2000000000000028</v>
      </c>
      <c r="V204" s="81">
        <f>+TbAlquiler[[#This Row],[TOTAL]]*TbAlquiler[[#This Row],[P.U. (1)]]</f>
        <v>0</v>
      </c>
      <c r="W204" s="82">
        <f>+VLOOKUP(TbAlquiler[[#This Row],[ITEM]],TbPiezas[],6,FALSE)</f>
        <v>371.62</v>
      </c>
      <c r="X204" s="83">
        <f>+TbAlquiler[[#This Row],[TOTAL]]*TbAlquiler[[#This Row],[P.U. (2)]]</f>
        <v>0</v>
      </c>
      <c r="Y204" s="82">
        <f>+VLOOKUP(TbAlquiler[[#This Row],[ITEM]],TbPiezas[],7,FALSE)</f>
        <v>18.581</v>
      </c>
      <c r="Z204" s="84">
        <f>+TbAlquiler[[#This Row],[TOTAL]]*TbAlquiler[[#This Row],[P.U. (3)]]</f>
        <v>0</v>
      </c>
    </row>
    <row r="205" spans="1:26" ht="15" customHeight="1" x14ac:dyDescent="0.3">
      <c r="A205" s="2"/>
      <c r="B205" s="85">
        <v>189</v>
      </c>
      <c r="C205" s="71" t="s">
        <v>379</v>
      </c>
      <c r="D205" s="72" t="s">
        <v>380</v>
      </c>
      <c r="E205" s="73"/>
      <c r="F205" s="74">
        <f>+VLOOKUP(C205,TbAlquiler[],13,FALSE)</f>
        <v>0</v>
      </c>
      <c r="G205" s="2"/>
      <c r="H205" s="75" t="str">
        <f t="shared" si="4"/>
        <v>AE.1710</v>
      </c>
      <c r="I205" s="59" t="str">
        <f t="shared" si="5"/>
        <v>ok</v>
      </c>
      <c r="J205" s="77">
        <f>IFERROR(VLOOKUP($H205,TG[],3,FALSE),"NA")</f>
        <v>0</v>
      </c>
      <c r="K205" s="77" t="str">
        <f>IFERROR(VLOOKUP($H205,TF[],3,FALSE),"NA")</f>
        <v>NA</v>
      </c>
      <c r="L205" s="77" t="str">
        <f>IFERROR(VLOOKUP($H205,TT[],3,FALSE),"NA")</f>
        <v>NA</v>
      </c>
      <c r="M205" s="77" t="str">
        <f>IFERROR(VLOOKUP($H205,TES[],3,FALSE),"NA")</f>
        <v>NA</v>
      </c>
      <c r="N205" s="77" t="str">
        <f>IFERROR(VLOOKUP($H205,TEC[],3,FALSE),"NA")</f>
        <v>NA</v>
      </c>
      <c r="O205" s="77" t="str">
        <f>IFERROR(VLOOKUP($H205,TP[],3,FALSE),"NA")</f>
        <v>NA</v>
      </c>
      <c r="P205" s="77" t="str">
        <f>IFERROR(VLOOKUP($H205,TEN[],3,FALSE),"NA")</f>
        <v>NA</v>
      </c>
      <c r="Q205" s="77" t="str">
        <f>IFERROR(VLOOKUP($H205,TD[],3,FALSE),"NA")</f>
        <v>NA</v>
      </c>
      <c r="R205" s="77">
        <f>IFERROR(VLOOKUP($H205,TC[],3,FALSE),"NA")</f>
        <v>0</v>
      </c>
      <c r="S205" s="77" t="str">
        <f>IFERROR(VLOOKUP($H205,TEV[],3,FALSE),"NA")</f>
        <v>NA</v>
      </c>
      <c r="T205" s="79">
        <f>SUM(TbAlquiler[[#This Row],[GENERAL]:[ELEVADOR]])</f>
        <v>0</v>
      </c>
      <c r="U205" s="80">
        <f>IF(VLOOKUP(TbAlquiler[[#This Row],[ITEM]],TbPiezas[],5,FALSE)="NA",0,VLOOKUP(TbAlquiler[[#This Row],[ITEM]],TbPiezas[],5,FALSE))</f>
        <v>5.42</v>
      </c>
      <c r="V205" s="81">
        <f>+TbAlquiler[[#This Row],[TOTAL]]*TbAlquiler[[#This Row],[P.U. (1)]]</f>
        <v>0</v>
      </c>
      <c r="W205" s="82">
        <f>+VLOOKUP(TbAlquiler[[#This Row],[ITEM]],TbPiezas[],6,FALSE)</f>
        <v>247.75</v>
      </c>
      <c r="X205" s="83">
        <f>+TbAlquiler[[#This Row],[TOTAL]]*TbAlquiler[[#This Row],[P.U. (2)]]</f>
        <v>0</v>
      </c>
      <c r="Y205" s="82">
        <f>+VLOOKUP(TbAlquiler[[#This Row],[ITEM]],TbPiezas[],7,FALSE)</f>
        <v>12.387500000000001</v>
      </c>
      <c r="Z205" s="84">
        <f>+TbAlquiler[[#This Row],[TOTAL]]*TbAlquiler[[#This Row],[P.U. (3)]]</f>
        <v>0</v>
      </c>
    </row>
    <row r="206" spans="1:26" ht="15" customHeight="1" x14ac:dyDescent="0.3">
      <c r="A206" s="2"/>
      <c r="B206" s="85">
        <v>190</v>
      </c>
      <c r="C206" s="71" t="s">
        <v>381</v>
      </c>
      <c r="D206" s="72" t="s">
        <v>382</v>
      </c>
      <c r="E206" s="73"/>
      <c r="F206" s="74">
        <f>+VLOOKUP(C206,TbAlquiler[],13,FALSE)</f>
        <v>0</v>
      </c>
      <c r="G206" s="2"/>
      <c r="H206" s="75" t="str">
        <f t="shared" si="4"/>
        <v>AE.1800</v>
      </c>
      <c r="I206" s="59" t="str">
        <f t="shared" si="5"/>
        <v>ok</v>
      </c>
      <c r="J206" s="77">
        <f>IFERROR(VLOOKUP($H206,TG[],3,FALSE),"NA")</f>
        <v>0</v>
      </c>
      <c r="K206" s="77" t="str">
        <f>IFERROR(VLOOKUP($H206,TF[],3,FALSE),"NA")</f>
        <v>NA</v>
      </c>
      <c r="L206" s="77" t="str">
        <f>IFERROR(VLOOKUP($H206,TT[],3,FALSE),"NA")</f>
        <v>NA</v>
      </c>
      <c r="M206" s="77" t="str">
        <f>IFERROR(VLOOKUP($H206,TES[],3,FALSE),"NA")</f>
        <v>NA</v>
      </c>
      <c r="N206" s="77" t="str">
        <f>IFERROR(VLOOKUP($H206,TEC[],3,FALSE),"NA")</f>
        <v>NA</v>
      </c>
      <c r="O206" s="77" t="str">
        <f>IFERROR(VLOOKUP($H206,TP[],3,FALSE),"NA")</f>
        <v>NA</v>
      </c>
      <c r="P206" s="77" t="str">
        <f>IFERROR(VLOOKUP($H206,TEN[],3,FALSE),"NA")</f>
        <v>NA</v>
      </c>
      <c r="Q206" s="77" t="str">
        <f>IFERROR(VLOOKUP($H206,TD[],3,FALSE),"NA")</f>
        <v>NA</v>
      </c>
      <c r="R206" s="77">
        <f>IFERROR(VLOOKUP($H206,TC[],3,FALSE),"NA")</f>
        <v>0</v>
      </c>
      <c r="S206" s="77" t="str">
        <f>IFERROR(VLOOKUP($H206,TEV[],3,FALSE),"NA")</f>
        <v>NA</v>
      </c>
      <c r="T206" s="79">
        <f>SUM(TbAlquiler[[#This Row],[GENERAL]:[ELEVADOR]])</f>
        <v>0</v>
      </c>
      <c r="U206" s="80">
        <f>IF(VLOOKUP(TbAlquiler[[#This Row],[ITEM]],TbPiezas[],5,FALSE)="NA",0,VLOOKUP(TbAlquiler[[#This Row],[ITEM]],TbPiezas[],5,FALSE))</f>
        <v>4.0999999999999943</v>
      </c>
      <c r="V206" s="81">
        <f>+TbAlquiler[[#This Row],[TOTAL]]*TbAlquiler[[#This Row],[P.U. (1)]]</f>
        <v>0</v>
      </c>
      <c r="W206" s="82">
        <f>+VLOOKUP(TbAlquiler[[#This Row],[ITEM]],TbPiezas[],6,FALSE)</f>
        <v>439.15</v>
      </c>
      <c r="X206" s="83">
        <f>+TbAlquiler[[#This Row],[TOTAL]]*TbAlquiler[[#This Row],[P.U. (2)]]</f>
        <v>0</v>
      </c>
      <c r="Y206" s="82">
        <f>+VLOOKUP(TbAlquiler[[#This Row],[ITEM]],TbPiezas[],7,FALSE)</f>
        <v>21.9575</v>
      </c>
      <c r="Z206" s="84">
        <f>+TbAlquiler[[#This Row],[TOTAL]]*TbAlquiler[[#This Row],[P.U. (3)]]</f>
        <v>0</v>
      </c>
    </row>
    <row r="207" spans="1:26" ht="15" customHeight="1" x14ac:dyDescent="0.3">
      <c r="A207" s="2"/>
      <c r="B207" s="85">
        <v>191</v>
      </c>
      <c r="C207" s="71" t="s">
        <v>383</v>
      </c>
      <c r="D207" s="72" t="s">
        <v>384</v>
      </c>
      <c r="E207" s="73"/>
      <c r="F207" s="74">
        <f>+VLOOKUP(C207,TbAlquiler[],13,FALSE)</f>
        <v>0</v>
      </c>
      <c r="G207" s="2"/>
      <c r="H207" s="75" t="str">
        <f t="shared" si="4"/>
        <v>AE.1900</v>
      </c>
      <c r="I207" s="59" t="str">
        <f t="shared" si="5"/>
        <v>ok</v>
      </c>
      <c r="J207" s="77">
        <f>IFERROR(VLOOKUP($H207,TG[],3,FALSE),"NA")</f>
        <v>0</v>
      </c>
      <c r="K207" s="77" t="str">
        <f>IFERROR(VLOOKUP($H207,TF[],3,FALSE),"NA")</f>
        <v>NA</v>
      </c>
      <c r="L207" s="77" t="str">
        <f>IFERROR(VLOOKUP($H207,TT[],3,FALSE),"NA")</f>
        <v>NA</v>
      </c>
      <c r="M207" s="77" t="str">
        <f>IFERROR(VLOOKUP($H207,TES[],3,FALSE),"NA")</f>
        <v>NA</v>
      </c>
      <c r="N207" s="77" t="str">
        <f>IFERROR(VLOOKUP($H207,TEC[],3,FALSE),"NA")</f>
        <v>NA</v>
      </c>
      <c r="O207" s="77" t="str">
        <f>IFERROR(VLOOKUP($H207,TP[],3,FALSE),"NA")</f>
        <v>NA</v>
      </c>
      <c r="P207" s="77" t="str">
        <f>IFERROR(VLOOKUP($H207,TEN[],3,FALSE),"NA")</f>
        <v>NA</v>
      </c>
      <c r="Q207" s="77" t="str">
        <f>IFERROR(VLOOKUP($H207,TD[],3,FALSE),"NA")</f>
        <v>NA</v>
      </c>
      <c r="R207" s="77">
        <f>IFERROR(VLOOKUP($H207,TC[],3,FALSE),"NA")</f>
        <v>0</v>
      </c>
      <c r="S207" s="77" t="str">
        <f>IFERROR(VLOOKUP($H207,TEV[],3,FALSE),"NA")</f>
        <v>NA</v>
      </c>
      <c r="T207" s="79">
        <f>SUM(TbAlquiler[[#This Row],[GENERAL]:[ELEVADOR]])</f>
        <v>0</v>
      </c>
      <c r="U207" s="80">
        <f>IF(VLOOKUP(TbAlquiler[[#This Row],[ITEM]],TbPiezas[],5,FALSE)="NA",0,VLOOKUP(TbAlquiler[[#This Row],[ITEM]],TbPiezas[],5,FALSE))</f>
        <v>4.0999999999999943</v>
      </c>
      <c r="V207" s="81">
        <f>+TbAlquiler[[#This Row],[TOTAL]]*TbAlquiler[[#This Row],[P.U. (1)]]</f>
        <v>0</v>
      </c>
      <c r="W207" s="82">
        <f>+VLOOKUP(TbAlquiler[[#This Row],[ITEM]],TbPiezas[],6,FALSE)</f>
        <v>439.15</v>
      </c>
      <c r="X207" s="83">
        <f>+TbAlquiler[[#This Row],[TOTAL]]*TbAlquiler[[#This Row],[P.U. (2)]]</f>
        <v>0</v>
      </c>
      <c r="Y207" s="82">
        <f>+VLOOKUP(TbAlquiler[[#This Row],[ITEM]],TbPiezas[],7,FALSE)</f>
        <v>21.9575</v>
      </c>
      <c r="Z207" s="84">
        <f>+TbAlquiler[[#This Row],[TOTAL]]*TbAlquiler[[#This Row],[P.U. (3)]]</f>
        <v>0</v>
      </c>
    </row>
    <row r="208" spans="1:26" ht="15" customHeight="1" x14ac:dyDescent="0.3">
      <c r="A208" s="2"/>
      <c r="B208" s="85">
        <v>192</v>
      </c>
      <c r="C208" s="71" t="s">
        <v>385</v>
      </c>
      <c r="D208" s="72" t="s">
        <v>386</v>
      </c>
      <c r="E208" s="73"/>
      <c r="F208" s="74">
        <f>+VLOOKUP(C208,TbAlquiler[],13,FALSE)</f>
        <v>0</v>
      </c>
      <c r="G208" s="2"/>
      <c r="H208" s="75" t="str">
        <f t="shared" si="4"/>
        <v>AE.2000</v>
      </c>
      <c r="I208" s="59" t="str">
        <f t="shared" si="5"/>
        <v>ok</v>
      </c>
      <c r="J208" s="77">
        <f>IFERROR(VLOOKUP($H208,TG[],3,FALSE),"NA")</f>
        <v>0</v>
      </c>
      <c r="K208" s="77" t="str">
        <f>IFERROR(VLOOKUP($H208,TF[],3,FALSE),"NA")</f>
        <v>NA</v>
      </c>
      <c r="L208" s="77" t="str">
        <f>IFERROR(VLOOKUP($H208,TT[],3,FALSE),"NA")</f>
        <v>NA</v>
      </c>
      <c r="M208" s="77" t="str">
        <f>IFERROR(VLOOKUP($H208,TES[],3,FALSE),"NA")</f>
        <v>NA</v>
      </c>
      <c r="N208" s="77" t="str">
        <f>IFERROR(VLOOKUP($H208,TEC[],3,FALSE),"NA")</f>
        <v>NA</v>
      </c>
      <c r="O208" s="77" t="str">
        <f>IFERROR(VLOOKUP($H208,TP[],3,FALSE),"NA")</f>
        <v>NA</v>
      </c>
      <c r="P208" s="77" t="str">
        <f>IFERROR(VLOOKUP($H208,TEN[],3,FALSE),"NA")</f>
        <v>NA</v>
      </c>
      <c r="Q208" s="77" t="str">
        <f>IFERROR(VLOOKUP($H208,TD[],3,FALSE),"NA")</f>
        <v>NA</v>
      </c>
      <c r="R208" s="77">
        <f>IFERROR(VLOOKUP($H208,TC[],3,FALSE),"NA")</f>
        <v>0</v>
      </c>
      <c r="S208" s="77" t="str">
        <f>IFERROR(VLOOKUP($H208,TEV[],3,FALSE),"NA")</f>
        <v>NA</v>
      </c>
      <c r="T208" s="79">
        <f>SUM(TbAlquiler[[#This Row],[GENERAL]:[ELEVADOR]])</f>
        <v>0</v>
      </c>
      <c r="U208" s="80">
        <f>IF(VLOOKUP(TbAlquiler[[#This Row],[ITEM]],TbPiezas[],5,FALSE)="NA",0,VLOOKUP(TbAlquiler[[#This Row],[ITEM]],TbPiezas[],5,FALSE))</f>
        <v>2.8999999999999915</v>
      </c>
      <c r="V208" s="81">
        <f>+TbAlquiler[[#This Row],[TOTAL]]*TbAlquiler[[#This Row],[P.U. (1)]]</f>
        <v>0</v>
      </c>
      <c r="W208" s="82">
        <f>+VLOOKUP(TbAlquiler[[#This Row],[ITEM]],TbPiezas[],6,FALSE)</f>
        <v>20.329999999999998</v>
      </c>
      <c r="X208" s="83">
        <f>+TbAlquiler[[#This Row],[TOTAL]]*TbAlquiler[[#This Row],[P.U. (2)]]</f>
        <v>0</v>
      </c>
      <c r="Y208" s="82">
        <f>+VLOOKUP(TbAlquiler[[#This Row],[ITEM]],TbPiezas[],7,FALSE)</f>
        <v>1.0165</v>
      </c>
      <c r="Z208" s="84">
        <f>+TbAlquiler[[#This Row],[TOTAL]]*TbAlquiler[[#This Row],[P.U. (3)]]</f>
        <v>0</v>
      </c>
    </row>
    <row r="209" spans="1:26" ht="15" customHeight="1" x14ac:dyDescent="0.3">
      <c r="A209" s="2"/>
      <c r="B209" s="85">
        <v>193</v>
      </c>
      <c r="C209" s="71" t="s">
        <v>387</v>
      </c>
      <c r="D209" s="72" t="s">
        <v>388</v>
      </c>
      <c r="E209" s="73"/>
      <c r="F209" s="74">
        <f>+VLOOKUP(C209,TbAlquiler[],13,FALSE)</f>
        <v>0</v>
      </c>
      <c r="G209" s="2"/>
      <c r="H209" s="75" t="str">
        <f t="shared" si="4"/>
        <v>AE.2100</v>
      </c>
      <c r="I209" s="59" t="str">
        <f t="shared" si="5"/>
        <v>ok</v>
      </c>
      <c r="J209" s="77">
        <f>IFERROR(VLOOKUP($H209,TG[],3,FALSE),"NA")</f>
        <v>0</v>
      </c>
      <c r="K209" s="77" t="str">
        <f>IFERROR(VLOOKUP($H209,TF[],3,FALSE),"NA")</f>
        <v>NA</v>
      </c>
      <c r="L209" s="77" t="str">
        <f>IFERROR(VLOOKUP($H209,TT[],3,FALSE),"NA")</f>
        <v>NA</v>
      </c>
      <c r="M209" s="77" t="str">
        <f>IFERROR(VLOOKUP($H209,TES[],3,FALSE),"NA")</f>
        <v>NA</v>
      </c>
      <c r="N209" s="77" t="str">
        <f>IFERROR(VLOOKUP($H209,TEC[],3,FALSE),"NA")</f>
        <v>NA</v>
      </c>
      <c r="O209" s="77" t="str">
        <f>IFERROR(VLOOKUP($H209,TP[],3,FALSE),"NA")</f>
        <v>NA</v>
      </c>
      <c r="P209" s="77" t="str">
        <f>IFERROR(VLOOKUP($H209,TEN[],3,FALSE),"NA")</f>
        <v>NA</v>
      </c>
      <c r="Q209" s="77" t="str">
        <f>IFERROR(VLOOKUP($H209,TD[],3,FALSE),"NA")</f>
        <v>NA</v>
      </c>
      <c r="R209" s="77">
        <f>IFERROR(VLOOKUP($H209,TC[],3,FALSE),"NA")</f>
        <v>0</v>
      </c>
      <c r="S209" s="77" t="str">
        <f>IFERROR(VLOOKUP($H209,TEV[],3,FALSE),"NA")</f>
        <v>NA</v>
      </c>
      <c r="T209" s="79">
        <f>SUM(TbAlquiler[[#This Row],[GENERAL]:[ELEVADOR]])</f>
        <v>0</v>
      </c>
      <c r="U209" s="80">
        <f>IF(VLOOKUP(TbAlquiler[[#This Row],[ITEM]],TbPiezas[],5,FALSE)="NA",0,VLOOKUP(TbAlquiler[[#This Row],[ITEM]],TbPiezas[],5,FALSE))</f>
        <v>2.8999999999999915</v>
      </c>
      <c r="V209" s="81">
        <f>+TbAlquiler[[#This Row],[TOTAL]]*TbAlquiler[[#This Row],[P.U. (1)]]</f>
        <v>0</v>
      </c>
      <c r="W209" s="82">
        <f>+VLOOKUP(TbAlquiler[[#This Row],[ITEM]],TbPiezas[],6,FALSE)</f>
        <v>337.48</v>
      </c>
      <c r="X209" s="83">
        <f>+TbAlquiler[[#This Row],[TOTAL]]*TbAlquiler[[#This Row],[P.U. (2)]]</f>
        <v>0</v>
      </c>
      <c r="Y209" s="82">
        <f>+VLOOKUP(TbAlquiler[[#This Row],[ITEM]],TbPiezas[],7,FALSE)</f>
        <v>16.874000000000002</v>
      </c>
      <c r="Z209" s="84">
        <f>+TbAlquiler[[#This Row],[TOTAL]]*TbAlquiler[[#This Row],[P.U. (3)]]</f>
        <v>0</v>
      </c>
    </row>
    <row r="210" spans="1:26" ht="15" customHeight="1" x14ac:dyDescent="0.3">
      <c r="A210" s="2"/>
      <c r="B210" s="85">
        <v>194</v>
      </c>
      <c r="C210" s="71" t="s">
        <v>389</v>
      </c>
      <c r="D210" s="72" t="s">
        <v>390</v>
      </c>
      <c r="E210" s="73"/>
      <c r="F210" s="74">
        <f>+VLOOKUP(C210,TbAlquiler[],13,FALSE)</f>
        <v>0</v>
      </c>
      <c r="G210" s="2"/>
      <c r="H210" s="75" t="str">
        <f t="shared" ref="H210:H273" si="6">+C210</f>
        <v>AE.2200</v>
      </c>
      <c r="I210" s="59" t="str">
        <f t="shared" ref="I210:I273" si="7">+IF(C210=H210,"ok","mal")</f>
        <v>ok</v>
      </c>
      <c r="J210" s="77">
        <f>IFERROR(VLOOKUP($H210,TG[],3,FALSE),"NA")</f>
        <v>0</v>
      </c>
      <c r="K210" s="77" t="str">
        <f>IFERROR(VLOOKUP($H210,TF[],3,FALSE),"NA")</f>
        <v>NA</v>
      </c>
      <c r="L210" s="77" t="str">
        <f>IFERROR(VLOOKUP($H210,TT[],3,FALSE),"NA")</f>
        <v>NA</v>
      </c>
      <c r="M210" s="77" t="str">
        <f>IFERROR(VLOOKUP($H210,TES[],3,FALSE),"NA")</f>
        <v>NA</v>
      </c>
      <c r="N210" s="77" t="str">
        <f>IFERROR(VLOOKUP($H210,TEC[],3,FALSE),"NA")</f>
        <v>NA</v>
      </c>
      <c r="O210" s="77" t="str">
        <f>IFERROR(VLOOKUP($H210,TP[],3,FALSE),"NA")</f>
        <v>NA</v>
      </c>
      <c r="P210" s="77" t="str">
        <f>IFERROR(VLOOKUP($H210,TEN[],3,FALSE),"NA")</f>
        <v>NA</v>
      </c>
      <c r="Q210" s="77" t="str">
        <f>IFERROR(VLOOKUP($H210,TD[],3,FALSE),"NA")</f>
        <v>NA</v>
      </c>
      <c r="R210" s="77">
        <f>IFERROR(VLOOKUP($H210,TC[],3,FALSE),"NA")</f>
        <v>0</v>
      </c>
      <c r="S210" s="77" t="str">
        <f>IFERROR(VLOOKUP($H210,TEV[],3,FALSE),"NA")</f>
        <v>NA</v>
      </c>
      <c r="T210" s="79">
        <f>SUM(TbAlquiler[[#This Row],[GENERAL]:[ELEVADOR]])</f>
        <v>0</v>
      </c>
      <c r="U210" s="80">
        <f>IF(VLOOKUP(TbAlquiler[[#This Row],[ITEM]],TbPiezas[],5,FALSE)="NA",0,VLOOKUP(TbAlquiler[[#This Row],[ITEM]],TbPiezas[],5,FALSE))</f>
        <v>3</v>
      </c>
      <c r="V210" s="81">
        <f>+TbAlquiler[[#This Row],[TOTAL]]*TbAlquiler[[#This Row],[P.U. (1)]]</f>
        <v>0</v>
      </c>
      <c r="W210" s="82">
        <f>+VLOOKUP(TbAlquiler[[#This Row],[ITEM]],TbPiezas[],6,FALSE)</f>
        <v>337.48</v>
      </c>
      <c r="X210" s="83">
        <f>+TbAlquiler[[#This Row],[TOTAL]]*TbAlquiler[[#This Row],[P.U. (2)]]</f>
        <v>0</v>
      </c>
      <c r="Y210" s="82">
        <f>+VLOOKUP(TbAlquiler[[#This Row],[ITEM]],TbPiezas[],7,FALSE)</f>
        <v>16.874000000000002</v>
      </c>
      <c r="Z210" s="84">
        <f>+TbAlquiler[[#This Row],[TOTAL]]*TbAlquiler[[#This Row],[P.U. (3)]]</f>
        <v>0</v>
      </c>
    </row>
    <row r="211" spans="1:26" ht="15" customHeight="1" x14ac:dyDescent="0.3">
      <c r="A211" s="2"/>
      <c r="B211" s="85">
        <v>195</v>
      </c>
      <c r="C211" s="71" t="s">
        <v>391</v>
      </c>
      <c r="D211" s="72" t="s">
        <v>392</v>
      </c>
      <c r="E211" s="73"/>
      <c r="F211" s="74">
        <f>+VLOOKUP(C211,TbAlquiler[],13,FALSE)</f>
        <v>0</v>
      </c>
      <c r="G211" s="2"/>
      <c r="H211" s="75" t="str">
        <f t="shared" si="6"/>
        <v>AE.2300</v>
      </c>
      <c r="I211" s="59" t="str">
        <f t="shared" si="7"/>
        <v>ok</v>
      </c>
      <c r="J211" s="77">
        <f>IFERROR(VLOOKUP($H211,TG[],3,FALSE),"NA")</f>
        <v>0</v>
      </c>
      <c r="K211" s="77" t="str">
        <f>IFERROR(VLOOKUP($H211,TF[],3,FALSE),"NA")</f>
        <v>NA</v>
      </c>
      <c r="L211" s="77" t="str">
        <f>IFERROR(VLOOKUP($H211,TT[],3,FALSE),"NA")</f>
        <v>NA</v>
      </c>
      <c r="M211" s="77" t="str">
        <f>IFERROR(VLOOKUP($H211,TES[],3,FALSE),"NA")</f>
        <v>NA</v>
      </c>
      <c r="N211" s="77" t="str">
        <f>IFERROR(VLOOKUP($H211,TEC[],3,FALSE),"NA")</f>
        <v>NA</v>
      </c>
      <c r="O211" s="77" t="str">
        <f>IFERROR(VLOOKUP($H211,TP[],3,FALSE),"NA")</f>
        <v>NA</v>
      </c>
      <c r="P211" s="77" t="str">
        <f>IFERROR(VLOOKUP($H211,TEN[],3,FALSE),"NA")</f>
        <v>NA</v>
      </c>
      <c r="Q211" s="77" t="str">
        <f>IFERROR(VLOOKUP($H211,TD[],3,FALSE),"NA")</f>
        <v>NA</v>
      </c>
      <c r="R211" s="77">
        <f>IFERROR(VLOOKUP($H211,TC[],3,FALSE),"NA")</f>
        <v>0</v>
      </c>
      <c r="S211" s="77" t="str">
        <f>IFERROR(VLOOKUP($H211,TEV[],3,FALSE),"NA")</f>
        <v>NA</v>
      </c>
      <c r="T211" s="79">
        <f>SUM(TbAlquiler[[#This Row],[GENERAL]:[ELEVADOR]])</f>
        <v>0</v>
      </c>
      <c r="U211" s="80">
        <f>IF(VLOOKUP(TbAlquiler[[#This Row],[ITEM]],TbPiezas[],5,FALSE)="NA",0,VLOOKUP(TbAlquiler[[#This Row],[ITEM]],TbPiezas[],5,FALSE))</f>
        <v>1.2000000000000028</v>
      </c>
      <c r="V211" s="81">
        <f>+TbAlquiler[[#This Row],[TOTAL]]*TbAlquiler[[#This Row],[P.U. (1)]]</f>
        <v>0</v>
      </c>
      <c r="W211" s="82">
        <f>+VLOOKUP(TbAlquiler[[#This Row],[ITEM]],TbPiezas[],6,FALSE)</f>
        <v>210.09</v>
      </c>
      <c r="X211" s="83">
        <f>+TbAlquiler[[#This Row],[TOTAL]]*TbAlquiler[[#This Row],[P.U. (2)]]</f>
        <v>0</v>
      </c>
      <c r="Y211" s="82">
        <f>+VLOOKUP(TbAlquiler[[#This Row],[ITEM]],TbPiezas[],7,FALSE)</f>
        <v>10.5045</v>
      </c>
      <c r="Z211" s="84">
        <f>+TbAlquiler[[#This Row],[TOTAL]]*TbAlquiler[[#This Row],[P.U. (3)]]</f>
        <v>0</v>
      </c>
    </row>
    <row r="212" spans="1:26" ht="15" customHeight="1" x14ac:dyDescent="0.3">
      <c r="A212" s="2"/>
      <c r="B212" s="85">
        <v>196</v>
      </c>
      <c r="C212" s="71" t="s">
        <v>393</v>
      </c>
      <c r="D212" s="72" t="s">
        <v>394</v>
      </c>
      <c r="E212" s="73"/>
      <c r="F212" s="74">
        <f>+VLOOKUP(C212,TbAlquiler[],13,FALSE)</f>
        <v>0</v>
      </c>
      <c r="G212" s="2"/>
      <c r="H212" s="75" t="str">
        <f t="shared" si="6"/>
        <v>AE.2400</v>
      </c>
      <c r="I212" s="59" t="str">
        <f t="shared" si="7"/>
        <v>ok</v>
      </c>
      <c r="J212" s="77">
        <f>IFERROR(VLOOKUP($H212,TG[],3,FALSE),"NA")</f>
        <v>0</v>
      </c>
      <c r="K212" s="77" t="str">
        <f>IFERROR(VLOOKUP($H212,TF[],3,FALSE),"NA")</f>
        <v>NA</v>
      </c>
      <c r="L212" s="77" t="str">
        <f>IFERROR(VLOOKUP($H212,TT[],3,FALSE),"NA")</f>
        <v>NA</v>
      </c>
      <c r="M212" s="77" t="str">
        <f>IFERROR(VLOOKUP($H212,TES[],3,FALSE),"NA")</f>
        <v>NA</v>
      </c>
      <c r="N212" s="77" t="str">
        <f>IFERROR(VLOOKUP($H212,TEC[],3,FALSE),"NA")</f>
        <v>NA</v>
      </c>
      <c r="O212" s="77" t="str">
        <f>IFERROR(VLOOKUP($H212,TP[],3,FALSE),"NA")</f>
        <v>NA</v>
      </c>
      <c r="P212" s="77" t="str">
        <f>IFERROR(VLOOKUP($H212,TEN[],3,FALSE),"NA")</f>
        <v>NA</v>
      </c>
      <c r="Q212" s="77" t="str">
        <f>IFERROR(VLOOKUP($H212,TD[],3,FALSE),"NA")</f>
        <v>NA</v>
      </c>
      <c r="R212" s="77">
        <f>IFERROR(VLOOKUP($H212,TC[],3,FALSE),"NA")</f>
        <v>0</v>
      </c>
      <c r="S212" s="77" t="str">
        <f>IFERROR(VLOOKUP($H212,TEV[],3,FALSE),"NA")</f>
        <v>NA</v>
      </c>
      <c r="T212" s="79">
        <f>SUM(TbAlquiler[[#This Row],[GENERAL]:[ELEVADOR]])</f>
        <v>0</v>
      </c>
      <c r="U212" s="80">
        <f>IF(VLOOKUP(TbAlquiler[[#This Row],[ITEM]],TbPiezas[],5,FALSE)="NA",0,VLOOKUP(TbAlquiler[[#This Row],[ITEM]],TbPiezas[],5,FALSE))</f>
        <v>1.7999999999999972</v>
      </c>
      <c r="V212" s="81">
        <f>+TbAlquiler[[#This Row],[TOTAL]]*TbAlquiler[[#This Row],[P.U. (1)]]</f>
        <v>0</v>
      </c>
      <c r="W212" s="82">
        <f>+VLOOKUP(TbAlquiler[[#This Row],[ITEM]],TbPiezas[],6,FALSE)</f>
        <v>337.48</v>
      </c>
      <c r="X212" s="83">
        <f>+TbAlquiler[[#This Row],[TOTAL]]*TbAlquiler[[#This Row],[P.U. (2)]]</f>
        <v>0</v>
      </c>
      <c r="Y212" s="82">
        <f>+VLOOKUP(TbAlquiler[[#This Row],[ITEM]],TbPiezas[],7,FALSE)</f>
        <v>16.874000000000002</v>
      </c>
      <c r="Z212" s="84">
        <f>+TbAlquiler[[#This Row],[TOTAL]]*TbAlquiler[[#This Row],[P.U. (3)]]</f>
        <v>0</v>
      </c>
    </row>
    <row r="213" spans="1:26" ht="15" customHeight="1" x14ac:dyDescent="0.3">
      <c r="A213" s="2"/>
      <c r="B213" s="85">
        <v>197</v>
      </c>
      <c r="C213" s="71" t="s">
        <v>395</v>
      </c>
      <c r="D213" s="72" t="s">
        <v>396</v>
      </c>
      <c r="E213" s="73"/>
      <c r="F213" s="74">
        <f>+VLOOKUP(C213,TbAlquiler[],13,FALSE)</f>
        <v>0</v>
      </c>
      <c r="G213" s="2"/>
      <c r="H213" s="75" t="str">
        <f t="shared" si="6"/>
        <v>AE.2500</v>
      </c>
      <c r="I213" s="59" t="str">
        <f t="shared" si="7"/>
        <v>ok</v>
      </c>
      <c r="J213" s="77">
        <f>IFERROR(VLOOKUP($H213,TG[],3,FALSE),"NA")</f>
        <v>0</v>
      </c>
      <c r="K213" s="77" t="str">
        <f>IFERROR(VLOOKUP($H213,TF[],3,FALSE),"NA")</f>
        <v>NA</v>
      </c>
      <c r="L213" s="77" t="str">
        <f>IFERROR(VLOOKUP($H213,TT[],3,FALSE),"NA")</f>
        <v>NA</v>
      </c>
      <c r="M213" s="77" t="str">
        <f>IFERROR(VLOOKUP($H213,TES[],3,FALSE),"NA")</f>
        <v>NA</v>
      </c>
      <c r="N213" s="77" t="str">
        <f>IFERROR(VLOOKUP($H213,TEC[],3,FALSE),"NA")</f>
        <v>NA</v>
      </c>
      <c r="O213" s="77" t="str">
        <f>IFERROR(VLOOKUP($H213,TP[],3,FALSE),"NA")</f>
        <v>NA</v>
      </c>
      <c r="P213" s="77" t="str">
        <f>IFERROR(VLOOKUP($H213,TEN[],3,FALSE),"NA")</f>
        <v>NA</v>
      </c>
      <c r="Q213" s="77" t="str">
        <f>IFERROR(VLOOKUP($H213,TD[],3,FALSE),"NA")</f>
        <v>NA</v>
      </c>
      <c r="R213" s="77">
        <f>IFERROR(VLOOKUP($H213,TC[],3,FALSE),"NA")</f>
        <v>0</v>
      </c>
      <c r="S213" s="77" t="str">
        <f>IFERROR(VLOOKUP($H213,TEV[],3,FALSE),"NA")</f>
        <v>NA</v>
      </c>
      <c r="T213" s="79">
        <f>SUM(TbAlquiler[[#This Row],[GENERAL]:[ELEVADOR]])</f>
        <v>0</v>
      </c>
      <c r="U213" s="80">
        <f>IF(VLOOKUP(TbAlquiler[[#This Row],[ITEM]],TbPiezas[],5,FALSE)="NA",0,VLOOKUP(TbAlquiler[[#This Row],[ITEM]],TbPiezas[],5,FALSE))</f>
        <v>3.0999999999999943</v>
      </c>
      <c r="V213" s="81">
        <f>+TbAlquiler[[#This Row],[TOTAL]]*TbAlquiler[[#This Row],[P.U. (1)]]</f>
        <v>0</v>
      </c>
      <c r="W213" s="82">
        <f>+VLOOKUP(TbAlquiler[[#This Row],[ITEM]],TbPiezas[],6,FALSE)</f>
        <v>210.09</v>
      </c>
      <c r="X213" s="83">
        <f>+TbAlquiler[[#This Row],[TOTAL]]*TbAlquiler[[#This Row],[P.U. (2)]]</f>
        <v>0</v>
      </c>
      <c r="Y213" s="82">
        <f>+VLOOKUP(TbAlquiler[[#This Row],[ITEM]],TbPiezas[],7,FALSE)</f>
        <v>10.5045</v>
      </c>
      <c r="Z213" s="84">
        <f>+TbAlquiler[[#This Row],[TOTAL]]*TbAlquiler[[#This Row],[P.U. (3)]]</f>
        <v>0</v>
      </c>
    </row>
    <row r="214" spans="1:26" ht="15" customHeight="1" x14ac:dyDescent="0.3">
      <c r="A214" s="2"/>
      <c r="B214" s="85">
        <v>198</v>
      </c>
      <c r="C214" s="71" t="s">
        <v>397</v>
      </c>
      <c r="D214" s="72" t="s">
        <v>398</v>
      </c>
      <c r="E214" s="73"/>
      <c r="F214" s="74">
        <f>+VLOOKUP(C214,TbAlquiler[],13,FALSE)</f>
        <v>0</v>
      </c>
      <c r="G214" s="2"/>
      <c r="H214" s="75" t="str">
        <f t="shared" si="6"/>
        <v>AE.2600</v>
      </c>
      <c r="I214" s="59" t="str">
        <f t="shared" si="7"/>
        <v>ok</v>
      </c>
      <c r="J214" s="77">
        <f>IFERROR(VLOOKUP($H214,TG[],3,FALSE),"NA")</f>
        <v>0</v>
      </c>
      <c r="K214" s="77" t="str">
        <f>IFERROR(VLOOKUP($H214,TF[],3,FALSE),"NA")</f>
        <v>NA</v>
      </c>
      <c r="L214" s="77" t="str">
        <f>IFERROR(VLOOKUP($H214,TT[],3,FALSE),"NA")</f>
        <v>NA</v>
      </c>
      <c r="M214" s="77" t="str">
        <f>IFERROR(VLOOKUP($H214,TES[],3,FALSE),"NA")</f>
        <v>NA</v>
      </c>
      <c r="N214" s="77" t="str">
        <f>IFERROR(VLOOKUP($H214,TEC[],3,FALSE),"NA")</f>
        <v>NA</v>
      </c>
      <c r="O214" s="77" t="str">
        <f>IFERROR(VLOOKUP($H214,TP[],3,FALSE),"NA")</f>
        <v>NA</v>
      </c>
      <c r="P214" s="77" t="str">
        <f>IFERROR(VLOOKUP($H214,TEN[],3,FALSE),"NA")</f>
        <v>NA</v>
      </c>
      <c r="Q214" s="77" t="str">
        <f>IFERROR(VLOOKUP($H214,TD[],3,FALSE),"NA")</f>
        <v>NA</v>
      </c>
      <c r="R214" s="77">
        <f>IFERROR(VLOOKUP($H214,TC[],3,FALSE),"NA")</f>
        <v>0</v>
      </c>
      <c r="S214" s="77" t="str">
        <f>IFERROR(VLOOKUP($H214,TEV[],3,FALSE),"NA")</f>
        <v>NA</v>
      </c>
      <c r="T214" s="79">
        <f>SUM(TbAlquiler[[#This Row],[GENERAL]:[ELEVADOR]])</f>
        <v>0</v>
      </c>
      <c r="U214" s="80">
        <f>IF(VLOOKUP(TbAlquiler[[#This Row],[ITEM]],TbPiezas[],5,FALSE)="NA",0,VLOOKUP(TbAlquiler[[#This Row],[ITEM]],TbPiezas[],5,FALSE))</f>
        <v>4.9999999999997158E-2</v>
      </c>
      <c r="V214" s="81">
        <f>+TbAlquiler[[#This Row],[TOTAL]]*TbAlquiler[[#This Row],[P.U. (1)]]</f>
        <v>0</v>
      </c>
      <c r="W214" s="82">
        <f>+VLOOKUP(TbAlquiler[[#This Row],[ITEM]],TbPiezas[],6,FALSE)</f>
        <v>32.22</v>
      </c>
      <c r="X214" s="83">
        <f>+TbAlquiler[[#This Row],[TOTAL]]*TbAlquiler[[#This Row],[P.U. (2)]]</f>
        <v>0</v>
      </c>
      <c r="Y214" s="82">
        <f>+VLOOKUP(TbAlquiler[[#This Row],[ITEM]],TbPiezas[],7,FALSE)</f>
        <v>1.611</v>
      </c>
      <c r="Z214" s="84">
        <f>+TbAlquiler[[#This Row],[TOTAL]]*TbAlquiler[[#This Row],[P.U. (3)]]</f>
        <v>0</v>
      </c>
    </row>
    <row r="215" spans="1:26" ht="15" customHeight="1" x14ac:dyDescent="0.3">
      <c r="A215" s="2"/>
      <c r="B215" s="85">
        <v>199</v>
      </c>
      <c r="C215" s="71" t="s">
        <v>399</v>
      </c>
      <c r="D215" s="72" t="s">
        <v>400</v>
      </c>
      <c r="E215" s="73"/>
      <c r="F215" s="74">
        <f>+VLOOKUP(C215,TbAlquiler[],13,FALSE)</f>
        <v>0</v>
      </c>
      <c r="G215" s="2"/>
      <c r="H215" s="75" t="str">
        <f t="shared" si="6"/>
        <v>AE.2700</v>
      </c>
      <c r="I215" s="59" t="str">
        <f t="shared" si="7"/>
        <v>ok</v>
      </c>
      <c r="J215" s="77">
        <f>IFERROR(VLOOKUP($H215,TG[],3,FALSE),"NA")</f>
        <v>0</v>
      </c>
      <c r="K215" s="77" t="str">
        <f>IFERROR(VLOOKUP($H215,TF[],3,FALSE),"NA")</f>
        <v>NA</v>
      </c>
      <c r="L215" s="77" t="str">
        <f>IFERROR(VLOOKUP($H215,TT[],3,FALSE),"NA")</f>
        <v>NA</v>
      </c>
      <c r="M215" s="77" t="str">
        <f>IFERROR(VLOOKUP($H215,TES[],3,FALSE),"NA")</f>
        <v>NA</v>
      </c>
      <c r="N215" s="77" t="str">
        <f>IFERROR(VLOOKUP($H215,TEC[],3,FALSE),"NA")</f>
        <v>NA</v>
      </c>
      <c r="O215" s="77" t="str">
        <f>IFERROR(VLOOKUP($H215,TP[],3,FALSE),"NA")</f>
        <v>NA</v>
      </c>
      <c r="P215" s="77" t="str">
        <f>IFERROR(VLOOKUP($H215,TEN[],3,FALSE),"NA")</f>
        <v>NA</v>
      </c>
      <c r="Q215" s="77" t="str">
        <f>IFERROR(VLOOKUP($H215,TD[],3,FALSE),"NA")</f>
        <v>NA</v>
      </c>
      <c r="R215" s="77">
        <f>IFERROR(VLOOKUP($H215,TC[],3,FALSE),"NA")</f>
        <v>0</v>
      </c>
      <c r="S215" s="77" t="str">
        <f>IFERROR(VLOOKUP($H215,TEV[],3,FALSE),"NA")</f>
        <v>NA</v>
      </c>
      <c r="T215" s="79">
        <f>SUM(TbAlquiler[[#This Row],[GENERAL]:[ELEVADOR]])</f>
        <v>0</v>
      </c>
      <c r="U215" s="80">
        <f>IF(VLOOKUP(TbAlquiler[[#This Row],[ITEM]],TbPiezas[],5,FALSE)="NA",0,VLOOKUP(TbAlquiler[[#This Row],[ITEM]],TbPiezas[],5,FALSE))</f>
        <v>9.9999999999994316E-2</v>
      </c>
      <c r="V215" s="81">
        <f>+TbAlquiler[[#This Row],[TOTAL]]*TbAlquiler[[#This Row],[P.U. (1)]]</f>
        <v>0</v>
      </c>
      <c r="W215" s="82">
        <f>+VLOOKUP(TbAlquiler[[#This Row],[ITEM]],TbPiezas[],6,FALSE)</f>
        <v>8.08</v>
      </c>
      <c r="X215" s="83">
        <f>+TbAlquiler[[#This Row],[TOTAL]]*TbAlquiler[[#This Row],[P.U. (2)]]</f>
        <v>0</v>
      </c>
      <c r="Y215" s="82">
        <f>+VLOOKUP(TbAlquiler[[#This Row],[ITEM]],TbPiezas[],7,FALSE)</f>
        <v>0.40400000000000003</v>
      </c>
      <c r="Z215" s="84">
        <f>+TbAlquiler[[#This Row],[TOTAL]]*TbAlquiler[[#This Row],[P.U. (3)]]</f>
        <v>0</v>
      </c>
    </row>
    <row r="216" spans="1:26" ht="15" customHeight="1" x14ac:dyDescent="0.3">
      <c r="A216" s="2"/>
      <c r="B216" s="85">
        <v>200</v>
      </c>
      <c r="C216" s="71" t="s">
        <v>401</v>
      </c>
      <c r="D216" s="72" t="s">
        <v>402</v>
      </c>
      <c r="E216" s="73"/>
      <c r="F216" s="74">
        <f>+VLOOKUP(C216,TbAlquiler[],13,FALSE)</f>
        <v>0</v>
      </c>
      <c r="G216" s="2"/>
      <c r="H216" s="75" t="str">
        <f t="shared" si="6"/>
        <v>AE.2800</v>
      </c>
      <c r="I216" s="59" t="str">
        <f t="shared" si="7"/>
        <v>ok</v>
      </c>
      <c r="J216" s="77">
        <f>IFERROR(VLOOKUP($H216,TG[],3,FALSE),"NA")</f>
        <v>0</v>
      </c>
      <c r="K216" s="77" t="str">
        <f>IFERROR(VLOOKUP($H216,TF[],3,FALSE),"NA")</f>
        <v>NA</v>
      </c>
      <c r="L216" s="77" t="str">
        <f>IFERROR(VLOOKUP($H216,TT[],3,FALSE),"NA")</f>
        <v>NA</v>
      </c>
      <c r="M216" s="77" t="str">
        <f>IFERROR(VLOOKUP($H216,TES[],3,FALSE),"NA")</f>
        <v>NA</v>
      </c>
      <c r="N216" s="77" t="str">
        <f>IFERROR(VLOOKUP($H216,TEC[],3,FALSE),"NA")</f>
        <v>NA</v>
      </c>
      <c r="O216" s="77" t="str">
        <f>IFERROR(VLOOKUP($H216,TP[],3,FALSE),"NA")</f>
        <v>NA</v>
      </c>
      <c r="P216" s="77" t="str">
        <f>IFERROR(VLOOKUP($H216,TEN[],3,FALSE),"NA")</f>
        <v>NA</v>
      </c>
      <c r="Q216" s="77" t="str">
        <f>IFERROR(VLOOKUP($H216,TD[],3,FALSE),"NA")</f>
        <v>NA</v>
      </c>
      <c r="R216" s="77">
        <f>IFERROR(VLOOKUP($H216,TC[],3,FALSE),"NA")</f>
        <v>0</v>
      </c>
      <c r="S216" s="77" t="str">
        <f>IFERROR(VLOOKUP($H216,TEV[],3,FALSE),"NA")</f>
        <v>NA</v>
      </c>
      <c r="T216" s="79">
        <f>SUM(TbAlquiler[[#This Row],[GENERAL]:[ELEVADOR]])</f>
        <v>0</v>
      </c>
      <c r="U216" s="80">
        <f>IF(VLOOKUP(TbAlquiler[[#This Row],[ITEM]],TbPiezas[],5,FALSE)="NA",0,VLOOKUP(TbAlquiler[[#This Row],[ITEM]],TbPiezas[],5,FALSE))</f>
        <v>0.1</v>
      </c>
      <c r="V216" s="81">
        <f>+TbAlquiler[[#This Row],[TOTAL]]*TbAlquiler[[#This Row],[P.U. (1)]]</f>
        <v>0</v>
      </c>
      <c r="W216" s="82">
        <f>+VLOOKUP(TbAlquiler[[#This Row],[ITEM]],TbPiezas[],6,FALSE)</f>
        <v>190.58</v>
      </c>
      <c r="X216" s="83">
        <f>+TbAlquiler[[#This Row],[TOTAL]]*TbAlquiler[[#This Row],[P.U. (2)]]</f>
        <v>0</v>
      </c>
      <c r="Y216" s="82">
        <f>+VLOOKUP(TbAlquiler[[#This Row],[ITEM]],TbPiezas[],7,FALSE)</f>
        <v>9.5290000000000017</v>
      </c>
      <c r="Z216" s="84">
        <f>+TbAlquiler[[#This Row],[TOTAL]]*TbAlquiler[[#This Row],[P.U. (3)]]</f>
        <v>0</v>
      </c>
    </row>
    <row r="217" spans="1:26" ht="15" customHeight="1" x14ac:dyDescent="0.3">
      <c r="A217" s="2"/>
      <c r="B217" s="85">
        <v>201</v>
      </c>
      <c r="C217" s="71" t="s">
        <v>403</v>
      </c>
      <c r="D217" s="72" t="s">
        <v>404</v>
      </c>
      <c r="E217" s="73"/>
      <c r="F217" s="74">
        <f>+VLOOKUP(C217,TbAlquiler[],13,FALSE)</f>
        <v>0</v>
      </c>
      <c r="G217" s="2"/>
      <c r="H217" s="75" t="str">
        <f t="shared" si="6"/>
        <v>AE.2900</v>
      </c>
      <c r="I217" s="59" t="str">
        <f t="shared" si="7"/>
        <v>ok</v>
      </c>
      <c r="J217" s="77">
        <f>IFERROR(VLOOKUP($H217,TG[],3,FALSE),"NA")</f>
        <v>0</v>
      </c>
      <c r="K217" s="77" t="str">
        <f>IFERROR(VLOOKUP($H217,TF[],3,FALSE),"NA")</f>
        <v>NA</v>
      </c>
      <c r="L217" s="77" t="str">
        <f>IFERROR(VLOOKUP($H217,TT[],3,FALSE),"NA")</f>
        <v>NA</v>
      </c>
      <c r="M217" s="77" t="str">
        <f>IFERROR(VLOOKUP($H217,TES[],3,FALSE),"NA")</f>
        <v>NA</v>
      </c>
      <c r="N217" s="77" t="str">
        <f>IFERROR(VLOOKUP($H217,TEC[],3,FALSE),"NA")</f>
        <v>NA</v>
      </c>
      <c r="O217" s="77" t="str">
        <f>IFERROR(VLOOKUP($H217,TP[],3,FALSE),"NA")</f>
        <v>NA</v>
      </c>
      <c r="P217" s="77" t="str">
        <f>IFERROR(VLOOKUP($H217,TEN[],3,FALSE),"NA")</f>
        <v>NA</v>
      </c>
      <c r="Q217" s="77" t="str">
        <f>IFERROR(VLOOKUP($H217,TD[],3,FALSE),"NA")</f>
        <v>NA</v>
      </c>
      <c r="R217" s="77">
        <f>IFERROR(VLOOKUP($H217,TC[],3,FALSE),"NA")</f>
        <v>0</v>
      </c>
      <c r="S217" s="77" t="str">
        <f>IFERROR(VLOOKUP($H217,TEV[],3,FALSE),"NA")</f>
        <v>NA</v>
      </c>
      <c r="T217" s="79">
        <f>SUM(TbAlquiler[[#This Row],[GENERAL]:[ELEVADOR]])</f>
        <v>0</v>
      </c>
      <c r="U217" s="80">
        <f>IF(VLOOKUP(TbAlquiler[[#This Row],[ITEM]],TbPiezas[],5,FALSE)="NA",0,VLOOKUP(TbAlquiler[[#This Row],[ITEM]],TbPiezas[],5,FALSE))</f>
        <v>0.4</v>
      </c>
      <c r="V217" s="81">
        <f>+TbAlquiler[[#This Row],[TOTAL]]*TbAlquiler[[#This Row],[P.U. (1)]]</f>
        <v>0</v>
      </c>
      <c r="W217" s="82">
        <f>+VLOOKUP(TbAlquiler[[#This Row],[ITEM]],TbPiezas[],6,FALSE)</f>
        <v>101.64</v>
      </c>
      <c r="X217" s="83">
        <f>+TbAlquiler[[#This Row],[TOTAL]]*TbAlquiler[[#This Row],[P.U. (2)]]</f>
        <v>0</v>
      </c>
      <c r="Y217" s="82">
        <f>+VLOOKUP(TbAlquiler[[#This Row],[ITEM]],TbPiezas[],7,FALSE)</f>
        <v>5.0820000000000007</v>
      </c>
      <c r="Z217" s="84">
        <f>+TbAlquiler[[#This Row],[TOTAL]]*TbAlquiler[[#This Row],[P.U. (3)]]</f>
        <v>0</v>
      </c>
    </row>
    <row r="218" spans="1:26" ht="15" customHeight="1" x14ac:dyDescent="0.3">
      <c r="A218" s="2"/>
      <c r="B218" s="85">
        <v>202</v>
      </c>
      <c r="C218" s="71" t="s">
        <v>405</v>
      </c>
      <c r="D218" s="72" t="s">
        <v>406</v>
      </c>
      <c r="E218" s="73"/>
      <c r="F218" s="74">
        <f>+VLOOKUP(C218,TbAlquiler[],13,FALSE)</f>
        <v>0</v>
      </c>
      <c r="G218" s="2"/>
      <c r="H218" s="75" t="str">
        <f t="shared" si="6"/>
        <v>AE.3000</v>
      </c>
      <c r="I218" s="59" t="str">
        <f t="shared" si="7"/>
        <v>ok</v>
      </c>
      <c r="J218" s="77">
        <f>IFERROR(VLOOKUP($H218,TG[],3,FALSE),"NA")</f>
        <v>0</v>
      </c>
      <c r="K218" s="77" t="str">
        <f>IFERROR(VLOOKUP($H218,TF[],3,FALSE),"NA")</f>
        <v>NA</v>
      </c>
      <c r="L218" s="77" t="str">
        <f>IFERROR(VLOOKUP($H218,TT[],3,FALSE),"NA")</f>
        <v>NA</v>
      </c>
      <c r="M218" s="77" t="str">
        <f>IFERROR(VLOOKUP($H218,TES[],3,FALSE),"NA")</f>
        <v>NA</v>
      </c>
      <c r="N218" s="77" t="str">
        <f>IFERROR(VLOOKUP($H218,TEC[],3,FALSE),"NA")</f>
        <v>NA</v>
      </c>
      <c r="O218" s="77" t="str">
        <f>IFERROR(VLOOKUP($H218,TP[],3,FALSE),"NA")</f>
        <v>NA</v>
      </c>
      <c r="P218" s="77" t="str">
        <f>IFERROR(VLOOKUP($H218,TEN[],3,FALSE),"NA")</f>
        <v>NA</v>
      </c>
      <c r="Q218" s="77" t="str">
        <f>IFERROR(VLOOKUP($H218,TD[],3,FALSE),"NA")</f>
        <v>NA</v>
      </c>
      <c r="R218" s="77">
        <f>IFERROR(VLOOKUP($H218,TC[],3,FALSE),"NA")</f>
        <v>0</v>
      </c>
      <c r="S218" s="77" t="str">
        <f>IFERROR(VLOOKUP($H218,TEV[],3,FALSE),"NA")</f>
        <v>NA</v>
      </c>
      <c r="T218" s="79">
        <f>SUM(TbAlquiler[[#This Row],[GENERAL]:[ELEVADOR]])</f>
        <v>0</v>
      </c>
      <c r="U218" s="80">
        <f>IF(VLOOKUP(TbAlquiler[[#This Row],[ITEM]],TbPiezas[],5,FALSE)="NA",0,VLOOKUP(TbAlquiler[[#This Row],[ITEM]],TbPiezas[],5,FALSE))</f>
        <v>14.9</v>
      </c>
      <c r="V218" s="81">
        <f>+TbAlquiler[[#This Row],[TOTAL]]*TbAlquiler[[#This Row],[P.U. (1)]]</f>
        <v>0</v>
      </c>
      <c r="W218" s="82">
        <f>+VLOOKUP(TbAlquiler[[#This Row],[ITEM]],TbPiezas[],6,FALSE)</f>
        <v>32.22</v>
      </c>
      <c r="X218" s="83">
        <f>+TbAlquiler[[#This Row],[TOTAL]]*TbAlquiler[[#This Row],[P.U. (2)]]</f>
        <v>0</v>
      </c>
      <c r="Y218" s="82">
        <f>+VLOOKUP(TbAlquiler[[#This Row],[ITEM]],TbPiezas[],7,FALSE)</f>
        <v>1.611</v>
      </c>
      <c r="Z218" s="84">
        <f>+TbAlquiler[[#This Row],[TOTAL]]*TbAlquiler[[#This Row],[P.U. (3)]]</f>
        <v>0</v>
      </c>
    </row>
    <row r="219" spans="1:26" ht="15" customHeight="1" x14ac:dyDescent="0.3">
      <c r="A219" s="2"/>
      <c r="B219" s="85">
        <v>203</v>
      </c>
      <c r="C219" s="71" t="s">
        <v>407</v>
      </c>
      <c r="D219" s="72" t="s">
        <v>408</v>
      </c>
      <c r="E219" s="73"/>
      <c r="F219" s="74">
        <f>+VLOOKUP(C219,TbAlquiler[],13,FALSE)</f>
        <v>0</v>
      </c>
      <c r="G219" s="2"/>
      <c r="H219" s="75" t="str">
        <f t="shared" si="6"/>
        <v>AE.3100</v>
      </c>
      <c r="I219" s="59" t="str">
        <f t="shared" si="7"/>
        <v>ok</v>
      </c>
      <c r="J219" s="77">
        <f>IFERROR(VLOOKUP($H219,TG[],3,FALSE),"NA")</f>
        <v>0</v>
      </c>
      <c r="K219" s="77" t="str">
        <f>IFERROR(VLOOKUP($H219,TF[],3,FALSE),"NA")</f>
        <v>NA</v>
      </c>
      <c r="L219" s="77" t="str">
        <f>IFERROR(VLOOKUP($H219,TT[],3,FALSE),"NA")</f>
        <v>NA</v>
      </c>
      <c r="M219" s="77" t="str">
        <f>IFERROR(VLOOKUP($H219,TES[],3,FALSE),"NA")</f>
        <v>NA</v>
      </c>
      <c r="N219" s="77" t="str">
        <f>IFERROR(VLOOKUP($H219,TEC[],3,FALSE),"NA")</f>
        <v>NA</v>
      </c>
      <c r="O219" s="77" t="str">
        <f>IFERROR(VLOOKUP($H219,TP[],3,FALSE),"NA")</f>
        <v>NA</v>
      </c>
      <c r="P219" s="77" t="str">
        <f>IFERROR(VLOOKUP($H219,TEN[],3,FALSE),"NA")</f>
        <v>NA</v>
      </c>
      <c r="Q219" s="77" t="str">
        <f>IFERROR(VLOOKUP($H219,TD[],3,FALSE),"NA")</f>
        <v>NA</v>
      </c>
      <c r="R219" s="77">
        <f>IFERROR(VLOOKUP($H219,TC[],3,FALSE),"NA")</f>
        <v>0</v>
      </c>
      <c r="S219" s="77" t="str">
        <f>IFERROR(VLOOKUP($H219,TEV[],3,FALSE),"NA")</f>
        <v>NA</v>
      </c>
      <c r="T219" s="79">
        <f>SUM(TbAlquiler[[#This Row],[GENERAL]:[ELEVADOR]])</f>
        <v>0</v>
      </c>
      <c r="U219" s="80">
        <f>IF(VLOOKUP(TbAlquiler[[#This Row],[ITEM]],TbPiezas[],5,FALSE)="NA",0,VLOOKUP(TbAlquiler[[#This Row],[ITEM]],TbPiezas[],5,FALSE))</f>
        <v>4.9999999999997158E-2</v>
      </c>
      <c r="V219" s="81">
        <f>+TbAlquiler[[#This Row],[TOTAL]]*TbAlquiler[[#This Row],[P.U. (1)]]</f>
        <v>0</v>
      </c>
      <c r="W219" s="82">
        <f>+VLOOKUP(TbAlquiler[[#This Row],[ITEM]],TbPiezas[],6,FALSE)</f>
        <v>32.22</v>
      </c>
      <c r="X219" s="83">
        <f>+TbAlquiler[[#This Row],[TOTAL]]*TbAlquiler[[#This Row],[P.U. (2)]]</f>
        <v>0</v>
      </c>
      <c r="Y219" s="82">
        <f>+VLOOKUP(TbAlquiler[[#This Row],[ITEM]],TbPiezas[],7,FALSE)</f>
        <v>1.611</v>
      </c>
      <c r="Z219" s="84">
        <f>+TbAlquiler[[#This Row],[TOTAL]]*TbAlquiler[[#This Row],[P.U. (3)]]</f>
        <v>0</v>
      </c>
    </row>
    <row r="220" spans="1:26" ht="15" customHeight="1" x14ac:dyDescent="0.3">
      <c r="A220" s="2"/>
      <c r="B220" s="85">
        <v>204</v>
      </c>
      <c r="C220" s="71" t="s">
        <v>409</v>
      </c>
      <c r="D220" s="72" t="s">
        <v>410</v>
      </c>
      <c r="E220" s="73"/>
      <c r="F220" s="74">
        <f>+VLOOKUP(C220,TbAlquiler[],13,FALSE)</f>
        <v>0</v>
      </c>
      <c r="G220" s="2"/>
      <c r="H220" s="75" t="str">
        <f t="shared" si="6"/>
        <v>AE.3200</v>
      </c>
      <c r="I220" s="59" t="str">
        <f t="shared" si="7"/>
        <v>ok</v>
      </c>
      <c r="J220" s="77">
        <f>IFERROR(VLOOKUP($H220,TG[],3,FALSE),"NA")</f>
        <v>0</v>
      </c>
      <c r="K220" s="77" t="str">
        <f>IFERROR(VLOOKUP($H220,TF[],3,FALSE),"NA")</f>
        <v>NA</v>
      </c>
      <c r="L220" s="77" t="str">
        <f>IFERROR(VLOOKUP($H220,TT[],3,FALSE),"NA")</f>
        <v>NA</v>
      </c>
      <c r="M220" s="77" t="str">
        <f>IFERROR(VLOOKUP($H220,TES[],3,FALSE),"NA")</f>
        <v>NA</v>
      </c>
      <c r="N220" s="77" t="str">
        <f>IFERROR(VLOOKUP($H220,TEC[],3,FALSE),"NA")</f>
        <v>NA</v>
      </c>
      <c r="O220" s="77" t="str">
        <f>IFERROR(VLOOKUP($H220,TP[],3,FALSE),"NA")</f>
        <v>NA</v>
      </c>
      <c r="P220" s="77" t="str">
        <f>IFERROR(VLOOKUP($H220,TEN[],3,FALSE),"NA")</f>
        <v>NA</v>
      </c>
      <c r="Q220" s="77" t="str">
        <f>IFERROR(VLOOKUP($H220,TD[],3,FALSE),"NA")</f>
        <v>NA</v>
      </c>
      <c r="R220" s="77">
        <f>IFERROR(VLOOKUP($H220,TC[],3,FALSE),"NA")</f>
        <v>0</v>
      </c>
      <c r="S220" s="77" t="str">
        <f>IFERROR(VLOOKUP($H220,TEV[],3,FALSE),"NA")</f>
        <v>NA</v>
      </c>
      <c r="T220" s="79">
        <f>SUM(TbAlquiler[[#This Row],[GENERAL]:[ELEVADOR]])</f>
        <v>0</v>
      </c>
      <c r="U220" s="80">
        <f>IF(VLOOKUP(TbAlquiler[[#This Row],[ITEM]],TbPiezas[],5,FALSE)="NA",0,VLOOKUP(TbAlquiler[[#This Row],[ITEM]],TbPiezas[],5,FALSE))</f>
        <v>4.9999999999997158E-2</v>
      </c>
      <c r="V220" s="81">
        <f>+TbAlquiler[[#This Row],[TOTAL]]*TbAlquiler[[#This Row],[P.U. (1)]]</f>
        <v>0</v>
      </c>
      <c r="W220" s="82">
        <f>+VLOOKUP(TbAlquiler[[#This Row],[ITEM]],TbPiezas[],6,FALSE)</f>
        <v>32.22</v>
      </c>
      <c r="X220" s="83">
        <f>+TbAlquiler[[#This Row],[TOTAL]]*TbAlquiler[[#This Row],[P.U. (2)]]</f>
        <v>0</v>
      </c>
      <c r="Y220" s="82">
        <f>+VLOOKUP(TbAlquiler[[#This Row],[ITEM]],TbPiezas[],7,FALSE)</f>
        <v>1.611</v>
      </c>
      <c r="Z220" s="84">
        <f>+TbAlquiler[[#This Row],[TOTAL]]*TbAlquiler[[#This Row],[P.U. (3)]]</f>
        <v>0</v>
      </c>
    </row>
    <row r="221" spans="1:26" ht="15" customHeight="1" x14ac:dyDescent="0.3">
      <c r="A221" s="2"/>
      <c r="B221" s="85">
        <v>205</v>
      </c>
      <c r="C221" s="71" t="s">
        <v>411</v>
      </c>
      <c r="D221" s="72" t="s">
        <v>412</v>
      </c>
      <c r="E221" s="73"/>
      <c r="F221" s="74">
        <f>+VLOOKUP(C221,TbAlquiler[],13,FALSE)</f>
        <v>0</v>
      </c>
      <c r="G221" s="2"/>
      <c r="H221" s="75" t="str">
        <f t="shared" si="6"/>
        <v>AE.3300</v>
      </c>
      <c r="I221" s="59" t="str">
        <f t="shared" si="7"/>
        <v>ok</v>
      </c>
      <c r="J221" s="77">
        <f>IFERROR(VLOOKUP($H221,TG[],3,FALSE),"NA")</f>
        <v>0</v>
      </c>
      <c r="K221" s="77" t="str">
        <f>IFERROR(VLOOKUP($H221,TF[],3,FALSE),"NA")</f>
        <v>NA</v>
      </c>
      <c r="L221" s="77" t="str">
        <f>IFERROR(VLOOKUP($H221,TT[],3,FALSE),"NA")</f>
        <v>NA</v>
      </c>
      <c r="M221" s="77" t="str">
        <f>IFERROR(VLOOKUP($H221,TES[],3,FALSE),"NA")</f>
        <v>NA</v>
      </c>
      <c r="N221" s="77" t="str">
        <f>IFERROR(VLOOKUP($H221,TEC[],3,FALSE),"NA")</f>
        <v>NA</v>
      </c>
      <c r="O221" s="77" t="str">
        <f>IFERROR(VLOOKUP($H221,TP[],3,FALSE),"NA")</f>
        <v>NA</v>
      </c>
      <c r="P221" s="77" t="str">
        <f>IFERROR(VLOOKUP($H221,TEN[],3,FALSE),"NA")</f>
        <v>NA</v>
      </c>
      <c r="Q221" s="77" t="str">
        <f>IFERROR(VLOOKUP($H221,TD[],3,FALSE),"NA")</f>
        <v>NA</v>
      </c>
      <c r="R221" s="77">
        <f>IFERROR(VLOOKUP($H221,TC[],3,FALSE),"NA")</f>
        <v>0</v>
      </c>
      <c r="S221" s="77" t="str">
        <f>IFERROR(VLOOKUP($H221,TEV[],3,FALSE),"NA")</f>
        <v>NA</v>
      </c>
      <c r="T221" s="79">
        <f>SUM(TbAlquiler[[#This Row],[GENERAL]:[ELEVADOR]])</f>
        <v>0</v>
      </c>
      <c r="U221" s="80">
        <f>IF(VLOOKUP(TbAlquiler[[#This Row],[ITEM]],TbPiezas[],5,FALSE)="NA",0,VLOOKUP(TbAlquiler[[#This Row],[ITEM]],TbPiezas[],5,FALSE))</f>
        <v>4.9999999999997158E-2</v>
      </c>
      <c r="V221" s="81">
        <f>+TbAlquiler[[#This Row],[TOTAL]]*TbAlquiler[[#This Row],[P.U. (1)]]</f>
        <v>0</v>
      </c>
      <c r="W221" s="82">
        <f>+VLOOKUP(TbAlquiler[[#This Row],[ITEM]],TbPiezas[],6,FALSE)</f>
        <v>19.059999999999999</v>
      </c>
      <c r="X221" s="83">
        <f>+TbAlquiler[[#This Row],[TOTAL]]*TbAlquiler[[#This Row],[P.U. (2)]]</f>
        <v>0</v>
      </c>
      <c r="Y221" s="82">
        <f>+VLOOKUP(TbAlquiler[[#This Row],[ITEM]],TbPiezas[],7,FALSE)</f>
        <v>0.95299999999999996</v>
      </c>
      <c r="Z221" s="84">
        <f>+TbAlquiler[[#This Row],[TOTAL]]*TbAlquiler[[#This Row],[P.U. (3)]]</f>
        <v>0</v>
      </c>
    </row>
    <row r="222" spans="1:26" ht="15" customHeight="1" x14ac:dyDescent="0.3">
      <c r="A222" s="2"/>
      <c r="B222" s="85">
        <v>206</v>
      </c>
      <c r="C222" s="71" t="s">
        <v>413</v>
      </c>
      <c r="D222" s="72" t="s">
        <v>414</v>
      </c>
      <c r="E222" s="73"/>
      <c r="F222" s="74">
        <f>+VLOOKUP(C222,TbAlquiler[],13,FALSE)</f>
        <v>0</v>
      </c>
      <c r="G222" s="2"/>
      <c r="H222" s="75" t="str">
        <f t="shared" si="6"/>
        <v>AE.3400</v>
      </c>
      <c r="I222" s="59" t="str">
        <f t="shared" si="7"/>
        <v>ok</v>
      </c>
      <c r="J222" s="77">
        <f>IFERROR(VLOOKUP($H222,TG[],3,FALSE),"NA")</f>
        <v>0</v>
      </c>
      <c r="K222" s="77" t="str">
        <f>IFERROR(VLOOKUP($H222,TF[],3,FALSE),"NA")</f>
        <v>NA</v>
      </c>
      <c r="L222" s="77" t="str">
        <f>IFERROR(VLOOKUP($H222,TT[],3,FALSE),"NA")</f>
        <v>NA</v>
      </c>
      <c r="M222" s="77" t="str">
        <f>IFERROR(VLOOKUP($H222,TES[],3,FALSE),"NA")</f>
        <v>NA</v>
      </c>
      <c r="N222" s="77" t="str">
        <f>IFERROR(VLOOKUP($H222,TEC[],3,FALSE),"NA")</f>
        <v>NA</v>
      </c>
      <c r="O222" s="77" t="str">
        <f>IFERROR(VLOOKUP($H222,TP[],3,FALSE),"NA")</f>
        <v>NA</v>
      </c>
      <c r="P222" s="77" t="str">
        <f>IFERROR(VLOOKUP($H222,TEN[],3,FALSE),"NA")</f>
        <v>NA</v>
      </c>
      <c r="Q222" s="77" t="str">
        <f>IFERROR(VLOOKUP($H222,TD[],3,FALSE),"NA")</f>
        <v>NA</v>
      </c>
      <c r="R222" s="77">
        <f>IFERROR(VLOOKUP($H222,TC[],3,FALSE),"NA")</f>
        <v>0</v>
      </c>
      <c r="S222" s="77" t="str">
        <f>IFERROR(VLOOKUP($H222,TEV[],3,FALSE),"NA")</f>
        <v>NA</v>
      </c>
      <c r="T222" s="79">
        <f>SUM(TbAlquiler[[#This Row],[GENERAL]:[ELEVADOR]])</f>
        <v>0</v>
      </c>
      <c r="U222" s="80">
        <f>IF(VLOOKUP(TbAlquiler[[#This Row],[ITEM]],TbPiezas[],5,FALSE)="NA",0,VLOOKUP(TbAlquiler[[#This Row],[ITEM]],TbPiezas[],5,FALSE))</f>
        <v>4.9999999999997158E-2</v>
      </c>
      <c r="V222" s="81">
        <f>+TbAlquiler[[#This Row],[TOTAL]]*TbAlquiler[[#This Row],[P.U. (1)]]</f>
        <v>0</v>
      </c>
      <c r="W222" s="82">
        <f>+VLOOKUP(TbAlquiler[[#This Row],[ITEM]],TbPiezas[],6,FALSE)</f>
        <v>19.059999999999999</v>
      </c>
      <c r="X222" s="83">
        <f>+TbAlquiler[[#This Row],[TOTAL]]*TbAlquiler[[#This Row],[P.U. (2)]]</f>
        <v>0</v>
      </c>
      <c r="Y222" s="82">
        <f>+VLOOKUP(TbAlquiler[[#This Row],[ITEM]],TbPiezas[],7,FALSE)</f>
        <v>0.95299999999999996</v>
      </c>
      <c r="Z222" s="84">
        <f>+TbAlquiler[[#This Row],[TOTAL]]*TbAlquiler[[#This Row],[P.U. (3)]]</f>
        <v>0</v>
      </c>
    </row>
    <row r="223" spans="1:26" ht="15" customHeight="1" x14ac:dyDescent="0.3">
      <c r="A223" s="2"/>
      <c r="B223" s="85">
        <v>207</v>
      </c>
      <c r="C223" s="71" t="s">
        <v>415</v>
      </c>
      <c r="D223" s="72" t="s">
        <v>416</v>
      </c>
      <c r="E223" s="73"/>
      <c r="F223" s="74">
        <f>+VLOOKUP(C223,TbAlquiler[],13,FALSE)</f>
        <v>0</v>
      </c>
      <c r="G223" s="2"/>
      <c r="H223" s="75" t="str">
        <f t="shared" si="6"/>
        <v>AE.3500</v>
      </c>
      <c r="I223" s="59" t="str">
        <f t="shared" si="7"/>
        <v>ok</v>
      </c>
      <c r="J223" s="77">
        <f>IFERROR(VLOOKUP($H223,TG[],3,FALSE),"NA")</f>
        <v>0</v>
      </c>
      <c r="K223" s="77" t="str">
        <f>IFERROR(VLOOKUP($H223,TF[],3,FALSE),"NA")</f>
        <v>NA</v>
      </c>
      <c r="L223" s="77" t="str">
        <f>IFERROR(VLOOKUP($H223,TT[],3,FALSE),"NA")</f>
        <v>NA</v>
      </c>
      <c r="M223" s="77" t="str">
        <f>IFERROR(VLOOKUP($H223,TES[],3,FALSE),"NA")</f>
        <v>NA</v>
      </c>
      <c r="N223" s="77" t="str">
        <f>IFERROR(VLOOKUP($H223,TEC[],3,FALSE),"NA")</f>
        <v>NA</v>
      </c>
      <c r="O223" s="77" t="str">
        <f>IFERROR(VLOOKUP($H223,TP[],3,FALSE),"NA")</f>
        <v>NA</v>
      </c>
      <c r="P223" s="77" t="str">
        <f>IFERROR(VLOOKUP($H223,TEN[],3,FALSE),"NA")</f>
        <v>NA</v>
      </c>
      <c r="Q223" s="77" t="str">
        <f>IFERROR(VLOOKUP($H223,TD[],3,FALSE),"NA")</f>
        <v>NA</v>
      </c>
      <c r="R223" s="77">
        <f>IFERROR(VLOOKUP($H223,TC[],3,FALSE),"NA")</f>
        <v>0</v>
      </c>
      <c r="S223" s="77" t="str">
        <f>IFERROR(VLOOKUP($H223,TEV[],3,FALSE),"NA")</f>
        <v>NA</v>
      </c>
      <c r="T223" s="79">
        <f>SUM(TbAlquiler[[#This Row],[GENERAL]:[ELEVADOR]])</f>
        <v>0</v>
      </c>
      <c r="U223" s="80">
        <f>IF(VLOOKUP(TbAlquiler[[#This Row],[ITEM]],TbPiezas[],5,FALSE)="NA",0,VLOOKUP(TbAlquiler[[#This Row],[ITEM]],TbPiezas[],5,FALSE))</f>
        <v>0.39999999999999147</v>
      </c>
      <c r="V223" s="81">
        <f>+TbAlquiler[[#This Row],[TOTAL]]*TbAlquiler[[#This Row],[P.U. (1)]]</f>
        <v>0</v>
      </c>
      <c r="W223" s="82">
        <f>+VLOOKUP(TbAlquiler[[#This Row],[ITEM]],TbPiezas[],6,FALSE)</f>
        <v>19.059999999999999</v>
      </c>
      <c r="X223" s="83">
        <f>+TbAlquiler[[#This Row],[TOTAL]]*TbAlquiler[[#This Row],[P.U. (2)]]</f>
        <v>0</v>
      </c>
      <c r="Y223" s="82">
        <f>+VLOOKUP(TbAlquiler[[#This Row],[ITEM]],TbPiezas[],7,FALSE)</f>
        <v>0.95299999999999996</v>
      </c>
      <c r="Z223" s="84">
        <f>+TbAlquiler[[#This Row],[TOTAL]]*TbAlquiler[[#This Row],[P.U. (3)]]</f>
        <v>0</v>
      </c>
    </row>
    <row r="224" spans="1:26" ht="15" customHeight="1" x14ac:dyDescent="0.3">
      <c r="A224" s="2"/>
      <c r="B224" s="85">
        <v>208</v>
      </c>
      <c r="C224" s="71" t="s">
        <v>417</v>
      </c>
      <c r="D224" s="72" t="s">
        <v>418</v>
      </c>
      <c r="E224" s="73"/>
      <c r="F224" s="74">
        <f>+VLOOKUP(C224,TbAlquiler[],13,FALSE)</f>
        <v>0</v>
      </c>
      <c r="G224" s="2"/>
      <c r="H224" s="75" t="str">
        <f t="shared" si="6"/>
        <v>AE.3600</v>
      </c>
      <c r="I224" s="59" t="str">
        <f t="shared" si="7"/>
        <v>ok</v>
      </c>
      <c r="J224" s="77">
        <f>IFERROR(VLOOKUP($H224,TG[],3,FALSE),"NA")</f>
        <v>0</v>
      </c>
      <c r="K224" s="77" t="str">
        <f>IFERROR(VLOOKUP($H224,TF[],3,FALSE),"NA")</f>
        <v>NA</v>
      </c>
      <c r="L224" s="77" t="str">
        <f>IFERROR(VLOOKUP($H224,TT[],3,FALSE),"NA")</f>
        <v>NA</v>
      </c>
      <c r="M224" s="77" t="str">
        <f>IFERROR(VLOOKUP($H224,TES[],3,FALSE),"NA")</f>
        <v>NA</v>
      </c>
      <c r="N224" s="77" t="str">
        <f>IFERROR(VLOOKUP($H224,TEC[],3,FALSE),"NA")</f>
        <v>NA</v>
      </c>
      <c r="O224" s="77" t="str">
        <f>IFERROR(VLOOKUP($H224,TP[],3,FALSE),"NA")</f>
        <v>NA</v>
      </c>
      <c r="P224" s="77" t="str">
        <f>IFERROR(VLOOKUP($H224,TEN[],3,FALSE),"NA")</f>
        <v>NA</v>
      </c>
      <c r="Q224" s="77" t="str">
        <f>IFERROR(VLOOKUP($H224,TD[],3,FALSE),"NA")</f>
        <v>NA</v>
      </c>
      <c r="R224" s="77">
        <f>IFERROR(VLOOKUP($H224,TC[],3,FALSE),"NA")</f>
        <v>0</v>
      </c>
      <c r="S224" s="77" t="str">
        <f>IFERROR(VLOOKUP($H224,TEV[],3,FALSE),"NA")</f>
        <v>NA</v>
      </c>
      <c r="T224" s="79">
        <f>SUM(TbAlquiler[[#This Row],[GENERAL]:[ELEVADOR]])</f>
        <v>0</v>
      </c>
      <c r="U224" s="80">
        <f>IF(VLOOKUP(TbAlquiler[[#This Row],[ITEM]],TbPiezas[],5,FALSE)="NA",0,VLOOKUP(TbAlquiler[[#This Row],[ITEM]],TbPiezas[],5,FALSE))</f>
        <v>28.700000000000003</v>
      </c>
      <c r="V224" s="81">
        <f>+TbAlquiler[[#This Row],[TOTAL]]*TbAlquiler[[#This Row],[P.U. (1)]]</f>
        <v>0</v>
      </c>
      <c r="W224" s="82">
        <f>+VLOOKUP(TbAlquiler[[#This Row],[ITEM]],TbPiezas[],6,FALSE)</f>
        <v>826.63</v>
      </c>
      <c r="X224" s="83">
        <f>+TbAlquiler[[#This Row],[TOTAL]]*TbAlquiler[[#This Row],[P.U. (2)]]</f>
        <v>0</v>
      </c>
      <c r="Y224" s="82">
        <f>+VLOOKUP(TbAlquiler[[#This Row],[ITEM]],TbPiezas[],7,FALSE)</f>
        <v>41.331500000000005</v>
      </c>
      <c r="Z224" s="84">
        <f>+TbAlquiler[[#This Row],[TOTAL]]*TbAlquiler[[#This Row],[P.U. (3)]]</f>
        <v>0</v>
      </c>
    </row>
    <row r="225" spans="1:26" ht="15" customHeight="1" x14ac:dyDescent="0.3">
      <c r="A225" s="2"/>
      <c r="B225" s="85">
        <v>209</v>
      </c>
      <c r="C225" s="71" t="s">
        <v>419</v>
      </c>
      <c r="D225" s="72" t="s">
        <v>420</v>
      </c>
      <c r="E225" s="73"/>
      <c r="F225" s="74">
        <f>+VLOOKUP(C225,TbAlquiler[],13,FALSE)</f>
        <v>0</v>
      </c>
      <c r="G225" s="2"/>
      <c r="H225" s="75" t="str">
        <f t="shared" si="6"/>
        <v>AE.3700</v>
      </c>
      <c r="I225" s="59" t="str">
        <f t="shared" si="7"/>
        <v>ok</v>
      </c>
      <c r="J225" s="77">
        <f>IFERROR(VLOOKUP($H225,TG[],3,FALSE),"NA")</f>
        <v>0</v>
      </c>
      <c r="K225" s="77" t="str">
        <f>IFERROR(VLOOKUP($H225,TF[],3,FALSE),"NA")</f>
        <v>NA</v>
      </c>
      <c r="L225" s="77" t="str">
        <f>IFERROR(VLOOKUP($H225,TT[],3,FALSE),"NA")</f>
        <v>NA</v>
      </c>
      <c r="M225" s="77" t="str">
        <f>IFERROR(VLOOKUP($H225,TES[],3,FALSE),"NA")</f>
        <v>NA</v>
      </c>
      <c r="N225" s="77" t="str">
        <f>IFERROR(VLOOKUP($H225,TEC[],3,FALSE),"NA")</f>
        <v>NA</v>
      </c>
      <c r="O225" s="77" t="str">
        <f>IFERROR(VLOOKUP($H225,TP[],3,FALSE),"NA")</f>
        <v>NA</v>
      </c>
      <c r="P225" s="77" t="str">
        <f>IFERROR(VLOOKUP($H225,TEN[],3,FALSE),"NA")</f>
        <v>NA</v>
      </c>
      <c r="Q225" s="77" t="str">
        <f>IFERROR(VLOOKUP($H225,TD[],3,FALSE),"NA")</f>
        <v>NA</v>
      </c>
      <c r="R225" s="77">
        <f>IFERROR(VLOOKUP($H225,TC[],3,FALSE),"NA")</f>
        <v>0</v>
      </c>
      <c r="S225" s="77" t="str">
        <f>IFERROR(VLOOKUP($H225,TEV[],3,FALSE),"NA")</f>
        <v>NA</v>
      </c>
      <c r="T225" s="79">
        <f>SUM(TbAlquiler[[#This Row],[GENERAL]:[ELEVADOR]])</f>
        <v>0</v>
      </c>
      <c r="U225" s="80">
        <f>IF(VLOOKUP(TbAlquiler[[#This Row],[ITEM]],TbPiezas[],5,FALSE)="NA",0,VLOOKUP(TbAlquiler[[#This Row],[ITEM]],TbPiezas[],5,FALSE))</f>
        <v>25.700000000000003</v>
      </c>
      <c r="V225" s="81">
        <f>+TbAlquiler[[#This Row],[TOTAL]]*TbAlquiler[[#This Row],[P.U. (1)]]</f>
        <v>0</v>
      </c>
      <c r="W225" s="82">
        <f>+VLOOKUP(TbAlquiler[[#This Row],[ITEM]],TbPiezas[],6,FALSE)</f>
        <v>1099.78</v>
      </c>
      <c r="X225" s="83">
        <f>+TbAlquiler[[#This Row],[TOTAL]]*TbAlquiler[[#This Row],[P.U. (2)]]</f>
        <v>0</v>
      </c>
      <c r="Y225" s="82">
        <f>+VLOOKUP(TbAlquiler[[#This Row],[ITEM]],TbPiezas[],7,FALSE)</f>
        <v>54.989000000000004</v>
      </c>
      <c r="Z225" s="84">
        <f>+TbAlquiler[[#This Row],[TOTAL]]*TbAlquiler[[#This Row],[P.U. (3)]]</f>
        <v>0</v>
      </c>
    </row>
    <row r="226" spans="1:26" ht="15" customHeight="1" x14ac:dyDescent="0.3">
      <c r="A226" s="2"/>
      <c r="B226" s="85">
        <v>210</v>
      </c>
      <c r="C226" s="71" t="s">
        <v>421</v>
      </c>
      <c r="D226" s="72" t="s">
        <v>422</v>
      </c>
      <c r="E226" s="73"/>
      <c r="F226" s="74">
        <f>+VLOOKUP(C226,TbAlquiler[],13,FALSE)</f>
        <v>0</v>
      </c>
      <c r="G226" s="2"/>
      <c r="H226" s="75" t="str">
        <f t="shared" si="6"/>
        <v>AE.3800</v>
      </c>
      <c r="I226" s="59" t="str">
        <f t="shared" si="7"/>
        <v>ok</v>
      </c>
      <c r="J226" s="77">
        <f>IFERROR(VLOOKUP($H226,TG[],3,FALSE),"NA")</f>
        <v>0</v>
      </c>
      <c r="K226" s="77" t="str">
        <f>IFERROR(VLOOKUP($H226,TF[],3,FALSE),"NA")</f>
        <v>NA</v>
      </c>
      <c r="L226" s="77" t="str">
        <f>IFERROR(VLOOKUP($H226,TT[],3,FALSE),"NA")</f>
        <v>NA</v>
      </c>
      <c r="M226" s="77" t="str">
        <f>IFERROR(VLOOKUP($H226,TES[],3,FALSE),"NA")</f>
        <v>NA</v>
      </c>
      <c r="N226" s="77" t="str">
        <f>IFERROR(VLOOKUP($H226,TEC[],3,FALSE),"NA")</f>
        <v>NA</v>
      </c>
      <c r="O226" s="77" t="str">
        <f>IFERROR(VLOOKUP($H226,TP[],3,FALSE),"NA")</f>
        <v>NA</v>
      </c>
      <c r="P226" s="77" t="str">
        <f>IFERROR(VLOOKUP($H226,TEN[],3,FALSE),"NA")</f>
        <v>NA</v>
      </c>
      <c r="Q226" s="77" t="str">
        <f>IFERROR(VLOOKUP($H226,TD[],3,FALSE),"NA")</f>
        <v>NA</v>
      </c>
      <c r="R226" s="77">
        <f>IFERROR(VLOOKUP($H226,TC[],3,FALSE),"NA")</f>
        <v>0</v>
      </c>
      <c r="S226" s="77" t="str">
        <f>IFERROR(VLOOKUP($H226,TEV[],3,FALSE),"NA")</f>
        <v>NA</v>
      </c>
      <c r="T226" s="79">
        <f>SUM(TbAlquiler[[#This Row],[GENERAL]:[ELEVADOR]])</f>
        <v>0</v>
      </c>
      <c r="U226" s="80">
        <f>IF(VLOOKUP(TbAlquiler[[#This Row],[ITEM]],TbPiezas[],5,FALSE)="NA",0,VLOOKUP(TbAlquiler[[#This Row],[ITEM]],TbPiezas[],5,FALSE))</f>
        <v>35</v>
      </c>
      <c r="V226" s="81">
        <f>+TbAlquiler[[#This Row],[TOTAL]]*TbAlquiler[[#This Row],[P.U. (1)]]</f>
        <v>0</v>
      </c>
      <c r="W226" s="82">
        <f>+VLOOKUP(TbAlquiler[[#This Row],[ITEM]],TbPiezas[],6,FALSE)</f>
        <v>826.63</v>
      </c>
      <c r="X226" s="83">
        <f>+TbAlquiler[[#This Row],[TOTAL]]*TbAlquiler[[#This Row],[P.U. (2)]]</f>
        <v>0</v>
      </c>
      <c r="Y226" s="82">
        <f>+VLOOKUP(TbAlquiler[[#This Row],[ITEM]],TbPiezas[],7,FALSE)</f>
        <v>41.331500000000005</v>
      </c>
      <c r="Z226" s="84">
        <f>+TbAlquiler[[#This Row],[TOTAL]]*TbAlquiler[[#This Row],[P.U. (3)]]</f>
        <v>0</v>
      </c>
    </row>
    <row r="227" spans="1:26" ht="15" customHeight="1" x14ac:dyDescent="0.3">
      <c r="A227" s="2"/>
      <c r="B227" s="85">
        <v>211</v>
      </c>
      <c r="C227" s="71" t="s">
        <v>423</v>
      </c>
      <c r="D227" s="72" t="s">
        <v>424</v>
      </c>
      <c r="E227" s="73"/>
      <c r="F227" s="74">
        <f>+VLOOKUP(C227,TbAlquiler[],13,FALSE)</f>
        <v>0</v>
      </c>
      <c r="G227" s="2"/>
      <c r="H227" s="75" t="str">
        <f t="shared" si="6"/>
        <v>AE.3900</v>
      </c>
      <c r="I227" s="59" t="str">
        <f t="shared" si="7"/>
        <v>ok</v>
      </c>
      <c r="J227" s="77">
        <f>IFERROR(VLOOKUP($H227,TG[],3,FALSE),"NA")</f>
        <v>0</v>
      </c>
      <c r="K227" s="77" t="str">
        <f>IFERROR(VLOOKUP($H227,TF[],3,FALSE),"NA")</f>
        <v>NA</v>
      </c>
      <c r="L227" s="77" t="str">
        <f>IFERROR(VLOOKUP($H227,TT[],3,FALSE),"NA")</f>
        <v>NA</v>
      </c>
      <c r="M227" s="77" t="str">
        <f>IFERROR(VLOOKUP($H227,TES[],3,FALSE),"NA")</f>
        <v>NA</v>
      </c>
      <c r="N227" s="77" t="str">
        <f>IFERROR(VLOOKUP($H227,TEC[],3,FALSE),"NA")</f>
        <v>NA</v>
      </c>
      <c r="O227" s="77" t="str">
        <f>IFERROR(VLOOKUP($H227,TP[],3,FALSE),"NA")</f>
        <v>NA</v>
      </c>
      <c r="P227" s="77" t="str">
        <f>IFERROR(VLOOKUP($H227,TEN[],3,FALSE),"NA")</f>
        <v>NA</v>
      </c>
      <c r="Q227" s="77" t="str">
        <f>IFERROR(VLOOKUP($H227,TD[],3,FALSE),"NA")</f>
        <v>NA</v>
      </c>
      <c r="R227" s="77">
        <f>IFERROR(VLOOKUP($H227,TC[],3,FALSE),"NA")</f>
        <v>0</v>
      </c>
      <c r="S227" s="77" t="str">
        <f>IFERROR(VLOOKUP($H227,TEV[],3,FALSE),"NA")</f>
        <v>NA</v>
      </c>
      <c r="T227" s="79">
        <f>SUM(TbAlquiler[[#This Row],[GENERAL]:[ELEVADOR]])</f>
        <v>0</v>
      </c>
      <c r="U227" s="80">
        <f>IF(VLOOKUP(TbAlquiler[[#This Row],[ITEM]],TbPiezas[],5,FALSE)="NA",0,VLOOKUP(TbAlquiler[[#This Row],[ITEM]],TbPiezas[],5,FALSE))</f>
        <v>23.099999999999994</v>
      </c>
      <c r="V227" s="81">
        <f>+TbAlquiler[[#This Row],[TOTAL]]*TbAlquiler[[#This Row],[P.U. (1)]]</f>
        <v>0</v>
      </c>
      <c r="W227" s="82">
        <f>+VLOOKUP(TbAlquiler[[#This Row],[ITEM]],TbPiezas[],6,FALSE)</f>
        <v>1238.74</v>
      </c>
      <c r="X227" s="83">
        <f>+TbAlquiler[[#This Row],[TOTAL]]*TbAlquiler[[#This Row],[P.U. (2)]]</f>
        <v>0</v>
      </c>
      <c r="Y227" s="82">
        <f>+VLOOKUP(TbAlquiler[[#This Row],[ITEM]],TbPiezas[],7,FALSE)</f>
        <v>61.937000000000005</v>
      </c>
      <c r="Z227" s="84">
        <f>+TbAlquiler[[#This Row],[TOTAL]]*TbAlquiler[[#This Row],[P.U. (3)]]</f>
        <v>0</v>
      </c>
    </row>
    <row r="228" spans="1:26" ht="15" customHeight="1" x14ac:dyDescent="0.3">
      <c r="A228" s="2"/>
      <c r="B228" s="85">
        <v>212</v>
      </c>
      <c r="C228" s="71" t="s">
        <v>425</v>
      </c>
      <c r="D228" s="72" t="s">
        <v>426</v>
      </c>
      <c r="E228" s="73"/>
      <c r="F228" s="74">
        <f>+VLOOKUP(C228,TbAlquiler[],13,FALSE)</f>
        <v>0</v>
      </c>
      <c r="G228" s="2"/>
      <c r="H228" s="75" t="str">
        <f t="shared" si="6"/>
        <v>AE.4000</v>
      </c>
      <c r="I228" s="59" t="str">
        <f t="shared" si="7"/>
        <v>ok</v>
      </c>
      <c r="J228" s="77">
        <f>IFERROR(VLOOKUP($H228,TG[],3,FALSE),"NA")</f>
        <v>0</v>
      </c>
      <c r="K228" s="77" t="str">
        <f>IFERROR(VLOOKUP($H228,TF[],3,FALSE),"NA")</f>
        <v>NA</v>
      </c>
      <c r="L228" s="77" t="str">
        <f>IFERROR(VLOOKUP($H228,TT[],3,FALSE),"NA")</f>
        <v>NA</v>
      </c>
      <c r="M228" s="77" t="str">
        <f>IFERROR(VLOOKUP($H228,TES[],3,FALSE),"NA")</f>
        <v>NA</v>
      </c>
      <c r="N228" s="77" t="str">
        <f>IFERROR(VLOOKUP($H228,TEC[],3,FALSE),"NA")</f>
        <v>NA</v>
      </c>
      <c r="O228" s="77" t="str">
        <f>IFERROR(VLOOKUP($H228,TP[],3,FALSE),"NA")</f>
        <v>NA</v>
      </c>
      <c r="P228" s="77" t="str">
        <f>IFERROR(VLOOKUP($H228,TEN[],3,FALSE),"NA")</f>
        <v>NA</v>
      </c>
      <c r="Q228" s="77" t="str">
        <f>IFERROR(VLOOKUP($H228,TD[],3,FALSE),"NA")</f>
        <v>NA</v>
      </c>
      <c r="R228" s="77">
        <f>IFERROR(VLOOKUP($H228,TC[],3,FALSE),"NA")</f>
        <v>0</v>
      </c>
      <c r="S228" s="77" t="str">
        <f>IFERROR(VLOOKUP($H228,TEV[],3,FALSE),"NA")</f>
        <v>NA</v>
      </c>
      <c r="T228" s="79">
        <f>SUM(TbAlquiler[[#This Row],[GENERAL]:[ELEVADOR]])</f>
        <v>0</v>
      </c>
      <c r="U228" s="80">
        <f>IF(VLOOKUP(TbAlquiler[[#This Row],[ITEM]],TbPiezas[],5,FALSE)="NA",0,VLOOKUP(TbAlquiler[[#This Row],[ITEM]],TbPiezas[],5,FALSE))</f>
        <v>6.7999999999999972</v>
      </c>
      <c r="V228" s="81">
        <f>+TbAlquiler[[#This Row],[TOTAL]]*TbAlquiler[[#This Row],[P.U. (1)]]</f>
        <v>0</v>
      </c>
      <c r="W228" s="82">
        <f>+VLOOKUP(TbAlquiler[[#This Row],[ITEM]],TbPiezas[],6,FALSE)</f>
        <v>825.83</v>
      </c>
      <c r="X228" s="83">
        <f>+TbAlquiler[[#This Row],[TOTAL]]*TbAlquiler[[#This Row],[P.U. (2)]]</f>
        <v>0</v>
      </c>
      <c r="Y228" s="82">
        <f>+VLOOKUP(TbAlquiler[[#This Row],[ITEM]],TbPiezas[],7,FALSE)</f>
        <v>41.291500000000006</v>
      </c>
      <c r="Z228" s="84">
        <f>+TbAlquiler[[#This Row],[TOTAL]]*TbAlquiler[[#This Row],[P.U. (3)]]</f>
        <v>0</v>
      </c>
    </row>
    <row r="229" spans="1:26" ht="15" customHeight="1" x14ac:dyDescent="0.3">
      <c r="A229" s="2"/>
      <c r="B229" s="85">
        <v>213</v>
      </c>
      <c r="C229" s="71" t="s">
        <v>427</v>
      </c>
      <c r="D229" s="72" t="s">
        <v>428</v>
      </c>
      <c r="E229" s="73"/>
      <c r="F229" s="74">
        <f>+VLOOKUP(C229,TbAlquiler[],13,FALSE)</f>
        <v>0</v>
      </c>
      <c r="G229" s="2"/>
      <c r="H229" s="75" t="str">
        <f t="shared" si="6"/>
        <v>AE.4100</v>
      </c>
      <c r="I229" s="59" t="str">
        <f t="shared" si="7"/>
        <v>ok</v>
      </c>
      <c r="J229" s="77">
        <f>IFERROR(VLOOKUP($H229,TG[],3,FALSE),"NA")</f>
        <v>0</v>
      </c>
      <c r="K229" s="77" t="str">
        <f>IFERROR(VLOOKUP($H229,TF[],3,FALSE),"NA")</f>
        <v>NA</v>
      </c>
      <c r="L229" s="77" t="str">
        <f>IFERROR(VLOOKUP($H229,TT[],3,FALSE),"NA")</f>
        <v>NA</v>
      </c>
      <c r="M229" s="77" t="str">
        <f>IFERROR(VLOOKUP($H229,TES[],3,FALSE),"NA")</f>
        <v>NA</v>
      </c>
      <c r="N229" s="77" t="str">
        <f>IFERROR(VLOOKUP($H229,TEC[],3,FALSE),"NA")</f>
        <v>NA</v>
      </c>
      <c r="O229" s="77" t="str">
        <f>IFERROR(VLOOKUP($H229,TP[],3,FALSE),"NA")</f>
        <v>NA</v>
      </c>
      <c r="P229" s="77" t="str">
        <f>IFERROR(VLOOKUP($H229,TEN[],3,FALSE),"NA")</f>
        <v>NA</v>
      </c>
      <c r="Q229" s="77" t="str">
        <f>IFERROR(VLOOKUP($H229,TD[],3,FALSE),"NA")</f>
        <v>NA</v>
      </c>
      <c r="R229" s="77">
        <f>IFERROR(VLOOKUP($H229,TC[],3,FALSE),"NA")</f>
        <v>0</v>
      </c>
      <c r="S229" s="77" t="str">
        <f>IFERROR(VLOOKUP($H229,TEV[],3,FALSE),"NA")</f>
        <v>NA</v>
      </c>
      <c r="T229" s="79">
        <f>SUM(TbAlquiler[[#This Row],[GENERAL]:[ELEVADOR]])</f>
        <v>0</v>
      </c>
      <c r="U229" s="80">
        <f>IF(VLOOKUP(TbAlquiler[[#This Row],[ITEM]],TbPiezas[],5,FALSE)="NA",0,VLOOKUP(TbAlquiler[[#This Row],[ITEM]],TbPiezas[],5,FALSE))</f>
        <v>13.700000000000003</v>
      </c>
      <c r="V229" s="81">
        <f>+TbAlquiler[[#This Row],[TOTAL]]*TbAlquiler[[#This Row],[P.U. (1)]]</f>
        <v>0</v>
      </c>
      <c r="W229" s="82">
        <f>+VLOOKUP(TbAlquiler[[#This Row],[ITEM]],TbPiezas[],6,FALSE)</f>
        <v>1238.74</v>
      </c>
      <c r="X229" s="83">
        <f>+TbAlquiler[[#This Row],[TOTAL]]*TbAlquiler[[#This Row],[P.U. (2)]]</f>
        <v>0</v>
      </c>
      <c r="Y229" s="82">
        <f>+VLOOKUP(TbAlquiler[[#This Row],[ITEM]],TbPiezas[],7,FALSE)</f>
        <v>61.937000000000005</v>
      </c>
      <c r="Z229" s="84">
        <f>+TbAlquiler[[#This Row],[TOTAL]]*TbAlquiler[[#This Row],[P.U. (3)]]</f>
        <v>0</v>
      </c>
    </row>
    <row r="230" spans="1:26" ht="15" customHeight="1" x14ac:dyDescent="0.3">
      <c r="A230" s="2"/>
      <c r="B230" s="85">
        <v>214</v>
      </c>
      <c r="C230" s="71" t="s">
        <v>429</v>
      </c>
      <c r="D230" s="72" t="s">
        <v>430</v>
      </c>
      <c r="E230" s="73"/>
      <c r="F230" s="74">
        <f>+VLOOKUP(C230,TbAlquiler[],13,FALSE)</f>
        <v>0</v>
      </c>
      <c r="G230" s="2"/>
      <c r="H230" s="75" t="str">
        <f t="shared" si="6"/>
        <v>AE.4200</v>
      </c>
      <c r="I230" s="59" t="str">
        <f t="shared" si="7"/>
        <v>ok</v>
      </c>
      <c r="J230" s="77">
        <f>IFERROR(VLOOKUP($H230,TG[],3,FALSE),"NA")</f>
        <v>0</v>
      </c>
      <c r="K230" s="77" t="str">
        <f>IFERROR(VLOOKUP($H230,TF[],3,FALSE),"NA")</f>
        <v>NA</v>
      </c>
      <c r="L230" s="77" t="str">
        <f>IFERROR(VLOOKUP($H230,TT[],3,FALSE),"NA")</f>
        <v>NA</v>
      </c>
      <c r="M230" s="77" t="str">
        <f>IFERROR(VLOOKUP($H230,TES[],3,FALSE),"NA")</f>
        <v>NA</v>
      </c>
      <c r="N230" s="77" t="str">
        <f>IFERROR(VLOOKUP($H230,TEC[],3,FALSE),"NA")</f>
        <v>NA</v>
      </c>
      <c r="O230" s="77" t="str">
        <f>IFERROR(VLOOKUP($H230,TP[],3,FALSE),"NA")</f>
        <v>NA</v>
      </c>
      <c r="P230" s="77" t="str">
        <f>IFERROR(VLOOKUP($H230,TEN[],3,FALSE),"NA")</f>
        <v>NA</v>
      </c>
      <c r="Q230" s="77" t="str">
        <f>IFERROR(VLOOKUP($H230,TD[],3,FALSE),"NA")</f>
        <v>NA</v>
      </c>
      <c r="R230" s="77">
        <f>IFERROR(VLOOKUP($H230,TC[],3,FALSE),"NA")</f>
        <v>0</v>
      </c>
      <c r="S230" s="77" t="str">
        <f>IFERROR(VLOOKUP($H230,TEV[],3,FALSE),"NA")</f>
        <v>NA</v>
      </c>
      <c r="T230" s="79">
        <f>SUM(TbAlquiler[[#This Row],[GENERAL]:[ELEVADOR]])</f>
        <v>0</v>
      </c>
      <c r="U230" s="80">
        <f>IF(VLOOKUP(TbAlquiler[[#This Row],[ITEM]],TbPiezas[],5,FALSE)="NA",0,VLOOKUP(TbAlquiler[[#This Row],[ITEM]],TbPiezas[],5,FALSE))</f>
        <v>16</v>
      </c>
      <c r="V230" s="81">
        <f>+TbAlquiler[[#This Row],[TOTAL]]*TbAlquiler[[#This Row],[P.U. (1)]]</f>
        <v>0</v>
      </c>
      <c r="W230" s="82">
        <f>+VLOOKUP(TbAlquiler[[#This Row],[ITEM]],TbPiezas[],6,FALSE)</f>
        <v>1651.65</v>
      </c>
      <c r="X230" s="83">
        <f>+TbAlquiler[[#This Row],[TOTAL]]*TbAlquiler[[#This Row],[P.U. (2)]]</f>
        <v>0</v>
      </c>
      <c r="Y230" s="82">
        <f>+VLOOKUP(TbAlquiler[[#This Row],[ITEM]],TbPiezas[],7,FALSE)</f>
        <v>82.58250000000001</v>
      </c>
      <c r="Z230" s="84">
        <f>+TbAlquiler[[#This Row],[TOTAL]]*TbAlquiler[[#This Row],[P.U. (3)]]</f>
        <v>0</v>
      </c>
    </row>
    <row r="231" spans="1:26" ht="15" customHeight="1" x14ac:dyDescent="0.3">
      <c r="A231" s="2"/>
      <c r="B231" s="85">
        <v>215</v>
      </c>
      <c r="C231" s="71" t="s">
        <v>431</v>
      </c>
      <c r="D231" s="72" t="s">
        <v>432</v>
      </c>
      <c r="E231" s="73"/>
      <c r="F231" s="74">
        <f>+VLOOKUP(C231,TbAlquiler[],13,FALSE)</f>
        <v>0</v>
      </c>
      <c r="G231" s="2"/>
      <c r="H231" s="75" t="str">
        <f t="shared" si="6"/>
        <v>AE.4300</v>
      </c>
      <c r="I231" s="59" t="str">
        <f t="shared" si="7"/>
        <v>ok</v>
      </c>
      <c r="J231" s="77">
        <f>IFERROR(VLOOKUP($H231,TG[],3,FALSE),"NA")</f>
        <v>0</v>
      </c>
      <c r="K231" s="77" t="str">
        <f>IFERROR(VLOOKUP($H231,TF[],3,FALSE),"NA")</f>
        <v>NA</v>
      </c>
      <c r="L231" s="77" t="str">
        <f>IFERROR(VLOOKUP($H231,TT[],3,FALSE),"NA")</f>
        <v>NA</v>
      </c>
      <c r="M231" s="77" t="str">
        <f>IFERROR(VLOOKUP($H231,TES[],3,FALSE),"NA")</f>
        <v>NA</v>
      </c>
      <c r="N231" s="77" t="str">
        <f>IFERROR(VLOOKUP($H231,TEC[],3,FALSE),"NA")</f>
        <v>NA</v>
      </c>
      <c r="O231" s="77" t="str">
        <f>IFERROR(VLOOKUP($H231,TP[],3,FALSE),"NA")</f>
        <v>NA</v>
      </c>
      <c r="P231" s="77" t="str">
        <f>IFERROR(VLOOKUP($H231,TEN[],3,FALSE),"NA")</f>
        <v>NA</v>
      </c>
      <c r="Q231" s="77" t="str">
        <f>IFERROR(VLOOKUP($H231,TD[],3,FALSE),"NA")</f>
        <v>NA</v>
      </c>
      <c r="R231" s="77">
        <f>IFERROR(VLOOKUP($H231,TC[],3,FALSE),"NA")</f>
        <v>0</v>
      </c>
      <c r="S231" s="77" t="str">
        <f>IFERROR(VLOOKUP($H231,TEV[],3,FALSE),"NA")</f>
        <v>NA</v>
      </c>
      <c r="T231" s="79">
        <f>SUM(TbAlquiler[[#This Row],[GENERAL]:[ELEVADOR]])</f>
        <v>0</v>
      </c>
      <c r="U231" s="80">
        <f>IF(VLOOKUP(TbAlquiler[[#This Row],[ITEM]],TbPiezas[],5,FALSE)="NA",0,VLOOKUP(TbAlquiler[[#This Row],[ITEM]],TbPiezas[],5,FALSE))</f>
        <v>20.099999999999994</v>
      </c>
      <c r="V231" s="81">
        <f>+TbAlquiler[[#This Row],[TOTAL]]*TbAlquiler[[#This Row],[P.U. (1)]]</f>
        <v>0</v>
      </c>
      <c r="W231" s="82">
        <f>+VLOOKUP(TbAlquiler[[#This Row],[ITEM]],TbPiezas[],6,FALSE)</f>
        <v>2477.48</v>
      </c>
      <c r="X231" s="83">
        <f>+TbAlquiler[[#This Row],[TOTAL]]*TbAlquiler[[#This Row],[P.U. (2)]]</f>
        <v>0</v>
      </c>
      <c r="Y231" s="82">
        <f>+VLOOKUP(TbAlquiler[[#This Row],[ITEM]],TbPiezas[],7,FALSE)</f>
        <v>123.87400000000001</v>
      </c>
      <c r="Z231" s="84">
        <f>+TbAlquiler[[#This Row],[TOTAL]]*TbAlquiler[[#This Row],[P.U. (3)]]</f>
        <v>0</v>
      </c>
    </row>
    <row r="232" spans="1:26" ht="15" customHeight="1" x14ac:dyDescent="0.3">
      <c r="A232" s="2"/>
      <c r="B232" s="85">
        <v>216</v>
      </c>
      <c r="C232" s="71" t="s">
        <v>433</v>
      </c>
      <c r="D232" s="72" t="s">
        <v>434</v>
      </c>
      <c r="E232" s="73"/>
      <c r="F232" s="74">
        <f>+VLOOKUP(C232,TbAlquiler[],13,FALSE)</f>
        <v>0</v>
      </c>
      <c r="G232" s="2"/>
      <c r="H232" s="75" t="str">
        <f t="shared" si="6"/>
        <v>AE.4400</v>
      </c>
      <c r="I232" s="59" t="str">
        <f t="shared" si="7"/>
        <v>ok</v>
      </c>
      <c r="J232" s="77">
        <f>IFERROR(VLOOKUP($H232,TG[],3,FALSE),"NA")</f>
        <v>0</v>
      </c>
      <c r="K232" s="77" t="str">
        <f>IFERROR(VLOOKUP($H232,TF[],3,FALSE),"NA")</f>
        <v>NA</v>
      </c>
      <c r="L232" s="77" t="str">
        <f>IFERROR(VLOOKUP($H232,TT[],3,FALSE),"NA")</f>
        <v>NA</v>
      </c>
      <c r="M232" s="77" t="str">
        <f>IFERROR(VLOOKUP($H232,TES[],3,FALSE),"NA")</f>
        <v>NA</v>
      </c>
      <c r="N232" s="77" t="str">
        <f>IFERROR(VLOOKUP($H232,TEC[],3,FALSE),"NA")</f>
        <v>NA</v>
      </c>
      <c r="O232" s="77" t="str">
        <f>IFERROR(VLOOKUP($H232,TP[],3,FALSE),"NA")</f>
        <v>NA</v>
      </c>
      <c r="P232" s="77" t="str">
        <f>IFERROR(VLOOKUP($H232,TEN[],3,FALSE),"NA")</f>
        <v>NA</v>
      </c>
      <c r="Q232" s="77" t="str">
        <f>IFERROR(VLOOKUP($H232,TD[],3,FALSE),"NA")</f>
        <v>NA</v>
      </c>
      <c r="R232" s="77">
        <f>IFERROR(VLOOKUP($H232,TC[],3,FALSE),"NA")</f>
        <v>0</v>
      </c>
      <c r="S232" s="77" t="str">
        <f>IFERROR(VLOOKUP($H232,TEV[],3,FALSE),"NA")</f>
        <v>NA</v>
      </c>
      <c r="T232" s="79">
        <f>SUM(TbAlquiler[[#This Row],[GENERAL]:[ELEVADOR]])</f>
        <v>0</v>
      </c>
      <c r="U232" s="80">
        <f>IF(VLOOKUP(TbAlquiler[[#This Row],[ITEM]],TbPiezas[],5,FALSE)="NA",0,VLOOKUP(TbAlquiler[[#This Row],[ITEM]],TbPiezas[],5,FALSE))</f>
        <v>7.2000000000000028</v>
      </c>
      <c r="V232" s="81">
        <f>+TbAlquiler[[#This Row],[TOTAL]]*TbAlquiler[[#This Row],[P.U. (1)]]</f>
        <v>0</v>
      </c>
      <c r="W232" s="82">
        <f>+VLOOKUP(TbAlquiler[[#This Row],[ITEM]],TbPiezas[],6,FALSE)</f>
        <v>929.05</v>
      </c>
      <c r="X232" s="83">
        <f>+TbAlquiler[[#This Row],[TOTAL]]*TbAlquiler[[#This Row],[P.U. (2)]]</f>
        <v>0</v>
      </c>
      <c r="Y232" s="82">
        <f>+VLOOKUP(TbAlquiler[[#This Row],[ITEM]],TbPiezas[],7,FALSE)</f>
        <v>46.452500000000001</v>
      </c>
      <c r="Z232" s="84">
        <f>+TbAlquiler[[#This Row],[TOTAL]]*TbAlquiler[[#This Row],[P.U. (3)]]</f>
        <v>0</v>
      </c>
    </row>
    <row r="233" spans="1:26" ht="15" customHeight="1" x14ac:dyDescent="0.3">
      <c r="A233" s="2"/>
      <c r="B233" s="85">
        <v>217</v>
      </c>
      <c r="C233" s="71" t="s">
        <v>435</v>
      </c>
      <c r="D233" s="72" t="s">
        <v>436</v>
      </c>
      <c r="E233" s="73"/>
      <c r="F233" s="74">
        <f>+VLOOKUP(C233,TbAlquiler[],13,FALSE)</f>
        <v>0</v>
      </c>
      <c r="G233" s="2"/>
      <c r="H233" s="75" t="str">
        <f t="shared" si="6"/>
        <v>AE.4500</v>
      </c>
      <c r="I233" s="59" t="str">
        <f t="shared" si="7"/>
        <v>ok</v>
      </c>
      <c r="J233" s="77">
        <f>IFERROR(VLOOKUP($H233,TG[],3,FALSE),"NA")</f>
        <v>0</v>
      </c>
      <c r="K233" s="77" t="str">
        <f>IFERROR(VLOOKUP($H233,TF[],3,FALSE),"NA")</f>
        <v>NA</v>
      </c>
      <c r="L233" s="77" t="str">
        <f>IFERROR(VLOOKUP($H233,TT[],3,FALSE),"NA")</f>
        <v>NA</v>
      </c>
      <c r="M233" s="77" t="str">
        <f>IFERROR(VLOOKUP($H233,TES[],3,FALSE),"NA")</f>
        <v>NA</v>
      </c>
      <c r="N233" s="77" t="str">
        <f>IFERROR(VLOOKUP($H233,TEC[],3,FALSE),"NA")</f>
        <v>NA</v>
      </c>
      <c r="O233" s="77" t="str">
        <f>IFERROR(VLOOKUP($H233,TP[],3,FALSE),"NA")</f>
        <v>NA</v>
      </c>
      <c r="P233" s="77" t="str">
        <f>IFERROR(VLOOKUP($H233,TEN[],3,FALSE),"NA")</f>
        <v>NA</v>
      </c>
      <c r="Q233" s="77" t="str">
        <f>IFERROR(VLOOKUP($H233,TD[],3,FALSE),"NA")</f>
        <v>NA</v>
      </c>
      <c r="R233" s="77">
        <f>IFERROR(VLOOKUP($H233,TC[],3,FALSE),"NA")</f>
        <v>0</v>
      </c>
      <c r="S233" s="77" t="str">
        <f>IFERROR(VLOOKUP($H233,TEV[],3,FALSE),"NA")</f>
        <v>NA</v>
      </c>
      <c r="T233" s="79">
        <f>SUM(TbAlquiler[[#This Row],[GENERAL]:[ELEVADOR]])</f>
        <v>0</v>
      </c>
      <c r="U233" s="80">
        <f>IF(VLOOKUP(TbAlquiler[[#This Row],[ITEM]],TbPiezas[],5,FALSE)="NA",0,VLOOKUP(TbAlquiler[[#This Row],[ITEM]],TbPiezas[],5,FALSE))</f>
        <v>6.2000000000000028</v>
      </c>
      <c r="V233" s="81">
        <f>+TbAlquiler[[#This Row],[TOTAL]]*TbAlquiler[[#This Row],[P.U. (1)]]</f>
        <v>0</v>
      </c>
      <c r="W233" s="82">
        <f>+VLOOKUP(TbAlquiler[[#This Row],[ITEM]],TbPiezas[],6,FALSE)</f>
        <v>1238.74</v>
      </c>
      <c r="X233" s="83">
        <f>+TbAlquiler[[#This Row],[TOTAL]]*TbAlquiler[[#This Row],[P.U. (2)]]</f>
        <v>0</v>
      </c>
      <c r="Y233" s="82">
        <f>+VLOOKUP(TbAlquiler[[#This Row],[ITEM]],TbPiezas[],7,FALSE)</f>
        <v>61.937000000000005</v>
      </c>
      <c r="Z233" s="84">
        <f>+TbAlquiler[[#This Row],[TOTAL]]*TbAlquiler[[#This Row],[P.U. (3)]]</f>
        <v>0</v>
      </c>
    </row>
    <row r="234" spans="1:26" ht="15" customHeight="1" x14ac:dyDescent="0.3">
      <c r="A234" s="2"/>
      <c r="B234" s="85">
        <v>218</v>
      </c>
      <c r="C234" s="71" t="s">
        <v>437</v>
      </c>
      <c r="D234" s="72" t="s">
        <v>438</v>
      </c>
      <c r="E234" s="73"/>
      <c r="F234" s="74">
        <f>+VLOOKUP(C234,TbAlquiler[],13,FALSE)</f>
        <v>0</v>
      </c>
      <c r="G234" s="2"/>
      <c r="H234" s="75" t="str">
        <f t="shared" si="6"/>
        <v>AE.4600</v>
      </c>
      <c r="I234" s="59" t="str">
        <f t="shared" si="7"/>
        <v>ok</v>
      </c>
      <c r="J234" s="77">
        <f>IFERROR(VLOOKUP($H234,TG[],3,FALSE),"NA")</f>
        <v>0</v>
      </c>
      <c r="K234" s="77" t="str">
        <f>IFERROR(VLOOKUP($H234,TF[],3,FALSE),"NA")</f>
        <v>NA</v>
      </c>
      <c r="L234" s="77" t="str">
        <f>IFERROR(VLOOKUP($H234,TT[],3,FALSE),"NA")</f>
        <v>NA</v>
      </c>
      <c r="M234" s="77" t="str">
        <f>IFERROR(VLOOKUP($H234,TES[],3,FALSE),"NA")</f>
        <v>NA</v>
      </c>
      <c r="N234" s="77" t="str">
        <f>IFERROR(VLOOKUP($H234,TEC[],3,FALSE),"NA")</f>
        <v>NA</v>
      </c>
      <c r="O234" s="77" t="str">
        <f>IFERROR(VLOOKUP($H234,TP[],3,FALSE),"NA")</f>
        <v>NA</v>
      </c>
      <c r="P234" s="77" t="str">
        <f>IFERROR(VLOOKUP($H234,TEN[],3,FALSE),"NA")</f>
        <v>NA</v>
      </c>
      <c r="Q234" s="77" t="str">
        <f>IFERROR(VLOOKUP($H234,TD[],3,FALSE),"NA")</f>
        <v>NA</v>
      </c>
      <c r="R234" s="77">
        <f>IFERROR(VLOOKUP($H234,TC[],3,FALSE),"NA")</f>
        <v>0</v>
      </c>
      <c r="S234" s="77" t="str">
        <f>IFERROR(VLOOKUP($H234,TEV[],3,FALSE),"NA")</f>
        <v>NA</v>
      </c>
      <c r="T234" s="79">
        <f>SUM(TbAlquiler[[#This Row],[GENERAL]:[ELEVADOR]])</f>
        <v>0</v>
      </c>
      <c r="U234" s="80">
        <f>IF(VLOOKUP(TbAlquiler[[#This Row],[ITEM]],TbPiezas[],5,FALSE)="NA",0,VLOOKUP(TbAlquiler[[#This Row],[ITEM]],TbPiezas[],5,FALSE))</f>
        <v>13.599999999999994</v>
      </c>
      <c r="V234" s="81">
        <f>+TbAlquiler[[#This Row],[TOTAL]]*TbAlquiler[[#This Row],[P.U. (1)]]</f>
        <v>0</v>
      </c>
      <c r="W234" s="82">
        <f>+VLOOKUP(TbAlquiler[[#This Row],[ITEM]],TbPiezas[],6,FALSE)</f>
        <v>1858.11</v>
      </c>
      <c r="X234" s="83">
        <f>+TbAlquiler[[#This Row],[TOTAL]]*TbAlquiler[[#This Row],[P.U. (2)]]</f>
        <v>0</v>
      </c>
      <c r="Y234" s="82">
        <f>+VLOOKUP(TbAlquiler[[#This Row],[ITEM]],TbPiezas[],7,FALSE)</f>
        <v>92.905500000000004</v>
      </c>
      <c r="Z234" s="84">
        <f>+TbAlquiler[[#This Row],[TOTAL]]*TbAlquiler[[#This Row],[P.U. (3)]]</f>
        <v>0</v>
      </c>
    </row>
    <row r="235" spans="1:26" ht="15" customHeight="1" x14ac:dyDescent="0.3">
      <c r="A235" s="2"/>
      <c r="B235" s="85">
        <v>219</v>
      </c>
      <c r="C235" s="71" t="s">
        <v>439</v>
      </c>
      <c r="D235" s="72" t="s">
        <v>440</v>
      </c>
      <c r="E235" s="73"/>
      <c r="F235" s="74">
        <f>+VLOOKUP(C235,TbAlquiler[],13,FALSE)</f>
        <v>0</v>
      </c>
      <c r="G235" s="2"/>
      <c r="H235" s="75" t="str">
        <f t="shared" si="6"/>
        <v>AE.4700</v>
      </c>
      <c r="I235" s="59" t="str">
        <f t="shared" si="7"/>
        <v>ok</v>
      </c>
      <c r="J235" s="77">
        <f>IFERROR(VLOOKUP($H235,TG[],3,FALSE),"NA")</f>
        <v>0</v>
      </c>
      <c r="K235" s="77" t="str">
        <f>IFERROR(VLOOKUP($H235,TF[],3,FALSE),"NA")</f>
        <v>NA</v>
      </c>
      <c r="L235" s="77" t="str">
        <f>IFERROR(VLOOKUP($H235,TT[],3,FALSE),"NA")</f>
        <v>NA</v>
      </c>
      <c r="M235" s="77" t="str">
        <f>IFERROR(VLOOKUP($H235,TES[],3,FALSE),"NA")</f>
        <v>NA</v>
      </c>
      <c r="N235" s="77" t="str">
        <f>IFERROR(VLOOKUP($H235,TEC[],3,FALSE),"NA")</f>
        <v>NA</v>
      </c>
      <c r="O235" s="77" t="str">
        <f>IFERROR(VLOOKUP($H235,TP[],3,FALSE),"NA")</f>
        <v>NA</v>
      </c>
      <c r="P235" s="77" t="str">
        <f>IFERROR(VLOOKUP($H235,TEN[],3,FALSE),"NA")</f>
        <v>NA</v>
      </c>
      <c r="Q235" s="77" t="str">
        <f>IFERROR(VLOOKUP($H235,TD[],3,FALSE),"NA")</f>
        <v>NA</v>
      </c>
      <c r="R235" s="77">
        <f>IFERROR(VLOOKUP($H235,TC[],3,FALSE),"NA")</f>
        <v>0</v>
      </c>
      <c r="S235" s="77" t="str">
        <f>IFERROR(VLOOKUP($H235,TEV[],3,FALSE),"NA")</f>
        <v>NA</v>
      </c>
      <c r="T235" s="79">
        <f>SUM(TbAlquiler[[#This Row],[GENERAL]:[ELEVADOR]])</f>
        <v>0</v>
      </c>
      <c r="U235" s="80">
        <f>IF(VLOOKUP(TbAlquiler[[#This Row],[ITEM]],TbPiezas[],5,FALSE)="NA",0,VLOOKUP(TbAlquiler[[#This Row],[ITEM]],TbPiezas[],5,FALSE))</f>
        <v>7.7000000000000028</v>
      </c>
      <c r="V235" s="81">
        <f>+TbAlquiler[[#This Row],[TOTAL]]*TbAlquiler[[#This Row],[P.U. (1)]]</f>
        <v>0</v>
      </c>
      <c r="W235" s="82">
        <f>+VLOOKUP(TbAlquiler[[#This Row],[ITEM]],TbPiezas[],6,FALSE)</f>
        <v>929.05</v>
      </c>
      <c r="X235" s="83">
        <f>+TbAlquiler[[#This Row],[TOTAL]]*TbAlquiler[[#This Row],[P.U. (2)]]</f>
        <v>0</v>
      </c>
      <c r="Y235" s="82">
        <f>+VLOOKUP(TbAlquiler[[#This Row],[ITEM]],TbPiezas[],7,FALSE)</f>
        <v>46.452500000000001</v>
      </c>
      <c r="Z235" s="84">
        <f>+TbAlquiler[[#This Row],[TOTAL]]*TbAlquiler[[#This Row],[P.U. (3)]]</f>
        <v>0</v>
      </c>
    </row>
    <row r="236" spans="1:26" ht="15" customHeight="1" x14ac:dyDescent="0.3">
      <c r="A236" s="2"/>
      <c r="B236" s="85">
        <v>220</v>
      </c>
      <c r="C236" s="71" t="s">
        <v>441</v>
      </c>
      <c r="D236" s="72" t="s">
        <v>442</v>
      </c>
      <c r="E236" s="73"/>
      <c r="F236" s="74">
        <f>+VLOOKUP(C236,TbAlquiler[],13,FALSE)</f>
        <v>0</v>
      </c>
      <c r="G236" s="2"/>
      <c r="H236" s="75" t="str">
        <f t="shared" si="6"/>
        <v>AE.4800</v>
      </c>
      <c r="I236" s="59" t="str">
        <f t="shared" si="7"/>
        <v>ok</v>
      </c>
      <c r="J236" s="77">
        <f>IFERROR(VLOOKUP($H236,TG[],3,FALSE),"NA")</f>
        <v>0</v>
      </c>
      <c r="K236" s="77" t="str">
        <f>IFERROR(VLOOKUP($H236,TF[],3,FALSE),"NA")</f>
        <v>NA</v>
      </c>
      <c r="L236" s="77" t="str">
        <f>IFERROR(VLOOKUP($H236,TT[],3,FALSE),"NA")</f>
        <v>NA</v>
      </c>
      <c r="M236" s="77" t="str">
        <f>IFERROR(VLOOKUP($H236,TES[],3,FALSE),"NA")</f>
        <v>NA</v>
      </c>
      <c r="N236" s="77" t="str">
        <f>IFERROR(VLOOKUP($H236,TEC[],3,FALSE),"NA")</f>
        <v>NA</v>
      </c>
      <c r="O236" s="77" t="str">
        <f>IFERROR(VLOOKUP($H236,TP[],3,FALSE),"NA")</f>
        <v>NA</v>
      </c>
      <c r="P236" s="77" t="str">
        <f>IFERROR(VLOOKUP($H236,TEN[],3,FALSE),"NA")</f>
        <v>NA</v>
      </c>
      <c r="Q236" s="77" t="str">
        <f>IFERROR(VLOOKUP($H236,TD[],3,FALSE),"NA")</f>
        <v>NA</v>
      </c>
      <c r="R236" s="77">
        <f>IFERROR(VLOOKUP($H236,TC[],3,FALSE),"NA")</f>
        <v>0</v>
      </c>
      <c r="S236" s="77" t="str">
        <f>IFERROR(VLOOKUP($H236,TEV[],3,FALSE),"NA")</f>
        <v>NA</v>
      </c>
      <c r="T236" s="79">
        <f>SUM(TbAlquiler[[#This Row],[GENERAL]:[ELEVADOR]])</f>
        <v>0</v>
      </c>
      <c r="U236" s="80">
        <f>IF(VLOOKUP(TbAlquiler[[#This Row],[ITEM]],TbPiezas[],5,FALSE)="NA",0,VLOOKUP(TbAlquiler[[#This Row],[ITEM]],TbPiezas[],5,FALSE))</f>
        <v>8.5999999999999943</v>
      </c>
      <c r="V236" s="81">
        <f>+TbAlquiler[[#This Row],[TOTAL]]*TbAlquiler[[#This Row],[P.U. (1)]]</f>
        <v>0</v>
      </c>
      <c r="W236" s="82">
        <f>+VLOOKUP(TbAlquiler[[#This Row],[ITEM]],TbPiezas[],6,FALSE)</f>
        <v>1238.74</v>
      </c>
      <c r="X236" s="83">
        <f>+TbAlquiler[[#This Row],[TOTAL]]*TbAlquiler[[#This Row],[P.U. (2)]]</f>
        <v>0</v>
      </c>
      <c r="Y236" s="82">
        <f>+VLOOKUP(TbAlquiler[[#This Row],[ITEM]],TbPiezas[],7,FALSE)</f>
        <v>61.937000000000005</v>
      </c>
      <c r="Z236" s="84">
        <f>+TbAlquiler[[#This Row],[TOTAL]]*TbAlquiler[[#This Row],[P.U. (3)]]</f>
        <v>0</v>
      </c>
    </row>
    <row r="237" spans="1:26" ht="15" customHeight="1" x14ac:dyDescent="0.3">
      <c r="A237" s="2"/>
      <c r="B237" s="85">
        <v>221</v>
      </c>
      <c r="C237" s="71" t="s">
        <v>443</v>
      </c>
      <c r="D237" s="72" t="s">
        <v>444</v>
      </c>
      <c r="E237" s="73"/>
      <c r="F237" s="74">
        <f>+VLOOKUP(C237,TbAlquiler[],13,FALSE)</f>
        <v>0</v>
      </c>
      <c r="G237" s="2"/>
      <c r="H237" s="75" t="str">
        <f t="shared" si="6"/>
        <v>AE.4900</v>
      </c>
      <c r="I237" s="59" t="str">
        <f t="shared" si="7"/>
        <v>ok</v>
      </c>
      <c r="J237" s="77">
        <f>IFERROR(VLOOKUP($H237,TG[],3,FALSE),"NA")</f>
        <v>0</v>
      </c>
      <c r="K237" s="77" t="str">
        <f>IFERROR(VLOOKUP($H237,TF[],3,FALSE),"NA")</f>
        <v>NA</v>
      </c>
      <c r="L237" s="77" t="str">
        <f>IFERROR(VLOOKUP($H237,TT[],3,FALSE),"NA")</f>
        <v>NA</v>
      </c>
      <c r="M237" s="77" t="str">
        <f>IFERROR(VLOOKUP($H237,TES[],3,FALSE),"NA")</f>
        <v>NA</v>
      </c>
      <c r="N237" s="77" t="str">
        <f>IFERROR(VLOOKUP($H237,TEC[],3,FALSE),"NA")</f>
        <v>NA</v>
      </c>
      <c r="O237" s="77" t="str">
        <f>IFERROR(VLOOKUP($H237,TP[],3,FALSE),"NA")</f>
        <v>NA</v>
      </c>
      <c r="P237" s="77" t="str">
        <f>IFERROR(VLOOKUP($H237,TEN[],3,FALSE),"NA")</f>
        <v>NA</v>
      </c>
      <c r="Q237" s="77" t="str">
        <f>IFERROR(VLOOKUP($H237,TD[],3,FALSE),"NA")</f>
        <v>NA</v>
      </c>
      <c r="R237" s="77">
        <f>IFERROR(VLOOKUP($H237,TC[],3,FALSE),"NA")</f>
        <v>0</v>
      </c>
      <c r="S237" s="77" t="str">
        <f>IFERROR(VLOOKUP($H237,TEV[],3,FALSE),"NA")</f>
        <v>NA</v>
      </c>
      <c r="T237" s="79">
        <f>SUM(TbAlquiler[[#This Row],[GENERAL]:[ELEVADOR]])</f>
        <v>0</v>
      </c>
      <c r="U237" s="80">
        <f>IF(VLOOKUP(TbAlquiler[[#This Row],[ITEM]],TbPiezas[],5,FALSE)="NA",0,VLOOKUP(TbAlquiler[[#This Row],[ITEM]],TbPiezas[],5,FALSE))</f>
        <v>14</v>
      </c>
      <c r="V237" s="81">
        <f>+TbAlquiler[[#This Row],[TOTAL]]*TbAlquiler[[#This Row],[P.U. (1)]]</f>
        <v>0</v>
      </c>
      <c r="W237" s="82">
        <f>+VLOOKUP(TbAlquiler[[#This Row],[ITEM]],TbPiezas[],6,FALSE)</f>
        <v>1858.11</v>
      </c>
      <c r="X237" s="83">
        <f>+TbAlquiler[[#This Row],[TOTAL]]*TbAlquiler[[#This Row],[P.U. (2)]]</f>
        <v>0</v>
      </c>
      <c r="Y237" s="82">
        <f>+VLOOKUP(TbAlquiler[[#This Row],[ITEM]],TbPiezas[],7,FALSE)</f>
        <v>92.905500000000004</v>
      </c>
      <c r="Z237" s="84">
        <f>+TbAlquiler[[#This Row],[TOTAL]]*TbAlquiler[[#This Row],[P.U. (3)]]</f>
        <v>0</v>
      </c>
    </row>
    <row r="238" spans="1:26" ht="15" customHeight="1" x14ac:dyDescent="0.3">
      <c r="A238" s="2"/>
      <c r="B238" s="85">
        <v>222</v>
      </c>
      <c r="C238" s="71" t="s">
        <v>445</v>
      </c>
      <c r="D238" s="72" t="s">
        <v>446</v>
      </c>
      <c r="E238" s="73"/>
      <c r="F238" s="74">
        <f>+VLOOKUP(C238,TbAlquiler[],13,FALSE)</f>
        <v>0</v>
      </c>
      <c r="G238" s="2"/>
      <c r="H238" s="75" t="str">
        <f t="shared" si="6"/>
        <v>AE.5000</v>
      </c>
      <c r="I238" s="59" t="str">
        <f t="shared" si="7"/>
        <v>ok</v>
      </c>
      <c r="J238" s="77">
        <f>IFERROR(VLOOKUP($H238,TG[],3,FALSE),"NA")</f>
        <v>0</v>
      </c>
      <c r="K238" s="77" t="str">
        <f>IFERROR(VLOOKUP($H238,TF[],3,FALSE),"NA")</f>
        <v>NA</v>
      </c>
      <c r="L238" s="77" t="str">
        <f>IFERROR(VLOOKUP($H238,TT[],3,FALSE),"NA")</f>
        <v>NA</v>
      </c>
      <c r="M238" s="77" t="str">
        <f>IFERROR(VLOOKUP($H238,TES[],3,FALSE),"NA")</f>
        <v>NA</v>
      </c>
      <c r="N238" s="77" t="str">
        <f>IFERROR(VLOOKUP($H238,TEC[],3,FALSE),"NA")</f>
        <v>NA</v>
      </c>
      <c r="O238" s="77" t="str">
        <f>IFERROR(VLOOKUP($H238,TP[],3,FALSE),"NA")</f>
        <v>NA</v>
      </c>
      <c r="P238" s="77" t="str">
        <f>IFERROR(VLOOKUP($H238,TEN[],3,FALSE),"NA")</f>
        <v>NA</v>
      </c>
      <c r="Q238" s="77" t="str">
        <f>IFERROR(VLOOKUP($H238,TD[],3,FALSE),"NA")</f>
        <v>NA</v>
      </c>
      <c r="R238" s="77">
        <f>IFERROR(VLOOKUP($H238,TC[],3,FALSE),"NA")</f>
        <v>0</v>
      </c>
      <c r="S238" s="77" t="str">
        <f>IFERROR(VLOOKUP($H238,TEV[],3,FALSE),"NA")</f>
        <v>NA</v>
      </c>
      <c r="T238" s="79">
        <f>SUM(TbAlquiler[[#This Row],[GENERAL]:[ELEVADOR]])</f>
        <v>0</v>
      </c>
      <c r="U238" s="80">
        <f>IF(VLOOKUP(TbAlquiler[[#This Row],[ITEM]],TbPiezas[],5,FALSE)="NA",0,VLOOKUP(TbAlquiler[[#This Row],[ITEM]],TbPiezas[],5,FALSE))</f>
        <v>10.9</v>
      </c>
      <c r="V238" s="81">
        <f>+TbAlquiler[[#This Row],[TOTAL]]*TbAlquiler[[#This Row],[P.U. (1)]]</f>
        <v>0</v>
      </c>
      <c r="W238" s="82">
        <f>+VLOOKUP(TbAlquiler[[#This Row],[ITEM]],TbPiezas[],6,FALSE)</f>
        <v>826.63</v>
      </c>
      <c r="X238" s="83">
        <f>+TbAlquiler[[#This Row],[TOTAL]]*TbAlquiler[[#This Row],[P.U. (2)]]</f>
        <v>0</v>
      </c>
      <c r="Y238" s="82">
        <f>+VLOOKUP(TbAlquiler[[#This Row],[ITEM]],TbPiezas[],7,FALSE)</f>
        <v>41.331500000000005</v>
      </c>
      <c r="Z238" s="84">
        <f>+TbAlquiler[[#This Row],[TOTAL]]*TbAlquiler[[#This Row],[P.U. (3)]]</f>
        <v>0</v>
      </c>
    </row>
    <row r="239" spans="1:26" ht="15" customHeight="1" x14ac:dyDescent="0.3">
      <c r="A239" s="2"/>
      <c r="B239" s="85">
        <v>223</v>
      </c>
      <c r="C239" s="71" t="s">
        <v>447</v>
      </c>
      <c r="D239" s="72" t="s">
        <v>448</v>
      </c>
      <c r="E239" s="73"/>
      <c r="F239" s="74">
        <f>+VLOOKUP(C239,TbAlquiler[],13,FALSE)</f>
        <v>0</v>
      </c>
      <c r="G239" s="2"/>
      <c r="H239" s="75" t="str">
        <f t="shared" si="6"/>
        <v>AE.5100</v>
      </c>
      <c r="I239" s="59" t="str">
        <f t="shared" si="7"/>
        <v>ok</v>
      </c>
      <c r="J239" s="77">
        <f>IFERROR(VLOOKUP($H239,TG[],3,FALSE),"NA")</f>
        <v>0</v>
      </c>
      <c r="K239" s="77" t="str">
        <f>IFERROR(VLOOKUP($H239,TF[],3,FALSE),"NA")</f>
        <v>NA</v>
      </c>
      <c r="L239" s="77" t="str">
        <f>IFERROR(VLOOKUP($H239,TT[],3,FALSE),"NA")</f>
        <v>NA</v>
      </c>
      <c r="M239" s="77" t="str">
        <f>IFERROR(VLOOKUP($H239,TES[],3,FALSE),"NA")</f>
        <v>NA</v>
      </c>
      <c r="N239" s="77" t="str">
        <f>IFERROR(VLOOKUP($H239,TEC[],3,FALSE),"NA")</f>
        <v>NA</v>
      </c>
      <c r="O239" s="77" t="str">
        <f>IFERROR(VLOOKUP($H239,TP[],3,FALSE),"NA")</f>
        <v>NA</v>
      </c>
      <c r="P239" s="77" t="str">
        <f>IFERROR(VLOOKUP($H239,TEN[],3,FALSE),"NA")</f>
        <v>NA</v>
      </c>
      <c r="Q239" s="77" t="str">
        <f>IFERROR(VLOOKUP($H239,TD[],3,FALSE),"NA")</f>
        <v>NA</v>
      </c>
      <c r="R239" s="77">
        <f>IFERROR(VLOOKUP($H239,TC[],3,FALSE),"NA")</f>
        <v>0</v>
      </c>
      <c r="S239" s="77" t="str">
        <f>IFERROR(VLOOKUP($H239,TEV[],3,FALSE),"NA")</f>
        <v>NA</v>
      </c>
      <c r="T239" s="79">
        <f>SUM(TbAlquiler[[#This Row],[GENERAL]:[ELEVADOR]])</f>
        <v>0</v>
      </c>
      <c r="U239" s="80">
        <f>IF(VLOOKUP(TbAlquiler[[#This Row],[ITEM]],TbPiezas[],5,FALSE)="NA",0,VLOOKUP(TbAlquiler[[#This Row],[ITEM]],TbPiezas[],5,FALSE))</f>
        <v>4.5599999999999996</v>
      </c>
      <c r="V239" s="81">
        <f>+TbAlquiler[[#This Row],[TOTAL]]*TbAlquiler[[#This Row],[P.U. (1)]]</f>
        <v>0</v>
      </c>
      <c r="W239" s="82">
        <f>+VLOOKUP(TbAlquiler[[#This Row],[ITEM]],TbPiezas[],6,FALSE)</f>
        <v>614.11</v>
      </c>
      <c r="X239" s="83">
        <f>+TbAlquiler[[#This Row],[TOTAL]]*TbAlquiler[[#This Row],[P.U. (2)]]</f>
        <v>0</v>
      </c>
      <c r="Y239" s="82">
        <f>+VLOOKUP(TbAlquiler[[#This Row],[ITEM]],TbPiezas[],7,FALSE)</f>
        <v>30.705500000000001</v>
      </c>
      <c r="Z239" s="84">
        <f>+TbAlquiler[[#This Row],[TOTAL]]*TbAlquiler[[#This Row],[P.U. (3)]]</f>
        <v>0</v>
      </c>
    </row>
    <row r="240" spans="1:26" ht="15" customHeight="1" x14ac:dyDescent="0.3">
      <c r="A240" s="2"/>
      <c r="B240" s="85">
        <v>224</v>
      </c>
      <c r="C240" s="71" t="s">
        <v>449</v>
      </c>
      <c r="D240" s="72" t="s">
        <v>450</v>
      </c>
      <c r="E240" s="73"/>
      <c r="F240" s="74">
        <f>+VLOOKUP(C240,TbAlquiler[],13,FALSE)</f>
        <v>0</v>
      </c>
      <c r="G240" s="2"/>
      <c r="H240" s="75" t="str">
        <f t="shared" si="6"/>
        <v>AE.5200</v>
      </c>
      <c r="I240" s="59" t="str">
        <f t="shared" si="7"/>
        <v>ok</v>
      </c>
      <c r="J240" s="77">
        <f>IFERROR(VLOOKUP($H240,TG[],3,FALSE),"NA")</f>
        <v>0</v>
      </c>
      <c r="K240" s="77" t="str">
        <f>IFERROR(VLOOKUP($H240,TF[],3,FALSE),"NA")</f>
        <v>NA</v>
      </c>
      <c r="L240" s="77" t="str">
        <f>IFERROR(VLOOKUP($H240,TT[],3,FALSE),"NA")</f>
        <v>NA</v>
      </c>
      <c r="M240" s="77" t="str">
        <f>IFERROR(VLOOKUP($H240,TES[],3,FALSE),"NA")</f>
        <v>NA</v>
      </c>
      <c r="N240" s="77" t="str">
        <f>IFERROR(VLOOKUP($H240,TEC[],3,FALSE),"NA")</f>
        <v>NA</v>
      </c>
      <c r="O240" s="77" t="str">
        <f>IFERROR(VLOOKUP($H240,TP[],3,FALSE),"NA")</f>
        <v>NA</v>
      </c>
      <c r="P240" s="77" t="str">
        <f>IFERROR(VLOOKUP($H240,TEN[],3,FALSE),"NA")</f>
        <v>NA</v>
      </c>
      <c r="Q240" s="77" t="str">
        <f>IFERROR(VLOOKUP($H240,TD[],3,FALSE),"NA")</f>
        <v>NA</v>
      </c>
      <c r="R240" s="77">
        <f>IFERROR(VLOOKUP($H240,TC[],3,FALSE),"NA")</f>
        <v>0</v>
      </c>
      <c r="S240" s="77" t="str">
        <f>IFERROR(VLOOKUP($H240,TEV[],3,FALSE),"NA")</f>
        <v>NA</v>
      </c>
      <c r="T240" s="79">
        <f>SUM(TbAlquiler[[#This Row],[GENERAL]:[ELEVADOR]])</f>
        <v>0</v>
      </c>
      <c r="U240" s="80">
        <f>IF(VLOOKUP(TbAlquiler[[#This Row],[ITEM]],TbPiezas[],5,FALSE)="NA",0,VLOOKUP(TbAlquiler[[#This Row],[ITEM]],TbPiezas[],5,FALSE))</f>
        <v>4.6399999999999997</v>
      </c>
      <c r="V240" s="81">
        <f>+TbAlquiler[[#This Row],[TOTAL]]*TbAlquiler[[#This Row],[P.U. (1)]]</f>
        <v>0</v>
      </c>
      <c r="W240" s="82">
        <f>+VLOOKUP(TbAlquiler[[#This Row],[ITEM]],TbPiezas[],6,FALSE)</f>
        <v>619.37</v>
      </c>
      <c r="X240" s="83">
        <f>+TbAlquiler[[#This Row],[TOTAL]]*TbAlquiler[[#This Row],[P.U. (2)]]</f>
        <v>0</v>
      </c>
      <c r="Y240" s="82">
        <f>+VLOOKUP(TbAlquiler[[#This Row],[ITEM]],TbPiezas[],7,FALSE)</f>
        <v>30.968500000000002</v>
      </c>
      <c r="Z240" s="84">
        <f>+TbAlquiler[[#This Row],[TOTAL]]*TbAlquiler[[#This Row],[P.U. (3)]]</f>
        <v>0</v>
      </c>
    </row>
    <row r="241" spans="1:26" ht="15" customHeight="1" x14ac:dyDescent="0.3">
      <c r="A241" s="2"/>
      <c r="B241" s="85">
        <v>225</v>
      </c>
      <c r="C241" s="71" t="s">
        <v>451</v>
      </c>
      <c r="D241" s="72" t="s">
        <v>452</v>
      </c>
      <c r="E241" s="73"/>
      <c r="F241" s="74">
        <f>+VLOOKUP(C241,TbAlquiler[],13,FALSE)</f>
        <v>0</v>
      </c>
      <c r="G241" s="2"/>
      <c r="H241" s="75" t="str">
        <f t="shared" si="6"/>
        <v>AE.5300</v>
      </c>
      <c r="I241" s="59" t="str">
        <f t="shared" si="7"/>
        <v>ok</v>
      </c>
      <c r="J241" s="77">
        <f>IFERROR(VLOOKUP($H241,TG[],3,FALSE),"NA")</f>
        <v>0</v>
      </c>
      <c r="K241" s="77" t="str">
        <f>IFERROR(VLOOKUP($H241,TF[],3,FALSE),"NA")</f>
        <v>NA</v>
      </c>
      <c r="L241" s="77" t="str">
        <f>IFERROR(VLOOKUP($H241,TT[],3,FALSE),"NA")</f>
        <v>NA</v>
      </c>
      <c r="M241" s="77" t="str">
        <f>IFERROR(VLOOKUP($H241,TES[],3,FALSE),"NA")</f>
        <v>NA</v>
      </c>
      <c r="N241" s="77" t="str">
        <f>IFERROR(VLOOKUP($H241,TEC[],3,FALSE),"NA")</f>
        <v>NA</v>
      </c>
      <c r="O241" s="77" t="str">
        <f>IFERROR(VLOOKUP($H241,TP[],3,FALSE),"NA")</f>
        <v>NA</v>
      </c>
      <c r="P241" s="77" t="str">
        <f>IFERROR(VLOOKUP($H241,TEN[],3,FALSE),"NA")</f>
        <v>NA</v>
      </c>
      <c r="Q241" s="77" t="str">
        <f>IFERROR(VLOOKUP($H241,TD[],3,FALSE),"NA")</f>
        <v>NA</v>
      </c>
      <c r="R241" s="77">
        <f>IFERROR(VLOOKUP($H241,TC[],3,FALSE),"NA")</f>
        <v>0</v>
      </c>
      <c r="S241" s="77" t="str">
        <f>IFERROR(VLOOKUP($H241,TEV[],3,FALSE),"NA")</f>
        <v>NA</v>
      </c>
      <c r="T241" s="79">
        <f>SUM(TbAlquiler[[#This Row],[GENERAL]:[ELEVADOR]])</f>
        <v>0</v>
      </c>
      <c r="U241" s="80">
        <f>IF(VLOOKUP(TbAlquiler[[#This Row],[ITEM]],TbPiezas[],5,FALSE)="NA",0,VLOOKUP(TbAlquiler[[#This Row],[ITEM]],TbPiezas[],5,FALSE))</f>
        <v>15</v>
      </c>
      <c r="V241" s="81">
        <f>+TbAlquiler[[#This Row],[TOTAL]]*TbAlquiler[[#This Row],[P.U. (1)]]</f>
        <v>0</v>
      </c>
      <c r="W241" s="82">
        <f>+VLOOKUP(TbAlquiler[[#This Row],[ITEM]],TbPiezas[],6,FALSE)</f>
        <v>1715.18</v>
      </c>
      <c r="X241" s="83">
        <f>+TbAlquiler[[#This Row],[TOTAL]]*TbAlquiler[[#This Row],[P.U. (2)]]</f>
        <v>0</v>
      </c>
      <c r="Y241" s="82">
        <f>+VLOOKUP(TbAlquiler[[#This Row],[ITEM]],TbPiezas[],7,FALSE)</f>
        <v>85.759000000000015</v>
      </c>
      <c r="Z241" s="84">
        <f>+TbAlquiler[[#This Row],[TOTAL]]*TbAlquiler[[#This Row],[P.U. (3)]]</f>
        <v>0</v>
      </c>
    </row>
    <row r="242" spans="1:26" ht="15" customHeight="1" x14ac:dyDescent="0.3">
      <c r="A242" s="2"/>
      <c r="B242" s="85">
        <v>226</v>
      </c>
      <c r="C242" s="71" t="s">
        <v>453</v>
      </c>
      <c r="D242" s="72" t="s">
        <v>454</v>
      </c>
      <c r="E242" s="73"/>
      <c r="F242" s="74">
        <f>+VLOOKUP(C242,TbAlquiler[],13,FALSE)</f>
        <v>0</v>
      </c>
      <c r="G242" s="2"/>
      <c r="H242" s="75" t="str">
        <f t="shared" si="6"/>
        <v>AE.5400</v>
      </c>
      <c r="I242" s="59" t="str">
        <f t="shared" si="7"/>
        <v>ok</v>
      </c>
      <c r="J242" s="77">
        <f>IFERROR(VLOOKUP($H242,TG[],3,FALSE),"NA")</f>
        <v>0</v>
      </c>
      <c r="K242" s="77" t="str">
        <f>IFERROR(VLOOKUP($H242,TF[],3,FALSE),"NA")</f>
        <v>NA</v>
      </c>
      <c r="L242" s="77" t="str">
        <f>IFERROR(VLOOKUP($H242,TT[],3,FALSE),"NA")</f>
        <v>NA</v>
      </c>
      <c r="M242" s="77" t="str">
        <f>IFERROR(VLOOKUP($H242,TES[],3,FALSE),"NA")</f>
        <v>NA</v>
      </c>
      <c r="N242" s="77" t="str">
        <f>IFERROR(VLOOKUP($H242,TEC[],3,FALSE),"NA")</f>
        <v>NA</v>
      </c>
      <c r="O242" s="77" t="str">
        <f>IFERROR(VLOOKUP($H242,TP[],3,FALSE),"NA")</f>
        <v>NA</v>
      </c>
      <c r="P242" s="77" t="str">
        <f>IFERROR(VLOOKUP($H242,TEN[],3,FALSE),"NA")</f>
        <v>NA</v>
      </c>
      <c r="Q242" s="77" t="str">
        <f>IFERROR(VLOOKUP($H242,TD[],3,FALSE),"NA")</f>
        <v>NA</v>
      </c>
      <c r="R242" s="77">
        <f>IFERROR(VLOOKUP($H242,TC[],3,FALSE),"NA")</f>
        <v>0</v>
      </c>
      <c r="S242" s="77" t="str">
        <f>IFERROR(VLOOKUP($H242,TEV[],3,FALSE),"NA")</f>
        <v>NA</v>
      </c>
      <c r="T242" s="79">
        <f>SUM(TbAlquiler[[#This Row],[GENERAL]:[ELEVADOR]])</f>
        <v>0</v>
      </c>
      <c r="U242" s="80">
        <f>IF(VLOOKUP(TbAlquiler[[#This Row],[ITEM]],TbPiezas[],5,FALSE)="NA",0,VLOOKUP(TbAlquiler[[#This Row],[ITEM]],TbPiezas[],5,FALSE))</f>
        <v>15</v>
      </c>
      <c r="V242" s="81">
        <f>+TbAlquiler[[#This Row],[TOTAL]]*TbAlquiler[[#This Row],[P.U. (1)]]</f>
        <v>0</v>
      </c>
      <c r="W242" s="82">
        <f>+VLOOKUP(TbAlquiler[[#This Row],[ITEM]],TbPiezas[],6,FALSE)</f>
        <v>1715.18</v>
      </c>
      <c r="X242" s="83">
        <f>+TbAlquiler[[#This Row],[TOTAL]]*TbAlquiler[[#This Row],[P.U. (2)]]</f>
        <v>0</v>
      </c>
      <c r="Y242" s="82">
        <f>+VLOOKUP(TbAlquiler[[#This Row],[ITEM]],TbPiezas[],7,FALSE)</f>
        <v>85.759000000000015</v>
      </c>
      <c r="Z242" s="84">
        <f>+TbAlquiler[[#This Row],[TOTAL]]*TbAlquiler[[#This Row],[P.U. (3)]]</f>
        <v>0</v>
      </c>
    </row>
    <row r="243" spans="1:26" ht="15" customHeight="1" x14ac:dyDescent="0.3">
      <c r="A243" s="2"/>
      <c r="B243" s="85">
        <v>227</v>
      </c>
      <c r="C243" s="71" t="s">
        <v>455</v>
      </c>
      <c r="D243" s="72" t="s">
        <v>456</v>
      </c>
      <c r="E243" s="73"/>
      <c r="F243" s="74">
        <f>+VLOOKUP(C243,TbAlquiler[],13,FALSE)</f>
        <v>0</v>
      </c>
      <c r="G243" s="2"/>
      <c r="H243" s="75" t="str">
        <f t="shared" si="6"/>
        <v>AE.5500</v>
      </c>
      <c r="I243" s="59" t="str">
        <f t="shared" si="7"/>
        <v>ok</v>
      </c>
      <c r="J243" s="77">
        <f>IFERROR(VLOOKUP($H243,TG[],3,FALSE),"NA")</f>
        <v>0</v>
      </c>
      <c r="K243" s="77" t="str">
        <f>IFERROR(VLOOKUP($H243,TF[],3,FALSE),"NA")</f>
        <v>NA</v>
      </c>
      <c r="L243" s="77" t="str">
        <f>IFERROR(VLOOKUP($H243,TT[],3,FALSE),"NA")</f>
        <v>NA</v>
      </c>
      <c r="M243" s="77" t="str">
        <f>IFERROR(VLOOKUP($H243,TES[],3,FALSE),"NA")</f>
        <v>NA</v>
      </c>
      <c r="N243" s="77" t="str">
        <f>IFERROR(VLOOKUP($H243,TEC[],3,FALSE),"NA")</f>
        <v>NA</v>
      </c>
      <c r="O243" s="77" t="str">
        <f>IFERROR(VLOOKUP($H243,TP[],3,FALSE),"NA")</f>
        <v>NA</v>
      </c>
      <c r="P243" s="77" t="str">
        <f>IFERROR(VLOOKUP($H243,TEN[],3,FALSE),"NA")</f>
        <v>NA</v>
      </c>
      <c r="Q243" s="77" t="str">
        <f>IFERROR(VLOOKUP($H243,TD[],3,FALSE),"NA")</f>
        <v>NA</v>
      </c>
      <c r="R243" s="77">
        <f>IFERROR(VLOOKUP($H243,TC[],3,FALSE),"NA")</f>
        <v>0</v>
      </c>
      <c r="S243" s="77" t="str">
        <f>IFERROR(VLOOKUP($H243,TEV[],3,FALSE),"NA")</f>
        <v>NA</v>
      </c>
      <c r="T243" s="79">
        <f>SUM(TbAlquiler[[#This Row],[GENERAL]:[ELEVADOR]])</f>
        <v>0</v>
      </c>
      <c r="U243" s="80">
        <f>IF(VLOOKUP(TbAlquiler[[#This Row],[ITEM]],TbPiezas[],5,FALSE)="NA",0,VLOOKUP(TbAlquiler[[#This Row],[ITEM]],TbPiezas[],5,FALSE))</f>
        <v>15</v>
      </c>
      <c r="V243" s="81">
        <f>+TbAlquiler[[#This Row],[TOTAL]]*TbAlquiler[[#This Row],[P.U. (1)]]</f>
        <v>0</v>
      </c>
      <c r="W243" s="82">
        <f>+VLOOKUP(TbAlquiler[[#This Row],[ITEM]],TbPiezas[],6,FALSE)</f>
        <v>1715.18</v>
      </c>
      <c r="X243" s="83">
        <f>+TbAlquiler[[#This Row],[TOTAL]]*TbAlquiler[[#This Row],[P.U. (2)]]</f>
        <v>0</v>
      </c>
      <c r="Y243" s="82">
        <f>+VLOOKUP(TbAlquiler[[#This Row],[ITEM]],TbPiezas[],7,FALSE)</f>
        <v>85.759000000000015</v>
      </c>
      <c r="Z243" s="84">
        <f>+TbAlquiler[[#This Row],[TOTAL]]*TbAlquiler[[#This Row],[P.U. (3)]]</f>
        <v>0</v>
      </c>
    </row>
    <row r="244" spans="1:26" ht="15" customHeight="1" x14ac:dyDescent="0.3">
      <c r="A244" s="2"/>
      <c r="B244" s="85">
        <v>228</v>
      </c>
      <c r="C244" s="71" t="s">
        <v>457</v>
      </c>
      <c r="D244" s="72" t="s">
        <v>458</v>
      </c>
      <c r="E244" s="73"/>
      <c r="F244" s="74">
        <f>+VLOOKUP(C244,TbAlquiler[],13,FALSE)</f>
        <v>0</v>
      </c>
      <c r="G244" s="2"/>
      <c r="H244" s="75" t="str">
        <f t="shared" si="6"/>
        <v>AE.5600</v>
      </c>
      <c r="I244" s="59" t="str">
        <f t="shared" si="7"/>
        <v>ok</v>
      </c>
      <c r="J244" s="77">
        <f>IFERROR(VLOOKUP($H244,TG[],3,FALSE),"NA")</f>
        <v>0</v>
      </c>
      <c r="K244" s="77" t="str">
        <f>IFERROR(VLOOKUP($H244,TF[],3,FALSE),"NA")</f>
        <v>NA</v>
      </c>
      <c r="L244" s="77" t="str">
        <f>IFERROR(VLOOKUP($H244,TT[],3,FALSE),"NA")</f>
        <v>NA</v>
      </c>
      <c r="M244" s="77" t="str">
        <f>IFERROR(VLOOKUP($H244,TES[],3,FALSE),"NA")</f>
        <v>NA</v>
      </c>
      <c r="N244" s="77" t="str">
        <f>IFERROR(VLOOKUP($H244,TEC[],3,FALSE),"NA")</f>
        <v>NA</v>
      </c>
      <c r="O244" s="77" t="str">
        <f>IFERROR(VLOOKUP($H244,TP[],3,FALSE),"NA")</f>
        <v>NA</v>
      </c>
      <c r="P244" s="77" t="str">
        <f>IFERROR(VLOOKUP($H244,TEN[],3,FALSE),"NA")</f>
        <v>NA</v>
      </c>
      <c r="Q244" s="77" t="str">
        <f>IFERROR(VLOOKUP($H244,TD[],3,FALSE),"NA")</f>
        <v>NA</v>
      </c>
      <c r="R244" s="77">
        <f>IFERROR(VLOOKUP($H244,TC[],3,FALSE),"NA")</f>
        <v>0</v>
      </c>
      <c r="S244" s="77" t="str">
        <f>IFERROR(VLOOKUP($H244,TEV[],3,FALSE),"NA")</f>
        <v>NA</v>
      </c>
      <c r="T244" s="79">
        <f>SUM(TbAlquiler[[#This Row],[GENERAL]:[ELEVADOR]])</f>
        <v>0</v>
      </c>
      <c r="U244" s="80">
        <f>IF(VLOOKUP(TbAlquiler[[#This Row],[ITEM]],TbPiezas[],5,FALSE)="NA",0,VLOOKUP(TbAlquiler[[#This Row],[ITEM]],TbPiezas[],5,FALSE))</f>
        <v>2.2999999999999972</v>
      </c>
      <c r="V244" s="81">
        <f>+TbAlquiler[[#This Row],[TOTAL]]*TbAlquiler[[#This Row],[P.U. (1)]]</f>
        <v>0</v>
      </c>
      <c r="W244" s="82">
        <f>+VLOOKUP(TbAlquiler[[#This Row],[ITEM]],TbPiezas[],6,FALSE)</f>
        <v>210.43</v>
      </c>
      <c r="X244" s="83">
        <f>+TbAlquiler[[#This Row],[TOTAL]]*TbAlquiler[[#This Row],[P.U. (2)]]</f>
        <v>0</v>
      </c>
      <c r="Y244" s="82">
        <f>+VLOOKUP(TbAlquiler[[#This Row],[ITEM]],TbPiezas[],7,FALSE)</f>
        <v>10.521500000000001</v>
      </c>
      <c r="Z244" s="84">
        <f>+TbAlquiler[[#This Row],[TOTAL]]*TbAlquiler[[#This Row],[P.U. (3)]]</f>
        <v>0</v>
      </c>
    </row>
    <row r="245" spans="1:26" ht="15" customHeight="1" x14ac:dyDescent="0.3">
      <c r="A245" s="2"/>
      <c r="B245" s="85">
        <v>229</v>
      </c>
      <c r="C245" s="71" t="s">
        <v>459</v>
      </c>
      <c r="D245" s="72" t="s">
        <v>460</v>
      </c>
      <c r="E245" s="73"/>
      <c r="F245" s="74">
        <f>+VLOOKUP(C245,TbAlquiler[],13,FALSE)</f>
        <v>0</v>
      </c>
      <c r="G245" s="2"/>
      <c r="H245" s="75" t="str">
        <f t="shared" si="6"/>
        <v>AE.5700</v>
      </c>
      <c r="I245" s="59" t="str">
        <f t="shared" si="7"/>
        <v>ok</v>
      </c>
      <c r="J245" s="77">
        <f>IFERROR(VLOOKUP($H245,TG[],3,FALSE),"NA")</f>
        <v>0</v>
      </c>
      <c r="K245" s="77" t="str">
        <f>IFERROR(VLOOKUP($H245,TF[],3,FALSE),"NA")</f>
        <v>NA</v>
      </c>
      <c r="L245" s="77" t="str">
        <f>IFERROR(VLOOKUP($H245,TT[],3,FALSE),"NA")</f>
        <v>NA</v>
      </c>
      <c r="M245" s="77" t="str">
        <f>IFERROR(VLOOKUP($H245,TES[],3,FALSE),"NA")</f>
        <v>NA</v>
      </c>
      <c r="N245" s="77" t="str">
        <f>IFERROR(VLOOKUP($H245,TEC[],3,FALSE),"NA")</f>
        <v>NA</v>
      </c>
      <c r="O245" s="77" t="str">
        <f>IFERROR(VLOOKUP($H245,TP[],3,FALSE),"NA")</f>
        <v>NA</v>
      </c>
      <c r="P245" s="77" t="str">
        <f>IFERROR(VLOOKUP($H245,TEN[],3,FALSE),"NA")</f>
        <v>NA</v>
      </c>
      <c r="Q245" s="77" t="str">
        <f>IFERROR(VLOOKUP($H245,TD[],3,FALSE),"NA")</f>
        <v>NA</v>
      </c>
      <c r="R245" s="77">
        <f>IFERROR(VLOOKUP($H245,TC[],3,FALSE),"NA")</f>
        <v>0</v>
      </c>
      <c r="S245" s="77" t="str">
        <f>IFERROR(VLOOKUP($H245,TEV[],3,FALSE),"NA")</f>
        <v>NA</v>
      </c>
      <c r="T245" s="79">
        <f>SUM(TbAlquiler[[#This Row],[GENERAL]:[ELEVADOR]])</f>
        <v>0</v>
      </c>
      <c r="U245" s="80">
        <f>IF(VLOOKUP(TbAlquiler[[#This Row],[ITEM]],TbPiezas[],5,FALSE)="NA",0,VLOOKUP(TbAlquiler[[#This Row],[ITEM]],TbPiezas[],5,FALSE))</f>
        <v>1</v>
      </c>
      <c r="V245" s="81">
        <f>+TbAlquiler[[#This Row],[TOTAL]]*TbAlquiler[[#This Row],[P.U. (1)]]</f>
        <v>0</v>
      </c>
      <c r="W245" s="82">
        <f>+VLOOKUP(TbAlquiler[[#This Row],[ITEM]],TbPiezas[],6,FALSE)</f>
        <v>210.43</v>
      </c>
      <c r="X245" s="83">
        <f>+TbAlquiler[[#This Row],[TOTAL]]*TbAlquiler[[#This Row],[P.U. (2)]]</f>
        <v>0</v>
      </c>
      <c r="Y245" s="82">
        <f>+VLOOKUP(TbAlquiler[[#This Row],[ITEM]],TbPiezas[],7,FALSE)</f>
        <v>10.521500000000001</v>
      </c>
      <c r="Z245" s="84">
        <f>+TbAlquiler[[#This Row],[TOTAL]]*TbAlquiler[[#This Row],[P.U. (3)]]</f>
        <v>0</v>
      </c>
    </row>
    <row r="246" spans="1:26" ht="15" customHeight="1" x14ac:dyDescent="0.3">
      <c r="A246" s="2"/>
      <c r="B246" s="85">
        <v>230</v>
      </c>
      <c r="C246" s="71" t="s">
        <v>461</v>
      </c>
      <c r="D246" s="72" t="s">
        <v>462</v>
      </c>
      <c r="E246" s="73"/>
      <c r="F246" s="74">
        <f>+VLOOKUP(C246,TbAlquiler[],13,FALSE)</f>
        <v>0</v>
      </c>
      <c r="G246" s="2"/>
      <c r="H246" s="75" t="str">
        <f t="shared" si="6"/>
        <v>AE.5800</v>
      </c>
      <c r="I246" s="59" t="str">
        <f t="shared" si="7"/>
        <v>ok</v>
      </c>
      <c r="J246" s="77">
        <f>IFERROR(VLOOKUP($H246,TG[],3,FALSE),"NA")</f>
        <v>0</v>
      </c>
      <c r="K246" s="77" t="str">
        <f>IFERROR(VLOOKUP($H246,TF[],3,FALSE),"NA")</f>
        <v>NA</v>
      </c>
      <c r="L246" s="77" t="str">
        <f>IFERROR(VLOOKUP($H246,TT[],3,FALSE),"NA")</f>
        <v>NA</v>
      </c>
      <c r="M246" s="77" t="str">
        <f>IFERROR(VLOOKUP($H246,TES[],3,FALSE),"NA")</f>
        <v>NA</v>
      </c>
      <c r="N246" s="77" t="str">
        <f>IFERROR(VLOOKUP($H246,TEC[],3,FALSE),"NA")</f>
        <v>NA</v>
      </c>
      <c r="O246" s="77" t="str">
        <f>IFERROR(VLOOKUP($H246,TP[],3,FALSE),"NA")</f>
        <v>NA</v>
      </c>
      <c r="P246" s="77" t="str">
        <f>IFERROR(VLOOKUP($H246,TEN[],3,FALSE),"NA")</f>
        <v>NA</v>
      </c>
      <c r="Q246" s="77" t="str">
        <f>IFERROR(VLOOKUP($H246,TD[],3,FALSE),"NA")</f>
        <v>NA</v>
      </c>
      <c r="R246" s="77">
        <f>IFERROR(VLOOKUP($H246,TC[],3,FALSE),"NA")</f>
        <v>0</v>
      </c>
      <c r="S246" s="77" t="str">
        <f>IFERROR(VLOOKUP($H246,TEV[],3,FALSE),"NA")</f>
        <v>NA</v>
      </c>
      <c r="T246" s="79">
        <f>SUM(TbAlquiler[[#This Row],[GENERAL]:[ELEVADOR]])</f>
        <v>0</v>
      </c>
      <c r="U246" s="80">
        <f>IF(VLOOKUP(TbAlquiler[[#This Row],[ITEM]],TbPiezas[],5,FALSE)="NA",0,VLOOKUP(TbAlquiler[[#This Row],[ITEM]],TbPiezas[],5,FALSE))</f>
        <v>0.5</v>
      </c>
      <c r="V246" s="81">
        <f>+TbAlquiler[[#This Row],[TOTAL]]*TbAlquiler[[#This Row],[P.U. (1)]]</f>
        <v>0</v>
      </c>
      <c r="W246" s="82">
        <f>+VLOOKUP(TbAlquiler[[#This Row],[ITEM]],TbPiezas[],6,FALSE)</f>
        <v>210.43</v>
      </c>
      <c r="X246" s="83">
        <f>+TbAlquiler[[#This Row],[TOTAL]]*TbAlquiler[[#This Row],[P.U. (2)]]</f>
        <v>0</v>
      </c>
      <c r="Y246" s="82">
        <f>+VLOOKUP(TbAlquiler[[#This Row],[ITEM]],TbPiezas[],7,FALSE)</f>
        <v>10.521500000000001</v>
      </c>
      <c r="Z246" s="84">
        <f>+TbAlquiler[[#This Row],[TOTAL]]*TbAlquiler[[#This Row],[P.U. (3)]]</f>
        <v>0</v>
      </c>
    </row>
    <row r="247" spans="1:26" ht="15" customHeight="1" x14ac:dyDescent="0.3">
      <c r="A247" s="2"/>
      <c r="B247" s="85">
        <v>231</v>
      </c>
      <c r="C247" s="71" t="s">
        <v>463</v>
      </c>
      <c r="D247" s="72" t="s">
        <v>464</v>
      </c>
      <c r="E247" s="73"/>
      <c r="F247" s="74">
        <f>+VLOOKUP(C247,TbAlquiler[],13,FALSE)</f>
        <v>0</v>
      </c>
      <c r="G247" s="2"/>
      <c r="H247" s="75" t="str">
        <f t="shared" si="6"/>
        <v>AE.5900</v>
      </c>
      <c r="I247" s="59" t="str">
        <f t="shared" si="7"/>
        <v>ok</v>
      </c>
      <c r="J247" s="77">
        <f>IFERROR(VLOOKUP($H247,TG[],3,FALSE),"NA")</f>
        <v>0</v>
      </c>
      <c r="K247" s="77" t="str">
        <f>IFERROR(VLOOKUP($H247,TF[],3,FALSE),"NA")</f>
        <v>NA</v>
      </c>
      <c r="L247" s="77" t="str">
        <f>IFERROR(VLOOKUP($H247,TT[],3,FALSE),"NA")</f>
        <v>NA</v>
      </c>
      <c r="M247" s="77" t="str">
        <f>IFERROR(VLOOKUP($H247,TES[],3,FALSE),"NA")</f>
        <v>NA</v>
      </c>
      <c r="N247" s="77" t="str">
        <f>IFERROR(VLOOKUP($H247,TEC[],3,FALSE),"NA")</f>
        <v>NA</v>
      </c>
      <c r="O247" s="77" t="str">
        <f>IFERROR(VLOOKUP($H247,TP[],3,FALSE),"NA")</f>
        <v>NA</v>
      </c>
      <c r="P247" s="77" t="str">
        <f>IFERROR(VLOOKUP($H247,TEN[],3,FALSE),"NA")</f>
        <v>NA</v>
      </c>
      <c r="Q247" s="77" t="str">
        <f>IFERROR(VLOOKUP($H247,TD[],3,FALSE),"NA")</f>
        <v>NA</v>
      </c>
      <c r="R247" s="77">
        <f>IFERROR(VLOOKUP($H247,TC[],3,FALSE),"NA")</f>
        <v>0</v>
      </c>
      <c r="S247" s="77" t="str">
        <f>IFERROR(VLOOKUP($H247,TEV[],3,FALSE),"NA")</f>
        <v>NA</v>
      </c>
      <c r="T247" s="79">
        <f>SUM(TbAlquiler[[#This Row],[GENERAL]:[ELEVADOR]])</f>
        <v>0</v>
      </c>
      <c r="U247" s="80">
        <f>IF(VLOOKUP(TbAlquiler[[#This Row],[ITEM]],TbPiezas[],5,FALSE)="NA",0,VLOOKUP(TbAlquiler[[#This Row],[ITEM]],TbPiezas[],5,FALSE))</f>
        <v>1.2000000000000028</v>
      </c>
      <c r="V247" s="81">
        <f>+TbAlquiler[[#This Row],[TOTAL]]*TbAlquiler[[#This Row],[P.U. (1)]]</f>
        <v>0</v>
      </c>
      <c r="W247" s="82">
        <f>+VLOOKUP(TbAlquiler[[#This Row],[ITEM]],TbPiezas[],6,FALSE)</f>
        <v>337.48</v>
      </c>
      <c r="X247" s="83">
        <f>+TbAlquiler[[#This Row],[TOTAL]]*TbAlquiler[[#This Row],[P.U. (2)]]</f>
        <v>0</v>
      </c>
      <c r="Y247" s="82">
        <f>+VLOOKUP(TbAlquiler[[#This Row],[ITEM]],TbPiezas[],7,FALSE)</f>
        <v>16.874000000000002</v>
      </c>
      <c r="Z247" s="84">
        <f>+TbAlquiler[[#This Row],[TOTAL]]*TbAlquiler[[#This Row],[P.U. (3)]]</f>
        <v>0</v>
      </c>
    </row>
    <row r="248" spans="1:26" ht="15" customHeight="1" x14ac:dyDescent="0.3">
      <c r="A248" s="2"/>
      <c r="B248" s="85">
        <v>232</v>
      </c>
      <c r="C248" s="71" t="s">
        <v>465</v>
      </c>
      <c r="D248" s="72" t="s">
        <v>466</v>
      </c>
      <c r="E248" s="73"/>
      <c r="F248" s="74">
        <f>+VLOOKUP(C248,TbAlquiler[],13,FALSE)</f>
        <v>0</v>
      </c>
      <c r="G248" s="2"/>
      <c r="H248" s="75" t="str">
        <f t="shared" si="6"/>
        <v>AE.6000</v>
      </c>
      <c r="I248" s="59" t="str">
        <f t="shared" si="7"/>
        <v>ok</v>
      </c>
      <c r="J248" s="77">
        <f>IFERROR(VLOOKUP($H248,TG[],3,FALSE),"NA")</f>
        <v>0</v>
      </c>
      <c r="K248" s="77" t="str">
        <f>IFERROR(VLOOKUP($H248,TF[],3,FALSE),"NA")</f>
        <v>NA</v>
      </c>
      <c r="L248" s="77" t="str">
        <f>IFERROR(VLOOKUP($H248,TT[],3,FALSE),"NA")</f>
        <v>NA</v>
      </c>
      <c r="M248" s="77" t="str">
        <f>IFERROR(VLOOKUP($H248,TES[],3,FALSE),"NA")</f>
        <v>NA</v>
      </c>
      <c r="N248" s="77" t="str">
        <f>IFERROR(VLOOKUP($H248,TEC[],3,FALSE),"NA")</f>
        <v>NA</v>
      </c>
      <c r="O248" s="77" t="str">
        <f>IFERROR(VLOOKUP($H248,TP[],3,FALSE),"NA")</f>
        <v>NA</v>
      </c>
      <c r="P248" s="77" t="str">
        <f>IFERROR(VLOOKUP($H248,TEN[],3,FALSE),"NA")</f>
        <v>NA</v>
      </c>
      <c r="Q248" s="77" t="str">
        <f>IFERROR(VLOOKUP($H248,TD[],3,FALSE),"NA")</f>
        <v>NA</v>
      </c>
      <c r="R248" s="77">
        <f>IFERROR(VLOOKUP($H248,TC[],3,FALSE),"NA")</f>
        <v>0</v>
      </c>
      <c r="S248" s="77" t="str">
        <f>IFERROR(VLOOKUP($H248,TEV[],3,FALSE),"NA")</f>
        <v>NA</v>
      </c>
      <c r="T248" s="79">
        <f>SUM(TbAlquiler[[#This Row],[GENERAL]:[ELEVADOR]])</f>
        <v>0</v>
      </c>
      <c r="U248" s="80">
        <f>IF(VLOOKUP(TbAlquiler[[#This Row],[ITEM]],TbPiezas[],5,FALSE)="NA",0,VLOOKUP(TbAlquiler[[#This Row],[ITEM]],TbPiezas[],5,FALSE))</f>
        <v>2.7000000000000028</v>
      </c>
      <c r="V248" s="81">
        <f>+TbAlquiler[[#This Row],[TOTAL]]*TbAlquiler[[#This Row],[P.U. (1)]]</f>
        <v>0</v>
      </c>
      <c r="W248" s="82">
        <f>+VLOOKUP(TbAlquiler[[#This Row],[ITEM]],TbPiezas[],6,FALSE)</f>
        <v>337.48</v>
      </c>
      <c r="X248" s="83">
        <f>+TbAlquiler[[#This Row],[TOTAL]]*TbAlquiler[[#This Row],[P.U. (2)]]</f>
        <v>0</v>
      </c>
      <c r="Y248" s="82">
        <f>+VLOOKUP(TbAlquiler[[#This Row],[ITEM]],TbPiezas[],7,FALSE)</f>
        <v>16.874000000000002</v>
      </c>
      <c r="Z248" s="84">
        <f>+TbAlquiler[[#This Row],[TOTAL]]*TbAlquiler[[#This Row],[P.U. (3)]]</f>
        <v>0</v>
      </c>
    </row>
    <row r="249" spans="1:26" ht="15" customHeight="1" x14ac:dyDescent="0.3">
      <c r="A249" s="2"/>
      <c r="B249" s="85">
        <v>233</v>
      </c>
      <c r="C249" s="71" t="s">
        <v>467</v>
      </c>
      <c r="D249" s="72" t="s">
        <v>468</v>
      </c>
      <c r="E249" s="73"/>
      <c r="F249" s="74">
        <f>+VLOOKUP(C249,TbAlquiler[],13,FALSE)</f>
        <v>0</v>
      </c>
      <c r="G249" s="2"/>
      <c r="H249" s="75" t="str">
        <f t="shared" si="6"/>
        <v>AE.6100</v>
      </c>
      <c r="I249" s="59" t="str">
        <f t="shared" si="7"/>
        <v>ok</v>
      </c>
      <c r="J249" s="77">
        <f>IFERROR(VLOOKUP($H249,TG[],3,FALSE),"NA")</f>
        <v>0</v>
      </c>
      <c r="K249" s="77" t="str">
        <f>IFERROR(VLOOKUP($H249,TF[],3,FALSE),"NA")</f>
        <v>NA</v>
      </c>
      <c r="L249" s="77" t="str">
        <f>IFERROR(VLOOKUP($H249,TT[],3,FALSE),"NA")</f>
        <v>NA</v>
      </c>
      <c r="M249" s="77" t="str">
        <f>IFERROR(VLOOKUP($H249,TES[],3,FALSE),"NA")</f>
        <v>NA</v>
      </c>
      <c r="N249" s="77" t="str">
        <f>IFERROR(VLOOKUP($H249,TEC[],3,FALSE),"NA")</f>
        <v>NA</v>
      </c>
      <c r="O249" s="77" t="str">
        <f>IFERROR(VLOOKUP($H249,TP[],3,FALSE),"NA")</f>
        <v>NA</v>
      </c>
      <c r="P249" s="77" t="str">
        <f>IFERROR(VLOOKUP($H249,TEN[],3,FALSE),"NA")</f>
        <v>NA</v>
      </c>
      <c r="Q249" s="77" t="str">
        <f>IFERROR(VLOOKUP($H249,TD[],3,FALSE),"NA")</f>
        <v>NA</v>
      </c>
      <c r="R249" s="77">
        <f>IFERROR(VLOOKUP($H249,TC[],3,FALSE),"NA")</f>
        <v>0</v>
      </c>
      <c r="S249" s="77" t="str">
        <f>IFERROR(VLOOKUP($H249,TEV[],3,FALSE),"NA")</f>
        <v>NA</v>
      </c>
      <c r="T249" s="79">
        <f>SUM(TbAlquiler[[#This Row],[GENERAL]:[ELEVADOR]])</f>
        <v>0</v>
      </c>
      <c r="U249" s="80">
        <f>IF(VLOOKUP(TbAlquiler[[#This Row],[ITEM]],TbPiezas[],5,FALSE)="NA",0,VLOOKUP(TbAlquiler[[#This Row],[ITEM]],TbPiezas[],5,FALSE))</f>
        <v>18.5</v>
      </c>
      <c r="V249" s="81">
        <f>+TbAlquiler[[#This Row],[TOTAL]]*TbAlquiler[[#This Row],[P.U. (1)]]</f>
        <v>0</v>
      </c>
      <c r="W249" s="82">
        <f>+VLOOKUP(TbAlquiler[[#This Row],[ITEM]],TbPiezas[],6,FALSE)</f>
        <v>191.38</v>
      </c>
      <c r="X249" s="83">
        <f>+TbAlquiler[[#This Row],[TOTAL]]*TbAlquiler[[#This Row],[P.U. (2)]]</f>
        <v>0</v>
      </c>
      <c r="Y249" s="82">
        <f>+VLOOKUP(TbAlquiler[[#This Row],[ITEM]],TbPiezas[],7,FALSE)</f>
        <v>9.5690000000000008</v>
      </c>
      <c r="Z249" s="84">
        <f>+TbAlquiler[[#This Row],[TOTAL]]*TbAlquiler[[#This Row],[P.U. (3)]]</f>
        <v>0</v>
      </c>
    </row>
    <row r="250" spans="1:26" ht="15" customHeight="1" x14ac:dyDescent="0.3">
      <c r="A250" s="2"/>
      <c r="B250" s="85">
        <v>234</v>
      </c>
      <c r="C250" s="71" t="s">
        <v>469</v>
      </c>
      <c r="D250" s="72" t="s">
        <v>470</v>
      </c>
      <c r="E250" s="73"/>
      <c r="F250" s="74">
        <f>+VLOOKUP(C250,TbAlquiler[],13,FALSE)</f>
        <v>0</v>
      </c>
      <c r="G250" s="2"/>
      <c r="H250" s="75" t="str">
        <f t="shared" si="6"/>
        <v>AE.6200</v>
      </c>
      <c r="I250" s="59" t="str">
        <f t="shared" si="7"/>
        <v>ok</v>
      </c>
      <c r="J250" s="77">
        <f>IFERROR(VLOOKUP($H250,TG[],3,FALSE),"NA")</f>
        <v>0</v>
      </c>
      <c r="K250" s="77" t="str">
        <f>IFERROR(VLOOKUP($H250,TF[],3,FALSE),"NA")</f>
        <v>NA</v>
      </c>
      <c r="L250" s="77" t="str">
        <f>IFERROR(VLOOKUP($H250,TT[],3,FALSE),"NA")</f>
        <v>NA</v>
      </c>
      <c r="M250" s="77" t="str">
        <f>IFERROR(VLOOKUP($H250,TES[],3,FALSE),"NA")</f>
        <v>NA</v>
      </c>
      <c r="N250" s="77" t="str">
        <f>IFERROR(VLOOKUP($H250,TEC[],3,FALSE),"NA")</f>
        <v>NA</v>
      </c>
      <c r="O250" s="77" t="str">
        <f>IFERROR(VLOOKUP($H250,TP[],3,FALSE),"NA")</f>
        <v>NA</v>
      </c>
      <c r="P250" s="77" t="str">
        <f>IFERROR(VLOOKUP($H250,TEN[],3,FALSE),"NA")</f>
        <v>NA</v>
      </c>
      <c r="Q250" s="77" t="str">
        <f>IFERROR(VLOOKUP($H250,TD[],3,FALSE),"NA")</f>
        <v>NA</v>
      </c>
      <c r="R250" s="77">
        <f>IFERROR(VLOOKUP($H250,TC[],3,FALSE),"NA")</f>
        <v>0</v>
      </c>
      <c r="S250" s="77" t="str">
        <f>IFERROR(VLOOKUP($H250,TEV[],3,FALSE),"NA")</f>
        <v>NA</v>
      </c>
      <c r="T250" s="79">
        <f>SUM(TbAlquiler[[#This Row],[GENERAL]:[ELEVADOR]])</f>
        <v>0</v>
      </c>
      <c r="U250" s="80">
        <f>IF(VLOOKUP(TbAlquiler[[#This Row],[ITEM]],TbPiezas[],5,FALSE)="NA",0,VLOOKUP(TbAlquiler[[#This Row],[ITEM]],TbPiezas[],5,FALSE))</f>
        <v>17.299999999999997</v>
      </c>
      <c r="V250" s="81">
        <f>+TbAlquiler[[#This Row],[TOTAL]]*TbAlquiler[[#This Row],[P.U. (1)]]</f>
        <v>0</v>
      </c>
      <c r="W250" s="82">
        <f>+VLOOKUP(TbAlquiler[[#This Row],[ITEM]],TbPiezas[],6,FALSE)</f>
        <v>191.38</v>
      </c>
      <c r="X250" s="83">
        <f>+TbAlquiler[[#This Row],[TOTAL]]*TbAlquiler[[#This Row],[P.U. (2)]]</f>
        <v>0</v>
      </c>
      <c r="Y250" s="82">
        <f>+VLOOKUP(TbAlquiler[[#This Row],[ITEM]],TbPiezas[],7,FALSE)</f>
        <v>9.5690000000000008</v>
      </c>
      <c r="Z250" s="84">
        <f>+TbAlquiler[[#This Row],[TOTAL]]*TbAlquiler[[#This Row],[P.U. (3)]]</f>
        <v>0</v>
      </c>
    </row>
    <row r="251" spans="1:26" ht="15" customHeight="1" x14ac:dyDescent="0.3">
      <c r="A251" s="2"/>
      <c r="B251" s="85">
        <v>235</v>
      </c>
      <c r="C251" s="71" t="s">
        <v>471</v>
      </c>
      <c r="D251" s="72" t="s">
        <v>472</v>
      </c>
      <c r="E251" s="73"/>
      <c r="F251" s="74">
        <f>+VLOOKUP(C251,TbAlquiler[],13,FALSE)</f>
        <v>0</v>
      </c>
      <c r="G251" s="2"/>
      <c r="H251" s="75" t="str">
        <f t="shared" si="6"/>
        <v>AE.6300</v>
      </c>
      <c r="I251" s="59" t="str">
        <f t="shared" si="7"/>
        <v>ok</v>
      </c>
      <c r="J251" s="77">
        <f>IFERROR(VLOOKUP($H251,TG[],3,FALSE),"NA")</f>
        <v>0</v>
      </c>
      <c r="K251" s="77" t="str">
        <f>IFERROR(VLOOKUP($H251,TF[],3,FALSE),"NA")</f>
        <v>NA</v>
      </c>
      <c r="L251" s="77" t="str">
        <f>IFERROR(VLOOKUP($H251,TT[],3,FALSE),"NA")</f>
        <v>NA</v>
      </c>
      <c r="M251" s="77" t="str">
        <f>IFERROR(VLOOKUP($H251,TES[],3,FALSE),"NA")</f>
        <v>NA</v>
      </c>
      <c r="N251" s="77" t="str">
        <f>IFERROR(VLOOKUP($H251,TEC[],3,FALSE),"NA")</f>
        <v>NA</v>
      </c>
      <c r="O251" s="77" t="str">
        <f>IFERROR(VLOOKUP($H251,TP[],3,FALSE),"NA")</f>
        <v>NA</v>
      </c>
      <c r="P251" s="77" t="str">
        <f>IFERROR(VLOOKUP($H251,TEN[],3,FALSE),"NA")</f>
        <v>NA</v>
      </c>
      <c r="Q251" s="77" t="str">
        <f>IFERROR(VLOOKUP($H251,TD[],3,FALSE),"NA")</f>
        <v>NA</v>
      </c>
      <c r="R251" s="77">
        <f>IFERROR(VLOOKUP($H251,TC[],3,FALSE),"NA")</f>
        <v>0</v>
      </c>
      <c r="S251" s="77" t="str">
        <f>IFERROR(VLOOKUP($H251,TEV[],3,FALSE),"NA")</f>
        <v>NA</v>
      </c>
      <c r="T251" s="79">
        <f>SUM(TbAlquiler[[#This Row],[GENERAL]:[ELEVADOR]])</f>
        <v>0</v>
      </c>
      <c r="U251" s="80">
        <f>IF(VLOOKUP(TbAlquiler[[#This Row],[ITEM]],TbPiezas[],5,FALSE)="NA",0,VLOOKUP(TbAlquiler[[#This Row],[ITEM]],TbPiezas[],5,FALSE))</f>
        <v>21</v>
      </c>
      <c r="V251" s="81">
        <f>+TbAlquiler[[#This Row],[TOTAL]]*TbAlquiler[[#This Row],[P.U. (1)]]</f>
        <v>0</v>
      </c>
      <c r="W251" s="82">
        <f>+VLOOKUP(TbAlquiler[[#This Row],[ITEM]],TbPiezas[],6,FALSE)</f>
        <v>191.38</v>
      </c>
      <c r="X251" s="83">
        <f>+TbAlquiler[[#This Row],[TOTAL]]*TbAlquiler[[#This Row],[P.U. (2)]]</f>
        <v>0</v>
      </c>
      <c r="Y251" s="82">
        <f>+VLOOKUP(TbAlquiler[[#This Row],[ITEM]],TbPiezas[],7,FALSE)</f>
        <v>9.5690000000000008</v>
      </c>
      <c r="Z251" s="84">
        <f>+TbAlquiler[[#This Row],[TOTAL]]*TbAlquiler[[#This Row],[P.U. (3)]]</f>
        <v>0</v>
      </c>
    </row>
    <row r="252" spans="1:26" ht="15" customHeight="1" x14ac:dyDescent="0.3">
      <c r="A252" s="2"/>
      <c r="B252" s="85">
        <v>236</v>
      </c>
      <c r="C252" s="71" t="s">
        <v>473</v>
      </c>
      <c r="D252" s="72" t="s">
        <v>474</v>
      </c>
      <c r="E252" s="73"/>
      <c r="F252" s="74">
        <f>+VLOOKUP(C252,TbAlquiler[],13,FALSE)</f>
        <v>0</v>
      </c>
      <c r="G252" s="2"/>
      <c r="H252" s="75" t="str">
        <f t="shared" si="6"/>
        <v>AE.6400</v>
      </c>
      <c r="I252" s="59" t="str">
        <f t="shared" si="7"/>
        <v>ok</v>
      </c>
      <c r="J252" s="77">
        <f>IFERROR(VLOOKUP($H252,TG[],3,FALSE),"NA")</f>
        <v>0</v>
      </c>
      <c r="K252" s="77" t="str">
        <f>IFERROR(VLOOKUP($H252,TF[],3,FALSE),"NA")</f>
        <v>NA</v>
      </c>
      <c r="L252" s="77" t="str">
        <f>IFERROR(VLOOKUP($H252,TT[],3,FALSE),"NA")</f>
        <v>NA</v>
      </c>
      <c r="M252" s="77" t="str">
        <f>IFERROR(VLOOKUP($H252,TES[],3,FALSE),"NA")</f>
        <v>NA</v>
      </c>
      <c r="N252" s="77" t="str">
        <f>IFERROR(VLOOKUP($H252,TEC[],3,FALSE),"NA")</f>
        <v>NA</v>
      </c>
      <c r="O252" s="77" t="str">
        <f>IFERROR(VLOOKUP($H252,TP[],3,FALSE),"NA")</f>
        <v>NA</v>
      </c>
      <c r="P252" s="77" t="str">
        <f>IFERROR(VLOOKUP($H252,TEN[],3,FALSE),"NA")</f>
        <v>NA</v>
      </c>
      <c r="Q252" s="77" t="str">
        <f>IFERROR(VLOOKUP($H252,TD[],3,FALSE),"NA")</f>
        <v>NA</v>
      </c>
      <c r="R252" s="77">
        <f>IFERROR(VLOOKUP($H252,TC[],3,FALSE),"NA")</f>
        <v>0</v>
      </c>
      <c r="S252" s="77" t="str">
        <f>IFERROR(VLOOKUP($H252,TEV[],3,FALSE),"NA")</f>
        <v>NA</v>
      </c>
      <c r="T252" s="79">
        <f>SUM(TbAlquiler[[#This Row],[GENERAL]:[ELEVADOR]])</f>
        <v>0</v>
      </c>
      <c r="U252" s="80">
        <f>IF(VLOOKUP(TbAlquiler[[#This Row],[ITEM]],TbPiezas[],5,FALSE)="NA",0,VLOOKUP(TbAlquiler[[#This Row],[ITEM]],TbPiezas[],5,FALSE))</f>
        <v>14.400000000000006</v>
      </c>
      <c r="V252" s="81">
        <f>+TbAlquiler[[#This Row],[TOTAL]]*TbAlquiler[[#This Row],[P.U. (1)]]</f>
        <v>0</v>
      </c>
      <c r="W252" s="82">
        <f>+VLOOKUP(TbAlquiler[[#This Row],[ITEM]],TbPiezas[],6,FALSE)</f>
        <v>191.38</v>
      </c>
      <c r="X252" s="83">
        <f>+TbAlquiler[[#This Row],[TOTAL]]*TbAlquiler[[#This Row],[P.U. (2)]]</f>
        <v>0</v>
      </c>
      <c r="Y252" s="82">
        <f>+VLOOKUP(TbAlquiler[[#This Row],[ITEM]],TbPiezas[],7,FALSE)</f>
        <v>9.5690000000000008</v>
      </c>
      <c r="Z252" s="84">
        <f>+TbAlquiler[[#This Row],[TOTAL]]*TbAlquiler[[#This Row],[P.U. (3)]]</f>
        <v>0</v>
      </c>
    </row>
    <row r="253" spans="1:26" ht="15" customHeight="1" x14ac:dyDescent="0.3">
      <c r="A253" s="2"/>
      <c r="B253" s="85">
        <v>237</v>
      </c>
      <c r="C253" s="71" t="s">
        <v>475</v>
      </c>
      <c r="D253" s="72" t="s">
        <v>476</v>
      </c>
      <c r="E253" s="73"/>
      <c r="F253" s="74">
        <f>+VLOOKUP(C253,TbAlquiler[],13,FALSE)</f>
        <v>0</v>
      </c>
      <c r="G253" s="2"/>
      <c r="H253" s="75" t="str">
        <f t="shared" si="6"/>
        <v>AE.6500</v>
      </c>
      <c r="I253" s="59" t="str">
        <f t="shared" si="7"/>
        <v>ok</v>
      </c>
      <c r="J253" s="77">
        <f>IFERROR(VLOOKUP($H253,TG[],3,FALSE),"NA")</f>
        <v>0</v>
      </c>
      <c r="K253" s="77" t="str">
        <f>IFERROR(VLOOKUP($H253,TF[],3,FALSE),"NA")</f>
        <v>NA</v>
      </c>
      <c r="L253" s="77" t="str">
        <f>IFERROR(VLOOKUP($H253,TT[],3,FALSE),"NA")</f>
        <v>NA</v>
      </c>
      <c r="M253" s="77" t="str">
        <f>IFERROR(VLOOKUP($H253,TES[],3,FALSE),"NA")</f>
        <v>NA</v>
      </c>
      <c r="N253" s="77" t="str">
        <f>IFERROR(VLOOKUP($H253,TEC[],3,FALSE),"NA")</f>
        <v>NA</v>
      </c>
      <c r="O253" s="77" t="str">
        <f>IFERROR(VLOOKUP($H253,TP[],3,FALSE),"NA")</f>
        <v>NA</v>
      </c>
      <c r="P253" s="77" t="str">
        <f>IFERROR(VLOOKUP($H253,TEN[],3,FALSE),"NA")</f>
        <v>NA</v>
      </c>
      <c r="Q253" s="77" t="str">
        <f>IFERROR(VLOOKUP($H253,TD[],3,FALSE),"NA")</f>
        <v>NA</v>
      </c>
      <c r="R253" s="77">
        <f>IFERROR(VLOOKUP($H253,TC[],3,FALSE),"NA")</f>
        <v>0</v>
      </c>
      <c r="S253" s="77" t="str">
        <f>IFERROR(VLOOKUP($H253,TEV[],3,FALSE),"NA")</f>
        <v>NA</v>
      </c>
      <c r="T253" s="79">
        <f>SUM(TbAlquiler[[#This Row],[GENERAL]:[ELEVADOR]])</f>
        <v>0</v>
      </c>
      <c r="U253" s="80">
        <f>IF(VLOOKUP(TbAlquiler[[#This Row],[ITEM]],TbPiezas[],5,FALSE)="NA",0,VLOOKUP(TbAlquiler[[#This Row],[ITEM]],TbPiezas[],5,FALSE))</f>
        <v>13.200000000000003</v>
      </c>
      <c r="V253" s="81">
        <f>+TbAlquiler[[#This Row],[TOTAL]]*TbAlquiler[[#This Row],[P.U. (1)]]</f>
        <v>0</v>
      </c>
      <c r="W253" s="82">
        <f>+VLOOKUP(TbAlquiler[[#This Row],[ITEM]],TbPiezas[],6,FALSE)</f>
        <v>379.07</v>
      </c>
      <c r="X253" s="83">
        <f>+TbAlquiler[[#This Row],[TOTAL]]*TbAlquiler[[#This Row],[P.U. (2)]]</f>
        <v>0</v>
      </c>
      <c r="Y253" s="82">
        <f>+VLOOKUP(TbAlquiler[[#This Row],[ITEM]],TbPiezas[],7,FALSE)</f>
        <v>18.953500000000002</v>
      </c>
      <c r="Z253" s="84">
        <f>+TbAlquiler[[#This Row],[TOTAL]]*TbAlquiler[[#This Row],[P.U. (3)]]</f>
        <v>0</v>
      </c>
    </row>
    <row r="254" spans="1:26" ht="15" customHeight="1" x14ac:dyDescent="0.3">
      <c r="A254" s="2"/>
      <c r="B254" s="85">
        <v>238</v>
      </c>
      <c r="C254" s="71" t="s">
        <v>477</v>
      </c>
      <c r="D254" s="72" t="s">
        <v>478</v>
      </c>
      <c r="E254" s="73"/>
      <c r="F254" s="74">
        <f>+VLOOKUP(C254,TbAlquiler[],13,FALSE)</f>
        <v>0</v>
      </c>
      <c r="G254" s="2"/>
      <c r="H254" s="75" t="str">
        <f t="shared" si="6"/>
        <v>AE.6510</v>
      </c>
      <c r="I254" s="59" t="str">
        <f t="shared" si="7"/>
        <v>ok</v>
      </c>
      <c r="J254" s="77">
        <f>IFERROR(VLOOKUP($H254,TG[],3,FALSE),"NA")</f>
        <v>0</v>
      </c>
      <c r="K254" s="77" t="str">
        <f>IFERROR(VLOOKUP($H254,TF[],3,FALSE),"NA")</f>
        <v>NA</v>
      </c>
      <c r="L254" s="77" t="str">
        <f>IFERROR(VLOOKUP($H254,TT[],3,FALSE),"NA")</f>
        <v>NA</v>
      </c>
      <c r="M254" s="77" t="str">
        <f>IFERROR(VLOOKUP($H254,TES[],3,FALSE),"NA")</f>
        <v>NA</v>
      </c>
      <c r="N254" s="77" t="str">
        <f>IFERROR(VLOOKUP($H254,TEC[],3,FALSE),"NA")</f>
        <v>NA</v>
      </c>
      <c r="O254" s="77" t="str">
        <f>IFERROR(VLOOKUP($H254,TP[],3,FALSE),"NA")</f>
        <v>NA</v>
      </c>
      <c r="P254" s="77" t="str">
        <f>IFERROR(VLOOKUP($H254,TEN[],3,FALSE),"NA")</f>
        <v>NA</v>
      </c>
      <c r="Q254" s="77" t="str">
        <f>IFERROR(VLOOKUP($H254,TD[],3,FALSE),"NA")</f>
        <v>NA</v>
      </c>
      <c r="R254" s="77">
        <f>IFERROR(VLOOKUP($H254,TC[],3,FALSE),"NA")</f>
        <v>0</v>
      </c>
      <c r="S254" s="77" t="str">
        <f>IFERROR(VLOOKUP($H254,TEV[],3,FALSE),"NA")</f>
        <v>NA</v>
      </c>
      <c r="T254" s="79">
        <f>SUM(TbAlquiler[[#This Row],[GENERAL]:[ELEVADOR]])</f>
        <v>0</v>
      </c>
      <c r="U254" s="80">
        <f>IF(VLOOKUP(TbAlquiler[[#This Row],[ITEM]],TbPiezas[],5,FALSE)="NA",0,VLOOKUP(TbAlquiler[[#This Row],[ITEM]],TbPiezas[],5,FALSE))</f>
        <v>5.0999999999999996</v>
      </c>
      <c r="V254" s="81">
        <f>+TbAlquiler[[#This Row],[TOTAL]]*TbAlquiler[[#This Row],[P.U. (1)]]</f>
        <v>0</v>
      </c>
      <c r="W254" s="82">
        <f>+VLOOKUP(TbAlquiler[[#This Row],[ITEM]],TbPiezas[],6,FALSE)</f>
        <v>150</v>
      </c>
      <c r="X254" s="83">
        <f>+TbAlquiler[[#This Row],[TOTAL]]*TbAlquiler[[#This Row],[P.U. (2)]]</f>
        <v>0</v>
      </c>
      <c r="Y254" s="82">
        <f>+VLOOKUP(TbAlquiler[[#This Row],[ITEM]],TbPiezas[],7,FALSE)</f>
        <v>7.5</v>
      </c>
      <c r="Z254" s="84">
        <f>+TbAlquiler[[#This Row],[TOTAL]]*TbAlquiler[[#This Row],[P.U. (3)]]</f>
        <v>0</v>
      </c>
    </row>
    <row r="255" spans="1:26" ht="15" customHeight="1" x14ac:dyDescent="0.3">
      <c r="A255" s="2"/>
      <c r="B255" s="85">
        <v>239</v>
      </c>
      <c r="C255" s="71" t="s">
        <v>479</v>
      </c>
      <c r="D255" s="72" t="s">
        <v>480</v>
      </c>
      <c r="E255" s="73"/>
      <c r="F255" s="74">
        <f>+VLOOKUP(C255,TbAlquiler[],13,FALSE)</f>
        <v>0</v>
      </c>
      <c r="G255" s="2"/>
      <c r="H255" s="75" t="str">
        <f t="shared" si="6"/>
        <v>AE.6520</v>
      </c>
      <c r="I255" s="59" t="str">
        <f t="shared" si="7"/>
        <v>ok</v>
      </c>
      <c r="J255" s="77">
        <f>IFERROR(VLOOKUP($H255,TG[],3,FALSE),"NA")</f>
        <v>0</v>
      </c>
      <c r="K255" s="77" t="str">
        <f>IFERROR(VLOOKUP($H255,TF[],3,FALSE),"NA")</f>
        <v>NA</v>
      </c>
      <c r="L255" s="77" t="str">
        <f>IFERROR(VLOOKUP($H255,TT[],3,FALSE),"NA")</f>
        <v>NA</v>
      </c>
      <c r="M255" s="77" t="str">
        <f>IFERROR(VLOOKUP($H255,TES[],3,FALSE),"NA")</f>
        <v>NA</v>
      </c>
      <c r="N255" s="77" t="str">
        <f>IFERROR(VLOOKUP($H255,TEC[],3,FALSE),"NA")</f>
        <v>NA</v>
      </c>
      <c r="O255" s="77" t="str">
        <f>IFERROR(VLOOKUP($H255,TP[],3,FALSE),"NA")</f>
        <v>NA</v>
      </c>
      <c r="P255" s="77" t="str">
        <f>IFERROR(VLOOKUP($H255,TEN[],3,FALSE),"NA")</f>
        <v>NA</v>
      </c>
      <c r="Q255" s="77" t="str">
        <f>IFERROR(VLOOKUP($H255,TD[],3,FALSE),"NA")</f>
        <v>NA</v>
      </c>
      <c r="R255" s="77">
        <f>IFERROR(VLOOKUP($H255,TC[],3,FALSE),"NA")</f>
        <v>0</v>
      </c>
      <c r="S255" s="77" t="str">
        <f>IFERROR(VLOOKUP($H255,TEV[],3,FALSE),"NA")</f>
        <v>NA</v>
      </c>
      <c r="T255" s="79">
        <f>SUM(TbAlquiler[[#This Row],[GENERAL]:[ELEVADOR]])</f>
        <v>0</v>
      </c>
      <c r="U255" s="80">
        <f>IF(VLOOKUP(TbAlquiler[[#This Row],[ITEM]],TbPiezas[],5,FALSE)="NA",0,VLOOKUP(TbAlquiler[[#This Row],[ITEM]],TbPiezas[],5,FALSE))</f>
        <v>6.5</v>
      </c>
      <c r="V255" s="81">
        <f>+TbAlquiler[[#This Row],[TOTAL]]*TbAlquiler[[#This Row],[P.U. (1)]]</f>
        <v>0</v>
      </c>
      <c r="W255" s="82">
        <f>+VLOOKUP(TbAlquiler[[#This Row],[ITEM]],TbPiezas[],6,FALSE)</f>
        <v>150</v>
      </c>
      <c r="X255" s="83">
        <f>+TbAlquiler[[#This Row],[TOTAL]]*TbAlquiler[[#This Row],[P.U. (2)]]</f>
        <v>0</v>
      </c>
      <c r="Y255" s="82">
        <f>+VLOOKUP(TbAlquiler[[#This Row],[ITEM]],TbPiezas[],7,FALSE)</f>
        <v>7.5</v>
      </c>
      <c r="Z255" s="84">
        <f>+TbAlquiler[[#This Row],[TOTAL]]*TbAlquiler[[#This Row],[P.U. (3)]]</f>
        <v>0</v>
      </c>
    </row>
    <row r="256" spans="1:26" ht="15" customHeight="1" x14ac:dyDescent="0.3">
      <c r="A256" s="2"/>
      <c r="B256" s="85">
        <v>240</v>
      </c>
      <c r="C256" s="71" t="s">
        <v>481</v>
      </c>
      <c r="D256" s="72" t="s">
        <v>482</v>
      </c>
      <c r="E256" s="73"/>
      <c r="F256" s="74">
        <f>+VLOOKUP(C256,TbAlquiler[],13,FALSE)</f>
        <v>0</v>
      </c>
      <c r="G256" s="2"/>
      <c r="H256" s="75" t="str">
        <f t="shared" si="6"/>
        <v>AE.6600</v>
      </c>
      <c r="I256" s="59" t="str">
        <f t="shared" si="7"/>
        <v>ok</v>
      </c>
      <c r="J256" s="77">
        <f>IFERROR(VLOOKUP($H256,TG[],3,FALSE),"NA")</f>
        <v>0</v>
      </c>
      <c r="K256" s="77" t="str">
        <f>IFERROR(VLOOKUP($H256,TF[],3,FALSE),"NA")</f>
        <v>NA</v>
      </c>
      <c r="L256" s="77" t="str">
        <f>IFERROR(VLOOKUP($H256,TT[],3,FALSE),"NA")</f>
        <v>NA</v>
      </c>
      <c r="M256" s="77" t="str">
        <f>IFERROR(VLOOKUP($H256,TES[],3,FALSE),"NA")</f>
        <v>NA</v>
      </c>
      <c r="N256" s="77" t="str">
        <f>IFERROR(VLOOKUP($H256,TEC[],3,FALSE),"NA")</f>
        <v>NA</v>
      </c>
      <c r="O256" s="77" t="str">
        <f>IFERROR(VLOOKUP($H256,TP[],3,FALSE),"NA")</f>
        <v>NA</v>
      </c>
      <c r="P256" s="77" t="str">
        <f>IFERROR(VLOOKUP($H256,TEN[],3,FALSE),"NA")</f>
        <v>NA</v>
      </c>
      <c r="Q256" s="77" t="str">
        <f>IFERROR(VLOOKUP($H256,TD[],3,FALSE),"NA")</f>
        <v>NA</v>
      </c>
      <c r="R256" s="77">
        <f>IFERROR(VLOOKUP($H256,TC[],3,FALSE),"NA")</f>
        <v>0</v>
      </c>
      <c r="S256" s="77" t="str">
        <f>IFERROR(VLOOKUP($H256,TEV[],3,FALSE),"NA")</f>
        <v>NA</v>
      </c>
      <c r="T256" s="79">
        <f>SUM(TbAlquiler[[#This Row],[GENERAL]:[ELEVADOR]])</f>
        <v>0</v>
      </c>
      <c r="U256" s="80">
        <f>IF(VLOOKUP(TbAlquiler[[#This Row],[ITEM]],TbPiezas[],5,FALSE)="NA",0,VLOOKUP(TbAlquiler[[#This Row],[ITEM]],TbPiezas[],5,FALSE))</f>
        <v>6.2000000000000028</v>
      </c>
      <c r="V256" s="81">
        <f>+TbAlquiler[[#This Row],[TOTAL]]*TbAlquiler[[#This Row],[P.U. (1)]]</f>
        <v>0</v>
      </c>
      <c r="W256" s="82">
        <f>+VLOOKUP(TbAlquiler[[#This Row],[ITEM]],TbPiezas[],6,FALSE)</f>
        <v>337.14</v>
      </c>
      <c r="X256" s="83">
        <f>+TbAlquiler[[#This Row],[TOTAL]]*TbAlquiler[[#This Row],[P.U. (2)]]</f>
        <v>0</v>
      </c>
      <c r="Y256" s="82">
        <f>+VLOOKUP(TbAlquiler[[#This Row],[ITEM]],TbPiezas[],7,FALSE)</f>
        <v>16.856999999999999</v>
      </c>
      <c r="Z256" s="84">
        <f>+TbAlquiler[[#This Row],[TOTAL]]*TbAlquiler[[#This Row],[P.U. (3)]]</f>
        <v>0</v>
      </c>
    </row>
    <row r="257" spans="1:26" ht="15" customHeight="1" x14ac:dyDescent="0.3">
      <c r="A257" s="2"/>
      <c r="B257" s="85">
        <v>241</v>
      </c>
      <c r="C257" s="71" t="s">
        <v>483</v>
      </c>
      <c r="D257" s="72" t="s">
        <v>484</v>
      </c>
      <c r="E257" s="73"/>
      <c r="F257" s="74">
        <f>+VLOOKUP(C257,TbAlquiler[],13,FALSE)</f>
        <v>0</v>
      </c>
      <c r="G257" s="2"/>
      <c r="H257" s="75" t="str">
        <f t="shared" si="6"/>
        <v>AE.6700</v>
      </c>
      <c r="I257" s="59" t="str">
        <f t="shared" si="7"/>
        <v>ok</v>
      </c>
      <c r="J257" s="77">
        <f>IFERROR(VLOOKUP($H257,TG[],3,FALSE),"NA")</f>
        <v>0</v>
      </c>
      <c r="K257" s="77" t="str">
        <f>IFERROR(VLOOKUP($H257,TF[],3,FALSE),"NA")</f>
        <v>NA</v>
      </c>
      <c r="L257" s="77" t="str">
        <f>IFERROR(VLOOKUP($H257,TT[],3,FALSE),"NA")</f>
        <v>NA</v>
      </c>
      <c r="M257" s="77" t="str">
        <f>IFERROR(VLOOKUP($H257,TES[],3,FALSE),"NA")</f>
        <v>NA</v>
      </c>
      <c r="N257" s="77" t="str">
        <f>IFERROR(VLOOKUP($H257,TEC[],3,FALSE),"NA")</f>
        <v>NA</v>
      </c>
      <c r="O257" s="77" t="str">
        <f>IFERROR(VLOOKUP($H257,TP[],3,FALSE),"NA")</f>
        <v>NA</v>
      </c>
      <c r="P257" s="77" t="str">
        <f>IFERROR(VLOOKUP($H257,TEN[],3,FALSE),"NA")</f>
        <v>NA</v>
      </c>
      <c r="Q257" s="77" t="str">
        <f>IFERROR(VLOOKUP($H257,TD[],3,FALSE),"NA")</f>
        <v>NA</v>
      </c>
      <c r="R257" s="77">
        <f>IFERROR(VLOOKUP($H257,TC[],3,FALSE),"NA")</f>
        <v>0</v>
      </c>
      <c r="S257" s="77" t="str">
        <f>IFERROR(VLOOKUP($H257,TEV[],3,FALSE),"NA")</f>
        <v>NA</v>
      </c>
      <c r="T257" s="79">
        <f>SUM(TbAlquiler[[#This Row],[GENERAL]:[ELEVADOR]])</f>
        <v>0</v>
      </c>
      <c r="U257" s="80">
        <f>IF(VLOOKUP(TbAlquiler[[#This Row],[ITEM]],TbPiezas[],5,FALSE)="NA",0,VLOOKUP(TbAlquiler[[#This Row],[ITEM]],TbPiezas[],5,FALSE))</f>
        <v>6.8999999999999915</v>
      </c>
      <c r="V257" s="81">
        <f>+TbAlquiler[[#This Row],[TOTAL]]*TbAlquiler[[#This Row],[P.U. (1)]]</f>
        <v>0</v>
      </c>
      <c r="W257" s="82">
        <f>+VLOOKUP(TbAlquiler[[#This Row],[ITEM]],TbPiezas[],6,FALSE)</f>
        <v>375.25</v>
      </c>
      <c r="X257" s="83">
        <f>+TbAlquiler[[#This Row],[TOTAL]]*TbAlquiler[[#This Row],[P.U. (2)]]</f>
        <v>0</v>
      </c>
      <c r="Y257" s="82">
        <f>+VLOOKUP(TbAlquiler[[#This Row],[ITEM]],TbPiezas[],7,FALSE)</f>
        <v>18.762499999999999</v>
      </c>
      <c r="Z257" s="84">
        <f>+TbAlquiler[[#This Row],[TOTAL]]*TbAlquiler[[#This Row],[P.U. (3)]]</f>
        <v>0</v>
      </c>
    </row>
    <row r="258" spans="1:26" ht="15" customHeight="1" x14ac:dyDescent="0.3">
      <c r="A258" s="2"/>
      <c r="B258" s="85">
        <v>242</v>
      </c>
      <c r="C258" s="71" t="s">
        <v>485</v>
      </c>
      <c r="D258" s="72" t="s">
        <v>486</v>
      </c>
      <c r="E258" s="73"/>
      <c r="F258" s="74">
        <f>+VLOOKUP(C258,TbAlquiler[],13,FALSE)</f>
        <v>0</v>
      </c>
      <c r="G258" s="2"/>
      <c r="H258" s="75" t="str">
        <f t="shared" si="6"/>
        <v>AE.6800</v>
      </c>
      <c r="I258" s="59" t="str">
        <f t="shared" si="7"/>
        <v>ok</v>
      </c>
      <c r="J258" s="77">
        <f>IFERROR(VLOOKUP($H258,TG[],3,FALSE),"NA")</f>
        <v>0</v>
      </c>
      <c r="K258" s="77" t="str">
        <f>IFERROR(VLOOKUP($H258,TF[],3,FALSE),"NA")</f>
        <v>NA</v>
      </c>
      <c r="L258" s="77" t="str">
        <f>IFERROR(VLOOKUP($H258,TT[],3,FALSE),"NA")</f>
        <v>NA</v>
      </c>
      <c r="M258" s="77" t="str">
        <f>IFERROR(VLOOKUP($H258,TES[],3,FALSE),"NA")</f>
        <v>NA</v>
      </c>
      <c r="N258" s="77" t="str">
        <f>IFERROR(VLOOKUP($H258,TEC[],3,FALSE),"NA")</f>
        <v>NA</v>
      </c>
      <c r="O258" s="77" t="str">
        <f>IFERROR(VLOOKUP($H258,TP[],3,FALSE),"NA")</f>
        <v>NA</v>
      </c>
      <c r="P258" s="77" t="str">
        <f>IFERROR(VLOOKUP($H258,TEN[],3,FALSE),"NA")</f>
        <v>NA</v>
      </c>
      <c r="Q258" s="77" t="str">
        <f>IFERROR(VLOOKUP($H258,TD[],3,FALSE),"NA")</f>
        <v>NA</v>
      </c>
      <c r="R258" s="77">
        <f>IFERROR(VLOOKUP($H258,TC[],3,FALSE),"NA")</f>
        <v>0</v>
      </c>
      <c r="S258" s="77" t="str">
        <f>IFERROR(VLOOKUP($H258,TEV[],3,FALSE),"NA")</f>
        <v>NA</v>
      </c>
      <c r="T258" s="79">
        <f>SUM(TbAlquiler[[#This Row],[GENERAL]:[ELEVADOR]])</f>
        <v>0</v>
      </c>
      <c r="U258" s="80">
        <f>IF(VLOOKUP(TbAlquiler[[#This Row],[ITEM]],TbPiezas[],5,FALSE)="NA",0,VLOOKUP(TbAlquiler[[#This Row],[ITEM]],TbPiezas[],5,FALSE))</f>
        <v>18.599999999999994</v>
      </c>
      <c r="V258" s="81">
        <f>+TbAlquiler[[#This Row],[TOTAL]]*TbAlquiler[[#This Row],[P.U. (1)]]</f>
        <v>0</v>
      </c>
      <c r="W258" s="82">
        <f>+VLOOKUP(TbAlquiler[[#This Row],[ITEM]],TbPiezas[],6,FALSE)</f>
        <v>553.12</v>
      </c>
      <c r="X258" s="83">
        <f>+TbAlquiler[[#This Row],[TOTAL]]*TbAlquiler[[#This Row],[P.U. (2)]]</f>
        <v>0</v>
      </c>
      <c r="Y258" s="82">
        <f>+VLOOKUP(TbAlquiler[[#This Row],[ITEM]],TbPiezas[],7,FALSE)</f>
        <v>27.656000000000002</v>
      </c>
      <c r="Z258" s="84">
        <f>+TbAlquiler[[#This Row],[TOTAL]]*TbAlquiler[[#This Row],[P.U. (3)]]</f>
        <v>0</v>
      </c>
    </row>
    <row r="259" spans="1:26" ht="15" customHeight="1" x14ac:dyDescent="0.3">
      <c r="A259" s="2"/>
      <c r="B259" s="85">
        <v>243</v>
      </c>
      <c r="C259" s="71" t="s">
        <v>487</v>
      </c>
      <c r="D259" s="72" t="s">
        <v>488</v>
      </c>
      <c r="E259" s="73"/>
      <c r="F259" s="74">
        <f>+VLOOKUP(C259,TbAlquiler[],13,FALSE)</f>
        <v>0</v>
      </c>
      <c r="G259" s="2"/>
      <c r="H259" s="75" t="str">
        <f t="shared" si="6"/>
        <v>AE.6900</v>
      </c>
      <c r="I259" s="59" t="str">
        <f t="shared" si="7"/>
        <v>ok</v>
      </c>
      <c r="J259" s="77">
        <f>IFERROR(VLOOKUP($H259,TG[],3,FALSE),"NA")</f>
        <v>0</v>
      </c>
      <c r="K259" s="77" t="str">
        <f>IFERROR(VLOOKUP($H259,TF[],3,FALSE),"NA")</f>
        <v>NA</v>
      </c>
      <c r="L259" s="77" t="str">
        <f>IFERROR(VLOOKUP($H259,TT[],3,FALSE),"NA")</f>
        <v>NA</v>
      </c>
      <c r="M259" s="77" t="str">
        <f>IFERROR(VLOOKUP($H259,TES[],3,FALSE),"NA")</f>
        <v>NA</v>
      </c>
      <c r="N259" s="77" t="str">
        <f>IFERROR(VLOOKUP($H259,TEC[],3,FALSE),"NA")</f>
        <v>NA</v>
      </c>
      <c r="O259" s="77" t="str">
        <f>IFERROR(VLOOKUP($H259,TP[],3,FALSE),"NA")</f>
        <v>NA</v>
      </c>
      <c r="P259" s="77" t="str">
        <f>IFERROR(VLOOKUP($H259,TEN[],3,FALSE),"NA")</f>
        <v>NA</v>
      </c>
      <c r="Q259" s="77" t="str">
        <f>IFERROR(VLOOKUP($H259,TD[],3,FALSE),"NA")</f>
        <v>NA</v>
      </c>
      <c r="R259" s="77">
        <f>IFERROR(VLOOKUP($H259,TC[],3,FALSE),"NA")</f>
        <v>0</v>
      </c>
      <c r="S259" s="77" t="str">
        <f>IFERROR(VLOOKUP($H259,TEV[],3,FALSE),"NA")</f>
        <v>NA</v>
      </c>
      <c r="T259" s="79">
        <f>SUM(TbAlquiler[[#This Row],[GENERAL]:[ELEVADOR]])</f>
        <v>0</v>
      </c>
      <c r="U259" s="80">
        <f>IF(VLOOKUP(TbAlquiler[[#This Row],[ITEM]],TbPiezas[],5,FALSE)="NA",0,VLOOKUP(TbAlquiler[[#This Row],[ITEM]],TbPiezas[],5,FALSE))</f>
        <v>23.400000000000006</v>
      </c>
      <c r="V259" s="81">
        <f>+TbAlquiler[[#This Row],[TOTAL]]*TbAlquiler[[#This Row],[P.U. (1)]]</f>
        <v>0</v>
      </c>
      <c r="W259" s="82">
        <f>+VLOOKUP(TbAlquiler[[#This Row],[ITEM]],TbPiezas[],6,FALSE)</f>
        <v>553.12</v>
      </c>
      <c r="X259" s="83">
        <f>+TbAlquiler[[#This Row],[TOTAL]]*TbAlquiler[[#This Row],[P.U. (2)]]</f>
        <v>0</v>
      </c>
      <c r="Y259" s="82">
        <f>+VLOOKUP(TbAlquiler[[#This Row],[ITEM]],TbPiezas[],7,FALSE)</f>
        <v>27.656000000000002</v>
      </c>
      <c r="Z259" s="84">
        <f>+TbAlquiler[[#This Row],[TOTAL]]*TbAlquiler[[#This Row],[P.U. (3)]]</f>
        <v>0</v>
      </c>
    </row>
    <row r="260" spans="1:26" ht="15" customHeight="1" x14ac:dyDescent="0.3">
      <c r="A260" s="2"/>
      <c r="B260" s="85">
        <v>244</v>
      </c>
      <c r="C260" s="71" t="s">
        <v>489</v>
      </c>
      <c r="D260" s="72" t="s">
        <v>490</v>
      </c>
      <c r="E260" s="73"/>
      <c r="F260" s="74">
        <f>+VLOOKUP(C260,TbAlquiler[],13,FALSE)</f>
        <v>0</v>
      </c>
      <c r="G260" s="2"/>
      <c r="H260" s="75" t="str">
        <f t="shared" si="6"/>
        <v>AE.7000</v>
      </c>
      <c r="I260" s="59" t="str">
        <f t="shared" si="7"/>
        <v>ok</v>
      </c>
      <c r="J260" s="77">
        <f>IFERROR(VLOOKUP($H260,TG[],3,FALSE),"NA")</f>
        <v>0</v>
      </c>
      <c r="K260" s="77" t="str">
        <f>IFERROR(VLOOKUP($H260,TF[],3,FALSE),"NA")</f>
        <v>NA</v>
      </c>
      <c r="L260" s="77" t="str">
        <f>IFERROR(VLOOKUP($H260,TT[],3,FALSE),"NA")</f>
        <v>NA</v>
      </c>
      <c r="M260" s="77" t="str">
        <f>IFERROR(VLOOKUP($H260,TES[],3,FALSE),"NA")</f>
        <v>NA</v>
      </c>
      <c r="N260" s="77" t="str">
        <f>IFERROR(VLOOKUP($H260,TEC[],3,FALSE),"NA")</f>
        <v>NA</v>
      </c>
      <c r="O260" s="77" t="str">
        <f>IFERROR(VLOOKUP($H260,TP[],3,FALSE),"NA")</f>
        <v>NA</v>
      </c>
      <c r="P260" s="77" t="str">
        <f>IFERROR(VLOOKUP($H260,TEN[],3,FALSE),"NA")</f>
        <v>NA</v>
      </c>
      <c r="Q260" s="77" t="str">
        <f>IFERROR(VLOOKUP($H260,TD[],3,FALSE),"NA")</f>
        <v>NA</v>
      </c>
      <c r="R260" s="77">
        <f>IFERROR(VLOOKUP($H260,TC[],3,FALSE),"NA")</f>
        <v>0</v>
      </c>
      <c r="S260" s="77" t="str">
        <f>IFERROR(VLOOKUP($H260,TEV[],3,FALSE),"NA")</f>
        <v>NA</v>
      </c>
      <c r="T260" s="79">
        <f>SUM(TbAlquiler[[#This Row],[GENERAL]:[ELEVADOR]])</f>
        <v>0</v>
      </c>
      <c r="U260" s="80">
        <f>IF(VLOOKUP(TbAlquiler[[#This Row],[ITEM]],TbPiezas[],5,FALSE)="NA",0,VLOOKUP(TbAlquiler[[#This Row],[ITEM]],TbPiezas[],5,FALSE))</f>
        <v>20.099999999999994</v>
      </c>
      <c r="V260" s="81">
        <f>+TbAlquiler[[#This Row],[TOTAL]]*TbAlquiler[[#This Row],[P.U. (1)]]</f>
        <v>0</v>
      </c>
      <c r="W260" s="82">
        <f>+VLOOKUP(TbAlquiler[[#This Row],[ITEM]],TbPiezas[],6,FALSE)</f>
        <v>553.12</v>
      </c>
      <c r="X260" s="83">
        <f>+TbAlquiler[[#This Row],[TOTAL]]*TbAlquiler[[#This Row],[P.U. (2)]]</f>
        <v>0</v>
      </c>
      <c r="Y260" s="82">
        <f>+VLOOKUP(TbAlquiler[[#This Row],[ITEM]],TbPiezas[],7,FALSE)</f>
        <v>27.656000000000002</v>
      </c>
      <c r="Z260" s="84">
        <f>+TbAlquiler[[#This Row],[TOTAL]]*TbAlquiler[[#This Row],[P.U. (3)]]</f>
        <v>0</v>
      </c>
    </row>
    <row r="261" spans="1:26" ht="15" customHeight="1" x14ac:dyDescent="0.3">
      <c r="A261" s="2"/>
      <c r="B261" s="85">
        <v>245</v>
      </c>
      <c r="C261" s="71" t="s">
        <v>491</v>
      </c>
      <c r="D261" s="72" t="s">
        <v>492</v>
      </c>
      <c r="E261" s="73"/>
      <c r="F261" s="74">
        <f>+VLOOKUP(C261,TbAlquiler[],13,FALSE)</f>
        <v>0</v>
      </c>
      <c r="G261" s="2"/>
      <c r="H261" s="75" t="str">
        <f t="shared" si="6"/>
        <v>AE.7100</v>
      </c>
      <c r="I261" s="59" t="str">
        <f t="shared" si="7"/>
        <v>ok</v>
      </c>
      <c r="J261" s="77">
        <f>IFERROR(VLOOKUP($H261,TG[],3,FALSE),"NA")</f>
        <v>0</v>
      </c>
      <c r="K261" s="77" t="str">
        <f>IFERROR(VLOOKUP($H261,TF[],3,FALSE),"NA")</f>
        <v>NA</v>
      </c>
      <c r="L261" s="77" t="str">
        <f>IFERROR(VLOOKUP($H261,TT[],3,FALSE),"NA")</f>
        <v>NA</v>
      </c>
      <c r="M261" s="77" t="str">
        <f>IFERROR(VLOOKUP($H261,TES[],3,FALSE),"NA")</f>
        <v>NA</v>
      </c>
      <c r="N261" s="77" t="str">
        <f>IFERROR(VLOOKUP($H261,TEC[],3,FALSE),"NA")</f>
        <v>NA</v>
      </c>
      <c r="O261" s="77" t="str">
        <f>IFERROR(VLOOKUP($H261,TP[],3,FALSE),"NA")</f>
        <v>NA</v>
      </c>
      <c r="P261" s="77" t="str">
        <f>IFERROR(VLOOKUP($H261,TEN[],3,FALSE),"NA")</f>
        <v>NA</v>
      </c>
      <c r="Q261" s="77" t="str">
        <f>IFERROR(VLOOKUP($H261,TD[],3,FALSE),"NA")</f>
        <v>NA</v>
      </c>
      <c r="R261" s="77">
        <f>IFERROR(VLOOKUP($H261,TC[],3,FALSE),"NA")</f>
        <v>0</v>
      </c>
      <c r="S261" s="77" t="str">
        <f>IFERROR(VLOOKUP($H261,TEV[],3,FALSE),"NA")</f>
        <v>NA</v>
      </c>
      <c r="T261" s="79">
        <f>SUM(TbAlquiler[[#This Row],[GENERAL]:[ELEVADOR]])</f>
        <v>0</v>
      </c>
      <c r="U261" s="80">
        <f>IF(VLOOKUP(TbAlquiler[[#This Row],[ITEM]],TbPiezas[],5,FALSE)="NA",0,VLOOKUP(TbAlquiler[[#This Row],[ITEM]],TbPiezas[],5,FALSE))</f>
        <v>15.400000000000006</v>
      </c>
      <c r="V261" s="81">
        <f>+TbAlquiler[[#This Row],[TOTAL]]*TbAlquiler[[#This Row],[P.U. (1)]]</f>
        <v>0</v>
      </c>
      <c r="W261" s="82">
        <f>+VLOOKUP(TbAlquiler[[#This Row],[ITEM]],TbPiezas[],6,FALSE)</f>
        <v>553.12</v>
      </c>
      <c r="X261" s="83">
        <f>+TbAlquiler[[#This Row],[TOTAL]]*TbAlquiler[[#This Row],[P.U. (2)]]</f>
        <v>0</v>
      </c>
      <c r="Y261" s="82">
        <f>+VLOOKUP(TbAlquiler[[#This Row],[ITEM]],TbPiezas[],7,FALSE)</f>
        <v>27.656000000000002</v>
      </c>
      <c r="Z261" s="84">
        <f>+TbAlquiler[[#This Row],[TOTAL]]*TbAlquiler[[#This Row],[P.U. (3)]]</f>
        <v>0</v>
      </c>
    </row>
    <row r="262" spans="1:26" ht="15" customHeight="1" x14ac:dyDescent="0.3">
      <c r="A262" s="2"/>
      <c r="B262" s="85">
        <v>246</v>
      </c>
      <c r="C262" s="71" t="s">
        <v>493</v>
      </c>
      <c r="D262" s="72" t="s">
        <v>494</v>
      </c>
      <c r="E262" s="73"/>
      <c r="F262" s="74">
        <f>+VLOOKUP(C262,TbAlquiler[],13,FALSE)</f>
        <v>0</v>
      </c>
      <c r="G262" s="2"/>
      <c r="H262" s="75" t="str">
        <f t="shared" si="6"/>
        <v>AE.7200</v>
      </c>
      <c r="I262" s="59" t="str">
        <f t="shared" si="7"/>
        <v>ok</v>
      </c>
      <c r="J262" s="77">
        <f>IFERROR(VLOOKUP($H262,TG[],3,FALSE),"NA")</f>
        <v>0</v>
      </c>
      <c r="K262" s="77" t="str">
        <f>IFERROR(VLOOKUP($H262,TF[],3,FALSE),"NA")</f>
        <v>NA</v>
      </c>
      <c r="L262" s="77" t="str">
        <f>IFERROR(VLOOKUP($H262,TT[],3,FALSE),"NA")</f>
        <v>NA</v>
      </c>
      <c r="M262" s="77" t="str">
        <f>IFERROR(VLOOKUP($H262,TES[],3,FALSE),"NA")</f>
        <v>NA</v>
      </c>
      <c r="N262" s="77" t="str">
        <f>IFERROR(VLOOKUP($H262,TEC[],3,FALSE),"NA")</f>
        <v>NA</v>
      </c>
      <c r="O262" s="77" t="str">
        <f>IFERROR(VLOOKUP($H262,TP[],3,FALSE),"NA")</f>
        <v>NA</v>
      </c>
      <c r="P262" s="77" t="str">
        <f>IFERROR(VLOOKUP($H262,TEN[],3,FALSE),"NA")</f>
        <v>NA</v>
      </c>
      <c r="Q262" s="77" t="str">
        <f>IFERROR(VLOOKUP($H262,TD[],3,FALSE),"NA")</f>
        <v>NA</v>
      </c>
      <c r="R262" s="77">
        <f>IFERROR(VLOOKUP($H262,TC[],3,FALSE),"NA")</f>
        <v>0</v>
      </c>
      <c r="S262" s="77" t="str">
        <f>IFERROR(VLOOKUP($H262,TEV[],3,FALSE),"NA")</f>
        <v>NA</v>
      </c>
      <c r="T262" s="79">
        <f>SUM(TbAlquiler[[#This Row],[GENERAL]:[ELEVADOR]])</f>
        <v>0</v>
      </c>
      <c r="U262" s="80">
        <f>IF(VLOOKUP(TbAlquiler[[#This Row],[ITEM]],TbPiezas[],5,FALSE)="NA",0,VLOOKUP(TbAlquiler[[#This Row],[ITEM]],TbPiezas[],5,FALSE))</f>
        <v>25.899999999999991</v>
      </c>
      <c r="V262" s="81">
        <f>+TbAlquiler[[#This Row],[TOTAL]]*TbAlquiler[[#This Row],[P.U. (1)]]</f>
        <v>0</v>
      </c>
      <c r="W262" s="82">
        <f>+VLOOKUP(TbAlquiler[[#This Row],[ITEM]],TbPiezas[],6,FALSE)</f>
        <v>1605.09</v>
      </c>
      <c r="X262" s="83">
        <f>+TbAlquiler[[#This Row],[TOTAL]]*TbAlquiler[[#This Row],[P.U. (2)]]</f>
        <v>0</v>
      </c>
      <c r="Y262" s="82">
        <f>+VLOOKUP(TbAlquiler[[#This Row],[ITEM]],TbPiezas[],7,FALSE)</f>
        <v>80.254500000000007</v>
      </c>
      <c r="Z262" s="84">
        <f>+TbAlquiler[[#This Row],[TOTAL]]*TbAlquiler[[#This Row],[P.U. (3)]]</f>
        <v>0</v>
      </c>
    </row>
    <row r="263" spans="1:26" ht="15" customHeight="1" x14ac:dyDescent="0.3">
      <c r="A263" s="2"/>
      <c r="B263" s="85">
        <v>247</v>
      </c>
      <c r="C263" s="71" t="s">
        <v>495</v>
      </c>
      <c r="D263" s="72" t="s">
        <v>496</v>
      </c>
      <c r="E263" s="73"/>
      <c r="F263" s="74">
        <f>+VLOOKUP(C263,TbAlquiler[],13,FALSE)</f>
        <v>0</v>
      </c>
      <c r="G263" s="2"/>
      <c r="H263" s="75" t="str">
        <f t="shared" si="6"/>
        <v>AE.7300</v>
      </c>
      <c r="I263" s="59" t="str">
        <f t="shared" si="7"/>
        <v>ok</v>
      </c>
      <c r="J263" s="77">
        <f>IFERROR(VLOOKUP($H263,TG[],3,FALSE),"NA")</f>
        <v>0</v>
      </c>
      <c r="K263" s="77" t="str">
        <f>IFERROR(VLOOKUP($H263,TF[],3,FALSE),"NA")</f>
        <v>NA</v>
      </c>
      <c r="L263" s="77" t="str">
        <f>IFERROR(VLOOKUP($H263,TT[],3,FALSE),"NA")</f>
        <v>NA</v>
      </c>
      <c r="M263" s="77" t="str">
        <f>IFERROR(VLOOKUP($H263,TES[],3,FALSE),"NA")</f>
        <v>NA</v>
      </c>
      <c r="N263" s="77" t="str">
        <f>IFERROR(VLOOKUP($H263,TEC[],3,FALSE),"NA")</f>
        <v>NA</v>
      </c>
      <c r="O263" s="77" t="str">
        <f>IFERROR(VLOOKUP($H263,TP[],3,FALSE),"NA")</f>
        <v>NA</v>
      </c>
      <c r="P263" s="77" t="str">
        <f>IFERROR(VLOOKUP($H263,TEN[],3,FALSE),"NA")</f>
        <v>NA</v>
      </c>
      <c r="Q263" s="77" t="str">
        <f>IFERROR(VLOOKUP($H263,TD[],3,FALSE),"NA")</f>
        <v>NA</v>
      </c>
      <c r="R263" s="77">
        <f>IFERROR(VLOOKUP($H263,TC[],3,FALSE),"NA")</f>
        <v>0</v>
      </c>
      <c r="S263" s="77" t="str">
        <f>IFERROR(VLOOKUP($H263,TEV[],3,FALSE),"NA")</f>
        <v>NA</v>
      </c>
      <c r="T263" s="79">
        <f>SUM(TbAlquiler[[#This Row],[GENERAL]:[ELEVADOR]])</f>
        <v>0</v>
      </c>
      <c r="U263" s="80">
        <f>IF(VLOOKUP(TbAlquiler[[#This Row],[ITEM]],TbPiezas[],5,FALSE)="NA",0,VLOOKUP(TbAlquiler[[#This Row],[ITEM]],TbPiezas[],5,FALSE))</f>
        <v>20.700000000000003</v>
      </c>
      <c r="V263" s="81">
        <f>+TbAlquiler[[#This Row],[TOTAL]]*TbAlquiler[[#This Row],[P.U. (1)]]</f>
        <v>0</v>
      </c>
      <c r="W263" s="82">
        <f>+VLOOKUP(TbAlquiler[[#This Row],[ITEM]],TbPiezas[],6,FALSE)</f>
        <v>1284.07</v>
      </c>
      <c r="X263" s="83">
        <f>+TbAlquiler[[#This Row],[TOTAL]]*TbAlquiler[[#This Row],[P.U. (2)]]</f>
        <v>0</v>
      </c>
      <c r="Y263" s="82">
        <f>+VLOOKUP(TbAlquiler[[#This Row],[ITEM]],TbPiezas[],7,FALSE)</f>
        <v>64.203500000000005</v>
      </c>
      <c r="Z263" s="84">
        <f>+TbAlquiler[[#This Row],[TOTAL]]*TbAlquiler[[#This Row],[P.U. (3)]]</f>
        <v>0</v>
      </c>
    </row>
    <row r="264" spans="1:26" ht="15" customHeight="1" x14ac:dyDescent="0.3">
      <c r="A264" s="2"/>
      <c r="B264" s="85">
        <v>248</v>
      </c>
      <c r="C264" s="71" t="s">
        <v>497</v>
      </c>
      <c r="D264" s="72" t="s">
        <v>498</v>
      </c>
      <c r="E264" s="73"/>
      <c r="F264" s="74">
        <f>+VLOOKUP(C264,TbAlquiler[],13,FALSE)</f>
        <v>0</v>
      </c>
      <c r="G264" s="2"/>
      <c r="H264" s="75" t="str">
        <f t="shared" si="6"/>
        <v>AE.7400</v>
      </c>
      <c r="I264" s="59" t="str">
        <f t="shared" si="7"/>
        <v>ok</v>
      </c>
      <c r="J264" s="77">
        <f>IFERROR(VLOOKUP($H264,TG[],3,FALSE),"NA")</f>
        <v>0</v>
      </c>
      <c r="K264" s="77" t="str">
        <f>IFERROR(VLOOKUP($H264,TF[],3,FALSE),"NA")</f>
        <v>NA</v>
      </c>
      <c r="L264" s="77" t="str">
        <f>IFERROR(VLOOKUP($H264,TT[],3,FALSE),"NA")</f>
        <v>NA</v>
      </c>
      <c r="M264" s="77" t="str">
        <f>IFERROR(VLOOKUP($H264,TES[],3,FALSE),"NA")</f>
        <v>NA</v>
      </c>
      <c r="N264" s="77" t="str">
        <f>IFERROR(VLOOKUP($H264,TEC[],3,FALSE),"NA")</f>
        <v>NA</v>
      </c>
      <c r="O264" s="77" t="str">
        <f>IFERROR(VLOOKUP($H264,TP[],3,FALSE),"NA")</f>
        <v>NA</v>
      </c>
      <c r="P264" s="77" t="str">
        <f>IFERROR(VLOOKUP($H264,TEN[],3,FALSE),"NA")</f>
        <v>NA</v>
      </c>
      <c r="Q264" s="77" t="str">
        <f>IFERROR(VLOOKUP($H264,TD[],3,FALSE),"NA")</f>
        <v>NA</v>
      </c>
      <c r="R264" s="77">
        <f>IFERROR(VLOOKUP($H264,TC[],3,FALSE),"NA")</f>
        <v>0</v>
      </c>
      <c r="S264" s="77" t="str">
        <f>IFERROR(VLOOKUP($H264,TEV[],3,FALSE),"NA")</f>
        <v>NA</v>
      </c>
      <c r="T264" s="79">
        <f>SUM(TbAlquiler[[#This Row],[GENERAL]:[ELEVADOR]])</f>
        <v>0</v>
      </c>
      <c r="U264" s="80">
        <f>IF(VLOOKUP(TbAlquiler[[#This Row],[ITEM]],TbPiezas[],5,FALSE)="NA",0,VLOOKUP(TbAlquiler[[#This Row],[ITEM]],TbPiezas[],5,FALSE))</f>
        <v>18.100000000000009</v>
      </c>
      <c r="V264" s="81">
        <f>+TbAlquiler[[#This Row],[TOTAL]]*TbAlquiler[[#This Row],[P.U. (1)]]</f>
        <v>0</v>
      </c>
      <c r="W264" s="82">
        <f>+VLOOKUP(TbAlquiler[[#This Row],[ITEM]],TbPiezas[],6,FALSE)</f>
        <v>1123.56</v>
      </c>
      <c r="X264" s="83">
        <f>+TbAlquiler[[#This Row],[TOTAL]]*TbAlquiler[[#This Row],[P.U. (2)]]</f>
        <v>0</v>
      </c>
      <c r="Y264" s="82">
        <f>+VLOOKUP(TbAlquiler[[#This Row],[ITEM]],TbPiezas[],7,FALSE)</f>
        <v>56.177999999999997</v>
      </c>
      <c r="Z264" s="84">
        <f>+TbAlquiler[[#This Row],[TOTAL]]*TbAlquiler[[#This Row],[P.U. (3)]]</f>
        <v>0</v>
      </c>
    </row>
    <row r="265" spans="1:26" ht="15" customHeight="1" x14ac:dyDescent="0.3">
      <c r="A265" s="2"/>
      <c r="B265" s="85">
        <v>249</v>
      </c>
      <c r="C265" s="71" t="s">
        <v>499</v>
      </c>
      <c r="D265" s="72" t="s">
        <v>500</v>
      </c>
      <c r="E265" s="73"/>
      <c r="F265" s="74">
        <f>+VLOOKUP(C265,TbAlquiler[],13,FALSE)</f>
        <v>0</v>
      </c>
      <c r="G265" s="2"/>
      <c r="H265" s="75" t="str">
        <f t="shared" si="6"/>
        <v>AE.7450</v>
      </c>
      <c r="I265" s="59" t="str">
        <f t="shared" si="7"/>
        <v>ok</v>
      </c>
      <c r="J265" s="77">
        <f>IFERROR(VLOOKUP($H265,TG[],3,FALSE),"NA")</f>
        <v>0</v>
      </c>
      <c r="K265" s="77" t="str">
        <f>IFERROR(VLOOKUP($H265,TF[],3,FALSE),"NA")</f>
        <v>NA</v>
      </c>
      <c r="L265" s="77" t="str">
        <f>IFERROR(VLOOKUP($H265,TT[],3,FALSE),"NA")</f>
        <v>NA</v>
      </c>
      <c r="M265" s="77" t="str">
        <f>IFERROR(VLOOKUP($H265,TES[],3,FALSE),"NA")</f>
        <v>NA</v>
      </c>
      <c r="N265" s="77" t="str">
        <f>IFERROR(VLOOKUP($H265,TEC[],3,FALSE),"NA")</f>
        <v>NA</v>
      </c>
      <c r="O265" s="77" t="str">
        <f>IFERROR(VLOOKUP($H265,TP[],3,FALSE),"NA")</f>
        <v>NA</v>
      </c>
      <c r="P265" s="77" t="str">
        <f>IFERROR(VLOOKUP($H265,TEN[],3,FALSE),"NA")</f>
        <v>NA</v>
      </c>
      <c r="Q265" s="77" t="str">
        <f>IFERROR(VLOOKUP($H265,TD[],3,FALSE),"NA")</f>
        <v>NA</v>
      </c>
      <c r="R265" s="77">
        <f>IFERROR(VLOOKUP($H265,TC[],3,FALSE),"NA")</f>
        <v>0</v>
      </c>
      <c r="S265" s="77" t="str">
        <f>IFERROR(VLOOKUP($H265,TEV[],3,FALSE),"NA")</f>
        <v>NA</v>
      </c>
      <c r="T265" s="79">
        <f>SUM(TbAlquiler[[#This Row],[GENERAL]:[ELEVADOR]])</f>
        <v>0</v>
      </c>
      <c r="U265" s="80">
        <f>IF(VLOOKUP(TbAlquiler[[#This Row],[ITEM]],TbPiezas[],5,FALSE)="NA",0,VLOOKUP(TbAlquiler[[#This Row],[ITEM]],TbPiezas[],5,FALSE))</f>
        <v>10.350000000000001</v>
      </c>
      <c r="V265" s="81">
        <f>+TbAlquiler[[#This Row],[TOTAL]]*TbAlquiler[[#This Row],[P.U. (1)]]</f>
        <v>0</v>
      </c>
      <c r="W265" s="82">
        <f>+VLOOKUP(TbAlquiler[[#This Row],[ITEM]],TbPiezas[],6,FALSE)</f>
        <v>813.44</v>
      </c>
      <c r="X265" s="83">
        <f>+TbAlquiler[[#This Row],[TOTAL]]*TbAlquiler[[#This Row],[P.U. (2)]]</f>
        <v>0</v>
      </c>
      <c r="Y265" s="82">
        <f>+VLOOKUP(TbAlquiler[[#This Row],[ITEM]],TbPiezas[],7,FALSE)</f>
        <v>40.672000000000004</v>
      </c>
      <c r="Z265" s="84">
        <f>+TbAlquiler[[#This Row],[TOTAL]]*TbAlquiler[[#This Row],[P.U. (3)]]</f>
        <v>0</v>
      </c>
    </row>
    <row r="266" spans="1:26" ht="15" customHeight="1" x14ac:dyDescent="0.3">
      <c r="A266" s="2"/>
      <c r="B266" s="85">
        <v>250</v>
      </c>
      <c r="C266" s="71" t="s">
        <v>501</v>
      </c>
      <c r="D266" s="72" t="s">
        <v>502</v>
      </c>
      <c r="E266" s="73"/>
      <c r="F266" s="74">
        <f>+VLOOKUP(C266,TbAlquiler[],13,FALSE)</f>
        <v>0</v>
      </c>
      <c r="G266" s="2"/>
      <c r="H266" s="75" t="str">
        <f t="shared" si="6"/>
        <v>AE.7500</v>
      </c>
      <c r="I266" s="59" t="str">
        <f t="shared" si="7"/>
        <v>ok</v>
      </c>
      <c r="J266" s="77">
        <f>IFERROR(VLOOKUP($H266,TG[],3,FALSE),"NA")</f>
        <v>0</v>
      </c>
      <c r="K266" s="77" t="str">
        <f>IFERROR(VLOOKUP($H266,TF[],3,FALSE),"NA")</f>
        <v>NA</v>
      </c>
      <c r="L266" s="77" t="str">
        <f>IFERROR(VLOOKUP($H266,TT[],3,FALSE),"NA")</f>
        <v>NA</v>
      </c>
      <c r="M266" s="77" t="str">
        <f>IFERROR(VLOOKUP($H266,TES[],3,FALSE),"NA")</f>
        <v>NA</v>
      </c>
      <c r="N266" s="77" t="str">
        <f>IFERROR(VLOOKUP($H266,TEC[],3,FALSE),"NA")</f>
        <v>NA</v>
      </c>
      <c r="O266" s="77" t="str">
        <f>IFERROR(VLOOKUP($H266,TP[],3,FALSE),"NA")</f>
        <v>NA</v>
      </c>
      <c r="P266" s="77" t="str">
        <f>IFERROR(VLOOKUP($H266,TEN[],3,FALSE),"NA")</f>
        <v>NA</v>
      </c>
      <c r="Q266" s="77" t="str">
        <f>IFERROR(VLOOKUP($H266,TD[],3,FALSE),"NA")</f>
        <v>NA</v>
      </c>
      <c r="R266" s="77">
        <f>IFERROR(VLOOKUP($H266,TC[],3,FALSE),"NA")</f>
        <v>0</v>
      </c>
      <c r="S266" s="77" t="str">
        <f>IFERROR(VLOOKUP($H266,TEV[],3,FALSE),"NA")</f>
        <v>NA</v>
      </c>
      <c r="T266" s="79">
        <f>SUM(TbAlquiler[[#This Row],[GENERAL]:[ELEVADOR]])</f>
        <v>0</v>
      </c>
      <c r="U266" s="80">
        <f>IF(VLOOKUP(TbAlquiler[[#This Row],[ITEM]],TbPiezas[],5,FALSE)="NA",0,VLOOKUP(TbAlquiler[[#This Row],[ITEM]],TbPiezas[],5,FALSE))</f>
        <v>0.20000000000000284</v>
      </c>
      <c r="V266" s="81">
        <f>+TbAlquiler[[#This Row],[TOTAL]]*TbAlquiler[[#This Row],[P.U. (1)]]</f>
        <v>0</v>
      </c>
      <c r="W266" s="82">
        <f>+VLOOKUP(TbAlquiler[[#This Row],[ITEM]],TbPiezas[],6,FALSE)</f>
        <v>88.94</v>
      </c>
      <c r="X266" s="83">
        <f>+TbAlquiler[[#This Row],[TOTAL]]*TbAlquiler[[#This Row],[P.U. (2)]]</f>
        <v>0</v>
      </c>
      <c r="Y266" s="82">
        <f>+VLOOKUP(TbAlquiler[[#This Row],[ITEM]],TbPiezas[],7,FALSE)</f>
        <v>4.4470000000000001</v>
      </c>
      <c r="Z266" s="84">
        <f>+TbAlquiler[[#This Row],[TOTAL]]*TbAlquiler[[#This Row],[P.U. (3)]]</f>
        <v>0</v>
      </c>
    </row>
    <row r="267" spans="1:26" ht="15" customHeight="1" x14ac:dyDescent="0.3">
      <c r="A267" s="2"/>
      <c r="B267" s="85">
        <v>251</v>
      </c>
      <c r="C267" s="71" t="s">
        <v>503</v>
      </c>
      <c r="D267" s="72" t="s">
        <v>504</v>
      </c>
      <c r="E267" s="73"/>
      <c r="F267" s="74">
        <f>+VLOOKUP(C267,TbAlquiler[],13,FALSE)</f>
        <v>0</v>
      </c>
      <c r="G267" s="2"/>
      <c r="H267" s="75" t="str">
        <f t="shared" si="6"/>
        <v>AE.7600</v>
      </c>
      <c r="I267" s="59" t="str">
        <f t="shared" si="7"/>
        <v>ok</v>
      </c>
      <c r="J267" s="77">
        <f>IFERROR(VLOOKUP($H267,TG[],3,FALSE),"NA")</f>
        <v>0</v>
      </c>
      <c r="K267" s="77" t="str">
        <f>IFERROR(VLOOKUP($H267,TF[],3,FALSE),"NA")</f>
        <v>NA</v>
      </c>
      <c r="L267" s="77" t="str">
        <f>IFERROR(VLOOKUP($H267,TT[],3,FALSE),"NA")</f>
        <v>NA</v>
      </c>
      <c r="M267" s="77" t="str">
        <f>IFERROR(VLOOKUP($H267,TES[],3,FALSE),"NA")</f>
        <v>NA</v>
      </c>
      <c r="N267" s="77" t="str">
        <f>IFERROR(VLOOKUP($H267,TEC[],3,FALSE),"NA")</f>
        <v>NA</v>
      </c>
      <c r="O267" s="77" t="str">
        <f>IFERROR(VLOOKUP($H267,TP[],3,FALSE),"NA")</f>
        <v>NA</v>
      </c>
      <c r="P267" s="77" t="str">
        <f>IFERROR(VLOOKUP($H267,TEN[],3,FALSE),"NA")</f>
        <v>NA</v>
      </c>
      <c r="Q267" s="77" t="str">
        <f>IFERROR(VLOOKUP($H267,TD[],3,FALSE),"NA")</f>
        <v>NA</v>
      </c>
      <c r="R267" s="77">
        <f>IFERROR(VLOOKUP($H267,TC[],3,FALSE),"NA")</f>
        <v>0</v>
      </c>
      <c r="S267" s="77" t="str">
        <f>IFERROR(VLOOKUP($H267,TEV[],3,FALSE),"NA")</f>
        <v>NA</v>
      </c>
      <c r="T267" s="79">
        <f>SUM(TbAlquiler[[#This Row],[GENERAL]:[ELEVADOR]])</f>
        <v>0</v>
      </c>
      <c r="U267" s="80">
        <f>IF(VLOOKUP(TbAlquiler[[#This Row],[ITEM]],TbPiezas[],5,FALSE)="NA",0,VLOOKUP(TbAlquiler[[#This Row],[ITEM]],TbPiezas[],5,FALSE))</f>
        <v>0.20000000000000284</v>
      </c>
      <c r="V267" s="81">
        <f>+TbAlquiler[[#This Row],[TOTAL]]*TbAlquiler[[#This Row],[P.U. (1)]]</f>
        <v>0</v>
      </c>
      <c r="W267" s="82">
        <f>+VLOOKUP(TbAlquiler[[#This Row],[ITEM]],TbPiezas[],6,FALSE)</f>
        <v>88.94</v>
      </c>
      <c r="X267" s="83">
        <f>+TbAlquiler[[#This Row],[TOTAL]]*TbAlquiler[[#This Row],[P.U. (2)]]</f>
        <v>0</v>
      </c>
      <c r="Y267" s="82">
        <f>+VLOOKUP(TbAlquiler[[#This Row],[ITEM]],TbPiezas[],7,FALSE)</f>
        <v>4.4470000000000001</v>
      </c>
      <c r="Z267" s="84">
        <f>+TbAlquiler[[#This Row],[TOTAL]]*TbAlquiler[[#This Row],[P.U. (3)]]</f>
        <v>0</v>
      </c>
    </row>
    <row r="268" spans="1:26" ht="15" customHeight="1" x14ac:dyDescent="0.3">
      <c r="A268" s="2"/>
      <c r="B268" s="85">
        <v>252</v>
      </c>
      <c r="C268" s="71" t="s">
        <v>505</v>
      </c>
      <c r="D268" s="72" t="s">
        <v>506</v>
      </c>
      <c r="E268" s="73"/>
      <c r="F268" s="74">
        <f>+VLOOKUP(C268,TbAlquiler[],13,FALSE)</f>
        <v>0</v>
      </c>
      <c r="G268" s="2"/>
      <c r="H268" s="75" t="str">
        <f t="shared" si="6"/>
        <v>AE.7700</v>
      </c>
      <c r="I268" s="59" t="str">
        <f t="shared" si="7"/>
        <v>ok</v>
      </c>
      <c r="J268" s="77">
        <f>IFERROR(VLOOKUP($H268,TG[],3,FALSE),"NA")</f>
        <v>0</v>
      </c>
      <c r="K268" s="77" t="str">
        <f>IFERROR(VLOOKUP($H268,TF[],3,FALSE),"NA")</f>
        <v>NA</v>
      </c>
      <c r="L268" s="77" t="str">
        <f>IFERROR(VLOOKUP($H268,TT[],3,FALSE),"NA")</f>
        <v>NA</v>
      </c>
      <c r="M268" s="77" t="str">
        <f>IFERROR(VLOOKUP($H268,TES[],3,FALSE),"NA")</f>
        <v>NA</v>
      </c>
      <c r="N268" s="77" t="str">
        <f>IFERROR(VLOOKUP($H268,TEC[],3,FALSE),"NA")</f>
        <v>NA</v>
      </c>
      <c r="O268" s="77" t="str">
        <f>IFERROR(VLOOKUP($H268,TP[],3,FALSE),"NA")</f>
        <v>NA</v>
      </c>
      <c r="P268" s="77" t="str">
        <f>IFERROR(VLOOKUP($H268,TEN[],3,FALSE),"NA")</f>
        <v>NA</v>
      </c>
      <c r="Q268" s="77" t="str">
        <f>IFERROR(VLOOKUP($H268,TD[],3,FALSE),"NA")</f>
        <v>NA</v>
      </c>
      <c r="R268" s="77">
        <f>IFERROR(VLOOKUP($H268,TC[],3,FALSE),"NA")</f>
        <v>0</v>
      </c>
      <c r="S268" s="77" t="str">
        <f>IFERROR(VLOOKUP($H268,TEV[],3,FALSE),"NA")</f>
        <v>NA</v>
      </c>
      <c r="T268" s="79">
        <f>SUM(TbAlquiler[[#This Row],[GENERAL]:[ELEVADOR]])</f>
        <v>0</v>
      </c>
      <c r="U268" s="80">
        <f>IF(VLOOKUP(TbAlquiler[[#This Row],[ITEM]],TbPiezas[],5,FALSE)="NA",0,VLOOKUP(TbAlquiler[[#This Row],[ITEM]],TbPiezas[],5,FALSE))</f>
        <v>0.5</v>
      </c>
      <c r="V268" s="81">
        <f>+TbAlquiler[[#This Row],[TOTAL]]*TbAlquiler[[#This Row],[P.U. (1)]]</f>
        <v>0</v>
      </c>
      <c r="W268" s="82">
        <f>+VLOOKUP(TbAlquiler[[#This Row],[ITEM]],TbPiezas[],6,FALSE)</f>
        <v>210.09</v>
      </c>
      <c r="X268" s="83">
        <f>+TbAlquiler[[#This Row],[TOTAL]]*TbAlquiler[[#This Row],[P.U. (2)]]</f>
        <v>0</v>
      </c>
      <c r="Y268" s="82">
        <f>+VLOOKUP(TbAlquiler[[#This Row],[ITEM]],TbPiezas[],7,FALSE)</f>
        <v>10.5045</v>
      </c>
      <c r="Z268" s="84">
        <f>+TbAlquiler[[#This Row],[TOTAL]]*TbAlquiler[[#This Row],[P.U. (3)]]</f>
        <v>0</v>
      </c>
    </row>
    <row r="269" spans="1:26" ht="15" customHeight="1" x14ac:dyDescent="0.3">
      <c r="A269" s="2"/>
      <c r="B269" s="85">
        <v>253</v>
      </c>
      <c r="C269" s="71" t="s">
        <v>507</v>
      </c>
      <c r="D269" s="72" t="s">
        <v>508</v>
      </c>
      <c r="E269" s="73"/>
      <c r="F269" s="74">
        <f>+VLOOKUP(C269,TbAlquiler[],13,FALSE)</f>
        <v>0</v>
      </c>
      <c r="G269" s="2"/>
      <c r="H269" s="75" t="str">
        <f t="shared" si="6"/>
        <v>AE.7800</v>
      </c>
      <c r="I269" s="59" t="str">
        <f t="shared" si="7"/>
        <v>ok</v>
      </c>
      <c r="J269" s="77">
        <f>IFERROR(VLOOKUP($H269,TG[],3,FALSE),"NA")</f>
        <v>0</v>
      </c>
      <c r="K269" s="77" t="str">
        <f>IFERROR(VLOOKUP($H269,TF[],3,FALSE),"NA")</f>
        <v>NA</v>
      </c>
      <c r="L269" s="77" t="str">
        <f>IFERROR(VLOOKUP($H269,TT[],3,FALSE),"NA")</f>
        <v>NA</v>
      </c>
      <c r="M269" s="77" t="str">
        <f>IFERROR(VLOOKUP($H269,TES[],3,FALSE),"NA")</f>
        <v>NA</v>
      </c>
      <c r="N269" s="77" t="str">
        <f>IFERROR(VLOOKUP($H269,TEC[],3,FALSE),"NA")</f>
        <v>NA</v>
      </c>
      <c r="O269" s="77" t="str">
        <f>IFERROR(VLOOKUP($H269,TP[],3,FALSE),"NA")</f>
        <v>NA</v>
      </c>
      <c r="P269" s="77" t="str">
        <f>IFERROR(VLOOKUP($H269,TEN[],3,FALSE),"NA")</f>
        <v>NA</v>
      </c>
      <c r="Q269" s="77" t="str">
        <f>IFERROR(VLOOKUP($H269,TD[],3,FALSE),"NA")</f>
        <v>NA</v>
      </c>
      <c r="R269" s="77">
        <f>IFERROR(VLOOKUP($H269,TC[],3,FALSE),"NA")</f>
        <v>0</v>
      </c>
      <c r="S269" s="77" t="str">
        <f>IFERROR(VLOOKUP($H269,TEV[],3,FALSE),"NA")</f>
        <v>NA</v>
      </c>
      <c r="T269" s="79">
        <f>SUM(TbAlquiler[[#This Row],[GENERAL]:[ELEVADOR]])</f>
        <v>0</v>
      </c>
      <c r="U269" s="80">
        <f>IF(VLOOKUP(TbAlquiler[[#This Row],[ITEM]],TbPiezas[],5,FALSE)="NA",0,VLOOKUP(TbAlquiler[[#This Row],[ITEM]],TbPiezas[],5,FALSE))</f>
        <v>0.5</v>
      </c>
      <c r="V269" s="81">
        <f>+TbAlquiler[[#This Row],[TOTAL]]*TbAlquiler[[#This Row],[P.U. (1)]]</f>
        <v>0</v>
      </c>
      <c r="W269" s="82">
        <f>+VLOOKUP(TbAlquiler[[#This Row],[ITEM]],TbPiezas[],6,FALSE)</f>
        <v>210.09</v>
      </c>
      <c r="X269" s="83">
        <f>+TbAlquiler[[#This Row],[TOTAL]]*TbAlquiler[[#This Row],[P.U. (2)]]</f>
        <v>0</v>
      </c>
      <c r="Y269" s="82">
        <f>+VLOOKUP(TbAlquiler[[#This Row],[ITEM]],TbPiezas[],7,FALSE)</f>
        <v>10.5045</v>
      </c>
      <c r="Z269" s="84">
        <f>+TbAlquiler[[#This Row],[TOTAL]]*TbAlquiler[[#This Row],[P.U. (3)]]</f>
        <v>0</v>
      </c>
    </row>
    <row r="270" spans="1:26" ht="15" customHeight="1" x14ac:dyDescent="0.3">
      <c r="A270" s="2"/>
      <c r="B270" s="85">
        <v>254</v>
      </c>
      <c r="C270" s="71" t="s">
        <v>509</v>
      </c>
      <c r="D270" s="72" t="s">
        <v>510</v>
      </c>
      <c r="E270" s="73"/>
      <c r="F270" s="74">
        <f>+VLOOKUP(C270,TbAlquiler[],13,FALSE)</f>
        <v>0</v>
      </c>
      <c r="G270" s="2"/>
      <c r="H270" s="75" t="str">
        <f t="shared" si="6"/>
        <v>AE.7900</v>
      </c>
      <c r="I270" s="59" t="str">
        <f t="shared" si="7"/>
        <v>ok</v>
      </c>
      <c r="J270" s="77">
        <f>IFERROR(VLOOKUP($H270,TG[],3,FALSE),"NA")</f>
        <v>0</v>
      </c>
      <c r="K270" s="77" t="str">
        <f>IFERROR(VLOOKUP($H270,TF[],3,FALSE),"NA")</f>
        <v>NA</v>
      </c>
      <c r="L270" s="77" t="str">
        <f>IFERROR(VLOOKUP($H270,TT[],3,FALSE),"NA")</f>
        <v>NA</v>
      </c>
      <c r="M270" s="77" t="str">
        <f>IFERROR(VLOOKUP($H270,TES[],3,FALSE),"NA")</f>
        <v>NA</v>
      </c>
      <c r="N270" s="77" t="str">
        <f>IFERROR(VLOOKUP($H270,TEC[],3,FALSE),"NA")</f>
        <v>NA</v>
      </c>
      <c r="O270" s="77" t="str">
        <f>IFERROR(VLOOKUP($H270,TP[],3,FALSE),"NA")</f>
        <v>NA</v>
      </c>
      <c r="P270" s="77" t="str">
        <f>IFERROR(VLOOKUP($H270,TEN[],3,FALSE),"NA")</f>
        <v>NA</v>
      </c>
      <c r="Q270" s="77" t="str">
        <f>IFERROR(VLOOKUP($H270,TD[],3,FALSE),"NA")</f>
        <v>NA</v>
      </c>
      <c r="R270" s="77">
        <f>IFERROR(VLOOKUP($H270,TC[],3,FALSE),"NA")</f>
        <v>0</v>
      </c>
      <c r="S270" s="77" t="str">
        <f>IFERROR(VLOOKUP($H270,TEV[],3,FALSE),"NA")</f>
        <v>NA</v>
      </c>
      <c r="T270" s="79">
        <f>SUM(TbAlquiler[[#This Row],[GENERAL]:[ELEVADOR]])</f>
        <v>0</v>
      </c>
      <c r="U270" s="80">
        <f>IF(VLOOKUP(TbAlquiler[[#This Row],[ITEM]],TbPiezas[],5,FALSE)="NA",0,VLOOKUP(TbAlquiler[[#This Row],[ITEM]],TbPiezas[],5,FALSE))</f>
        <v>0.5</v>
      </c>
      <c r="V270" s="81">
        <f>+TbAlquiler[[#This Row],[TOTAL]]*TbAlquiler[[#This Row],[P.U. (1)]]</f>
        <v>0</v>
      </c>
      <c r="W270" s="82">
        <f>+VLOOKUP(TbAlquiler[[#This Row],[ITEM]],TbPiezas[],6,FALSE)</f>
        <v>157.1</v>
      </c>
      <c r="X270" s="83">
        <f>+TbAlquiler[[#This Row],[TOTAL]]*TbAlquiler[[#This Row],[P.U. (2)]]</f>
        <v>0</v>
      </c>
      <c r="Y270" s="82">
        <f>+VLOOKUP(TbAlquiler[[#This Row],[ITEM]],TbPiezas[],7,FALSE)</f>
        <v>7.8550000000000004</v>
      </c>
      <c r="Z270" s="84">
        <f>+TbAlquiler[[#This Row],[TOTAL]]*TbAlquiler[[#This Row],[P.U. (3)]]</f>
        <v>0</v>
      </c>
    </row>
    <row r="271" spans="1:26" ht="15" customHeight="1" x14ac:dyDescent="0.3">
      <c r="A271" s="2"/>
      <c r="B271" s="85">
        <v>255</v>
      </c>
      <c r="C271" s="71" t="s">
        <v>511</v>
      </c>
      <c r="D271" s="72" t="s">
        <v>512</v>
      </c>
      <c r="E271" s="73"/>
      <c r="F271" s="74">
        <f>+VLOOKUP(C271,TbAlquiler[],13,FALSE)</f>
        <v>0</v>
      </c>
      <c r="G271" s="2"/>
      <c r="H271" s="75" t="str">
        <f t="shared" si="6"/>
        <v>AE.8000</v>
      </c>
      <c r="I271" s="59" t="str">
        <f t="shared" si="7"/>
        <v>ok</v>
      </c>
      <c r="J271" s="77">
        <f>IFERROR(VLOOKUP($H271,TG[],3,FALSE),"NA")</f>
        <v>0</v>
      </c>
      <c r="K271" s="77" t="str">
        <f>IFERROR(VLOOKUP($H271,TF[],3,FALSE),"NA")</f>
        <v>NA</v>
      </c>
      <c r="L271" s="77" t="str">
        <f>IFERROR(VLOOKUP($H271,TT[],3,FALSE),"NA")</f>
        <v>NA</v>
      </c>
      <c r="M271" s="77" t="str">
        <f>IFERROR(VLOOKUP($H271,TES[],3,FALSE),"NA")</f>
        <v>NA</v>
      </c>
      <c r="N271" s="77" t="str">
        <f>IFERROR(VLOOKUP($H271,TEC[],3,FALSE),"NA")</f>
        <v>NA</v>
      </c>
      <c r="O271" s="77" t="str">
        <f>IFERROR(VLOOKUP($H271,TP[],3,FALSE),"NA")</f>
        <v>NA</v>
      </c>
      <c r="P271" s="77" t="str">
        <f>IFERROR(VLOOKUP($H271,TEN[],3,FALSE),"NA")</f>
        <v>NA</v>
      </c>
      <c r="Q271" s="77" t="str">
        <f>IFERROR(VLOOKUP($H271,TD[],3,FALSE),"NA")</f>
        <v>NA</v>
      </c>
      <c r="R271" s="77">
        <f>IFERROR(VLOOKUP($H271,TC[],3,FALSE),"NA")</f>
        <v>0</v>
      </c>
      <c r="S271" s="77" t="str">
        <f>IFERROR(VLOOKUP($H271,TEV[],3,FALSE),"NA")</f>
        <v>NA</v>
      </c>
      <c r="T271" s="79">
        <f>SUM(TbAlquiler[[#This Row],[GENERAL]:[ELEVADOR]])</f>
        <v>0</v>
      </c>
      <c r="U271" s="80">
        <f>IF(VLOOKUP(TbAlquiler[[#This Row],[ITEM]],TbPiezas[],5,FALSE)="NA",0,VLOOKUP(TbAlquiler[[#This Row],[ITEM]],TbPiezas[],5,FALSE))</f>
        <v>0.5</v>
      </c>
      <c r="V271" s="81">
        <f>+TbAlquiler[[#This Row],[TOTAL]]*TbAlquiler[[#This Row],[P.U. (1)]]</f>
        <v>0</v>
      </c>
      <c r="W271" s="82">
        <f>+VLOOKUP(TbAlquiler[[#This Row],[ITEM]],TbPiezas[],6,FALSE)</f>
        <v>19.059999999999999</v>
      </c>
      <c r="X271" s="83">
        <f>+TbAlquiler[[#This Row],[TOTAL]]*TbAlquiler[[#This Row],[P.U. (2)]]</f>
        <v>0</v>
      </c>
      <c r="Y271" s="82">
        <f>+VLOOKUP(TbAlquiler[[#This Row],[ITEM]],TbPiezas[],7,FALSE)</f>
        <v>0.95299999999999996</v>
      </c>
      <c r="Z271" s="84">
        <f>+TbAlquiler[[#This Row],[TOTAL]]*TbAlquiler[[#This Row],[P.U. (3)]]</f>
        <v>0</v>
      </c>
    </row>
    <row r="272" spans="1:26" ht="15" customHeight="1" x14ac:dyDescent="0.3">
      <c r="A272" s="2"/>
      <c r="B272" s="85">
        <v>256</v>
      </c>
      <c r="C272" s="71" t="s">
        <v>513</v>
      </c>
      <c r="D272" s="72" t="s">
        <v>514</v>
      </c>
      <c r="E272" s="73"/>
      <c r="F272" s="74">
        <f>+VLOOKUP(C272,TbAlquiler[],13,FALSE)</f>
        <v>0</v>
      </c>
      <c r="G272" s="2"/>
      <c r="H272" s="75" t="str">
        <f t="shared" si="6"/>
        <v>AE.8100</v>
      </c>
      <c r="I272" s="59" t="str">
        <f t="shared" si="7"/>
        <v>ok</v>
      </c>
      <c r="J272" s="77">
        <f>IFERROR(VLOOKUP($H272,TG[],3,FALSE),"NA")</f>
        <v>0</v>
      </c>
      <c r="K272" s="77" t="str">
        <f>IFERROR(VLOOKUP($H272,TF[],3,FALSE),"NA")</f>
        <v>NA</v>
      </c>
      <c r="L272" s="77" t="str">
        <f>IFERROR(VLOOKUP($H272,TT[],3,FALSE),"NA")</f>
        <v>NA</v>
      </c>
      <c r="M272" s="77" t="str">
        <f>IFERROR(VLOOKUP($H272,TES[],3,FALSE),"NA")</f>
        <v>NA</v>
      </c>
      <c r="N272" s="77" t="str">
        <f>IFERROR(VLOOKUP($H272,TEC[],3,FALSE),"NA")</f>
        <v>NA</v>
      </c>
      <c r="O272" s="77" t="str">
        <f>IFERROR(VLOOKUP($H272,TP[],3,FALSE),"NA")</f>
        <v>NA</v>
      </c>
      <c r="P272" s="77" t="str">
        <f>IFERROR(VLOOKUP($H272,TEN[],3,FALSE),"NA")</f>
        <v>NA</v>
      </c>
      <c r="Q272" s="77" t="str">
        <f>IFERROR(VLOOKUP($H272,TD[],3,FALSE),"NA")</f>
        <v>NA</v>
      </c>
      <c r="R272" s="77">
        <f>IFERROR(VLOOKUP($H272,TC[],3,FALSE),"NA")</f>
        <v>0</v>
      </c>
      <c r="S272" s="77" t="str">
        <f>IFERROR(VLOOKUP($H272,TEV[],3,FALSE),"NA")</f>
        <v>NA</v>
      </c>
      <c r="T272" s="79">
        <f>SUM(TbAlquiler[[#This Row],[GENERAL]:[ELEVADOR]])</f>
        <v>0</v>
      </c>
      <c r="U272" s="80">
        <f>IF(VLOOKUP(TbAlquiler[[#This Row],[ITEM]],TbPiezas[],5,FALSE)="NA",0,VLOOKUP(TbAlquiler[[#This Row],[ITEM]],TbPiezas[],5,FALSE))</f>
        <v>2</v>
      </c>
      <c r="V272" s="81">
        <f>+TbAlquiler[[#This Row],[TOTAL]]*TbAlquiler[[#This Row],[P.U. (1)]]</f>
        <v>0</v>
      </c>
      <c r="W272" s="82">
        <f>+VLOOKUP(TbAlquiler[[#This Row],[ITEM]],TbPiezas[],6,FALSE)</f>
        <v>19.059999999999999</v>
      </c>
      <c r="X272" s="83">
        <f>+TbAlquiler[[#This Row],[TOTAL]]*TbAlquiler[[#This Row],[P.U. (2)]]</f>
        <v>0</v>
      </c>
      <c r="Y272" s="82">
        <f>+VLOOKUP(TbAlquiler[[#This Row],[ITEM]],TbPiezas[],7,FALSE)</f>
        <v>0.95299999999999996</v>
      </c>
      <c r="Z272" s="84">
        <f>+TbAlquiler[[#This Row],[TOTAL]]*TbAlquiler[[#This Row],[P.U. (3)]]</f>
        <v>0</v>
      </c>
    </row>
    <row r="273" spans="1:26" ht="15" customHeight="1" x14ac:dyDescent="0.3">
      <c r="A273" s="2"/>
      <c r="B273" s="85">
        <v>257</v>
      </c>
      <c r="C273" s="71" t="s">
        <v>515</v>
      </c>
      <c r="D273" s="72" t="s">
        <v>516</v>
      </c>
      <c r="E273" s="73"/>
      <c r="F273" s="74">
        <f>+VLOOKUP(C273,TbAlquiler[],13,FALSE)</f>
        <v>0</v>
      </c>
      <c r="G273" s="2"/>
      <c r="H273" s="75" t="str">
        <f t="shared" si="6"/>
        <v>AE.8200</v>
      </c>
      <c r="I273" s="59" t="str">
        <f t="shared" si="7"/>
        <v>ok</v>
      </c>
      <c r="J273" s="77">
        <f>IFERROR(VLOOKUP($H273,TG[],3,FALSE),"NA")</f>
        <v>0</v>
      </c>
      <c r="K273" s="77" t="str">
        <f>IFERROR(VLOOKUP($H273,TF[],3,FALSE),"NA")</f>
        <v>NA</v>
      </c>
      <c r="L273" s="77" t="str">
        <f>IFERROR(VLOOKUP($H273,TT[],3,FALSE),"NA")</f>
        <v>NA</v>
      </c>
      <c r="M273" s="77" t="str">
        <f>IFERROR(VLOOKUP($H273,TES[],3,FALSE),"NA")</f>
        <v>NA</v>
      </c>
      <c r="N273" s="77" t="str">
        <f>IFERROR(VLOOKUP($H273,TEC[],3,FALSE),"NA")</f>
        <v>NA</v>
      </c>
      <c r="O273" s="77" t="str">
        <f>IFERROR(VLOOKUP($H273,TP[],3,FALSE),"NA")</f>
        <v>NA</v>
      </c>
      <c r="P273" s="77" t="str">
        <f>IFERROR(VLOOKUP($H273,TEN[],3,FALSE),"NA")</f>
        <v>NA</v>
      </c>
      <c r="Q273" s="77" t="str">
        <f>IFERROR(VLOOKUP($H273,TD[],3,FALSE),"NA")</f>
        <v>NA</v>
      </c>
      <c r="R273" s="77">
        <f>IFERROR(VLOOKUP($H273,TC[],3,FALSE),"NA")</f>
        <v>0</v>
      </c>
      <c r="S273" s="77" t="str">
        <f>IFERROR(VLOOKUP($H273,TEV[],3,FALSE),"NA")</f>
        <v>NA</v>
      </c>
      <c r="T273" s="79">
        <f>SUM(TbAlquiler[[#This Row],[GENERAL]:[ELEVADOR]])</f>
        <v>0</v>
      </c>
      <c r="U273" s="80">
        <f>IF(VLOOKUP(TbAlquiler[[#This Row],[ITEM]],TbPiezas[],5,FALSE)="NA",0,VLOOKUP(TbAlquiler[[#This Row],[ITEM]],TbPiezas[],5,FALSE))</f>
        <v>4.3999999999999915</v>
      </c>
      <c r="V273" s="81">
        <f>+TbAlquiler[[#This Row],[TOTAL]]*TbAlquiler[[#This Row],[P.U. (1)]]</f>
        <v>0</v>
      </c>
      <c r="W273" s="82">
        <f>+VLOOKUP(TbAlquiler[[#This Row],[ITEM]],TbPiezas[],6,FALSE)</f>
        <v>312.10000000000002</v>
      </c>
      <c r="X273" s="83">
        <f>+TbAlquiler[[#This Row],[TOTAL]]*TbAlquiler[[#This Row],[P.U. (2)]]</f>
        <v>0</v>
      </c>
      <c r="Y273" s="82">
        <f>+VLOOKUP(TbAlquiler[[#This Row],[ITEM]],TbPiezas[],7,FALSE)</f>
        <v>15.605000000000002</v>
      </c>
      <c r="Z273" s="84">
        <f>+TbAlquiler[[#This Row],[TOTAL]]*TbAlquiler[[#This Row],[P.U. (3)]]</f>
        <v>0</v>
      </c>
    </row>
    <row r="274" spans="1:26" ht="15" customHeight="1" x14ac:dyDescent="0.3">
      <c r="A274" s="2"/>
      <c r="B274" s="85">
        <v>258</v>
      </c>
      <c r="C274" s="71" t="s">
        <v>517</v>
      </c>
      <c r="D274" s="72" t="s">
        <v>518</v>
      </c>
      <c r="E274" s="73"/>
      <c r="F274" s="74">
        <f>+VLOOKUP(C274,TbAlquiler[],13,FALSE)</f>
        <v>0</v>
      </c>
      <c r="G274" s="2"/>
      <c r="H274" s="75" t="str">
        <f t="shared" ref="H274:H337" si="8">+C274</f>
        <v>AE.8300</v>
      </c>
      <c r="I274" s="59" t="str">
        <f t="shared" ref="I274:I337" si="9">+IF(C274=H274,"ok","mal")</f>
        <v>ok</v>
      </c>
      <c r="J274" s="77">
        <f>IFERROR(VLOOKUP($H274,TG[],3,FALSE),"NA")</f>
        <v>0</v>
      </c>
      <c r="K274" s="77" t="str">
        <f>IFERROR(VLOOKUP($H274,TF[],3,FALSE),"NA")</f>
        <v>NA</v>
      </c>
      <c r="L274" s="77" t="str">
        <f>IFERROR(VLOOKUP($H274,TT[],3,FALSE),"NA")</f>
        <v>NA</v>
      </c>
      <c r="M274" s="77" t="str">
        <f>IFERROR(VLOOKUP($H274,TES[],3,FALSE),"NA")</f>
        <v>NA</v>
      </c>
      <c r="N274" s="77" t="str">
        <f>IFERROR(VLOOKUP($H274,TEC[],3,FALSE),"NA")</f>
        <v>NA</v>
      </c>
      <c r="O274" s="77" t="str">
        <f>IFERROR(VLOOKUP($H274,TP[],3,FALSE),"NA")</f>
        <v>NA</v>
      </c>
      <c r="P274" s="77" t="str">
        <f>IFERROR(VLOOKUP($H274,TEN[],3,FALSE),"NA")</f>
        <v>NA</v>
      </c>
      <c r="Q274" s="77" t="str">
        <f>IFERROR(VLOOKUP($H274,TD[],3,FALSE),"NA")</f>
        <v>NA</v>
      </c>
      <c r="R274" s="77">
        <f>IFERROR(VLOOKUP($H274,TC[],3,FALSE),"NA")</f>
        <v>0</v>
      </c>
      <c r="S274" s="77" t="str">
        <f>IFERROR(VLOOKUP($H274,TEV[],3,FALSE),"NA")</f>
        <v>NA</v>
      </c>
      <c r="T274" s="79">
        <f>SUM(TbAlquiler[[#This Row],[GENERAL]:[ELEVADOR]])</f>
        <v>0</v>
      </c>
      <c r="U274" s="80">
        <f>IF(VLOOKUP(TbAlquiler[[#This Row],[ITEM]],TbPiezas[],5,FALSE)="NA",0,VLOOKUP(TbAlquiler[[#This Row],[ITEM]],TbPiezas[],5,FALSE))</f>
        <v>3.7999999999999972</v>
      </c>
      <c r="V274" s="81">
        <f>+TbAlquiler[[#This Row],[TOTAL]]*TbAlquiler[[#This Row],[P.U. (1)]]</f>
        <v>0</v>
      </c>
      <c r="W274" s="82">
        <f>+VLOOKUP(TbAlquiler[[#This Row],[ITEM]],TbPiezas[],6,FALSE)</f>
        <v>312.10000000000002</v>
      </c>
      <c r="X274" s="83">
        <f>+TbAlquiler[[#This Row],[TOTAL]]*TbAlquiler[[#This Row],[P.U. (2)]]</f>
        <v>0</v>
      </c>
      <c r="Y274" s="82">
        <f>+VLOOKUP(TbAlquiler[[#This Row],[ITEM]],TbPiezas[],7,FALSE)</f>
        <v>15.605000000000002</v>
      </c>
      <c r="Z274" s="84">
        <f>+TbAlquiler[[#This Row],[TOTAL]]*TbAlquiler[[#This Row],[P.U. (3)]]</f>
        <v>0</v>
      </c>
    </row>
    <row r="275" spans="1:26" ht="15" customHeight="1" x14ac:dyDescent="0.3">
      <c r="A275" s="2"/>
      <c r="B275" s="85">
        <v>259</v>
      </c>
      <c r="C275" s="71" t="s">
        <v>519</v>
      </c>
      <c r="D275" s="72" t="s">
        <v>520</v>
      </c>
      <c r="E275" s="73"/>
      <c r="F275" s="74">
        <f>+VLOOKUP(C275,TbAlquiler[],13,FALSE)</f>
        <v>0</v>
      </c>
      <c r="G275" s="2"/>
      <c r="H275" s="75" t="str">
        <f t="shared" si="8"/>
        <v>AE.8400</v>
      </c>
      <c r="I275" s="59" t="str">
        <f t="shared" si="9"/>
        <v>ok</v>
      </c>
      <c r="J275" s="77">
        <f>IFERROR(VLOOKUP($H275,TG[],3,FALSE),"NA")</f>
        <v>0</v>
      </c>
      <c r="K275" s="77" t="str">
        <f>IFERROR(VLOOKUP($H275,TF[],3,FALSE),"NA")</f>
        <v>NA</v>
      </c>
      <c r="L275" s="77" t="str">
        <f>IFERROR(VLOOKUP($H275,TT[],3,FALSE),"NA")</f>
        <v>NA</v>
      </c>
      <c r="M275" s="77" t="str">
        <f>IFERROR(VLOOKUP($H275,TES[],3,FALSE),"NA")</f>
        <v>NA</v>
      </c>
      <c r="N275" s="77" t="str">
        <f>IFERROR(VLOOKUP($H275,TEC[],3,FALSE),"NA")</f>
        <v>NA</v>
      </c>
      <c r="O275" s="77" t="str">
        <f>IFERROR(VLOOKUP($H275,TP[],3,FALSE),"NA")</f>
        <v>NA</v>
      </c>
      <c r="P275" s="77" t="str">
        <f>IFERROR(VLOOKUP($H275,TEN[],3,FALSE),"NA")</f>
        <v>NA</v>
      </c>
      <c r="Q275" s="77" t="str">
        <f>IFERROR(VLOOKUP($H275,TD[],3,FALSE),"NA")</f>
        <v>NA</v>
      </c>
      <c r="R275" s="77">
        <f>IFERROR(VLOOKUP($H275,TC[],3,FALSE),"NA")</f>
        <v>0</v>
      </c>
      <c r="S275" s="77" t="str">
        <f>IFERROR(VLOOKUP($H275,TEV[],3,FALSE),"NA")</f>
        <v>NA</v>
      </c>
      <c r="T275" s="79">
        <f>SUM(TbAlquiler[[#This Row],[GENERAL]:[ELEVADOR]])</f>
        <v>0</v>
      </c>
      <c r="U275" s="80">
        <f>IF(VLOOKUP(TbAlquiler[[#This Row],[ITEM]],TbPiezas[],5,FALSE)="NA",0,VLOOKUP(TbAlquiler[[#This Row],[ITEM]],TbPiezas[],5,FALSE))</f>
        <v>9.9999999999994316E-2</v>
      </c>
      <c r="V275" s="81">
        <f>+TbAlquiler[[#This Row],[TOTAL]]*TbAlquiler[[#This Row],[P.U. (1)]]</f>
        <v>0</v>
      </c>
      <c r="W275" s="82">
        <f>+VLOOKUP(TbAlquiler[[#This Row],[ITEM]],TbPiezas[],6,FALSE)</f>
        <v>63.53</v>
      </c>
      <c r="X275" s="83">
        <f>+TbAlquiler[[#This Row],[TOTAL]]*TbAlquiler[[#This Row],[P.U. (2)]]</f>
        <v>0</v>
      </c>
      <c r="Y275" s="82">
        <f>+VLOOKUP(TbAlquiler[[#This Row],[ITEM]],TbPiezas[],7,FALSE)</f>
        <v>3.1765000000000003</v>
      </c>
      <c r="Z275" s="84">
        <f>+TbAlquiler[[#This Row],[TOTAL]]*TbAlquiler[[#This Row],[P.U. (3)]]</f>
        <v>0</v>
      </c>
    </row>
    <row r="276" spans="1:26" ht="15" customHeight="1" x14ac:dyDescent="0.3">
      <c r="A276" s="2"/>
      <c r="B276" s="85">
        <v>260</v>
      </c>
      <c r="C276" s="71" t="s">
        <v>521</v>
      </c>
      <c r="D276" s="72" t="s">
        <v>522</v>
      </c>
      <c r="E276" s="73"/>
      <c r="F276" s="74">
        <f>+VLOOKUP(C276,TbAlquiler[],13,FALSE)</f>
        <v>0</v>
      </c>
      <c r="G276" s="2"/>
      <c r="H276" s="75" t="str">
        <f t="shared" si="8"/>
        <v>AE.8440</v>
      </c>
      <c r="I276" s="59" t="str">
        <f t="shared" si="9"/>
        <v>ok</v>
      </c>
      <c r="J276" s="77">
        <f>IFERROR(VLOOKUP($H276,TG[],3,FALSE),"NA")</f>
        <v>0</v>
      </c>
      <c r="K276" s="77" t="str">
        <f>IFERROR(VLOOKUP($H276,TF[],3,FALSE),"NA")</f>
        <v>NA</v>
      </c>
      <c r="L276" s="77" t="str">
        <f>IFERROR(VLOOKUP($H276,TT[],3,FALSE),"NA")</f>
        <v>NA</v>
      </c>
      <c r="M276" s="77" t="str">
        <f>IFERROR(VLOOKUP($H276,TES[],3,FALSE),"NA")</f>
        <v>NA</v>
      </c>
      <c r="N276" s="77" t="str">
        <f>IFERROR(VLOOKUP($H276,TEC[],3,FALSE),"NA")</f>
        <v>NA</v>
      </c>
      <c r="O276" s="77" t="str">
        <f>IFERROR(VLOOKUP($H276,TP[],3,FALSE),"NA")</f>
        <v>NA</v>
      </c>
      <c r="P276" s="77" t="str">
        <f>IFERROR(VLOOKUP($H276,TEN[],3,FALSE),"NA")</f>
        <v>NA</v>
      </c>
      <c r="Q276" s="77" t="str">
        <f>IFERROR(VLOOKUP($H276,TD[],3,FALSE),"NA")</f>
        <v>NA</v>
      </c>
      <c r="R276" s="77">
        <f>IFERROR(VLOOKUP($H276,TC[],3,FALSE),"NA")</f>
        <v>0</v>
      </c>
      <c r="S276" s="77" t="str">
        <f>IFERROR(VLOOKUP($H276,TEV[],3,FALSE),"NA")</f>
        <v>NA</v>
      </c>
      <c r="T276" s="79">
        <f>SUM(TbAlquiler[[#This Row],[GENERAL]:[ELEVADOR]])</f>
        <v>0</v>
      </c>
      <c r="U276" s="80">
        <f>IF(VLOOKUP(TbAlquiler[[#This Row],[ITEM]],TbPiezas[],5,FALSE)="NA",0,VLOOKUP(TbAlquiler[[#This Row],[ITEM]],TbPiezas[],5,FALSE))</f>
        <v>19.2</v>
      </c>
      <c r="V276" s="81">
        <f>+TbAlquiler[[#This Row],[TOTAL]]*TbAlquiler[[#This Row],[P.U. (1)]]</f>
        <v>0</v>
      </c>
      <c r="W276" s="82">
        <f>+VLOOKUP(TbAlquiler[[#This Row],[ITEM]],TbPiezas[],6,FALSE)</f>
        <v>1040.03</v>
      </c>
      <c r="X276" s="83">
        <f>+TbAlquiler[[#This Row],[TOTAL]]*TbAlquiler[[#This Row],[P.U. (2)]]</f>
        <v>0</v>
      </c>
      <c r="Y276" s="82">
        <f>+VLOOKUP(TbAlquiler[[#This Row],[ITEM]],TbPiezas[],7,FALSE)</f>
        <v>52.0015</v>
      </c>
      <c r="Z276" s="84">
        <f>+TbAlquiler[[#This Row],[TOTAL]]*TbAlquiler[[#This Row],[P.U. (3)]]</f>
        <v>0</v>
      </c>
    </row>
    <row r="277" spans="1:26" ht="15" customHeight="1" x14ac:dyDescent="0.3">
      <c r="A277" s="2"/>
      <c r="B277" s="85">
        <v>261</v>
      </c>
      <c r="C277" s="71" t="s">
        <v>523</v>
      </c>
      <c r="D277" s="72" t="s">
        <v>524</v>
      </c>
      <c r="E277" s="73"/>
      <c r="F277" s="74">
        <f>+VLOOKUP(C277,TbAlquiler[],13,FALSE)</f>
        <v>0</v>
      </c>
      <c r="G277" s="2"/>
      <c r="H277" s="75" t="str">
        <f t="shared" si="8"/>
        <v>AE.8450</v>
      </c>
      <c r="I277" s="59" t="str">
        <f t="shared" si="9"/>
        <v>ok</v>
      </c>
      <c r="J277" s="77">
        <f>IFERROR(VLOOKUP($H277,TG[],3,FALSE),"NA")</f>
        <v>0</v>
      </c>
      <c r="K277" s="77" t="str">
        <f>IFERROR(VLOOKUP($H277,TF[],3,FALSE),"NA")</f>
        <v>NA</v>
      </c>
      <c r="L277" s="77" t="str">
        <f>IFERROR(VLOOKUP($H277,TT[],3,FALSE),"NA")</f>
        <v>NA</v>
      </c>
      <c r="M277" s="77" t="str">
        <f>IFERROR(VLOOKUP($H277,TES[],3,FALSE),"NA")</f>
        <v>NA</v>
      </c>
      <c r="N277" s="77" t="str">
        <f>IFERROR(VLOOKUP($H277,TEC[],3,FALSE),"NA")</f>
        <v>NA</v>
      </c>
      <c r="O277" s="77" t="str">
        <f>IFERROR(VLOOKUP($H277,TP[],3,FALSE),"NA")</f>
        <v>NA</v>
      </c>
      <c r="P277" s="77" t="str">
        <f>IFERROR(VLOOKUP($H277,TEN[],3,FALSE),"NA")</f>
        <v>NA</v>
      </c>
      <c r="Q277" s="77" t="str">
        <f>IFERROR(VLOOKUP($H277,TD[],3,FALSE),"NA")</f>
        <v>NA</v>
      </c>
      <c r="R277" s="77">
        <f>IFERROR(VLOOKUP($H277,TC[],3,FALSE),"NA")</f>
        <v>0</v>
      </c>
      <c r="S277" s="77" t="str">
        <f>IFERROR(VLOOKUP($H277,TEV[],3,FALSE),"NA")</f>
        <v>NA</v>
      </c>
      <c r="T277" s="79">
        <f>SUM(TbAlquiler[[#This Row],[GENERAL]:[ELEVADOR]])</f>
        <v>0</v>
      </c>
      <c r="U277" s="80">
        <f>IF(VLOOKUP(TbAlquiler[[#This Row],[ITEM]],TbPiezas[],5,FALSE)="NA",0,VLOOKUP(TbAlquiler[[#This Row],[ITEM]],TbPiezas[],5,FALSE))</f>
        <v>17.22</v>
      </c>
      <c r="V277" s="81">
        <f>+TbAlquiler[[#This Row],[TOTAL]]*TbAlquiler[[#This Row],[P.U. (1)]]</f>
        <v>0</v>
      </c>
      <c r="W277" s="82">
        <f>+VLOOKUP(TbAlquiler[[#This Row],[ITEM]],TbPiezas[],6,FALSE)</f>
        <v>960.03</v>
      </c>
      <c r="X277" s="83">
        <f>+TbAlquiler[[#This Row],[TOTAL]]*TbAlquiler[[#This Row],[P.U. (2)]]</f>
        <v>0</v>
      </c>
      <c r="Y277" s="82">
        <f>+VLOOKUP(TbAlquiler[[#This Row],[ITEM]],TbPiezas[],7,FALSE)</f>
        <v>48.0015</v>
      </c>
      <c r="Z277" s="84">
        <f>+TbAlquiler[[#This Row],[TOTAL]]*TbAlquiler[[#This Row],[P.U. (3)]]</f>
        <v>0</v>
      </c>
    </row>
    <row r="278" spans="1:26" ht="15" customHeight="1" x14ac:dyDescent="0.3">
      <c r="A278" s="2"/>
      <c r="B278" s="85">
        <v>262</v>
      </c>
      <c r="C278" s="71" t="s">
        <v>525</v>
      </c>
      <c r="D278" s="72" t="s">
        <v>526</v>
      </c>
      <c r="E278" s="73"/>
      <c r="F278" s="74">
        <f>+VLOOKUP(C278,TbAlquiler[],13,FALSE)</f>
        <v>0</v>
      </c>
      <c r="G278" s="2"/>
      <c r="H278" s="75" t="str">
        <f t="shared" si="8"/>
        <v>AE.8500</v>
      </c>
      <c r="I278" s="59" t="str">
        <f t="shared" si="9"/>
        <v>ok</v>
      </c>
      <c r="J278" s="77">
        <f>IFERROR(VLOOKUP($H278,TG[],3,FALSE),"NA")</f>
        <v>0</v>
      </c>
      <c r="K278" s="77" t="str">
        <f>IFERROR(VLOOKUP($H278,TF[],3,FALSE),"NA")</f>
        <v>NA</v>
      </c>
      <c r="L278" s="77" t="str">
        <f>IFERROR(VLOOKUP($H278,TT[],3,FALSE),"NA")</f>
        <v>NA</v>
      </c>
      <c r="M278" s="77" t="str">
        <f>IFERROR(VLOOKUP($H278,TES[],3,FALSE),"NA")</f>
        <v>NA</v>
      </c>
      <c r="N278" s="77" t="str">
        <f>IFERROR(VLOOKUP($H278,TEC[],3,FALSE),"NA")</f>
        <v>NA</v>
      </c>
      <c r="O278" s="77" t="str">
        <f>IFERROR(VLOOKUP($H278,TP[],3,FALSE),"NA")</f>
        <v>NA</v>
      </c>
      <c r="P278" s="77" t="str">
        <f>IFERROR(VLOOKUP($H278,TEN[],3,FALSE),"NA")</f>
        <v>NA</v>
      </c>
      <c r="Q278" s="77" t="str">
        <f>IFERROR(VLOOKUP($H278,TD[],3,FALSE),"NA")</f>
        <v>NA</v>
      </c>
      <c r="R278" s="77">
        <f>IFERROR(VLOOKUP($H278,TC[],3,FALSE),"NA")</f>
        <v>0</v>
      </c>
      <c r="S278" s="77" t="str">
        <f>IFERROR(VLOOKUP($H278,TEV[],3,FALSE),"NA")</f>
        <v>NA</v>
      </c>
      <c r="T278" s="79">
        <f>SUM(TbAlquiler[[#This Row],[GENERAL]:[ELEVADOR]])</f>
        <v>0</v>
      </c>
      <c r="U278" s="80">
        <f>IF(VLOOKUP(TbAlquiler[[#This Row],[ITEM]],TbPiezas[],5,FALSE)="NA",0,VLOOKUP(TbAlquiler[[#This Row],[ITEM]],TbPiezas[],5,FALSE))</f>
        <v>12.299999999999997</v>
      </c>
      <c r="V278" s="81">
        <f>+TbAlquiler[[#This Row],[TOTAL]]*TbAlquiler[[#This Row],[P.U. (1)]]</f>
        <v>0</v>
      </c>
      <c r="W278" s="82">
        <f>+VLOOKUP(TbAlquiler[[#This Row],[ITEM]],TbPiezas[],6,FALSE)</f>
        <v>635.25</v>
      </c>
      <c r="X278" s="83">
        <f>+TbAlquiler[[#This Row],[TOTAL]]*TbAlquiler[[#This Row],[P.U. (2)]]</f>
        <v>0</v>
      </c>
      <c r="Y278" s="82">
        <f>+VLOOKUP(TbAlquiler[[#This Row],[ITEM]],TbPiezas[],7,FALSE)</f>
        <v>31.762500000000003</v>
      </c>
      <c r="Z278" s="84">
        <f>+TbAlquiler[[#This Row],[TOTAL]]*TbAlquiler[[#This Row],[P.U. (3)]]</f>
        <v>0</v>
      </c>
    </row>
    <row r="279" spans="1:26" ht="15" customHeight="1" x14ac:dyDescent="0.3">
      <c r="A279" s="2"/>
      <c r="B279" s="85">
        <v>263</v>
      </c>
      <c r="C279" s="71" t="s">
        <v>527</v>
      </c>
      <c r="D279" s="72" t="s">
        <v>528</v>
      </c>
      <c r="E279" s="73"/>
      <c r="F279" s="74">
        <f>+VLOOKUP(C279,TbAlquiler[],13,FALSE)</f>
        <v>0</v>
      </c>
      <c r="G279" s="2"/>
      <c r="H279" s="75" t="str">
        <f t="shared" si="8"/>
        <v>AE.8600</v>
      </c>
      <c r="I279" s="59" t="str">
        <f t="shared" si="9"/>
        <v>ok</v>
      </c>
      <c r="J279" s="77">
        <f>IFERROR(VLOOKUP($H279,TG[],3,FALSE),"NA")</f>
        <v>0</v>
      </c>
      <c r="K279" s="77" t="str">
        <f>IFERROR(VLOOKUP($H279,TF[],3,FALSE),"NA")</f>
        <v>NA</v>
      </c>
      <c r="L279" s="77" t="str">
        <f>IFERROR(VLOOKUP($H279,TT[],3,FALSE),"NA")</f>
        <v>NA</v>
      </c>
      <c r="M279" s="77" t="str">
        <f>IFERROR(VLOOKUP($H279,TES[],3,FALSE),"NA")</f>
        <v>NA</v>
      </c>
      <c r="N279" s="77" t="str">
        <f>IFERROR(VLOOKUP($H279,TEC[],3,FALSE),"NA")</f>
        <v>NA</v>
      </c>
      <c r="O279" s="77" t="str">
        <f>IFERROR(VLOOKUP($H279,TP[],3,FALSE),"NA")</f>
        <v>NA</v>
      </c>
      <c r="P279" s="77" t="str">
        <f>IFERROR(VLOOKUP($H279,TEN[],3,FALSE),"NA")</f>
        <v>NA</v>
      </c>
      <c r="Q279" s="77" t="str">
        <f>IFERROR(VLOOKUP($H279,TD[],3,FALSE),"NA")</f>
        <v>NA</v>
      </c>
      <c r="R279" s="77">
        <f>IFERROR(VLOOKUP($H279,TC[],3,FALSE),"NA")</f>
        <v>0</v>
      </c>
      <c r="S279" s="77" t="str">
        <f>IFERROR(VLOOKUP($H279,TEV[],3,FALSE),"NA")</f>
        <v>NA</v>
      </c>
      <c r="T279" s="79">
        <f>SUM(TbAlquiler[[#This Row],[GENERAL]:[ELEVADOR]])</f>
        <v>0</v>
      </c>
      <c r="U279" s="80">
        <f>IF(VLOOKUP(TbAlquiler[[#This Row],[ITEM]],TbPiezas[],5,FALSE)="NA",0,VLOOKUP(TbAlquiler[[#This Row],[ITEM]],TbPiezas[],5,FALSE))</f>
        <v>12.299999999999997</v>
      </c>
      <c r="V279" s="81">
        <f>+TbAlquiler[[#This Row],[TOTAL]]*TbAlquiler[[#This Row],[P.U. (1)]]</f>
        <v>0</v>
      </c>
      <c r="W279" s="82">
        <f>+VLOOKUP(TbAlquiler[[#This Row],[ITEM]],TbPiezas[],6,FALSE)</f>
        <v>508.2</v>
      </c>
      <c r="X279" s="83">
        <f>+TbAlquiler[[#This Row],[TOTAL]]*TbAlquiler[[#This Row],[P.U. (2)]]</f>
        <v>0</v>
      </c>
      <c r="Y279" s="82">
        <f>+VLOOKUP(TbAlquiler[[#This Row],[ITEM]],TbPiezas[],7,FALSE)</f>
        <v>25.41</v>
      </c>
      <c r="Z279" s="84">
        <f>+TbAlquiler[[#This Row],[TOTAL]]*TbAlquiler[[#This Row],[P.U. (3)]]</f>
        <v>0</v>
      </c>
    </row>
    <row r="280" spans="1:26" ht="15" customHeight="1" x14ac:dyDescent="0.3">
      <c r="A280" s="2"/>
      <c r="B280" s="85">
        <v>264</v>
      </c>
      <c r="C280" s="71" t="s">
        <v>529</v>
      </c>
      <c r="D280" s="72" t="s">
        <v>530</v>
      </c>
      <c r="E280" s="73"/>
      <c r="F280" s="74">
        <f>+VLOOKUP(C280,TbAlquiler[],13,FALSE)</f>
        <v>0</v>
      </c>
      <c r="G280" s="2"/>
      <c r="H280" s="75" t="str">
        <f t="shared" si="8"/>
        <v>AE.8700</v>
      </c>
      <c r="I280" s="59" t="str">
        <f t="shared" si="9"/>
        <v>ok</v>
      </c>
      <c r="J280" s="77">
        <f>IFERROR(VLOOKUP($H280,TG[],3,FALSE),"NA")</f>
        <v>0</v>
      </c>
      <c r="K280" s="77" t="str">
        <f>IFERROR(VLOOKUP($H280,TF[],3,FALSE),"NA")</f>
        <v>NA</v>
      </c>
      <c r="L280" s="77" t="str">
        <f>IFERROR(VLOOKUP($H280,TT[],3,FALSE),"NA")</f>
        <v>NA</v>
      </c>
      <c r="M280" s="77" t="str">
        <f>IFERROR(VLOOKUP($H280,TES[],3,FALSE),"NA")</f>
        <v>NA</v>
      </c>
      <c r="N280" s="77" t="str">
        <f>IFERROR(VLOOKUP($H280,TEC[],3,FALSE),"NA")</f>
        <v>NA</v>
      </c>
      <c r="O280" s="77" t="str">
        <f>IFERROR(VLOOKUP($H280,TP[],3,FALSE),"NA")</f>
        <v>NA</v>
      </c>
      <c r="P280" s="77" t="str">
        <f>IFERROR(VLOOKUP($H280,TEN[],3,FALSE),"NA")</f>
        <v>NA</v>
      </c>
      <c r="Q280" s="77" t="str">
        <f>IFERROR(VLOOKUP($H280,TD[],3,FALSE),"NA")</f>
        <v>NA</v>
      </c>
      <c r="R280" s="77">
        <f>IFERROR(VLOOKUP($H280,TC[],3,FALSE),"NA")</f>
        <v>0</v>
      </c>
      <c r="S280" s="77" t="str">
        <f>IFERROR(VLOOKUP($H280,TEV[],3,FALSE),"NA")</f>
        <v>NA</v>
      </c>
      <c r="T280" s="79">
        <f>SUM(TbAlquiler[[#This Row],[GENERAL]:[ELEVADOR]])</f>
        <v>0</v>
      </c>
      <c r="U280" s="80">
        <f>IF(VLOOKUP(TbAlquiler[[#This Row],[ITEM]],TbPiezas[],5,FALSE)="NA",0,VLOOKUP(TbAlquiler[[#This Row],[ITEM]],TbPiezas[],5,FALSE))</f>
        <v>9.8400000000000034</v>
      </c>
      <c r="V280" s="81">
        <f>+TbAlquiler[[#This Row],[TOTAL]]*TbAlquiler[[#This Row],[P.U. (1)]]</f>
        <v>0</v>
      </c>
      <c r="W280" s="82">
        <f>+VLOOKUP(TbAlquiler[[#This Row],[ITEM]],TbPiezas[],6,FALSE)</f>
        <v>444.68</v>
      </c>
      <c r="X280" s="83">
        <f>+TbAlquiler[[#This Row],[TOTAL]]*TbAlquiler[[#This Row],[P.U. (2)]]</f>
        <v>0</v>
      </c>
      <c r="Y280" s="82">
        <f>+VLOOKUP(TbAlquiler[[#This Row],[ITEM]],TbPiezas[],7,FALSE)</f>
        <v>22.234000000000002</v>
      </c>
      <c r="Z280" s="84">
        <f>+TbAlquiler[[#This Row],[TOTAL]]*TbAlquiler[[#This Row],[P.U. (3)]]</f>
        <v>0</v>
      </c>
    </row>
    <row r="281" spans="1:26" ht="15" customHeight="1" x14ac:dyDescent="0.3">
      <c r="A281" s="2"/>
      <c r="B281" s="85">
        <v>265</v>
      </c>
      <c r="C281" s="71" t="s">
        <v>531</v>
      </c>
      <c r="D281" s="72" t="s">
        <v>532</v>
      </c>
      <c r="E281" s="73"/>
      <c r="F281" s="74">
        <f>+VLOOKUP(C281,TbAlquiler[],13,FALSE)</f>
        <v>0</v>
      </c>
      <c r="G281" s="2"/>
      <c r="H281" s="75" t="str">
        <f t="shared" si="8"/>
        <v>AE.8800</v>
      </c>
      <c r="I281" s="59" t="str">
        <f t="shared" si="9"/>
        <v>ok</v>
      </c>
      <c r="J281" s="77">
        <f>IFERROR(VLOOKUP($H281,TG[],3,FALSE),"NA")</f>
        <v>0</v>
      </c>
      <c r="K281" s="77" t="str">
        <f>IFERROR(VLOOKUP($H281,TF[],3,FALSE),"NA")</f>
        <v>NA</v>
      </c>
      <c r="L281" s="77" t="str">
        <f>IFERROR(VLOOKUP($H281,TT[],3,FALSE),"NA")</f>
        <v>NA</v>
      </c>
      <c r="M281" s="77" t="str">
        <f>IFERROR(VLOOKUP($H281,TES[],3,FALSE),"NA")</f>
        <v>NA</v>
      </c>
      <c r="N281" s="77" t="str">
        <f>IFERROR(VLOOKUP($H281,TEC[],3,FALSE),"NA")</f>
        <v>NA</v>
      </c>
      <c r="O281" s="77" t="str">
        <f>IFERROR(VLOOKUP($H281,TP[],3,FALSE),"NA")</f>
        <v>NA</v>
      </c>
      <c r="P281" s="77" t="str">
        <f>IFERROR(VLOOKUP($H281,TEN[],3,FALSE),"NA")</f>
        <v>NA</v>
      </c>
      <c r="Q281" s="77" t="str">
        <f>IFERROR(VLOOKUP($H281,TD[],3,FALSE),"NA")</f>
        <v>NA</v>
      </c>
      <c r="R281" s="77">
        <f>IFERROR(VLOOKUP($H281,TC[],3,FALSE),"NA")</f>
        <v>0</v>
      </c>
      <c r="S281" s="77" t="str">
        <f>IFERROR(VLOOKUP($H281,TEV[],3,FALSE),"NA")</f>
        <v>NA</v>
      </c>
      <c r="T281" s="79">
        <f>SUM(TbAlquiler[[#This Row],[GENERAL]:[ELEVADOR]])</f>
        <v>0</v>
      </c>
      <c r="U281" s="80">
        <f>IF(VLOOKUP(TbAlquiler[[#This Row],[ITEM]],TbPiezas[],5,FALSE)="NA",0,VLOOKUP(TbAlquiler[[#This Row],[ITEM]],TbPiezas[],5,FALSE))</f>
        <v>8.61</v>
      </c>
      <c r="V281" s="81">
        <f>+TbAlquiler[[#This Row],[TOTAL]]*TbAlquiler[[#This Row],[P.U. (1)]]</f>
        <v>0</v>
      </c>
      <c r="W281" s="82">
        <f>+VLOOKUP(TbAlquiler[[#This Row],[ITEM]],TbPiezas[],6,FALSE)</f>
        <v>381.15</v>
      </c>
      <c r="X281" s="83">
        <f>+TbAlquiler[[#This Row],[TOTAL]]*TbAlquiler[[#This Row],[P.U. (2)]]</f>
        <v>0</v>
      </c>
      <c r="Y281" s="82">
        <f>+VLOOKUP(TbAlquiler[[#This Row],[ITEM]],TbPiezas[],7,FALSE)</f>
        <v>19.057500000000001</v>
      </c>
      <c r="Z281" s="84">
        <f>+TbAlquiler[[#This Row],[TOTAL]]*TbAlquiler[[#This Row],[P.U. (3)]]</f>
        <v>0</v>
      </c>
    </row>
    <row r="282" spans="1:26" ht="15" customHeight="1" x14ac:dyDescent="0.3">
      <c r="A282" s="2"/>
      <c r="B282" s="85">
        <v>266</v>
      </c>
      <c r="C282" s="71" t="s">
        <v>533</v>
      </c>
      <c r="D282" s="72" t="s">
        <v>534</v>
      </c>
      <c r="E282" s="73"/>
      <c r="F282" s="74">
        <f>+VLOOKUP(C282,TbAlquiler[],13,FALSE)</f>
        <v>0</v>
      </c>
      <c r="G282" s="2"/>
      <c r="H282" s="75" t="str">
        <f t="shared" si="8"/>
        <v>AE.8900</v>
      </c>
      <c r="I282" s="59" t="str">
        <f t="shared" si="9"/>
        <v>ok</v>
      </c>
      <c r="J282" s="77">
        <f>IFERROR(VLOOKUP($H282,TG[],3,FALSE),"NA")</f>
        <v>0</v>
      </c>
      <c r="K282" s="77" t="str">
        <f>IFERROR(VLOOKUP($H282,TF[],3,FALSE),"NA")</f>
        <v>NA</v>
      </c>
      <c r="L282" s="77" t="str">
        <f>IFERROR(VLOOKUP($H282,TT[],3,FALSE),"NA")</f>
        <v>NA</v>
      </c>
      <c r="M282" s="77" t="str">
        <f>IFERROR(VLOOKUP($H282,TES[],3,FALSE),"NA")</f>
        <v>NA</v>
      </c>
      <c r="N282" s="77" t="str">
        <f>IFERROR(VLOOKUP($H282,TEC[],3,FALSE),"NA")</f>
        <v>NA</v>
      </c>
      <c r="O282" s="77" t="str">
        <f>IFERROR(VLOOKUP($H282,TP[],3,FALSE),"NA")</f>
        <v>NA</v>
      </c>
      <c r="P282" s="77" t="str">
        <f>IFERROR(VLOOKUP($H282,TEN[],3,FALSE),"NA")</f>
        <v>NA</v>
      </c>
      <c r="Q282" s="77" t="str">
        <f>IFERROR(VLOOKUP($H282,TD[],3,FALSE),"NA")</f>
        <v>NA</v>
      </c>
      <c r="R282" s="77">
        <f>IFERROR(VLOOKUP($H282,TC[],3,FALSE),"NA")</f>
        <v>0</v>
      </c>
      <c r="S282" s="77" t="str">
        <f>IFERROR(VLOOKUP($H282,TEV[],3,FALSE),"NA")</f>
        <v>NA</v>
      </c>
      <c r="T282" s="79">
        <f>SUM(TbAlquiler[[#This Row],[GENERAL]:[ELEVADOR]])</f>
        <v>0</v>
      </c>
      <c r="U282" s="80">
        <f>IF(VLOOKUP(TbAlquiler[[#This Row],[ITEM]],TbPiezas[],5,FALSE)="NA",0,VLOOKUP(TbAlquiler[[#This Row],[ITEM]],TbPiezas[],5,FALSE))</f>
        <v>7.3799999999999955</v>
      </c>
      <c r="V282" s="81">
        <f>+TbAlquiler[[#This Row],[TOTAL]]*TbAlquiler[[#This Row],[P.U. (1)]]</f>
        <v>0</v>
      </c>
      <c r="W282" s="82">
        <f>+VLOOKUP(TbAlquiler[[#This Row],[ITEM]],TbPiezas[],6,FALSE)</f>
        <v>317.63</v>
      </c>
      <c r="X282" s="83">
        <f>+TbAlquiler[[#This Row],[TOTAL]]*TbAlquiler[[#This Row],[P.U. (2)]]</f>
        <v>0</v>
      </c>
      <c r="Y282" s="82">
        <f>+VLOOKUP(TbAlquiler[[#This Row],[ITEM]],TbPiezas[],7,FALSE)</f>
        <v>15.881500000000001</v>
      </c>
      <c r="Z282" s="84">
        <f>+TbAlquiler[[#This Row],[TOTAL]]*TbAlquiler[[#This Row],[P.U. (3)]]</f>
        <v>0</v>
      </c>
    </row>
    <row r="283" spans="1:26" ht="15" customHeight="1" x14ac:dyDescent="0.3">
      <c r="A283" s="2"/>
      <c r="B283" s="85">
        <v>267</v>
      </c>
      <c r="C283" s="71" t="s">
        <v>535</v>
      </c>
      <c r="D283" s="72" t="s">
        <v>536</v>
      </c>
      <c r="E283" s="73"/>
      <c r="F283" s="74">
        <f>+VLOOKUP(C283,TbAlquiler[],13,FALSE)</f>
        <v>0</v>
      </c>
      <c r="G283" s="2"/>
      <c r="H283" s="75" t="str">
        <f t="shared" si="8"/>
        <v>AE.9000</v>
      </c>
      <c r="I283" s="59" t="str">
        <f t="shared" si="9"/>
        <v>ok</v>
      </c>
      <c r="J283" s="77">
        <f>IFERROR(VLOOKUP($H283,TG[],3,FALSE),"NA")</f>
        <v>0</v>
      </c>
      <c r="K283" s="77" t="str">
        <f>IFERROR(VLOOKUP($H283,TF[],3,FALSE),"NA")</f>
        <v>NA</v>
      </c>
      <c r="L283" s="77" t="str">
        <f>IFERROR(VLOOKUP($H283,TT[],3,FALSE),"NA")</f>
        <v>NA</v>
      </c>
      <c r="M283" s="77" t="str">
        <f>IFERROR(VLOOKUP($H283,TES[],3,FALSE),"NA")</f>
        <v>NA</v>
      </c>
      <c r="N283" s="77" t="str">
        <f>IFERROR(VLOOKUP($H283,TEC[],3,FALSE),"NA")</f>
        <v>NA</v>
      </c>
      <c r="O283" s="77" t="str">
        <f>IFERROR(VLOOKUP($H283,TP[],3,FALSE),"NA")</f>
        <v>NA</v>
      </c>
      <c r="P283" s="77" t="str">
        <f>IFERROR(VLOOKUP($H283,TEN[],3,FALSE),"NA")</f>
        <v>NA</v>
      </c>
      <c r="Q283" s="77" t="str">
        <f>IFERROR(VLOOKUP($H283,TD[],3,FALSE),"NA")</f>
        <v>NA</v>
      </c>
      <c r="R283" s="77">
        <f>IFERROR(VLOOKUP($H283,TC[],3,FALSE),"NA")</f>
        <v>0</v>
      </c>
      <c r="S283" s="77" t="str">
        <f>IFERROR(VLOOKUP($H283,TEV[],3,FALSE),"NA")</f>
        <v>NA</v>
      </c>
      <c r="T283" s="79">
        <f>SUM(TbAlquiler[[#This Row],[GENERAL]:[ELEVADOR]])</f>
        <v>0</v>
      </c>
      <c r="U283" s="80">
        <f>IF(VLOOKUP(TbAlquiler[[#This Row],[ITEM]],TbPiezas[],5,FALSE)="NA",0,VLOOKUP(TbAlquiler[[#This Row],[ITEM]],TbPiezas[],5,FALSE))</f>
        <v>20</v>
      </c>
      <c r="V283" s="81">
        <f>+TbAlquiler[[#This Row],[TOTAL]]*TbAlquiler[[#This Row],[P.U. (1)]]</f>
        <v>0</v>
      </c>
      <c r="W283" s="82">
        <f>+VLOOKUP(TbAlquiler[[#This Row],[ITEM]],TbPiezas[],6,FALSE)</f>
        <v>635.25</v>
      </c>
      <c r="X283" s="83">
        <f>+TbAlquiler[[#This Row],[TOTAL]]*TbAlquiler[[#This Row],[P.U. (2)]]</f>
        <v>0</v>
      </c>
      <c r="Y283" s="82">
        <f>+VLOOKUP(TbAlquiler[[#This Row],[ITEM]],TbPiezas[],7,FALSE)</f>
        <v>31.762500000000003</v>
      </c>
      <c r="Z283" s="84">
        <f>+TbAlquiler[[#This Row],[TOTAL]]*TbAlquiler[[#This Row],[P.U. (3)]]</f>
        <v>0</v>
      </c>
    </row>
    <row r="284" spans="1:26" ht="15" customHeight="1" x14ac:dyDescent="0.3">
      <c r="A284" s="2"/>
      <c r="B284" s="85">
        <v>268</v>
      </c>
      <c r="C284" s="71" t="s">
        <v>537</v>
      </c>
      <c r="D284" s="72" t="s">
        <v>538</v>
      </c>
      <c r="E284" s="73"/>
      <c r="F284" s="74">
        <f>+VLOOKUP(C284,TbAlquiler[],13,FALSE)</f>
        <v>0</v>
      </c>
      <c r="G284" s="2"/>
      <c r="H284" s="75" t="str">
        <f t="shared" si="8"/>
        <v>AE.9100</v>
      </c>
      <c r="I284" s="59" t="str">
        <f t="shared" si="9"/>
        <v>ok</v>
      </c>
      <c r="J284" s="77">
        <f>IFERROR(VLOOKUP($H284,TG[],3,FALSE),"NA")</f>
        <v>0</v>
      </c>
      <c r="K284" s="77" t="str">
        <f>IFERROR(VLOOKUP($H284,TF[],3,FALSE),"NA")</f>
        <v>NA</v>
      </c>
      <c r="L284" s="77" t="str">
        <f>IFERROR(VLOOKUP($H284,TT[],3,FALSE),"NA")</f>
        <v>NA</v>
      </c>
      <c r="M284" s="77" t="str">
        <f>IFERROR(VLOOKUP($H284,TES[],3,FALSE),"NA")</f>
        <v>NA</v>
      </c>
      <c r="N284" s="77" t="str">
        <f>IFERROR(VLOOKUP($H284,TEC[],3,FALSE),"NA")</f>
        <v>NA</v>
      </c>
      <c r="O284" s="77" t="str">
        <f>IFERROR(VLOOKUP($H284,TP[],3,FALSE),"NA")</f>
        <v>NA</v>
      </c>
      <c r="P284" s="77" t="str">
        <f>IFERROR(VLOOKUP($H284,TEN[],3,FALSE),"NA")</f>
        <v>NA</v>
      </c>
      <c r="Q284" s="77" t="str">
        <f>IFERROR(VLOOKUP($H284,TD[],3,FALSE),"NA")</f>
        <v>NA</v>
      </c>
      <c r="R284" s="77">
        <f>IFERROR(VLOOKUP($H284,TC[],3,FALSE),"NA")</f>
        <v>0</v>
      </c>
      <c r="S284" s="77" t="str">
        <f>IFERROR(VLOOKUP($H284,TEV[],3,FALSE),"NA")</f>
        <v>NA</v>
      </c>
      <c r="T284" s="79">
        <f>SUM(TbAlquiler[[#This Row],[GENERAL]:[ELEVADOR]])</f>
        <v>0</v>
      </c>
      <c r="U284" s="80">
        <f>IF(VLOOKUP(TbAlquiler[[#This Row],[ITEM]],TbPiezas[],5,FALSE)="NA",0,VLOOKUP(TbAlquiler[[#This Row],[ITEM]],TbPiezas[],5,FALSE))</f>
        <v>16</v>
      </c>
      <c r="V284" s="81">
        <f>+TbAlquiler[[#This Row],[TOTAL]]*TbAlquiler[[#This Row],[P.U. (1)]]</f>
        <v>0</v>
      </c>
      <c r="W284" s="82">
        <f>+VLOOKUP(TbAlquiler[[#This Row],[ITEM]],TbPiezas[],6,FALSE)</f>
        <v>508.2</v>
      </c>
      <c r="X284" s="83">
        <f>+TbAlquiler[[#This Row],[TOTAL]]*TbAlquiler[[#This Row],[P.U. (2)]]</f>
        <v>0</v>
      </c>
      <c r="Y284" s="82">
        <f>+VLOOKUP(TbAlquiler[[#This Row],[ITEM]],TbPiezas[],7,FALSE)</f>
        <v>25.41</v>
      </c>
      <c r="Z284" s="84">
        <f>+TbAlquiler[[#This Row],[TOTAL]]*TbAlquiler[[#This Row],[P.U. (3)]]</f>
        <v>0</v>
      </c>
    </row>
    <row r="285" spans="1:26" ht="15" customHeight="1" x14ac:dyDescent="0.3">
      <c r="A285" s="2"/>
      <c r="B285" s="85">
        <v>269</v>
      </c>
      <c r="C285" s="71" t="s">
        <v>539</v>
      </c>
      <c r="D285" s="72" t="s">
        <v>540</v>
      </c>
      <c r="E285" s="73"/>
      <c r="F285" s="74">
        <f>+VLOOKUP(C285,TbAlquiler[],13,FALSE)</f>
        <v>0</v>
      </c>
      <c r="G285" s="2"/>
      <c r="H285" s="75" t="str">
        <f t="shared" si="8"/>
        <v>AE.9200</v>
      </c>
      <c r="I285" s="59" t="str">
        <f t="shared" si="9"/>
        <v>ok</v>
      </c>
      <c r="J285" s="77">
        <f>IFERROR(VLOOKUP($H285,TG[],3,FALSE),"NA")</f>
        <v>0</v>
      </c>
      <c r="K285" s="77" t="str">
        <f>IFERROR(VLOOKUP($H285,TF[],3,FALSE),"NA")</f>
        <v>NA</v>
      </c>
      <c r="L285" s="77" t="str">
        <f>IFERROR(VLOOKUP($H285,TT[],3,FALSE),"NA")</f>
        <v>NA</v>
      </c>
      <c r="M285" s="77" t="str">
        <f>IFERROR(VLOOKUP($H285,TES[],3,FALSE),"NA")</f>
        <v>NA</v>
      </c>
      <c r="N285" s="77" t="str">
        <f>IFERROR(VLOOKUP($H285,TEC[],3,FALSE),"NA")</f>
        <v>NA</v>
      </c>
      <c r="O285" s="77" t="str">
        <f>IFERROR(VLOOKUP($H285,TP[],3,FALSE),"NA")</f>
        <v>NA</v>
      </c>
      <c r="P285" s="77" t="str">
        <f>IFERROR(VLOOKUP($H285,TEN[],3,FALSE),"NA")</f>
        <v>NA</v>
      </c>
      <c r="Q285" s="77" t="str">
        <f>IFERROR(VLOOKUP($H285,TD[],3,FALSE),"NA")</f>
        <v>NA</v>
      </c>
      <c r="R285" s="77">
        <f>IFERROR(VLOOKUP($H285,TC[],3,FALSE),"NA")</f>
        <v>0</v>
      </c>
      <c r="S285" s="77" t="str">
        <f>IFERROR(VLOOKUP($H285,TEV[],3,FALSE),"NA")</f>
        <v>NA</v>
      </c>
      <c r="T285" s="79">
        <f>SUM(TbAlquiler[[#This Row],[GENERAL]:[ELEVADOR]])</f>
        <v>0</v>
      </c>
      <c r="U285" s="80">
        <f>IF(VLOOKUP(TbAlquiler[[#This Row],[ITEM]],TbPiezas[],5,FALSE)="NA",0,VLOOKUP(TbAlquiler[[#This Row],[ITEM]],TbPiezas[],5,FALSE))</f>
        <v>15</v>
      </c>
      <c r="V285" s="81">
        <f>+TbAlquiler[[#This Row],[TOTAL]]*TbAlquiler[[#This Row],[P.U. (1)]]</f>
        <v>0</v>
      </c>
      <c r="W285" s="82">
        <f>+VLOOKUP(TbAlquiler[[#This Row],[ITEM]],TbPiezas[],6,FALSE)</f>
        <v>444.68</v>
      </c>
      <c r="X285" s="83">
        <f>+TbAlquiler[[#This Row],[TOTAL]]*TbAlquiler[[#This Row],[P.U. (2)]]</f>
        <v>0</v>
      </c>
      <c r="Y285" s="82">
        <f>+VLOOKUP(TbAlquiler[[#This Row],[ITEM]],TbPiezas[],7,FALSE)</f>
        <v>22.234000000000002</v>
      </c>
      <c r="Z285" s="84">
        <f>+TbAlquiler[[#This Row],[TOTAL]]*TbAlquiler[[#This Row],[P.U. (3)]]</f>
        <v>0</v>
      </c>
    </row>
    <row r="286" spans="1:26" ht="15" customHeight="1" x14ac:dyDescent="0.3">
      <c r="A286" s="2"/>
      <c r="B286" s="85">
        <v>270</v>
      </c>
      <c r="C286" s="71" t="s">
        <v>541</v>
      </c>
      <c r="D286" s="72" t="s">
        <v>542</v>
      </c>
      <c r="E286" s="73"/>
      <c r="F286" s="74">
        <f>+VLOOKUP(C286,TbAlquiler[],13,FALSE)</f>
        <v>0</v>
      </c>
      <c r="G286" s="2"/>
      <c r="H286" s="75" t="str">
        <f t="shared" si="8"/>
        <v>AE.9300</v>
      </c>
      <c r="I286" s="59" t="str">
        <f t="shared" si="9"/>
        <v>ok</v>
      </c>
      <c r="J286" s="77">
        <f>IFERROR(VLOOKUP($H286,TG[],3,FALSE),"NA")</f>
        <v>0</v>
      </c>
      <c r="K286" s="77" t="str">
        <f>IFERROR(VLOOKUP($H286,TF[],3,FALSE),"NA")</f>
        <v>NA</v>
      </c>
      <c r="L286" s="77" t="str">
        <f>IFERROR(VLOOKUP($H286,TT[],3,FALSE),"NA")</f>
        <v>NA</v>
      </c>
      <c r="M286" s="77" t="str">
        <f>IFERROR(VLOOKUP($H286,TES[],3,FALSE),"NA")</f>
        <v>NA</v>
      </c>
      <c r="N286" s="77" t="str">
        <f>IFERROR(VLOOKUP($H286,TEC[],3,FALSE),"NA")</f>
        <v>NA</v>
      </c>
      <c r="O286" s="77" t="str">
        <f>IFERROR(VLOOKUP($H286,TP[],3,FALSE),"NA")</f>
        <v>NA</v>
      </c>
      <c r="P286" s="77" t="str">
        <f>IFERROR(VLOOKUP($H286,TEN[],3,FALSE),"NA")</f>
        <v>NA</v>
      </c>
      <c r="Q286" s="77" t="str">
        <f>IFERROR(VLOOKUP($H286,TD[],3,FALSE),"NA")</f>
        <v>NA</v>
      </c>
      <c r="R286" s="77">
        <f>IFERROR(VLOOKUP($H286,TC[],3,FALSE),"NA")</f>
        <v>0</v>
      </c>
      <c r="S286" s="77" t="str">
        <f>IFERROR(VLOOKUP($H286,TEV[],3,FALSE),"NA")</f>
        <v>NA</v>
      </c>
      <c r="T286" s="79">
        <f>SUM(TbAlquiler[[#This Row],[GENERAL]:[ELEVADOR]])</f>
        <v>0</v>
      </c>
      <c r="U286" s="80">
        <f>IF(VLOOKUP(TbAlquiler[[#This Row],[ITEM]],TbPiezas[],5,FALSE)="NA",0,VLOOKUP(TbAlquiler[[#This Row],[ITEM]],TbPiezas[],5,FALSE))</f>
        <v>12</v>
      </c>
      <c r="V286" s="81">
        <f>+TbAlquiler[[#This Row],[TOTAL]]*TbAlquiler[[#This Row],[P.U. (1)]]</f>
        <v>0</v>
      </c>
      <c r="W286" s="82">
        <f>+VLOOKUP(TbAlquiler[[#This Row],[ITEM]],TbPiezas[],6,FALSE)</f>
        <v>381.15</v>
      </c>
      <c r="X286" s="83">
        <f>+TbAlquiler[[#This Row],[TOTAL]]*TbAlquiler[[#This Row],[P.U. (2)]]</f>
        <v>0</v>
      </c>
      <c r="Y286" s="82">
        <f>+VLOOKUP(TbAlquiler[[#This Row],[ITEM]],TbPiezas[],7,FALSE)</f>
        <v>19.057500000000001</v>
      </c>
      <c r="Z286" s="84">
        <f>+TbAlquiler[[#This Row],[TOTAL]]*TbAlquiler[[#This Row],[P.U. (3)]]</f>
        <v>0</v>
      </c>
    </row>
    <row r="287" spans="1:26" ht="15" customHeight="1" x14ac:dyDescent="0.3">
      <c r="A287" s="2"/>
      <c r="B287" s="85">
        <v>271</v>
      </c>
      <c r="C287" s="71" t="s">
        <v>543</v>
      </c>
      <c r="D287" s="72" t="s">
        <v>544</v>
      </c>
      <c r="E287" s="73"/>
      <c r="F287" s="74">
        <f>+VLOOKUP(C287,TbAlquiler[],13,FALSE)</f>
        <v>0</v>
      </c>
      <c r="G287" s="2"/>
      <c r="H287" s="75" t="str">
        <f t="shared" si="8"/>
        <v>AE.9400</v>
      </c>
      <c r="I287" s="59" t="str">
        <f t="shared" si="9"/>
        <v>ok</v>
      </c>
      <c r="J287" s="77">
        <f>IFERROR(VLOOKUP($H287,TG[],3,FALSE),"NA")</f>
        <v>0</v>
      </c>
      <c r="K287" s="77" t="str">
        <f>IFERROR(VLOOKUP($H287,TF[],3,FALSE),"NA")</f>
        <v>NA</v>
      </c>
      <c r="L287" s="77" t="str">
        <f>IFERROR(VLOOKUP($H287,TT[],3,FALSE),"NA")</f>
        <v>NA</v>
      </c>
      <c r="M287" s="77" t="str">
        <f>IFERROR(VLOOKUP($H287,TES[],3,FALSE),"NA")</f>
        <v>NA</v>
      </c>
      <c r="N287" s="77" t="str">
        <f>IFERROR(VLOOKUP($H287,TEC[],3,FALSE),"NA")</f>
        <v>NA</v>
      </c>
      <c r="O287" s="77" t="str">
        <f>IFERROR(VLOOKUP($H287,TP[],3,FALSE),"NA")</f>
        <v>NA</v>
      </c>
      <c r="P287" s="77" t="str">
        <f>IFERROR(VLOOKUP($H287,TEN[],3,FALSE),"NA")</f>
        <v>NA</v>
      </c>
      <c r="Q287" s="77" t="str">
        <f>IFERROR(VLOOKUP($H287,TD[],3,FALSE),"NA")</f>
        <v>NA</v>
      </c>
      <c r="R287" s="77">
        <f>IFERROR(VLOOKUP($H287,TC[],3,FALSE),"NA")</f>
        <v>0</v>
      </c>
      <c r="S287" s="77" t="str">
        <f>IFERROR(VLOOKUP($H287,TEV[],3,FALSE),"NA")</f>
        <v>NA</v>
      </c>
      <c r="T287" s="79">
        <f>SUM(TbAlquiler[[#This Row],[GENERAL]:[ELEVADOR]])</f>
        <v>0</v>
      </c>
      <c r="U287" s="80">
        <f>IF(VLOOKUP(TbAlquiler[[#This Row],[ITEM]],TbPiezas[],5,FALSE)="NA",0,VLOOKUP(TbAlquiler[[#This Row],[ITEM]],TbPiezas[],5,FALSE))</f>
        <v>10</v>
      </c>
      <c r="V287" s="81">
        <f>+TbAlquiler[[#This Row],[TOTAL]]*TbAlquiler[[#This Row],[P.U. (1)]]</f>
        <v>0</v>
      </c>
      <c r="W287" s="82">
        <f>+VLOOKUP(TbAlquiler[[#This Row],[ITEM]],TbPiezas[],6,FALSE)</f>
        <v>317.63</v>
      </c>
      <c r="X287" s="83">
        <f>+TbAlquiler[[#This Row],[TOTAL]]*TbAlquiler[[#This Row],[P.U. (2)]]</f>
        <v>0</v>
      </c>
      <c r="Y287" s="82">
        <f>+VLOOKUP(TbAlquiler[[#This Row],[ITEM]],TbPiezas[],7,FALSE)</f>
        <v>15.881500000000001</v>
      </c>
      <c r="Z287" s="84">
        <f>+TbAlquiler[[#This Row],[TOTAL]]*TbAlquiler[[#This Row],[P.U. (3)]]</f>
        <v>0</v>
      </c>
    </row>
    <row r="288" spans="1:26" ht="15" customHeight="1" x14ac:dyDescent="0.3">
      <c r="A288" s="2"/>
      <c r="B288" s="85">
        <v>272</v>
      </c>
      <c r="C288" s="71" t="s">
        <v>545</v>
      </c>
      <c r="D288" s="72" t="s">
        <v>546</v>
      </c>
      <c r="E288" s="73"/>
      <c r="F288" s="74">
        <f>+VLOOKUP(C288,TbAlquiler[],13,FALSE)</f>
        <v>0</v>
      </c>
      <c r="G288" s="2"/>
      <c r="H288" s="75" t="str">
        <f t="shared" si="8"/>
        <v>AE.9500</v>
      </c>
      <c r="I288" s="59" t="str">
        <f t="shared" si="9"/>
        <v>ok</v>
      </c>
      <c r="J288" s="77">
        <f>IFERROR(VLOOKUP($H288,TG[],3,FALSE),"NA")</f>
        <v>0</v>
      </c>
      <c r="K288" s="77" t="str">
        <f>IFERROR(VLOOKUP($H288,TF[],3,FALSE),"NA")</f>
        <v>NA</v>
      </c>
      <c r="L288" s="77" t="str">
        <f>IFERROR(VLOOKUP($H288,TT[],3,FALSE),"NA")</f>
        <v>NA</v>
      </c>
      <c r="M288" s="77" t="str">
        <f>IFERROR(VLOOKUP($H288,TES[],3,FALSE),"NA")</f>
        <v>NA</v>
      </c>
      <c r="N288" s="77" t="str">
        <f>IFERROR(VLOOKUP($H288,TEC[],3,FALSE),"NA")</f>
        <v>NA</v>
      </c>
      <c r="O288" s="77" t="str">
        <f>IFERROR(VLOOKUP($H288,TP[],3,FALSE),"NA")</f>
        <v>NA</v>
      </c>
      <c r="P288" s="77" t="str">
        <f>IFERROR(VLOOKUP($H288,TEN[],3,FALSE),"NA")</f>
        <v>NA</v>
      </c>
      <c r="Q288" s="77" t="str">
        <f>IFERROR(VLOOKUP($H288,TD[],3,FALSE),"NA")</f>
        <v>NA</v>
      </c>
      <c r="R288" s="77">
        <f>IFERROR(VLOOKUP($H288,TC[],3,FALSE),"NA")</f>
        <v>0</v>
      </c>
      <c r="S288" s="77" t="str">
        <f>IFERROR(VLOOKUP($H288,TEV[],3,FALSE),"NA")</f>
        <v>NA</v>
      </c>
      <c r="T288" s="79">
        <f>SUM(TbAlquiler[[#This Row],[GENERAL]:[ELEVADOR]])</f>
        <v>0</v>
      </c>
      <c r="U288" s="80">
        <f>IF(VLOOKUP(TbAlquiler[[#This Row],[ITEM]],TbPiezas[],5,FALSE)="NA",0,VLOOKUP(TbAlquiler[[#This Row],[ITEM]],TbPiezas[],5,FALSE))</f>
        <v>0.5</v>
      </c>
      <c r="V288" s="81">
        <f>+TbAlquiler[[#This Row],[TOTAL]]*TbAlquiler[[#This Row],[P.U. (1)]]</f>
        <v>0</v>
      </c>
      <c r="W288" s="82">
        <f>+VLOOKUP(TbAlquiler[[#This Row],[ITEM]],TbPiezas[],6,FALSE)</f>
        <v>464.53</v>
      </c>
      <c r="X288" s="83">
        <f>+TbAlquiler[[#This Row],[TOTAL]]*TbAlquiler[[#This Row],[P.U. (2)]]</f>
        <v>0</v>
      </c>
      <c r="Y288" s="82">
        <f>+VLOOKUP(TbAlquiler[[#This Row],[ITEM]],TbPiezas[],7,FALSE)</f>
        <v>23.226500000000001</v>
      </c>
      <c r="Z288" s="84">
        <f>+TbAlquiler[[#This Row],[TOTAL]]*TbAlquiler[[#This Row],[P.U. (3)]]</f>
        <v>0</v>
      </c>
    </row>
    <row r="289" spans="1:26" ht="15" customHeight="1" x14ac:dyDescent="0.3">
      <c r="A289" s="2"/>
      <c r="B289" s="85">
        <v>273</v>
      </c>
      <c r="C289" s="71" t="s">
        <v>547</v>
      </c>
      <c r="D289" s="72" t="s">
        <v>548</v>
      </c>
      <c r="E289" s="73"/>
      <c r="F289" s="74">
        <f>+VLOOKUP(C289,TbAlquiler[],13,FALSE)</f>
        <v>0</v>
      </c>
      <c r="G289" s="2"/>
      <c r="H289" s="75" t="str">
        <f t="shared" si="8"/>
        <v>AE.9600</v>
      </c>
      <c r="I289" s="59" t="str">
        <f t="shared" si="9"/>
        <v>ok</v>
      </c>
      <c r="J289" s="77">
        <f>IFERROR(VLOOKUP($H289,TG[],3,FALSE),"NA")</f>
        <v>0</v>
      </c>
      <c r="K289" s="77" t="str">
        <f>IFERROR(VLOOKUP($H289,TF[],3,FALSE),"NA")</f>
        <v>NA</v>
      </c>
      <c r="L289" s="77" t="str">
        <f>IFERROR(VLOOKUP($H289,TT[],3,FALSE),"NA")</f>
        <v>NA</v>
      </c>
      <c r="M289" s="77" t="str">
        <f>IFERROR(VLOOKUP($H289,TES[],3,FALSE),"NA")</f>
        <v>NA</v>
      </c>
      <c r="N289" s="77" t="str">
        <f>IFERROR(VLOOKUP($H289,TEC[],3,FALSE),"NA")</f>
        <v>NA</v>
      </c>
      <c r="O289" s="77" t="str">
        <f>IFERROR(VLOOKUP($H289,TP[],3,FALSE),"NA")</f>
        <v>NA</v>
      </c>
      <c r="P289" s="77" t="str">
        <f>IFERROR(VLOOKUP($H289,TEN[],3,FALSE),"NA")</f>
        <v>NA</v>
      </c>
      <c r="Q289" s="77" t="str">
        <f>IFERROR(VLOOKUP($H289,TD[],3,FALSE),"NA")</f>
        <v>NA</v>
      </c>
      <c r="R289" s="77">
        <f>IFERROR(VLOOKUP($H289,TC[],3,FALSE),"NA")</f>
        <v>0</v>
      </c>
      <c r="S289" s="77" t="str">
        <f>IFERROR(VLOOKUP($H289,TEV[],3,FALSE),"NA")</f>
        <v>NA</v>
      </c>
      <c r="T289" s="79">
        <f>SUM(TbAlquiler[[#This Row],[GENERAL]:[ELEVADOR]])</f>
        <v>0</v>
      </c>
      <c r="U289" s="80">
        <f>IF(VLOOKUP(TbAlquiler[[#This Row],[ITEM]],TbPiezas[],5,FALSE)="NA",0,VLOOKUP(TbAlquiler[[#This Row],[ITEM]],TbPiezas[],5,FALSE))</f>
        <v>0.5</v>
      </c>
      <c r="V289" s="81">
        <f>+TbAlquiler[[#This Row],[TOTAL]]*TbAlquiler[[#This Row],[P.U. (1)]]</f>
        <v>0</v>
      </c>
      <c r="W289" s="82">
        <f>+VLOOKUP(TbAlquiler[[#This Row],[ITEM]],TbPiezas[],6,FALSE)</f>
        <v>464.53</v>
      </c>
      <c r="X289" s="83">
        <f>+TbAlquiler[[#This Row],[TOTAL]]*TbAlquiler[[#This Row],[P.U. (2)]]</f>
        <v>0</v>
      </c>
      <c r="Y289" s="82">
        <f>+VLOOKUP(TbAlquiler[[#This Row],[ITEM]],TbPiezas[],7,FALSE)</f>
        <v>23.226500000000001</v>
      </c>
      <c r="Z289" s="84">
        <f>+TbAlquiler[[#This Row],[TOTAL]]*TbAlquiler[[#This Row],[P.U. (3)]]</f>
        <v>0</v>
      </c>
    </row>
    <row r="290" spans="1:26" ht="15" customHeight="1" x14ac:dyDescent="0.3">
      <c r="A290" s="2"/>
      <c r="B290" s="85">
        <v>274</v>
      </c>
      <c r="C290" s="71" t="s">
        <v>549</v>
      </c>
      <c r="D290" s="72" t="s">
        <v>550</v>
      </c>
      <c r="E290" s="73"/>
      <c r="F290" s="74">
        <f>+VLOOKUP(C290,TbAlquiler[],13,FALSE)</f>
        <v>0</v>
      </c>
      <c r="G290" s="2"/>
      <c r="H290" s="75" t="str">
        <f t="shared" si="8"/>
        <v>AE.9700</v>
      </c>
      <c r="I290" s="59" t="str">
        <f t="shared" si="9"/>
        <v>ok</v>
      </c>
      <c r="J290" s="77">
        <f>IFERROR(VLOOKUP($H290,TG[],3,FALSE),"NA")</f>
        <v>0</v>
      </c>
      <c r="K290" s="77" t="str">
        <f>IFERROR(VLOOKUP($H290,TF[],3,FALSE),"NA")</f>
        <v>NA</v>
      </c>
      <c r="L290" s="77" t="str">
        <f>IFERROR(VLOOKUP($H290,TT[],3,FALSE),"NA")</f>
        <v>NA</v>
      </c>
      <c r="M290" s="77" t="str">
        <f>IFERROR(VLOOKUP($H290,TES[],3,FALSE),"NA")</f>
        <v>NA</v>
      </c>
      <c r="N290" s="77" t="str">
        <f>IFERROR(VLOOKUP($H290,TEC[],3,FALSE),"NA")</f>
        <v>NA</v>
      </c>
      <c r="O290" s="77" t="str">
        <f>IFERROR(VLOOKUP($H290,TP[],3,FALSE),"NA")</f>
        <v>NA</v>
      </c>
      <c r="P290" s="77" t="str">
        <f>IFERROR(VLOOKUP($H290,TEN[],3,FALSE),"NA")</f>
        <v>NA</v>
      </c>
      <c r="Q290" s="77" t="str">
        <f>IFERROR(VLOOKUP($H290,TD[],3,FALSE),"NA")</f>
        <v>NA</v>
      </c>
      <c r="R290" s="77">
        <f>IFERROR(VLOOKUP($H290,TC[],3,FALSE),"NA")</f>
        <v>0</v>
      </c>
      <c r="S290" s="77" t="str">
        <f>IFERROR(VLOOKUP($H290,TEV[],3,FALSE),"NA")</f>
        <v>NA</v>
      </c>
      <c r="T290" s="79">
        <f>SUM(TbAlquiler[[#This Row],[GENERAL]:[ELEVADOR]])</f>
        <v>0</v>
      </c>
      <c r="U290" s="80">
        <f>IF(VLOOKUP(TbAlquiler[[#This Row],[ITEM]],TbPiezas[],5,FALSE)="NA",0,VLOOKUP(TbAlquiler[[#This Row],[ITEM]],TbPiezas[],5,FALSE))</f>
        <v>0.5</v>
      </c>
      <c r="V290" s="81">
        <f>+TbAlquiler[[#This Row],[TOTAL]]*TbAlquiler[[#This Row],[P.U. (1)]]</f>
        <v>0</v>
      </c>
      <c r="W290" s="82">
        <f>+VLOOKUP(TbAlquiler[[#This Row],[ITEM]],TbPiezas[],6,FALSE)</f>
        <v>464.53</v>
      </c>
      <c r="X290" s="83">
        <f>+TbAlquiler[[#This Row],[TOTAL]]*TbAlquiler[[#This Row],[P.U. (2)]]</f>
        <v>0</v>
      </c>
      <c r="Y290" s="82">
        <f>+VLOOKUP(TbAlquiler[[#This Row],[ITEM]],TbPiezas[],7,FALSE)</f>
        <v>23.226500000000001</v>
      </c>
      <c r="Z290" s="84">
        <f>+TbAlquiler[[#This Row],[TOTAL]]*TbAlquiler[[#This Row],[P.U. (3)]]</f>
        <v>0</v>
      </c>
    </row>
    <row r="291" spans="1:26" ht="15" customHeight="1" x14ac:dyDescent="0.3">
      <c r="A291" s="2"/>
      <c r="B291" s="85">
        <v>275</v>
      </c>
      <c r="C291" s="71" t="s">
        <v>551</v>
      </c>
      <c r="D291" s="72" t="s">
        <v>552</v>
      </c>
      <c r="E291" s="73"/>
      <c r="F291" s="74">
        <f>+VLOOKUP(C291,TbAlquiler[],13,FALSE)</f>
        <v>0</v>
      </c>
      <c r="G291" s="2"/>
      <c r="H291" s="75" t="str">
        <f t="shared" si="8"/>
        <v>AE.9800</v>
      </c>
      <c r="I291" s="59" t="str">
        <f t="shared" si="9"/>
        <v>ok</v>
      </c>
      <c r="J291" s="77">
        <f>IFERROR(VLOOKUP($H291,TG[],3,FALSE),"NA")</f>
        <v>0</v>
      </c>
      <c r="K291" s="77" t="str">
        <f>IFERROR(VLOOKUP($H291,TF[],3,FALSE),"NA")</f>
        <v>NA</v>
      </c>
      <c r="L291" s="77" t="str">
        <f>IFERROR(VLOOKUP($H291,TT[],3,FALSE),"NA")</f>
        <v>NA</v>
      </c>
      <c r="M291" s="77" t="str">
        <f>IFERROR(VLOOKUP($H291,TES[],3,FALSE),"NA")</f>
        <v>NA</v>
      </c>
      <c r="N291" s="77" t="str">
        <f>IFERROR(VLOOKUP($H291,TEC[],3,FALSE),"NA")</f>
        <v>NA</v>
      </c>
      <c r="O291" s="77" t="str">
        <f>IFERROR(VLOOKUP($H291,TP[],3,FALSE),"NA")</f>
        <v>NA</v>
      </c>
      <c r="P291" s="77" t="str">
        <f>IFERROR(VLOOKUP($H291,TEN[],3,FALSE),"NA")</f>
        <v>NA</v>
      </c>
      <c r="Q291" s="77" t="str">
        <f>IFERROR(VLOOKUP($H291,TD[],3,FALSE),"NA")</f>
        <v>NA</v>
      </c>
      <c r="R291" s="77">
        <f>IFERROR(VLOOKUP($H291,TC[],3,FALSE),"NA")</f>
        <v>0</v>
      </c>
      <c r="S291" s="77" t="str">
        <f>IFERROR(VLOOKUP($H291,TEV[],3,FALSE),"NA")</f>
        <v>NA</v>
      </c>
      <c r="T291" s="79">
        <f>SUM(TbAlquiler[[#This Row],[GENERAL]:[ELEVADOR]])</f>
        <v>0</v>
      </c>
      <c r="U291" s="80">
        <f>IF(VLOOKUP(TbAlquiler[[#This Row],[ITEM]],TbPiezas[],5,FALSE)="NA",0,VLOOKUP(TbAlquiler[[#This Row],[ITEM]],TbPiezas[],5,FALSE))</f>
        <v>9.9999999999994316E-2</v>
      </c>
      <c r="V291" s="81">
        <f>+TbAlquiler[[#This Row],[TOTAL]]*TbAlquiler[[#This Row],[P.U. (1)]]</f>
        <v>0</v>
      </c>
      <c r="W291" s="82">
        <f>+VLOOKUP(TbAlquiler[[#This Row],[ITEM]],TbPiezas[],6,FALSE)</f>
        <v>10.16</v>
      </c>
      <c r="X291" s="83">
        <f>+TbAlquiler[[#This Row],[TOTAL]]*TbAlquiler[[#This Row],[P.U. (2)]]</f>
        <v>0</v>
      </c>
      <c r="Y291" s="82">
        <f>+VLOOKUP(TbAlquiler[[#This Row],[ITEM]],TbPiezas[],7,FALSE)</f>
        <v>0.50800000000000001</v>
      </c>
      <c r="Z291" s="84">
        <f>+TbAlquiler[[#This Row],[TOTAL]]*TbAlquiler[[#This Row],[P.U. (3)]]</f>
        <v>0</v>
      </c>
    </row>
    <row r="292" spans="1:26" ht="15" customHeight="1" x14ac:dyDescent="0.3">
      <c r="A292" s="2"/>
      <c r="B292" s="85">
        <v>276</v>
      </c>
      <c r="C292" s="71" t="s">
        <v>553</v>
      </c>
      <c r="D292" s="72" t="s">
        <v>554</v>
      </c>
      <c r="E292" s="73"/>
      <c r="F292" s="74">
        <f>+VLOOKUP(C292,TbAlquiler[],13,FALSE)</f>
        <v>0</v>
      </c>
      <c r="G292" s="2"/>
      <c r="H292" s="75" t="str">
        <f t="shared" si="8"/>
        <v>AE.9900</v>
      </c>
      <c r="I292" s="59" t="str">
        <f t="shared" si="9"/>
        <v>ok</v>
      </c>
      <c r="J292" s="77">
        <f>IFERROR(VLOOKUP($H292,TG[],3,FALSE),"NA")</f>
        <v>0</v>
      </c>
      <c r="K292" s="77" t="str">
        <f>IFERROR(VLOOKUP($H292,TF[],3,FALSE),"NA")</f>
        <v>NA</v>
      </c>
      <c r="L292" s="77" t="str">
        <f>IFERROR(VLOOKUP($H292,TT[],3,FALSE),"NA")</f>
        <v>NA</v>
      </c>
      <c r="M292" s="77" t="str">
        <f>IFERROR(VLOOKUP($H292,TES[],3,FALSE),"NA")</f>
        <v>NA</v>
      </c>
      <c r="N292" s="77" t="str">
        <f>IFERROR(VLOOKUP($H292,TEC[],3,FALSE),"NA")</f>
        <v>NA</v>
      </c>
      <c r="O292" s="77" t="str">
        <f>IFERROR(VLOOKUP($H292,TP[],3,FALSE),"NA")</f>
        <v>NA</v>
      </c>
      <c r="P292" s="77" t="str">
        <f>IFERROR(VLOOKUP($H292,TEN[],3,FALSE),"NA")</f>
        <v>NA</v>
      </c>
      <c r="Q292" s="77" t="str">
        <f>IFERROR(VLOOKUP($H292,TD[],3,FALSE),"NA")</f>
        <v>NA</v>
      </c>
      <c r="R292" s="77">
        <f>IFERROR(VLOOKUP($H292,TC[],3,FALSE),"NA")</f>
        <v>0</v>
      </c>
      <c r="S292" s="77" t="str">
        <f>IFERROR(VLOOKUP($H292,TEV[],3,FALSE),"NA")</f>
        <v>NA</v>
      </c>
      <c r="T292" s="79">
        <f>SUM(TbAlquiler[[#This Row],[GENERAL]:[ELEVADOR]])</f>
        <v>0</v>
      </c>
      <c r="U292" s="80">
        <f>IF(VLOOKUP(TbAlquiler[[#This Row],[ITEM]],TbPiezas[],5,FALSE)="NA",0,VLOOKUP(TbAlquiler[[#This Row],[ITEM]],TbPiezas[],5,FALSE))</f>
        <v>9.9999999999994316E-2</v>
      </c>
      <c r="V292" s="81">
        <f>+TbAlquiler[[#This Row],[TOTAL]]*TbAlquiler[[#This Row],[P.U. (1)]]</f>
        <v>0</v>
      </c>
      <c r="W292" s="82">
        <f>+VLOOKUP(TbAlquiler[[#This Row],[ITEM]],TbPiezas[],6,FALSE)</f>
        <v>10.16</v>
      </c>
      <c r="X292" s="83">
        <f>+TbAlquiler[[#This Row],[TOTAL]]*TbAlquiler[[#This Row],[P.U. (2)]]</f>
        <v>0</v>
      </c>
      <c r="Y292" s="82">
        <f>+VLOOKUP(TbAlquiler[[#This Row],[ITEM]],TbPiezas[],7,FALSE)</f>
        <v>0.50800000000000001</v>
      </c>
      <c r="Z292" s="84">
        <f>+TbAlquiler[[#This Row],[TOTAL]]*TbAlquiler[[#This Row],[P.U. (3)]]</f>
        <v>0</v>
      </c>
    </row>
    <row r="293" spans="1:26" ht="15" customHeight="1" x14ac:dyDescent="0.3">
      <c r="A293" s="2"/>
      <c r="B293" s="85">
        <v>277</v>
      </c>
      <c r="C293" s="71" t="s">
        <v>555</v>
      </c>
      <c r="D293" s="72" t="s">
        <v>556</v>
      </c>
      <c r="E293" s="73"/>
      <c r="F293" s="74">
        <f>+VLOOKUP(C293,TbAlquiler[],13,FALSE)</f>
        <v>0</v>
      </c>
      <c r="G293" s="2"/>
      <c r="H293" s="75" t="str">
        <f t="shared" si="8"/>
        <v>AE.10000</v>
      </c>
      <c r="I293" s="59" t="str">
        <f t="shared" si="9"/>
        <v>ok</v>
      </c>
      <c r="J293" s="77">
        <f>IFERROR(VLOOKUP($H293,TG[],3,FALSE),"NA")</f>
        <v>0</v>
      </c>
      <c r="K293" s="77" t="str">
        <f>IFERROR(VLOOKUP($H293,TF[],3,FALSE),"NA")</f>
        <v>NA</v>
      </c>
      <c r="L293" s="77" t="str">
        <f>IFERROR(VLOOKUP($H293,TT[],3,FALSE),"NA")</f>
        <v>NA</v>
      </c>
      <c r="M293" s="77" t="str">
        <f>IFERROR(VLOOKUP($H293,TES[],3,FALSE),"NA")</f>
        <v>NA</v>
      </c>
      <c r="N293" s="77" t="str">
        <f>IFERROR(VLOOKUP($H293,TEC[],3,FALSE),"NA")</f>
        <v>NA</v>
      </c>
      <c r="O293" s="77" t="str">
        <f>IFERROR(VLOOKUP($H293,TP[],3,FALSE),"NA")</f>
        <v>NA</v>
      </c>
      <c r="P293" s="77" t="str">
        <f>IFERROR(VLOOKUP($H293,TEN[],3,FALSE),"NA")</f>
        <v>NA</v>
      </c>
      <c r="Q293" s="77" t="str">
        <f>IFERROR(VLOOKUP($H293,TD[],3,FALSE),"NA")</f>
        <v>NA</v>
      </c>
      <c r="R293" s="77">
        <f>IFERROR(VLOOKUP($H293,TC[],3,FALSE),"NA")</f>
        <v>0</v>
      </c>
      <c r="S293" s="77" t="str">
        <f>IFERROR(VLOOKUP($H293,TEV[],3,FALSE),"NA")</f>
        <v>NA</v>
      </c>
      <c r="T293" s="79">
        <f>SUM(TbAlquiler[[#This Row],[GENERAL]:[ELEVADOR]])</f>
        <v>0</v>
      </c>
      <c r="U293" s="80">
        <f>IF(VLOOKUP(TbAlquiler[[#This Row],[ITEM]],TbPiezas[],5,FALSE)="NA",0,VLOOKUP(TbAlquiler[[#This Row],[ITEM]],TbPiezas[],5,FALSE))</f>
        <v>9.9999999999994316E-2</v>
      </c>
      <c r="V293" s="81">
        <f>+TbAlquiler[[#This Row],[TOTAL]]*TbAlquiler[[#This Row],[P.U. (1)]]</f>
        <v>0</v>
      </c>
      <c r="W293" s="82">
        <f>+VLOOKUP(TbAlquiler[[#This Row],[ITEM]],TbPiezas[],6,FALSE)</f>
        <v>10.16</v>
      </c>
      <c r="X293" s="83">
        <f>+TbAlquiler[[#This Row],[TOTAL]]*TbAlquiler[[#This Row],[P.U. (2)]]</f>
        <v>0</v>
      </c>
      <c r="Y293" s="82">
        <f>+VLOOKUP(TbAlquiler[[#This Row],[ITEM]],TbPiezas[],7,FALSE)</f>
        <v>0.50800000000000001</v>
      </c>
      <c r="Z293" s="84">
        <f>+TbAlquiler[[#This Row],[TOTAL]]*TbAlquiler[[#This Row],[P.U. (3)]]</f>
        <v>0</v>
      </c>
    </row>
    <row r="294" spans="1:26" ht="15" customHeight="1" x14ac:dyDescent="0.3">
      <c r="A294" s="2"/>
      <c r="B294" s="85">
        <v>278</v>
      </c>
      <c r="C294" s="71" t="s">
        <v>557</v>
      </c>
      <c r="D294" s="72" t="s">
        <v>558</v>
      </c>
      <c r="E294" s="73"/>
      <c r="F294" s="74">
        <f>+VLOOKUP(C294,TbAlquiler[],13,FALSE)</f>
        <v>0</v>
      </c>
      <c r="G294" s="2"/>
      <c r="H294" s="75" t="str">
        <f t="shared" si="8"/>
        <v>AE.10100</v>
      </c>
      <c r="I294" s="59" t="str">
        <f t="shared" si="9"/>
        <v>ok</v>
      </c>
      <c r="J294" s="77">
        <f>IFERROR(VLOOKUP($H294,TG[],3,FALSE),"NA")</f>
        <v>0</v>
      </c>
      <c r="K294" s="77" t="str">
        <f>IFERROR(VLOOKUP($H294,TF[],3,FALSE),"NA")</f>
        <v>NA</v>
      </c>
      <c r="L294" s="77" t="str">
        <f>IFERROR(VLOOKUP($H294,TT[],3,FALSE),"NA")</f>
        <v>NA</v>
      </c>
      <c r="M294" s="77" t="str">
        <f>IFERROR(VLOOKUP($H294,TES[],3,FALSE),"NA")</f>
        <v>NA</v>
      </c>
      <c r="N294" s="77" t="str">
        <f>IFERROR(VLOOKUP($H294,TEC[],3,FALSE),"NA")</f>
        <v>NA</v>
      </c>
      <c r="O294" s="77" t="str">
        <f>IFERROR(VLOOKUP($H294,TP[],3,FALSE),"NA")</f>
        <v>NA</v>
      </c>
      <c r="P294" s="77" t="str">
        <f>IFERROR(VLOOKUP($H294,TEN[],3,FALSE),"NA")</f>
        <v>NA</v>
      </c>
      <c r="Q294" s="77" t="str">
        <f>IFERROR(VLOOKUP($H294,TD[],3,FALSE),"NA")</f>
        <v>NA</v>
      </c>
      <c r="R294" s="77">
        <f>IFERROR(VLOOKUP($H294,TC[],3,FALSE),"NA")</f>
        <v>0</v>
      </c>
      <c r="S294" s="77" t="str">
        <f>IFERROR(VLOOKUP($H294,TEV[],3,FALSE),"NA")</f>
        <v>NA</v>
      </c>
      <c r="T294" s="79">
        <f>SUM(TbAlquiler[[#This Row],[GENERAL]:[ELEVADOR]])</f>
        <v>0</v>
      </c>
      <c r="U294" s="80">
        <f>IF(VLOOKUP(TbAlquiler[[#This Row],[ITEM]],TbPiezas[],5,FALSE)="NA",0,VLOOKUP(TbAlquiler[[#This Row],[ITEM]],TbPiezas[],5,FALSE))</f>
        <v>9.9999999999994316E-2</v>
      </c>
      <c r="V294" s="81">
        <f>+TbAlquiler[[#This Row],[TOTAL]]*TbAlquiler[[#This Row],[P.U. (1)]]</f>
        <v>0</v>
      </c>
      <c r="W294" s="82">
        <f>+VLOOKUP(TbAlquiler[[#This Row],[ITEM]],TbPiezas[],6,FALSE)</f>
        <v>10.16</v>
      </c>
      <c r="X294" s="83">
        <f>+TbAlquiler[[#This Row],[TOTAL]]*TbAlquiler[[#This Row],[P.U. (2)]]</f>
        <v>0</v>
      </c>
      <c r="Y294" s="82">
        <f>+VLOOKUP(TbAlquiler[[#This Row],[ITEM]],TbPiezas[],7,FALSE)</f>
        <v>0.50800000000000001</v>
      </c>
      <c r="Z294" s="84">
        <f>+TbAlquiler[[#This Row],[TOTAL]]*TbAlquiler[[#This Row],[P.U. (3)]]</f>
        <v>0</v>
      </c>
    </row>
    <row r="295" spans="1:26" ht="15" customHeight="1" x14ac:dyDescent="0.3">
      <c r="A295" s="2"/>
      <c r="B295" s="85">
        <v>279</v>
      </c>
      <c r="C295" s="71" t="s">
        <v>559</v>
      </c>
      <c r="D295" s="72" t="s">
        <v>560</v>
      </c>
      <c r="E295" s="73"/>
      <c r="F295" s="74">
        <f>+VLOOKUP(C295,TbAlquiler[],13,FALSE)</f>
        <v>0</v>
      </c>
      <c r="G295" s="2"/>
      <c r="H295" s="75" t="str">
        <f t="shared" si="8"/>
        <v>AE.10200</v>
      </c>
      <c r="I295" s="59" t="str">
        <f t="shared" si="9"/>
        <v>ok</v>
      </c>
      <c r="J295" s="77">
        <f>IFERROR(VLOOKUP($H295,TG[],3,FALSE),"NA")</f>
        <v>0</v>
      </c>
      <c r="K295" s="77" t="str">
        <f>IFERROR(VLOOKUP($H295,TF[],3,FALSE),"NA")</f>
        <v>NA</v>
      </c>
      <c r="L295" s="77" t="str">
        <f>IFERROR(VLOOKUP($H295,TT[],3,FALSE),"NA")</f>
        <v>NA</v>
      </c>
      <c r="M295" s="77" t="str">
        <f>IFERROR(VLOOKUP($H295,TES[],3,FALSE),"NA")</f>
        <v>NA</v>
      </c>
      <c r="N295" s="77" t="str">
        <f>IFERROR(VLOOKUP($H295,TEC[],3,FALSE),"NA")</f>
        <v>NA</v>
      </c>
      <c r="O295" s="77" t="str">
        <f>IFERROR(VLOOKUP($H295,TP[],3,FALSE),"NA")</f>
        <v>NA</v>
      </c>
      <c r="P295" s="77" t="str">
        <f>IFERROR(VLOOKUP($H295,TEN[],3,FALSE),"NA")</f>
        <v>NA</v>
      </c>
      <c r="Q295" s="77" t="str">
        <f>IFERROR(VLOOKUP($H295,TD[],3,FALSE),"NA")</f>
        <v>NA</v>
      </c>
      <c r="R295" s="77">
        <f>IFERROR(VLOOKUP($H295,TC[],3,FALSE),"NA")</f>
        <v>0</v>
      </c>
      <c r="S295" s="77" t="str">
        <f>IFERROR(VLOOKUP($H295,TEV[],3,FALSE),"NA")</f>
        <v>NA</v>
      </c>
      <c r="T295" s="79">
        <f>SUM(TbAlquiler[[#This Row],[GENERAL]:[ELEVADOR]])</f>
        <v>0</v>
      </c>
      <c r="U295" s="80">
        <f>IF(VLOOKUP(TbAlquiler[[#This Row],[ITEM]],TbPiezas[],5,FALSE)="NA",0,VLOOKUP(TbAlquiler[[#This Row],[ITEM]],TbPiezas[],5,FALSE))</f>
        <v>9.9999999999994316E-2</v>
      </c>
      <c r="V295" s="81">
        <f>+TbAlquiler[[#This Row],[TOTAL]]*TbAlquiler[[#This Row],[P.U. (1)]]</f>
        <v>0</v>
      </c>
      <c r="W295" s="82">
        <f>+VLOOKUP(TbAlquiler[[#This Row],[ITEM]],TbPiezas[],6,FALSE)</f>
        <v>10.16</v>
      </c>
      <c r="X295" s="83">
        <f>+TbAlquiler[[#This Row],[TOTAL]]*TbAlquiler[[#This Row],[P.U. (2)]]</f>
        <v>0</v>
      </c>
      <c r="Y295" s="82">
        <f>+VLOOKUP(TbAlquiler[[#This Row],[ITEM]],TbPiezas[],7,FALSE)</f>
        <v>0.50800000000000001</v>
      </c>
      <c r="Z295" s="84">
        <f>+TbAlquiler[[#This Row],[TOTAL]]*TbAlquiler[[#This Row],[P.U. (3)]]</f>
        <v>0</v>
      </c>
    </row>
    <row r="296" spans="1:26" ht="15" customHeight="1" x14ac:dyDescent="0.3">
      <c r="A296" s="2"/>
      <c r="B296" s="85">
        <v>280</v>
      </c>
      <c r="C296" s="71" t="s">
        <v>561</v>
      </c>
      <c r="D296" s="72" t="s">
        <v>562</v>
      </c>
      <c r="E296" s="73"/>
      <c r="F296" s="74">
        <f>+VLOOKUP(C296,TbAlquiler[],13,FALSE)</f>
        <v>0</v>
      </c>
      <c r="G296" s="2"/>
      <c r="H296" s="75" t="str">
        <f t="shared" si="8"/>
        <v>AE.10300</v>
      </c>
      <c r="I296" s="59" t="str">
        <f t="shared" si="9"/>
        <v>ok</v>
      </c>
      <c r="J296" s="77">
        <f>IFERROR(VLOOKUP($H296,TG[],3,FALSE),"NA")</f>
        <v>0</v>
      </c>
      <c r="K296" s="77" t="str">
        <f>IFERROR(VLOOKUP($H296,TF[],3,FALSE),"NA")</f>
        <v>NA</v>
      </c>
      <c r="L296" s="77" t="str">
        <f>IFERROR(VLOOKUP($H296,TT[],3,FALSE),"NA")</f>
        <v>NA</v>
      </c>
      <c r="M296" s="77" t="str">
        <f>IFERROR(VLOOKUP($H296,TES[],3,FALSE),"NA")</f>
        <v>NA</v>
      </c>
      <c r="N296" s="77" t="str">
        <f>IFERROR(VLOOKUP($H296,TEC[],3,FALSE),"NA")</f>
        <v>NA</v>
      </c>
      <c r="O296" s="77" t="str">
        <f>IFERROR(VLOOKUP($H296,TP[],3,FALSE),"NA")</f>
        <v>NA</v>
      </c>
      <c r="P296" s="77" t="str">
        <f>IFERROR(VLOOKUP($H296,TEN[],3,FALSE),"NA")</f>
        <v>NA</v>
      </c>
      <c r="Q296" s="77" t="str">
        <f>IFERROR(VLOOKUP($H296,TD[],3,FALSE),"NA")</f>
        <v>NA</v>
      </c>
      <c r="R296" s="77">
        <f>IFERROR(VLOOKUP($H296,TC[],3,FALSE),"NA")</f>
        <v>0</v>
      </c>
      <c r="S296" s="77" t="str">
        <f>IFERROR(VLOOKUP($H296,TEV[],3,FALSE),"NA")</f>
        <v>NA</v>
      </c>
      <c r="T296" s="79">
        <f>SUM(TbAlquiler[[#This Row],[GENERAL]:[ELEVADOR]])</f>
        <v>0</v>
      </c>
      <c r="U296" s="80">
        <f>IF(VLOOKUP(TbAlquiler[[#This Row],[ITEM]],TbPiezas[],5,FALSE)="NA",0,VLOOKUP(TbAlquiler[[#This Row],[ITEM]],TbPiezas[],5,FALSE))</f>
        <v>9.9999999999994316E-2</v>
      </c>
      <c r="V296" s="81">
        <f>+TbAlquiler[[#This Row],[TOTAL]]*TbAlquiler[[#This Row],[P.U. (1)]]</f>
        <v>0</v>
      </c>
      <c r="W296" s="82">
        <f>+VLOOKUP(TbAlquiler[[#This Row],[ITEM]],TbPiezas[],6,FALSE)</f>
        <v>10.16</v>
      </c>
      <c r="X296" s="83">
        <f>+TbAlquiler[[#This Row],[TOTAL]]*TbAlquiler[[#This Row],[P.U. (2)]]</f>
        <v>0</v>
      </c>
      <c r="Y296" s="82">
        <f>+VLOOKUP(TbAlquiler[[#This Row],[ITEM]],TbPiezas[],7,FALSE)</f>
        <v>0.50800000000000001</v>
      </c>
      <c r="Z296" s="84">
        <f>+TbAlquiler[[#This Row],[TOTAL]]*TbAlquiler[[#This Row],[P.U. (3)]]</f>
        <v>0</v>
      </c>
    </row>
    <row r="297" spans="1:26" ht="15" customHeight="1" x14ac:dyDescent="0.3">
      <c r="A297" s="2"/>
      <c r="B297" s="85">
        <v>281</v>
      </c>
      <c r="C297" s="71" t="s">
        <v>563</v>
      </c>
      <c r="D297" s="72" t="s">
        <v>564</v>
      </c>
      <c r="E297" s="73"/>
      <c r="F297" s="74">
        <f>+VLOOKUP(C297,TbAlquiler[],13,FALSE)</f>
        <v>0</v>
      </c>
      <c r="G297" s="2"/>
      <c r="H297" s="75" t="str">
        <f t="shared" si="8"/>
        <v>AE.10400</v>
      </c>
      <c r="I297" s="59" t="str">
        <f t="shared" si="9"/>
        <v>ok</v>
      </c>
      <c r="J297" s="77">
        <f>IFERROR(VLOOKUP($H297,TG[],3,FALSE),"NA")</f>
        <v>0</v>
      </c>
      <c r="K297" s="77" t="str">
        <f>IFERROR(VLOOKUP($H297,TF[],3,FALSE),"NA")</f>
        <v>NA</v>
      </c>
      <c r="L297" s="77" t="str">
        <f>IFERROR(VLOOKUP($H297,TT[],3,FALSE),"NA")</f>
        <v>NA</v>
      </c>
      <c r="M297" s="77" t="str">
        <f>IFERROR(VLOOKUP($H297,TES[],3,FALSE),"NA")</f>
        <v>NA</v>
      </c>
      <c r="N297" s="77" t="str">
        <f>IFERROR(VLOOKUP($H297,TEC[],3,FALSE),"NA")</f>
        <v>NA</v>
      </c>
      <c r="O297" s="77" t="str">
        <f>IFERROR(VLOOKUP($H297,TP[],3,FALSE),"NA")</f>
        <v>NA</v>
      </c>
      <c r="P297" s="77" t="str">
        <f>IFERROR(VLOOKUP($H297,TEN[],3,FALSE),"NA")</f>
        <v>NA</v>
      </c>
      <c r="Q297" s="77" t="str">
        <f>IFERROR(VLOOKUP($H297,TD[],3,FALSE),"NA")</f>
        <v>NA</v>
      </c>
      <c r="R297" s="77">
        <f>IFERROR(VLOOKUP($H297,TC[],3,FALSE),"NA")</f>
        <v>0</v>
      </c>
      <c r="S297" s="77" t="str">
        <f>IFERROR(VLOOKUP($H297,TEV[],3,FALSE),"NA")</f>
        <v>NA</v>
      </c>
      <c r="T297" s="79">
        <f>SUM(TbAlquiler[[#This Row],[GENERAL]:[ELEVADOR]])</f>
        <v>0</v>
      </c>
      <c r="U297" s="80">
        <f>IF(VLOOKUP(TbAlquiler[[#This Row],[ITEM]],TbPiezas[],5,FALSE)="NA",0,VLOOKUP(TbAlquiler[[#This Row],[ITEM]],TbPiezas[],5,FALSE))</f>
        <v>9.9999999999994316E-2</v>
      </c>
      <c r="V297" s="81">
        <f>+TbAlquiler[[#This Row],[TOTAL]]*TbAlquiler[[#This Row],[P.U. (1)]]</f>
        <v>0</v>
      </c>
      <c r="W297" s="82">
        <f>+VLOOKUP(TbAlquiler[[#This Row],[ITEM]],TbPiezas[],6,FALSE)</f>
        <v>10.16</v>
      </c>
      <c r="X297" s="83">
        <f>+TbAlquiler[[#This Row],[TOTAL]]*TbAlquiler[[#This Row],[P.U. (2)]]</f>
        <v>0</v>
      </c>
      <c r="Y297" s="82">
        <f>+VLOOKUP(TbAlquiler[[#This Row],[ITEM]],TbPiezas[],7,FALSE)</f>
        <v>0.50800000000000001</v>
      </c>
      <c r="Z297" s="84">
        <f>+TbAlquiler[[#This Row],[TOTAL]]*TbAlquiler[[#This Row],[P.U. (3)]]</f>
        <v>0</v>
      </c>
    </row>
    <row r="298" spans="1:26" ht="15" customHeight="1" x14ac:dyDescent="0.3">
      <c r="A298" s="2"/>
      <c r="B298" s="85">
        <v>282</v>
      </c>
      <c r="C298" s="71" t="s">
        <v>565</v>
      </c>
      <c r="D298" s="72" t="s">
        <v>566</v>
      </c>
      <c r="E298" s="73"/>
      <c r="F298" s="74">
        <f>+VLOOKUP(C298,TbAlquiler[],13,FALSE)</f>
        <v>0</v>
      </c>
      <c r="G298" s="2"/>
      <c r="H298" s="75" t="str">
        <f t="shared" si="8"/>
        <v>AE.10500</v>
      </c>
      <c r="I298" s="59" t="str">
        <f t="shared" si="9"/>
        <v>ok</v>
      </c>
      <c r="J298" s="77">
        <f>IFERROR(VLOOKUP($H298,TG[],3,FALSE),"NA")</f>
        <v>0</v>
      </c>
      <c r="K298" s="77" t="str">
        <f>IFERROR(VLOOKUP($H298,TF[],3,FALSE),"NA")</f>
        <v>NA</v>
      </c>
      <c r="L298" s="77" t="str">
        <f>IFERROR(VLOOKUP($H298,TT[],3,FALSE),"NA")</f>
        <v>NA</v>
      </c>
      <c r="M298" s="77" t="str">
        <f>IFERROR(VLOOKUP($H298,TES[],3,FALSE),"NA")</f>
        <v>NA</v>
      </c>
      <c r="N298" s="77" t="str">
        <f>IFERROR(VLOOKUP($H298,TEC[],3,FALSE),"NA")</f>
        <v>NA</v>
      </c>
      <c r="O298" s="77" t="str">
        <f>IFERROR(VLOOKUP($H298,TP[],3,FALSE),"NA")</f>
        <v>NA</v>
      </c>
      <c r="P298" s="77" t="str">
        <f>IFERROR(VLOOKUP($H298,TEN[],3,FALSE),"NA")</f>
        <v>NA</v>
      </c>
      <c r="Q298" s="77" t="str">
        <f>IFERROR(VLOOKUP($H298,TD[],3,FALSE),"NA")</f>
        <v>NA</v>
      </c>
      <c r="R298" s="77">
        <f>IFERROR(VLOOKUP($H298,TC[],3,FALSE),"NA")</f>
        <v>0</v>
      </c>
      <c r="S298" s="77" t="str">
        <f>IFERROR(VLOOKUP($H298,TEV[],3,FALSE),"NA")</f>
        <v>NA</v>
      </c>
      <c r="T298" s="79">
        <f>SUM(TbAlquiler[[#This Row],[GENERAL]:[ELEVADOR]])</f>
        <v>0</v>
      </c>
      <c r="U298" s="80">
        <f>IF(VLOOKUP(TbAlquiler[[#This Row],[ITEM]],TbPiezas[],5,FALSE)="NA",0,VLOOKUP(TbAlquiler[[#This Row],[ITEM]],TbPiezas[],5,FALSE))</f>
        <v>9.9999999999994316E-2</v>
      </c>
      <c r="V298" s="81">
        <f>+TbAlquiler[[#This Row],[TOTAL]]*TbAlquiler[[#This Row],[P.U. (1)]]</f>
        <v>0</v>
      </c>
      <c r="W298" s="82">
        <f>+VLOOKUP(TbAlquiler[[#This Row],[ITEM]],TbPiezas[],6,FALSE)</f>
        <v>10.16</v>
      </c>
      <c r="X298" s="83">
        <f>+TbAlquiler[[#This Row],[TOTAL]]*TbAlquiler[[#This Row],[P.U. (2)]]</f>
        <v>0</v>
      </c>
      <c r="Y298" s="82">
        <f>+VLOOKUP(TbAlquiler[[#This Row],[ITEM]],TbPiezas[],7,FALSE)</f>
        <v>0.50800000000000001</v>
      </c>
      <c r="Z298" s="84">
        <f>+TbAlquiler[[#This Row],[TOTAL]]*TbAlquiler[[#This Row],[P.U. (3)]]</f>
        <v>0</v>
      </c>
    </row>
    <row r="299" spans="1:26" ht="15" customHeight="1" x14ac:dyDescent="0.3">
      <c r="A299" s="2"/>
      <c r="B299" s="85">
        <v>283</v>
      </c>
      <c r="C299" s="71" t="s">
        <v>567</v>
      </c>
      <c r="D299" s="72" t="s">
        <v>568</v>
      </c>
      <c r="E299" s="73"/>
      <c r="F299" s="74">
        <f>+VLOOKUP(C299,TbAlquiler[],13,FALSE)</f>
        <v>0</v>
      </c>
      <c r="G299" s="2"/>
      <c r="H299" s="75" t="str">
        <f t="shared" si="8"/>
        <v>AE.10600</v>
      </c>
      <c r="I299" s="59" t="str">
        <f t="shared" si="9"/>
        <v>ok</v>
      </c>
      <c r="J299" s="77">
        <f>IFERROR(VLOOKUP($H299,TG[],3,FALSE),"NA")</f>
        <v>0</v>
      </c>
      <c r="K299" s="77" t="str">
        <f>IFERROR(VLOOKUP($H299,TF[],3,FALSE),"NA")</f>
        <v>NA</v>
      </c>
      <c r="L299" s="77" t="str">
        <f>IFERROR(VLOOKUP($H299,TT[],3,FALSE),"NA")</f>
        <v>NA</v>
      </c>
      <c r="M299" s="77" t="str">
        <f>IFERROR(VLOOKUP($H299,TES[],3,FALSE),"NA")</f>
        <v>NA</v>
      </c>
      <c r="N299" s="77" t="str">
        <f>IFERROR(VLOOKUP($H299,TEC[],3,FALSE),"NA")</f>
        <v>NA</v>
      </c>
      <c r="O299" s="77" t="str">
        <f>IFERROR(VLOOKUP($H299,TP[],3,FALSE),"NA")</f>
        <v>NA</v>
      </c>
      <c r="P299" s="77" t="str">
        <f>IFERROR(VLOOKUP($H299,TEN[],3,FALSE),"NA")</f>
        <v>NA</v>
      </c>
      <c r="Q299" s="77" t="str">
        <f>IFERROR(VLOOKUP($H299,TD[],3,FALSE),"NA")</f>
        <v>NA</v>
      </c>
      <c r="R299" s="77">
        <f>IFERROR(VLOOKUP($H299,TC[],3,FALSE),"NA")</f>
        <v>0</v>
      </c>
      <c r="S299" s="77" t="str">
        <f>IFERROR(VLOOKUP($H299,TEV[],3,FALSE),"NA")</f>
        <v>NA</v>
      </c>
      <c r="T299" s="79">
        <f>SUM(TbAlquiler[[#This Row],[GENERAL]:[ELEVADOR]])</f>
        <v>0</v>
      </c>
      <c r="U299" s="80">
        <f>IF(VLOOKUP(TbAlquiler[[#This Row],[ITEM]],TbPiezas[],5,FALSE)="NA",0,VLOOKUP(TbAlquiler[[#This Row],[ITEM]],TbPiezas[],5,FALSE))</f>
        <v>9.9999999999994316E-2</v>
      </c>
      <c r="V299" s="81">
        <f>+TbAlquiler[[#This Row],[TOTAL]]*TbAlquiler[[#This Row],[P.U. (1)]]</f>
        <v>0</v>
      </c>
      <c r="W299" s="82">
        <f>+VLOOKUP(TbAlquiler[[#This Row],[ITEM]],TbPiezas[],6,FALSE)</f>
        <v>10.16</v>
      </c>
      <c r="X299" s="83">
        <f>+TbAlquiler[[#This Row],[TOTAL]]*TbAlquiler[[#This Row],[P.U. (2)]]</f>
        <v>0</v>
      </c>
      <c r="Y299" s="82">
        <f>+VLOOKUP(TbAlquiler[[#This Row],[ITEM]],TbPiezas[],7,FALSE)</f>
        <v>0.50800000000000001</v>
      </c>
      <c r="Z299" s="84">
        <f>+TbAlquiler[[#This Row],[TOTAL]]*TbAlquiler[[#This Row],[P.U. (3)]]</f>
        <v>0</v>
      </c>
    </row>
    <row r="300" spans="1:26" ht="15" customHeight="1" x14ac:dyDescent="0.3">
      <c r="A300" s="2"/>
      <c r="B300" s="85">
        <v>284</v>
      </c>
      <c r="C300" s="71" t="s">
        <v>569</v>
      </c>
      <c r="D300" s="72" t="s">
        <v>570</v>
      </c>
      <c r="E300" s="73"/>
      <c r="F300" s="74">
        <f>+VLOOKUP(C300,TbAlquiler[],13,FALSE)</f>
        <v>0</v>
      </c>
      <c r="G300" s="2"/>
      <c r="H300" s="75" t="str">
        <f t="shared" si="8"/>
        <v>AE.10700</v>
      </c>
      <c r="I300" s="59" t="str">
        <f t="shared" si="9"/>
        <v>ok</v>
      </c>
      <c r="J300" s="77">
        <f>IFERROR(VLOOKUP($H300,TG[],3,FALSE),"NA")</f>
        <v>0</v>
      </c>
      <c r="K300" s="77" t="str">
        <f>IFERROR(VLOOKUP($H300,TF[],3,FALSE),"NA")</f>
        <v>NA</v>
      </c>
      <c r="L300" s="77" t="str">
        <f>IFERROR(VLOOKUP($H300,TT[],3,FALSE),"NA")</f>
        <v>NA</v>
      </c>
      <c r="M300" s="77" t="str">
        <f>IFERROR(VLOOKUP($H300,TES[],3,FALSE),"NA")</f>
        <v>NA</v>
      </c>
      <c r="N300" s="77" t="str">
        <f>IFERROR(VLOOKUP($H300,TEC[],3,FALSE),"NA")</f>
        <v>NA</v>
      </c>
      <c r="O300" s="77" t="str">
        <f>IFERROR(VLOOKUP($H300,TP[],3,FALSE),"NA")</f>
        <v>NA</v>
      </c>
      <c r="P300" s="77" t="str">
        <f>IFERROR(VLOOKUP($H300,TEN[],3,FALSE),"NA")</f>
        <v>NA</v>
      </c>
      <c r="Q300" s="77" t="str">
        <f>IFERROR(VLOOKUP($H300,TD[],3,FALSE),"NA")</f>
        <v>NA</v>
      </c>
      <c r="R300" s="77">
        <f>IFERROR(VLOOKUP($H300,TC[],3,FALSE),"NA")</f>
        <v>0</v>
      </c>
      <c r="S300" s="77" t="str">
        <f>IFERROR(VLOOKUP($H300,TEV[],3,FALSE),"NA")</f>
        <v>NA</v>
      </c>
      <c r="T300" s="79">
        <f>SUM(TbAlquiler[[#This Row],[GENERAL]:[ELEVADOR]])</f>
        <v>0</v>
      </c>
      <c r="U300" s="80">
        <f>IF(VLOOKUP(TbAlquiler[[#This Row],[ITEM]],TbPiezas[],5,FALSE)="NA",0,VLOOKUP(TbAlquiler[[#This Row],[ITEM]],TbPiezas[],5,FALSE))</f>
        <v>9.9999999999994316E-2</v>
      </c>
      <c r="V300" s="81">
        <f>+TbAlquiler[[#This Row],[TOTAL]]*TbAlquiler[[#This Row],[P.U. (1)]]</f>
        <v>0</v>
      </c>
      <c r="W300" s="82">
        <f>+VLOOKUP(TbAlquiler[[#This Row],[ITEM]],TbPiezas[],6,FALSE)</f>
        <v>10.16</v>
      </c>
      <c r="X300" s="83">
        <f>+TbAlquiler[[#This Row],[TOTAL]]*TbAlquiler[[#This Row],[P.U. (2)]]</f>
        <v>0</v>
      </c>
      <c r="Y300" s="82">
        <f>+VLOOKUP(TbAlquiler[[#This Row],[ITEM]],TbPiezas[],7,FALSE)</f>
        <v>0.50800000000000001</v>
      </c>
      <c r="Z300" s="84">
        <f>+TbAlquiler[[#This Row],[TOTAL]]*TbAlquiler[[#This Row],[P.U. (3)]]</f>
        <v>0</v>
      </c>
    </row>
    <row r="301" spans="1:26" ht="15" customHeight="1" x14ac:dyDescent="0.3">
      <c r="A301" s="2"/>
      <c r="B301" s="85">
        <v>285</v>
      </c>
      <c r="C301" s="71" t="s">
        <v>571</v>
      </c>
      <c r="D301" s="72" t="s">
        <v>572</v>
      </c>
      <c r="E301" s="73"/>
      <c r="F301" s="74">
        <f>+VLOOKUP(C301,TbAlquiler[],13,FALSE)</f>
        <v>0</v>
      </c>
      <c r="G301" s="2"/>
      <c r="H301" s="75" t="str">
        <f t="shared" si="8"/>
        <v>AE.10800</v>
      </c>
      <c r="I301" s="59" t="str">
        <f t="shared" si="9"/>
        <v>ok</v>
      </c>
      <c r="J301" s="77">
        <f>IFERROR(VLOOKUP($H301,TG[],3,FALSE),"NA")</f>
        <v>0</v>
      </c>
      <c r="K301" s="77" t="str">
        <f>IFERROR(VLOOKUP($H301,TF[],3,FALSE),"NA")</f>
        <v>NA</v>
      </c>
      <c r="L301" s="77" t="str">
        <f>IFERROR(VLOOKUP($H301,TT[],3,FALSE),"NA")</f>
        <v>NA</v>
      </c>
      <c r="M301" s="77" t="str">
        <f>IFERROR(VLOOKUP($H301,TES[],3,FALSE),"NA")</f>
        <v>NA</v>
      </c>
      <c r="N301" s="77" t="str">
        <f>IFERROR(VLOOKUP($H301,TEC[],3,FALSE),"NA")</f>
        <v>NA</v>
      </c>
      <c r="O301" s="77" t="str">
        <f>IFERROR(VLOOKUP($H301,TP[],3,FALSE),"NA")</f>
        <v>NA</v>
      </c>
      <c r="P301" s="77" t="str">
        <f>IFERROR(VLOOKUP($H301,TEN[],3,FALSE),"NA")</f>
        <v>NA</v>
      </c>
      <c r="Q301" s="77" t="str">
        <f>IFERROR(VLOOKUP($H301,TD[],3,FALSE),"NA")</f>
        <v>NA</v>
      </c>
      <c r="R301" s="77">
        <f>IFERROR(VLOOKUP($H301,TC[],3,FALSE),"NA")</f>
        <v>0</v>
      </c>
      <c r="S301" s="77" t="str">
        <f>IFERROR(VLOOKUP($H301,TEV[],3,FALSE),"NA")</f>
        <v>NA</v>
      </c>
      <c r="T301" s="79">
        <f>SUM(TbAlquiler[[#This Row],[GENERAL]:[ELEVADOR]])</f>
        <v>0</v>
      </c>
      <c r="U301" s="80">
        <f>IF(VLOOKUP(TbAlquiler[[#This Row],[ITEM]],TbPiezas[],5,FALSE)="NA",0,VLOOKUP(TbAlquiler[[#This Row],[ITEM]],TbPiezas[],5,FALSE))</f>
        <v>9.9999999999994316E-2</v>
      </c>
      <c r="V301" s="81">
        <f>+TbAlquiler[[#This Row],[TOTAL]]*TbAlquiler[[#This Row],[P.U. (1)]]</f>
        <v>0</v>
      </c>
      <c r="W301" s="82">
        <f>+VLOOKUP(TbAlquiler[[#This Row],[ITEM]],TbPiezas[],6,FALSE)</f>
        <v>10.16</v>
      </c>
      <c r="X301" s="83">
        <f>+TbAlquiler[[#This Row],[TOTAL]]*TbAlquiler[[#This Row],[P.U. (2)]]</f>
        <v>0</v>
      </c>
      <c r="Y301" s="82">
        <f>+VLOOKUP(TbAlquiler[[#This Row],[ITEM]],TbPiezas[],7,FALSE)</f>
        <v>0.50800000000000001</v>
      </c>
      <c r="Z301" s="84">
        <f>+TbAlquiler[[#This Row],[TOTAL]]*TbAlquiler[[#This Row],[P.U. (3)]]</f>
        <v>0</v>
      </c>
    </row>
    <row r="302" spans="1:26" ht="15" customHeight="1" x14ac:dyDescent="0.3">
      <c r="A302" s="2"/>
      <c r="B302" s="85">
        <v>286</v>
      </c>
      <c r="C302" s="71" t="s">
        <v>573</v>
      </c>
      <c r="D302" s="72" t="s">
        <v>574</v>
      </c>
      <c r="E302" s="73"/>
      <c r="F302" s="74">
        <f>+VLOOKUP(C302,TbAlquiler[],13,FALSE)</f>
        <v>0</v>
      </c>
      <c r="G302" s="2"/>
      <c r="H302" s="75" t="str">
        <f t="shared" si="8"/>
        <v>AE.10900</v>
      </c>
      <c r="I302" s="59" t="str">
        <f t="shared" si="9"/>
        <v>ok</v>
      </c>
      <c r="J302" s="77">
        <f>IFERROR(VLOOKUP($H302,TG[],3,FALSE),"NA")</f>
        <v>0</v>
      </c>
      <c r="K302" s="77" t="str">
        <f>IFERROR(VLOOKUP($H302,TF[],3,FALSE),"NA")</f>
        <v>NA</v>
      </c>
      <c r="L302" s="77" t="str">
        <f>IFERROR(VLOOKUP($H302,TT[],3,FALSE),"NA")</f>
        <v>NA</v>
      </c>
      <c r="M302" s="77" t="str">
        <f>IFERROR(VLOOKUP($H302,TES[],3,FALSE),"NA")</f>
        <v>NA</v>
      </c>
      <c r="N302" s="77" t="str">
        <f>IFERROR(VLOOKUP($H302,TEC[],3,FALSE),"NA")</f>
        <v>NA</v>
      </c>
      <c r="O302" s="77" t="str">
        <f>IFERROR(VLOOKUP($H302,TP[],3,FALSE),"NA")</f>
        <v>NA</v>
      </c>
      <c r="P302" s="77" t="str">
        <f>IFERROR(VLOOKUP($H302,TEN[],3,FALSE),"NA")</f>
        <v>NA</v>
      </c>
      <c r="Q302" s="77" t="str">
        <f>IFERROR(VLOOKUP($H302,TD[],3,FALSE),"NA")</f>
        <v>NA</v>
      </c>
      <c r="R302" s="77">
        <f>IFERROR(VLOOKUP($H302,TC[],3,FALSE),"NA")</f>
        <v>0</v>
      </c>
      <c r="S302" s="77" t="str">
        <f>IFERROR(VLOOKUP($H302,TEV[],3,FALSE),"NA")</f>
        <v>NA</v>
      </c>
      <c r="T302" s="79">
        <f>SUM(TbAlquiler[[#This Row],[GENERAL]:[ELEVADOR]])</f>
        <v>0</v>
      </c>
      <c r="U302" s="80">
        <f>IF(VLOOKUP(TbAlquiler[[#This Row],[ITEM]],TbPiezas[],5,FALSE)="NA",0,VLOOKUP(TbAlquiler[[#This Row],[ITEM]],TbPiezas[],5,FALSE))</f>
        <v>9.9999999999994316E-2</v>
      </c>
      <c r="V302" s="81">
        <f>+TbAlquiler[[#This Row],[TOTAL]]*TbAlquiler[[#This Row],[P.U. (1)]]</f>
        <v>0</v>
      </c>
      <c r="W302" s="82">
        <f>+VLOOKUP(TbAlquiler[[#This Row],[ITEM]],TbPiezas[],6,FALSE)</f>
        <v>10.16</v>
      </c>
      <c r="X302" s="83">
        <f>+TbAlquiler[[#This Row],[TOTAL]]*TbAlquiler[[#This Row],[P.U. (2)]]</f>
        <v>0</v>
      </c>
      <c r="Y302" s="82">
        <f>+VLOOKUP(TbAlquiler[[#This Row],[ITEM]],TbPiezas[],7,FALSE)</f>
        <v>0.50800000000000001</v>
      </c>
      <c r="Z302" s="84">
        <f>+TbAlquiler[[#This Row],[TOTAL]]*TbAlquiler[[#This Row],[P.U. (3)]]</f>
        <v>0</v>
      </c>
    </row>
    <row r="303" spans="1:26" ht="15" customHeight="1" x14ac:dyDescent="0.3">
      <c r="A303" s="2"/>
      <c r="B303" s="85">
        <v>287</v>
      </c>
      <c r="C303" s="71" t="s">
        <v>575</v>
      </c>
      <c r="D303" s="72" t="s">
        <v>576</v>
      </c>
      <c r="E303" s="73"/>
      <c r="F303" s="74">
        <f>+VLOOKUP(C303,TbAlquiler[],13,FALSE)</f>
        <v>0</v>
      </c>
      <c r="G303" s="2"/>
      <c r="H303" s="75" t="str">
        <f t="shared" si="8"/>
        <v>AE.11000</v>
      </c>
      <c r="I303" s="59" t="str">
        <f t="shared" si="9"/>
        <v>ok</v>
      </c>
      <c r="J303" s="77">
        <f>IFERROR(VLOOKUP($H303,TG[],3,FALSE),"NA")</f>
        <v>0</v>
      </c>
      <c r="K303" s="77" t="str">
        <f>IFERROR(VLOOKUP($H303,TF[],3,FALSE),"NA")</f>
        <v>NA</v>
      </c>
      <c r="L303" s="77" t="str">
        <f>IFERROR(VLOOKUP($H303,TT[],3,FALSE),"NA")</f>
        <v>NA</v>
      </c>
      <c r="M303" s="77" t="str">
        <f>IFERROR(VLOOKUP($H303,TES[],3,FALSE),"NA")</f>
        <v>NA</v>
      </c>
      <c r="N303" s="77" t="str">
        <f>IFERROR(VLOOKUP($H303,TEC[],3,FALSE),"NA")</f>
        <v>NA</v>
      </c>
      <c r="O303" s="77" t="str">
        <f>IFERROR(VLOOKUP($H303,TP[],3,FALSE),"NA")</f>
        <v>NA</v>
      </c>
      <c r="P303" s="77" t="str">
        <f>IFERROR(VLOOKUP($H303,TEN[],3,FALSE),"NA")</f>
        <v>NA</v>
      </c>
      <c r="Q303" s="77" t="str">
        <f>IFERROR(VLOOKUP($H303,TD[],3,FALSE),"NA")</f>
        <v>NA</v>
      </c>
      <c r="R303" s="77">
        <f>IFERROR(VLOOKUP($H303,TC[],3,FALSE),"NA")</f>
        <v>0</v>
      </c>
      <c r="S303" s="77" t="str">
        <f>IFERROR(VLOOKUP($H303,TEV[],3,FALSE),"NA")</f>
        <v>NA</v>
      </c>
      <c r="T303" s="79">
        <f>SUM(TbAlquiler[[#This Row],[GENERAL]:[ELEVADOR]])</f>
        <v>0</v>
      </c>
      <c r="U303" s="80">
        <f>IF(VLOOKUP(TbAlquiler[[#This Row],[ITEM]],TbPiezas[],5,FALSE)="NA",0,VLOOKUP(TbAlquiler[[#This Row],[ITEM]],TbPiezas[],5,FALSE))</f>
        <v>9.9999999999994316E-2</v>
      </c>
      <c r="V303" s="81">
        <f>+TbAlquiler[[#This Row],[TOTAL]]*TbAlquiler[[#This Row],[P.U. (1)]]</f>
        <v>0</v>
      </c>
      <c r="W303" s="82">
        <f>+VLOOKUP(TbAlquiler[[#This Row],[ITEM]],TbPiezas[],6,FALSE)</f>
        <v>10.16</v>
      </c>
      <c r="X303" s="83">
        <f>+TbAlquiler[[#This Row],[TOTAL]]*TbAlquiler[[#This Row],[P.U. (2)]]</f>
        <v>0</v>
      </c>
      <c r="Y303" s="82">
        <f>+VLOOKUP(TbAlquiler[[#This Row],[ITEM]],TbPiezas[],7,FALSE)</f>
        <v>0.50800000000000001</v>
      </c>
      <c r="Z303" s="84">
        <f>+TbAlquiler[[#This Row],[TOTAL]]*TbAlquiler[[#This Row],[P.U. (3)]]</f>
        <v>0</v>
      </c>
    </row>
    <row r="304" spans="1:26" ht="15" customHeight="1" x14ac:dyDescent="0.3">
      <c r="A304" s="2"/>
      <c r="B304" s="85">
        <v>288</v>
      </c>
      <c r="C304" s="71" t="s">
        <v>577</v>
      </c>
      <c r="D304" s="72" t="s">
        <v>578</v>
      </c>
      <c r="E304" s="73"/>
      <c r="F304" s="74">
        <f>+VLOOKUP(C304,TbAlquiler[],13,FALSE)</f>
        <v>0</v>
      </c>
      <c r="G304" s="2"/>
      <c r="H304" s="75" t="str">
        <f t="shared" si="8"/>
        <v>AE.11100</v>
      </c>
      <c r="I304" s="59" t="str">
        <f t="shared" si="9"/>
        <v>ok</v>
      </c>
      <c r="J304" s="77">
        <f>IFERROR(VLOOKUP($H304,TG[],3,FALSE),"NA")</f>
        <v>0</v>
      </c>
      <c r="K304" s="77" t="str">
        <f>IFERROR(VLOOKUP($H304,TF[],3,FALSE),"NA")</f>
        <v>NA</v>
      </c>
      <c r="L304" s="77" t="str">
        <f>IFERROR(VLOOKUP($H304,TT[],3,FALSE),"NA")</f>
        <v>NA</v>
      </c>
      <c r="M304" s="77" t="str">
        <f>IFERROR(VLOOKUP($H304,TES[],3,FALSE),"NA")</f>
        <v>NA</v>
      </c>
      <c r="N304" s="77" t="str">
        <f>IFERROR(VLOOKUP($H304,TEC[],3,FALSE),"NA")</f>
        <v>NA</v>
      </c>
      <c r="O304" s="77" t="str">
        <f>IFERROR(VLOOKUP($H304,TP[],3,FALSE),"NA")</f>
        <v>NA</v>
      </c>
      <c r="P304" s="77" t="str">
        <f>IFERROR(VLOOKUP($H304,TEN[],3,FALSE),"NA")</f>
        <v>NA</v>
      </c>
      <c r="Q304" s="77" t="str">
        <f>IFERROR(VLOOKUP($H304,TD[],3,FALSE),"NA")</f>
        <v>NA</v>
      </c>
      <c r="R304" s="77">
        <f>IFERROR(VLOOKUP($H304,TC[],3,FALSE),"NA")</f>
        <v>0</v>
      </c>
      <c r="S304" s="77" t="str">
        <f>IFERROR(VLOOKUP($H304,TEV[],3,FALSE),"NA")</f>
        <v>NA</v>
      </c>
      <c r="T304" s="79">
        <f>SUM(TbAlquiler[[#This Row],[GENERAL]:[ELEVADOR]])</f>
        <v>0</v>
      </c>
      <c r="U304" s="80">
        <f>IF(VLOOKUP(TbAlquiler[[#This Row],[ITEM]],TbPiezas[],5,FALSE)="NA",0,VLOOKUP(TbAlquiler[[#This Row],[ITEM]],TbPiezas[],5,FALSE))</f>
        <v>9.9999999999994316E-2</v>
      </c>
      <c r="V304" s="81">
        <f>+TbAlquiler[[#This Row],[TOTAL]]*TbAlquiler[[#This Row],[P.U. (1)]]</f>
        <v>0</v>
      </c>
      <c r="W304" s="82">
        <f>+VLOOKUP(TbAlquiler[[#This Row],[ITEM]],TbPiezas[],6,FALSE)</f>
        <v>10.16</v>
      </c>
      <c r="X304" s="83">
        <f>+TbAlquiler[[#This Row],[TOTAL]]*TbAlquiler[[#This Row],[P.U. (2)]]</f>
        <v>0</v>
      </c>
      <c r="Y304" s="82">
        <f>+VLOOKUP(TbAlquiler[[#This Row],[ITEM]],TbPiezas[],7,FALSE)</f>
        <v>0.50800000000000001</v>
      </c>
      <c r="Z304" s="84">
        <f>+TbAlquiler[[#This Row],[TOTAL]]*TbAlquiler[[#This Row],[P.U. (3)]]</f>
        <v>0</v>
      </c>
    </row>
    <row r="305" spans="1:26" ht="15" customHeight="1" x14ac:dyDescent="0.3">
      <c r="A305" s="2"/>
      <c r="B305" s="85">
        <v>289</v>
      </c>
      <c r="C305" s="71" t="s">
        <v>579</v>
      </c>
      <c r="D305" s="72" t="s">
        <v>580</v>
      </c>
      <c r="E305" s="73"/>
      <c r="F305" s="74">
        <f>+VLOOKUP(C305,TbAlquiler[],13,FALSE)</f>
        <v>0</v>
      </c>
      <c r="G305" s="2"/>
      <c r="H305" s="75" t="str">
        <f t="shared" si="8"/>
        <v>AE.11200</v>
      </c>
      <c r="I305" s="59" t="str">
        <f t="shared" si="9"/>
        <v>ok</v>
      </c>
      <c r="J305" s="77">
        <f>IFERROR(VLOOKUP($H305,TG[],3,FALSE),"NA")</f>
        <v>0</v>
      </c>
      <c r="K305" s="77" t="str">
        <f>IFERROR(VLOOKUP($H305,TF[],3,FALSE),"NA")</f>
        <v>NA</v>
      </c>
      <c r="L305" s="77" t="str">
        <f>IFERROR(VLOOKUP($H305,TT[],3,FALSE),"NA")</f>
        <v>NA</v>
      </c>
      <c r="M305" s="77" t="str">
        <f>IFERROR(VLOOKUP($H305,TES[],3,FALSE),"NA")</f>
        <v>NA</v>
      </c>
      <c r="N305" s="77" t="str">
        <f>IFERROR(VLOOKUP($H305,TEC[],3,FALSE),"NA")</f>
        <v>NA</v>
      </c>
      <c r="O305" s="77" t="str">
        <f>IFERROR(VLOOKUP($H305,TP[],3,FALSE),"NA")</f>
        <v>NA</v>
      </c>
      <c r="P305" s="77" t="str">
        <f>IFERROR(VLOOKUP($H305,TEN[],3,FALSE),"NA")</f>
        <v>NA</v>
      </c>
      <c r="Q305" s="77" t="str">
        <f>IFERROR(VLOOKUP($H305,TD[],3,FALSE),"NA")</f>
        <v>NA</v>
      </c>
      <c r="R305" s="77">
        <f>IFERROR(VLOOKUP($H305,TC[],3,FALSE),"NA")</f>
        <v>0</v>
      </c>
      <c r="S305" s="77" t="str">
        <f>IFERROR(VLOOKUP($H305,TEV[],3,FALSE),"NA")</f>
        <v>NA</v>
      </c>
      <c r="T305" s="79">
        <f>SUM(TbAlquiler[[#This Row],[GENERAL]:[ELEVADOR]])</f>
        <v>0</v>
      </c>
      <c r="U305" s="80">
        <f>IF(VLOOKUP(TbAlquiler[[#This Row],[ITEM]],TbPiezas[],5,FALSE)="NA",0,VLOOKUP(TbAlquiler[[#This Row],[ITEM]],TbPiezas[],5,FALSE))</f>
        <v>9.9999999999994316E-2</v>
      </c>
      <c r="V305" s="81">
        <f>+TbAlquiler[[#This Row],[TOTAL]]*TbAlquiler[[#This Row],[P.U. (1)]]</f>
        <v>0</v>
      </c>
      <c r="W305" s="82">
        <f>+VLOOKUP(TbAlquiler[[#This Row],[ITEM]],TbPiezas[],6,FALSE)</f>
        <v>10.16</v>
      </c>
      <c r="X305" s="83">
        <f>+TbAlquiler[[#This Row],[TOTAL]]*TbAlquiler[[#This Row],[P.U. (2)]]</f>
        <v>0</v>
      </c>
      <c r="Y305" s="82">
        <f>+VLOOKUP(TbAlquiler[[#This Row],[ITEM]],TbPiezas[],7,FALSE)</f>
        <v>0.50800000000000001</v>
      </c>
      <c r="Z305" s="84">
        <f>+TbAlquiler[[#This Row],[TOTAL]]*TbAlquiler[[#This Row],[P.U. (3)]]</f>
        <v>0</v>
      </c>
    </row>
    <row r="306" spans="1:26" ht="15" customHeight="1" x14ac:dyDescent="0.3">
      <c r="A306" s="2"/>
      <c r="B306" s="85">
        <v>290</v>
      </c>
      <c r="C306" s="71" t="s">
        <v>581</v>
      </c>
      <c r="D306" s="72" t="s">
        <v>582</v>
      </c>
      <c r="E306" s="73"/>
      <c r="F306" s="74">
        <f>+VLOOKUP(C306,TbAlquiler[],13,FALSE)</f>
        <v>0</v>
      </c>
      <c r="G306" s="2"/>
      <c r="H306" s="75" t="str">
        <f t="shared" si="8"/>
        <v>AE.11300</v>
      </c>
      <c r="I306" s="59" t="str">
        <f t="shared" si="9"/>
        <v>ok</v>
      </c>
      <c r="J306" s="77">
        <f>IFERROR(VLOOKUP($H306,TG[],3,FALSE),"NA")</f>
        <v>0</v>
      </c>
      <c r="K306" s="77" t="str">
        <f>IFERROR(VLOOKUP($H306,TF[],3,FALSE),"NA")</f>
        <v>NA</v>
      </c>
      <c r="L306" s="77" t="str">
        <f>IFERROR(VLOOKUP($H306,TT[],3,FALSE),"NA")</f>
        <v>NA</v>
      </c>
      <c r="M306" s="77" t="str">
        <f>IFERROR(VLOOKUP($H306,TES[],3,FALSE),"NA")</f>
        <v>NA</v>
      </c>
      <c r="N306" s="77" t="str">
        <f>IFERROR(VLOOKUP($H306,TEC[],3,FALSE),"NA")</f>
        <v>NA</v>
      </c>
      <c r="O306" s="77" t="str">
        <f>IFERROR(VLOOKUP($H306,TP[],3,FALSE),"NA")</f>
        <v>NA</v>
      </c>
      <c r="P306" s="77" t="str">
        <f>IFERROR(VLOOKUP($H306,TEN[],3,FALSE),"NA")</f>
        <v>NA</v>
      </c>
      <c r="Q306" s="77" t="str">
        <f>IFERROR(VLOOKUP($H306,TD[],3,FALSE),"NA")</f>
        <v>NA</v>
      </c>
      <c r="R306" s="77">
        <f>IFERROR(VLOOKUP($H306,TC[],3,FALSE),"NA")</f>
        <v>0</v>
      </c>
      <c r="S306" s="77" t="str">
        <f>IFERROR(VLOOKUP($H306,TEV[],3,FALSE),"NA")</f>
        <v>NA</v>
      </c>
      <c r="T306" s="79">
        <f>SUM(TbAlquiler[[#This Row],[GENERAL]:[ELEVADOR]])</f>
        <v>0</v>
      </c>
      <c r="U306" s="80">
        <f>IF(VLOOKUP(TbAlquiler[[#This Row],[ITEM]],TbPiezas[],5,FALSE)="NA",0,VLOOKUP(TbAlquiler[[#This Row],[ITEM]],TbPiezas[],5,FALSE))</f>
        <v>9.9999999999994316E-2</v>
      </c>
      <c r="V306" s="81">
        <f>+TbAlquiler[[#This Row],[TOTAL]]*TbAlquiler[[#This Row],[P.U. (1)]]</f>
        <v>0</v>
      </c>
      <c r="W306" s="82">
        <f>+VLOOKUP(TbAlquiler[[#This Row],[ITEM]],TbPiezas[],6,FALSE)</f>
        <v>10.16</v>
      </c>
      <c r="X306" s="83">
        <f>+TbAlquiler[[#This Row],[TOTAL]]*TbAlquiler[[#This Row],[P.U. (2)]]</f>
        <v>0</v>
      </c>
      <c r="Y306" s="82">
        <f>+VLOOKUP(TbAlquiler[[#This Row],[ITEM]],TbPiezas[],7,FALSE)</f>
        <v>0.50800000000000001</v>
      </c>
      <c r="Z306" s="84">
        <f>+TbAlquiler[[#This Row],[TOTAL]]*TbAlquiler[[#This Row],[P.U. (3)]]</f>
        <v>0</v>
      </c>
    </row>
    <row r="307" spans="1:26" ht="15" customHeight="1" x14ac:dyDescent="0.3">
      <c r="A307" s="2"/>
      <c r="B307" s="85">
        <v>291</v>
      </c>
      <c r="C307" s="71" t="s">
        <v>583</v>
      </c>
      <c r="D307" s="72" t="s">
        <v>584</v>
      </c>
      <c r="E307" s="73"/>
      <c r="F307" s="74">
        <f>+VLOOKUP(C307,TbAlquiler[],13,FALSE)</f>
        <v>0</v>
      </c>
      <c r="G307" s="2"/>
      <c r="H307" s="75" t="str">
        <f t="shared" si="8"/>
        <v>AE.11400</v>
      </c>
      <c r="I307" s="59" t="str">
        <f t="shared" si="9"/>
        <v>ok</v>
      </c>
      <c r="J307" s="77">
        <f>IFERROR(VLOOKUP($H307,TG[],3,FALSE),"NA")</f>
        <v>0</v>
      </c>
      <c r="K307" s="77" t="str">
        <f>IFERROR(VLOOKUP($H307,TF[],3,FALSE),"NA")</f>
        <v>NA</v>
      </c>
      <c r="L307" s="77" t="str">
        <f>IFERROR(VLOOKUP($H307,TT[],3,FALSE),"NA")</f>
        <v>NA</v>
      </c>
      <c r="M307" s="77">
        <f>IFERROR(VLOOKUP($H307,TES[],3,FALSE),"NA")</f>
        <v>0</v>
      </c>
      <c r="N307" s="77" t="str">
        <f>IFERROR(VLOOKUP($H307,TEC[],3,FALSE),"NA")</f>
        <v>NA</v>
      </c>
      <c r="O307" s="77" t="str">
        <f>IFERROR(VLOOKUP($H307,TP[],3,FALSE),"NA")</f>
        <v>NA</v>
      </c>
      <c r="P307" s="77" t="str">
        <f>IFERROR(VLOOKUP($H307,TEN[],3,FALSE),"NA")</f>
        <v>NA</v>
      </c>
      <c r="Q307" s="77" t="str">
        <f>IFERROR(VLOOKUP($H307,TD[],3,FALSE),"NA")</f>
        <v>NA</v>
      </c>
      <c r="R307" s="77">
        <f>IFERROR(VLOOKUP($H307,TC[],3,FALSE),"NA")</f>
        <v>0</v>
      </c>
      <c r="S307" s="77" t="str">
        <f>IFERROR(VLOOKUP($H307,TEV[],3,FALSE),"NA")</f>
        <v>NA</v>
      </c>
      <c r="T307" s="79">
        <f>SUM(TbAlquiler[[#This Row],[GENERAL]:[ELEVADOR]])</f>
        <v>0</v>
      </c>
      <c r="U307" s="80">
        <f>IF(VLOOKUP(TbAlquiler[[#This Row],[ITEM]],TbPiezas[],5,FALSE)="NA",0,VLOOKUP(TbAlquiler[[#This Row],[ITEM]],TbPiezas[],5,FALSE))</f>
        <v>9.9999999999994316E-2</v>
      </c>
      <c r="V307" s="81">
        <f>+TbAlquiler[[#This Row],[TOTAL]]*TbAlquiler[[#This Row],[P.U. (1)]]</f>
        <v>0</v>
      </c>
      <c r="W307" s="82">
        <f>+VLOOKUP(TbAlquiler[[#This Row],[ITEM]],TbPiezas[],6,FALSE)</f>
        <v>10.16</v>
      </c>
      <c r="X307" s="83">
        <f>+TbAlquiler[[#This Row],[TOTAL]]*TbAlquiler[[#This Row],[P.U. (2)]]</f>
        <v>0</v>
      </c>
      <c r="Y307" s="82">
        <f>+VLOOKUP(TbAlquiler[[#This Row],[ITEM]],TbPiezas[],7,FALSE)</f>
        <v>0.50800000000000001</v>
      </c>
      <c r="Z307" s="84">
        <f>+TbAlquiler[[#This Row],[TOTAL]]*TbAlquiler[[#This Row],[P.U. (3)]]</f>
        <v>0</v>
      </c>
    </row>
    <row r="308" spans="1:26" ht="15" customHeight="1" x14ac:dyDescent="0.3">
      <c r="A308" s="2"/>
      <c r="B308" s="85">
        <v>292</v>
      </c>
      <c r="C308" s="71" t="s">
        <v>585</v>
      </c>
      <c r="D308" s="72" t="s">
        <v>586</v>
      </c>
      <c r="E308" s="73"/>
      <c r="F308" s="74">
        <f>+VLOOKUP(C308,TbAlquiler[],13,FALSE)</f>
        <v>0</v>
      </c>
      <c r="G308" s="2"/>
      <c r="H308" s="75" t="str">
        <f t="shared" si="8"/>
        <v>AE.11500</v>
      </c>
      <c r="I308" s="59" t="str">
        <f t="shared" si="9"/>
        <v>ok</v>
      </c>
      <c r="J308" s="77">
        <f>IFERROR(VLOOKUP($H308,TG[],3,FALSE),"NA")</f>
        <v>0</v>
      </c>
      <c r="K308" s="77" t="str">
        <f>IFERROR(VLOOKUP($H308,TF[],3,FALSE),"NA")</f>
        <v>NA</v>
      </c>
      <c r="L308" s="77" t="str">
        <f>IFERROR(VLOOKUP($H308,TT[],3,FALSE),"NA")</f>
        <v>NA</v>
      </c>
      <c r="M308" s="77" t="str">
        <f>IFERROR(VLOOKUP($H308,TES[],3,FALSE),"NA")</f>
        <v>NA</v>
      </c>
      <c r="N308" s="77" t="str">
        <f>IFERROR(VLOOKUP($H308,TEC[],3,FALSE),"NA")</f>
        <v>NA</v>
      </c>
      <c r="O308" s="77" t="str">
        <f>IFERROR(VLOOKUP($H308,TP[],3,FALSE),"NA")</f>
        <v>NA</v>
      </c>
      <c r="P308" s="77" t="str">
        <f>IFERROR(VLOOKUP($H308,TEN[],3,FALSE),"NA")</f>
        <v>NA</v>
      </c>
      <c r="Q308" s="77" t="str">
        <f>IFERROR(VLOOKUP($H308,TD[],3,FALSE),"NA")</f>
        <v>NA</v>
      </c>
      <c r="R308" s="77">
        <f>IFERROR(VLOOKUP($H308,TC[],3,FALSE),"NA")</f>
        <v>0</v>
      </c>
      <c r="S308" s="77" t="str">
        <f>IFERROR(VLOOKUP($H308,TEV[],3,FALSE),"NA")</f>
        <v>NA</v>
      </c>
      <c r="T308" s="79">
        <f>SUM(TbAlquiler[[#This Row],[GENERAL]:[ELEVADOR]])</f>
        <v>0</v>
      </c>
      <c r="U308" s="80">
        <f>IF(VLOOKUP(TbAlquiler[[#This Row],[ITEM]],TbPiezas[],5,FALSE)="NA",0,VLOOKUP(TbAlquiler[[#This Row],[ITEM]],TbPiezas[],5,FALSE))</f>
        <v>25</v>
      </c>
      <c r="V308" s="81">
        <f>+TbAlquiler[[#This Row],[TOTAL]]*TbAlquiler[[#This Row],[P.U. (1)]]</f>
        <v>0</v>
      </c>
      <c r="W308" s="82">
        <f>+VLOOKUP(TbAlquiler[[#This Row],[ITEM]],TbPiezas[],6,FALSE)</f>
        <v>229.52</v>
      </c>
      <c r="X308" s="83">
        <f>+TbAlquiler[[#This Row],[TOTAL]]*TbAlquiler[[#This Row],[P.U. (2)]]</f>
        <v>0</v>
      </c>
      <c r="Y308" s="82">
        <f>+VLOOKUP(TbAlquiler[[#This Row],[ITEM]],TbPiezas[],7,FALSE)</f>
        <v>11.476000000000001</v>
      </c>
      <c r="Z308" s="84">
        <f>+TbAlquiler[[#This Row],[TOTAL]]*TbAlquiler[[#This Row],[P.U. (3)]]</f>
        <v>0</v>
      </c>
    </row>
    <row r="309" spans="1:26" ht="15" customHeight="1" x14ac:dyDescent="0.3">
      <c r="A309" s="2"/>
      <c r="B309" s="85">
        <v>293</v>
      </c>
      <c r="C309" s="71" t="s">
        <v>587</v>
      </c>
      <c r="D309" s="72" t="s">
        <v>588</v>
      </c>
      <c r="E309" s="73"/>
      <c r="F309" s="74">
        <f>+VLOOKUP(C309,TbAlquiler[],13,FALSE)</f>
        <v>0</v>
      </c>
      <c r="G309" s="2"/>
      <c r="H309" s="75" t="str">
        <f t="shared" si="8"/>
        <v>AE.11600</v>
      </c>
      <c r="I309" s="59" t="str">
        <f t="shared" si="9"/>
        <v>ok</v>
      </c>
      <c r="J309" s="77">
        <f>IFERROR(VLOOKUP($H309,TG[],3,FALSE),"NA")</f>
        <v>0</v>
      </c>
      <c r="K309" s="77" t="str">
        <f>IFERROR(VLOOKUP($H309,TF[],3,FALSE),"NA")</f>
        <v>NA</v>
      </c>
      <c r="L309" s="77" t="str">
        <f>IFERROR(VLOOKUP($H309,TT[],3,FALSE),"NA")</f>
        <v>NA</v>
      </c>
      <c r="M309" s="77" t="str">
        <f>IFERROR(VLOOKUP($H309,TES[],3,FALSE),"NA")</f>
        <v>NA</v>
      </c>
      <c r="N309" s="77" t="str">
        <f>IFERROR(VLOOKUP($H309,TEC[],3,FALSE),"NA")</f>
        <v>NA</v>
      </c>
      <c r="O309" s="77" t="str">
        <f>IFERROR(VLOOKUP($H309,TP[],3,FALSE),"NA")</f>
        <v>NA</v>
      </c>
      <c r="P309" s="77" t="str">
        <f>IFERROR(VLOOKUP($H309,TEN[],3,FALSE),"NA")</f>
        <v>NA</v>
      </c>
      <c r="Q309" s="77" t="str">
        <f>IFERROR(VLOOKUP($H309,TD[],3,FALSE),"NA")</f>
        <v>NA</v>
      </c>
      <c r="R309" s="77">
        <f>IFERROR(VLOOKUP($H309,TC[],3,FALSE),"NA")</f>
        <v>0</v>
      </c>
      <c r="S309" s="77" t="str">
        <f>IFERROR(VLOOKUP($H309,TEV[],3,FALSE),"NA")</f>
        <v>NA</v>
      </c>
      <c r="T309" s="79">
        <f>SUM(TbAlquiler[[#This Row],[GENERAL]:[ELEVADOR]])</f>
        <v>0</v>
      </c>
      <c r="U309" s="80">
        <f>IF(VLOOKUP(TbAlquiler[[#This Row],[ITEM]],TbPiezas[],5,FALSE)="NA",0,VLOOKUP(TbAlquiler[[#This Row],[ITEM]],TbPiezas[],5,FALSE))</f>
        <v>11.799999999999997</v>
      </c>
      <c r="V309" s="81">
        <f>+TbAlquiler[[#This Row],[TOTAL]]*TbAlquiler[[#This Row],[P.U. (1)]]</f>
        <v>0</v>
      </c>
      <c r="W309" s="82">
        <f>+VLOOKUP(TbAlquiler[[#This Row],[ITEM]],TbPiezas[],6,FALSE)</f>
        <v>229.52</v>
      </c>
      <c r="X309" s="83">
        <f>+TbAlquiler[[#This Row],[TOTAL]]*TbAlquiler[[#This Row],[P.U. (2)]]</f>
        <v>0</v>
      </c>
      <c r="Y309" s="82">
        <f>+VLOOKUP(TbAlquiler[[#This Row],[ITEM]],TbPiezas[],7,FALSE)</f>
        <v>11.476000000000001</v>
      </c>
      <c r="Z309" s="84">
        <f>+TbAlquiler[[#This Row],[TOTAL]]*TbAlquiler[[#This Row],[P.U. (3)]]</f>
        <v>0</v>
      </c>
    </row>
    <row r="310" spans="1:26" ht="15" customHeight="1" x14ac:dyDescent="0.3">
      <c r="A310" s="2"/>
      <c r="B310" s="85">
        <v>294</v>
      </c>
      <c r="C310" s="71" t="s">
        <v>589</v>
      </c>
      <c r="D310" s="72" t="s">
        <v>590</v>
      </c>
      <c r="E310" s="73"/>
      <c r="F310" s="74">
        <f>+VLOOKUP(C310,TbAlquiler[],13,FALSE)</f>
        <v>0</v>
      </c>
      <c r="G310" s="2"/>
      <c r="H310" s="75" t="str">
        <f t="shared" si="8"/>
        <v>AE.11700</v>
      </c>
      <c r="I310" s="59" t="str">
        <f t="shared" si="9"/>
        <v>ok</v>
      </c>
      <c r="J310" s="77">
        <f>IFERROR(VLOOKUP($H310,TG[],3,FALSE),"NA")</f>
        <v>0</v>
      </c>
      <c r="K310" s="77" t="str">
        <f>IFERROR(VLOOKUP($H310,TF[],3,FALSE),"NA")</f>
        <v>NA</v>
      </c>
      <c r="L310" s="77" t="str">
        <f>IFERROR(VLOOKUP($H310,TT[],3,FALSE),"NA")</f>
        <v>NA</v>
      </c>
      <c r="M310" s="77" t="str">
        <f>IFERROR(VLOOKUP($H310,TES[],3,FALSE),"NA")</f>
        <v>NA</v>
      </c>
      <c r="N310" s="77" t="str">
        <f>IFERROR(VLOOKUP($H310,TEC[],3,FALSE),"NA")</f>
        <v>NA</v>
      </c>
      <c r="O310" s="77" t="str">
        <f>IFERROR(VLOOKUP($H310,TP[],3,FALSE),"NA")</f>
        <v>NA</v>
      </c>
      <c r="P310" s="77" t="str">
        <f>IFERROR(VLOOKUP($H310,TEN[],3,FALSE),"NA")</f>
        <v>NA</v>
      </c>
      <c r="Q310" s="77" t="str">
        <f>IFERROR(VLOOKUP($H310,TD[],3,FALSE),"NA")</f>
        <v>NA</v>
      </c>
      <c r="R310" s="77">
        <f>IFERROR(VLOOKUP($H310,TC[],3,FALSE),"NA")</f>
        <v>0</v>
      </c>
      <c r="S310" s="77" t="str">
        <f>IFERROR(VLOOKUP($H310,TEV[],3,FALSE),"NA")</f>
        <v>NA</v>
      </c>
      <c r="T310" s="79">
        <f>SUM(TbAlquiler[[#This Row],[GENERAL]:[ELEVADOR]])</f>
        <v>0</v>
      </c>
      <c r="U310" s="80">
        <f>IF(VLOOKUP(TbAlquiler[[#This Row],[ITEM]],TbPiezas[],5,FALSE)="NA",0,VLOOKUP(TbAlquiler[[#This Row],[ITEM]],TbPiezas[],5,FALSE))</f>
        <v>11.799999999999997</v>
      </c>
      <c r="V310" s="81">
        <f>+TbAlquiler[[#This Row],[TOTAL]]*TbAlquiler[[#This Row],[P.U. (1)]]</f>
        <v>0</v>
      </c>
      <c r="W310" s="82">
        <f>+VLOOKUP(TbAlquiler[[#This Row],[ITEM]],TbPiezas[],6,FALSE)</f>
        <v>229.52</v>
      </c>
      <c r="X310" s="83">
        <f>+TbAlquiler[[#This Row],[TOTAL]]*TbAlquiler[[#This Row],[P.U. (2)]]</f>
        <v>0</v>
      </c>
      <c r="Y310" s="82">
        <f>+VLOOKUP(TbAlquiler[[#This Row],[ITEM]],TbPiezas[],7,FALSE)</f>
        <v>11.476000000000001</v>
      </c>
      <c r="Z310" s="84">
        <f>+TbAlquiler[[#This Row],[TOTAL]]*TbAlquiler[[#This Row],[P.U. (3)]]</f>
        <v>0</v>
      </c>
    </row>
    <row r="311" spans="1:26" ht="15" customHeight="1" x14ac:dyDescent="0.3">
      <c r="A311" s="2"/>
      <c r="B311" s="85">
        <v>295</v>
      </c>
      <c r="C311" s="71" t="s">
        <v>591</v>
      </c>
      <c r="D311" s="72" t="s">
        <v>592</v>
      </c>
      <c r="E311" s="73"/>
      <c r="F311" s="74">
        <f>+VLOOKUP(C311,TbAlquiler[],13,FALSE)</f>
        <v>0</v>
      </c>
      <c r="G311" s="2"/>
      <c r="H311" s="75" t="str">
        <f t="shared" si="8"/>
        <v>AE.11800</v>
      </c>
      <c r="I311" s="59" t="str">
        <f t="shared" si="9"/>
        <v>ok</v>
      </c>
      <c r="J311" s="77">
        <f>IFERROR(VLOOKUP($H311,TG[],3,FALSE),"NA")</f>
        <v>0</v>
      </c>
      <c r="K311" s="77" t="str">
        <f>IFERROR(VLOOKUP($H311,TF[],3,FALSE),"NA")</f>
        <v>NA</v>
      </c>
      <c r="L311" s="77" t="str">
        <f>IFERROR(VLOOKUP($H311,TT[],3,FALSE),"NA")</f>
        <v>NA</v>
      </c>
      <c r="M311" s="77" t="str">
        <f>IFERROR(VLOOKUP($H311,TES[],3,FALSE),"NA")</f>
        <v>NA</v>
      </c>
      <c r="N311" s="77" t="str">
        <f>IFERROR(VLOOKUP($H311,TEC[],3,FALSE),"NA")</f>
        <v>NA</v>
      </c>
      <c r="O311" s="77" t="str">
        <f>IFERROR(VLOOKUP($H311,TP[],3,FALSE),"NA")</f>
        <v>NA</v>
      </c>
      <c r="P311" s="77" t="str">
        <f>IFERROR(VLOOKUP($H311,TEN[],3,FALSE),"NA")</f>
        <v>NA</v>
      </c>
      <c r="Q311" s="77" t="str">
        <f>IFERROR(VLOOKUP($H311,TD[],3,FALSE),"NA")</f>
        <v>NA</v>
      </c>
      <c r="R311" s="77">
        <f>IFERROR(VLOOKUP($H311,TC[],3,FALSE),"NA")</f>
        <v>0</v>
      </c>
      <c r="S311" s="77" t="str">
        <f>IFERROR(VLOOKUP($H311,TEV[],3,FALSE),"NA")</f>
        <v>NA</v>
      </c>
      <c r="T311" s="79">
        <f>SUM(TbAlquiler[[#This Row],[GENERAL]:[ELEVADOR]])</f>
        <v>0</v>
      </c>
      <c r="U311" s="80">
        <f>IF(VLOOKUP(TbAlquiler[[#This Row],[ITEM]],TbPiezas[],5,FALSE)="NA",0,VLOOKUP(TbAlquiler[[#This Row],[ITEM]],TbPiezas[],5,FALSE))</f>
        <v>28.899999999999991</v>
      </c>
      <c r="V311" s="81">
        <f>+TbAlquiler[[#This Row],[TOTAL]]*TbAlquiler[[#This Row],[P.U. (1)]]</f>
        <v>0</v>
      </c>
      <c r="W311" s="82">
        <f>+VLOOKUP(TbAlquiler[[#This Row],[ITEM]],TbPiezas[],6,FALSE)</f>
        <v>1099.44</v>
      </c>
      <c r="X311" s="83">
        <f>+TbAlquiler[[#This Row],[TOTAL]]*TbAlquiler[[#This Row],[P.U. (2)]]</f>
        <v>0</v>
      </c>
      <c r="Y311" s="82">
        <f>+VLOOKUP(TbAlquiler[[#This Row],[ITEM]],TbPiezas[],7,FALSE)</f>
        <v>54.972000000000008</v>
      </c>
      <c r="Z311" s="84">
        <f>+TbAlquiler[[#This Row],[TOTAL]]*TbAlquiler[[#This Row],[P.U. (3)]]</f>
        <v>0</v>
      </c>
    </row>
    <row r="312" spans="1:26" ht="15" customHeight="1" x14ac:dyDescent="0.3">
      <c r="A312" s="2"/>
      <c r="B312" s="85">
        <v>296</v>
      </c>
      <c r="C312" s="71" t="s">
        <v>593</v>
      </c>
      <c r="D312" s="72" t="s">
        <v>594</v>
      </c>
      <c r="E312" s="73"/>
      <c r="F312" s="74">
        <f>+VLOOKUP(C312,TbAlquiler[],13,FALSE)</f>
        <v>0</v>
      </c>
      <c r="G312" s="2"/>
      <c r="H312" s="75" t="str">
        <f t="shared" si="8"/>
        <v>AE.11850</v>
      </c>
      <c r="I312" s="59" t="str">
        <f t="shared" si="9"/>
        <v>ok</v>
      </c>
      <c r="J312" s="77">
        <f>IFERROR(VLOOKUP($H312,TG[],3,FALSE),"NA")</f>
        <v>0</v>
      </c>
      <c r="K312" s="77" t="str">
        <f>IFERROR(VLOOKUP($H312,TF[],3,FALSE),"NA")</f>
        <v>NA</v>
      </c>
      <c r="L312" s="77" t="str">
        <f>IFERROR(VLOOKUP($H312,TT[],3,FALSE),"NA")</f>
        <v>NA</v>
      </c>
      <c r="M312" s="77" t="str">
        <f>IFERROR(VLOOKUP($H312,TES[],3,FALSE),"NA")</f>
        <v>NA</v>
      </c>
      <c r="N312" s="77" t="str">
        <f>IFERROR(VLOOKUP($H312,TEC[],3,FALSE),"NA")</f>
        <v>NA</v>
      </c>
      <c r="O312" s="77" t="str">
        <f>IFERROR(VLOOKUP($H312,TP[],3,FALSE),"NA")</f>
        <v>NA</v>
      </c>
      <c r="P312" s="77" t="str">
        <f>IFERROR(VLOOKUP($H312,TEN[],3,FALSE),"NA")</f>
        <v>NA</v>
      </c>
      <c r="Q312" s="77" t="str">
        <f>IFERROR(VLOOKUP($H312,TD[],3,FALSE),"NA")</f>
        <v>NA</v>
      </c>
      <c r="R312" s="77">
        <f>IFERROR(VLOOKUP($H312,TC[],3,FALSE),"NA")</f>
        <v>0</v>
      </c>
      <c r="S312" s="77" t="str">
        <f>IFERROR(VLOOKUP($H312,TEV[],3,FALSE),"NA")</f>
        <v>NA</v>
      </c>
      <c r="T312" s="79">
        <f>SUM(TbAlquiler[[#This Row],[GENERAL]:[ELEVADOR]])</f>
        <v>0</v>
      </c>
      <c r="U312" s="80">
        <f>IF(VLOOKUP(TbAlquiler[[#This Row],[ITEM]],TbPiezas[],5,FALSE)="NA",0,VLOOKUP(TbAlquiler[[#This Row],[ITEM]],TbPiezas[],5,FALSE))</f>
        <v>74.099999999999994</v>
      </c>
      <c r="V312" s="81">
        <f>+TbAlquiler[[#This Row],[TOTAL]]*TbAlquiler[[#This Row],[P.U. (1)]]</f>
        <v>0</v>
      </c>
      <c r="W312" s="82">
        <f>+VLOOKUP(TbAlquiler[[#This Row],[ITEM]],TbPiezas[],6,FALSE)</f>
        <v>3176.25</v>
      </c>
      <c r="X312" s="83">
        <f>+TbAlquiler[[#This Row],[TOTAL]]*TbAlquiler[[#This Row],[P.U. (2)]]</f>
        <v>0</v>
      </c>
      <c r="Y312" s="82">
        <f>+VLOOKUP(TbAlquiler[[#This Row],[ITEM]],TbPiezas[],7,FALSE)</f>
        <v>158.8125</v>
      </c>
      <c r="Z312" s="84">
        <f>+TbAlquiler[[#This Row],[TOTAL]]*TbAlquiler[[#This Row],[P.U. (3)]]</f>
        <v>0</v>
      </c>
    </row>
    <row r="313" spans="1:26" ht="15" customHeight="1" x14ac:dyDescent="0.3">
      <c r="A313" s="2"/>
      <c r="B313" s="85">
        <v>297</v>
      </c>
      <c r="C313" s="71" t="s">
        <v>595</v>
      </c>
      <c r="D313" s="72" t="s">
        <v>596</v>
      </c>
      <c r="E313" s="73"/>
      <c r="F313" s="74">
        <f>+VLOOKUP(C313,TbAlquiler[],13,FALSE)</f>
        <v>0</v>
      </c>
      <c r="G313" s="2"/>
      <c r="H313" s="75" t="str">
        <f t="shared" si="8"/>
        <v>AE.11900</v>
      </c>
      <c r="I313" s="59" t="str">
        <f t="shared" si="9"/>
        <v>ok</v>
      </c>
      <c r="J313" s="77">
        <f>IFERROR(VLOOKUP($H313,TG[],3,FALSE),"NA")</f>
        <v>0</v>
      </c>
      <c r="K313" s="77" t="str">
        <f>IFERROR(VLOOKUP($H313,TF[],3,FALSE),"NA")</f>
        <v>NA</v>
      </c>
      <c r="L313" s="77" t="str">
        <f>IFERROR(VLOOKUP($H313,TT[],3,FALSE),"NA")</f>
        <v>NA</v>
      </c>
      <c r="M313" s="77" t="str">
        <f>IFERROR(VLOOKUP($H313,TES[],3,FALSE),"NA")</f>
        <v>NA</v>
      </c>
      <c r="N313" s="77" t="str">
        <f>IFERROR(VLOOKUP($H313,TEC[],3,FALSE),"NA")</f>
        <v>NA</v>
      </c>
      <c r="O313" s="77" t="str">
        <f>IFERROR(VLOOKUP($H313,TP[],3,FALSE),"NA")</f>
        <v>NA</v>
      </c>
      <c r="P313" s="77" t="str">
        <f>IFERROR(VLOOKUP($H313,TEN[],3,FALSE),"NA")</f>
        <v>NA</v>
      </c>
      <c r="Q313" s="77" t="str">
        <f>IFERROR(VLOOKUP($H313,TD[],3,FALSE),"NA")</f>
        <v>NA</v>
      </c>
      <c r="R313" s="77">
        <f>IFERROR(VLOOKUP($H313,TC[],3,FALSE),"NA")</f>
        <v>0</v>
      </c>
      <c r="S313" s="77" t="str">
        <f>IFERROR(VLOOKUP($H313,TEV[],3,FALSE),"NA")</f>
        <v>NA</v>
      </c>
      <c r="T313" s="79">
        <f>SUM(TbAlquiler[[#This Row],[GENERAL]:[ELEVADOR]])</f>
        <v>0</v>
      </c>
      <c r="U313" s="80">
        <f>IF(VLOOKUP(TbAlquiler[[#This Row],[ITEM]],TbPiezas[],5,FALSE)="NA",0,VLOOKUP(TbAlquiler[[#This Row],[ITEM]],TbPiezas[],5,FALSE))</f>
        <v>0.5</v>
      </c>
      <c r="V313" s="81">
        <f>+TbAlquiler[[#This Row],[TOTAL]]*TbAlquiler[[#This Row],[P.U. (1)]]</f>
        <v>0</v>
      </c>
      <c r="W313" s="82">
        <f>+VLOOKUP(TbAlquiler[[#This Row],[ITEM]],TbPiezas[],6,FALSE)</f>
        <v>157.1</v>
      </c>
      <c r="X313" s="83">
        <f>+TbAlquiler[[#This Row],[TOTAL]]*TbAlquiler[[#This Row],[P.U. (2)]]</f>
        <v>0</v>
      </c>
      <c r="Y313" s="82">
        <f>+VLOOKUP(TbAlquiler[[#This Row],[ITEM]],TbPiezas[],7,FALSE)</f>
        <v>7.8550000000000004</v>
      </c>
      <c r="Z313" s="84">
        <f>+TbAlquiler[[#This Row],[TOTAL]]*TbAlquiler[[#This Row],[P.U. (3)]]</f>
        <v>0</v>
      </c>
    </row>
    <row r="314" spans="1:26" ht="15" customHeight="1" x14ac:dyDescent="0.3">
      <c r="A314" s="2"/>
      <c r="B314" s="85">
        <v>298</v>
      </c>
      <c r="C314" s="71" t="s">
        <v>597</v>
      </c>
      <c r="D314" s="72" t="s">
        <v>598</v>
      </c>
      <c r="E314" s="73"/>
      <c r="F314" s="74">
        <f>+VLOOKUP(C314,TbAlquiler[],13,FALSE)</f>
        <v>0</v>
      </c>
      <c r="G314" s="2"/>
      <c r="H314" s="75" t="str">
        <f t="shared" si="8"/>
        <v>AE.12000</v>
      </c>
      <c r="I314" s="59" t="str">
        <f t="shared" si="9"/>
        <v>ok</v>
      </c>
      <c r="J314" s="77">
        <f>IFERROR(VLOOKUP($H314,TG[],3,FALSE),"NA")</f>
        <v>0</v>
      </c>
      <c r="K314" s="77" t="str">
        <f>IFERROR(VLOOKUP($H314,TF[],3,FALSE),"NA")</f>
        <v>NA</v>
      </c>
      <c r="L314" s="77" t="str">
        <f>IFERROR(VLOOKUP($H314,TT[],3,FALSE),"NA")</f>
        <v>NA</v>
      </c>
      <c r="M314" s="77" t="str">
        <f>IFERROR(VLOOKUP($H314,TES[],3,FALSE),"NA")</f>
        <v>NA</v>
      </c>
      <c r="N314" s="77" t="str">
        <f>IFERROR(VLOOKUP($H314,TEC[],3,FALSE),"NA")</f>
        <v>NA</v>
      </c>
      <c r="O314" s="77" t="str">
        <f>IFERROR(VLOOKUP($H314,TP[],3,FALSE),"NA")</f>
        <v>NA</v>
      </c>
      <c r="P314" s="77" t="str">
        <f>IFERROR(VLOOKUP($H314,TEN[],3,FALSE),"NA")</f>
        <v>NA</v>
      </c>
      <c r="Q314" s="77" t="str">
        <f>IFERROR(VLOOKUP($H314,TD[],3,FALSE),"NA")</f>
        <v>NA</v>
      </c>
      <c r="R314" s="77">
        <f>IFERROR(VLOOKUP($H314,TC[],3,FALSE),"NA")</f>
        <v>0</v>
      </c>
      <c r="S314" s="77" t="str">
        <f>IFERROR(VLOOKUP($H314,TEV[],3,FALSE),"NA")</f>
        <v>NA</v>
      </c>
      <c r="T314" s="79">
        <f>SUM(TbAlquiler[[#This Row],[GENERAL]:[ELEVADOR]])</f>
        <v>0</v>
      </c>
      <c r="U314" s="80">
        <f>IF(VLOOKUP(TbAlquiler[[#This Row],[ITEM]],TbPiezas[],5,FALSE)="NA",0,VLOOKUP(TbAlquiler[[#This Row],[ITEM]],TbPiezas[],5,FALSE))</f>
        <v>7.0999999999999943</v>
      </c>
      <c r="V314" s="81">
        <f>+TbAlquiler[[#This Row],[TOTAL]]*TbAlquiler[[#This Row],[P.U. (1)]]</f>
        <v>0</v>
      </c>
      <c r="W314" s="82">
        <f>+VLOOKUP(TbAlquiler[[#This Row],[ITEM]],TbPiezas[],6,FALSE)</f>
        <v>381.15</v>
      </c>
      <c r="X314" s="83">
        <f>+TbAlquiler[[#This Row],[TOTAL]]*TbAlquiler[[#This Row],[P.U. (2)]]</f>
        <v>0</v>
      </c>
      <c r="Y314" s="82">
        <f>+VLOOKUP(TbAlquiler[[#This Row],[ITEM]],TbPiezas[],7,FALSE)</f>
        <v>19.057500000000001</v>
      </c>
      <c r="Z314" s="84">
        <f>+TbAlquiler[[#This Row],[TOTAL]]*TbAlquiler[[#This Row],[P.U. (3)]]</f>
        <v>0</v>
      </c>
    </row>
    <row r="315" spans="1:26" ht="15" customHeight="1" x14ac:dyDescent="0.3">
      <c r="A315" s="2"/>
      <c r="B315" s="85">
        <v>299</v>
      </c>
      <c r="C315" s="71" t="s">
        <v>599</v>
      </c>
      <c r="D315" s="72" t="s">
        <v>600</v>
      </c>
      <c r="E315" s="73"/>
      <c r="F315" s="74">
        <f>+VLOOKUP(C315,TbAlquiler[],13,FALSE)</f>
        <v>0</v>
      </c>
      <c r="G315" s="2"/>
      <c r="H315" s="75" t="str">
        <f t="shared" si="8"/>
        <v>AE.12100</v>
      </c>
      <c r="I315" s="59" t="str">
        <f t="shared" si="9"/>
        <v>ok</v>
      </c>
      <c r="J315" s="77">
        <f>IFERROR(VLOOKUP($H315,TG[],3,FALSE),"NA")</f>
        <v>0</v>
      </c>
      <c r="K315" s="77" t="str">
        <f>IFERROR(VLOOKUP($H315,TF[],3,FALSE),"NA")</f>
        <v>NA</v>
      </c>
      <c r="L315" s="77" t="str">
        <f>IFERROR(VLOOKUP($H315,TT[],3,FALSE),"NA")</f>
        <v>NA</v>
      </c>
      <c r="M315" s="77" t="str">
        <f>IFERROR(VLOOKUP($H315,TES[],3,FALSE),"NA")</f>
        <v>NA</v>
      </c>
      <c r="N315" s="77" t="str">
        <f>IFERROR(VLOOKUP($H315,TEC[],3,FALSE),"NA")</f>
        <v>NA</v>
      </c>
      <c r="O315" s="77" t="str">
        <f>IFERROR(VLOOKUP($H315,TP[],3,FALSE),"NA")</f>
        <v>NA</v>
      </c>
      <c r="P315" s="77" t="str">
        <f>IFERROR(VLOOKUP($H315,TEN[],3,FALSE),"NA")</f>
        <v>NA</v>
      </c>
      <c r="Q315" s="77" t="str">
        <f>IFERROR(VLOOKUP($H315,TD[],3,FALSE),"NA")</f>
        <v>NA</v>
      </c>
      <c r="R315" s="77">
        <f>IFERROR(VLOOKUP($H315,TC[],3,FALSE),"NA")</f>
        <v>0</v>
      </c>
      <c r="S315" s="77" t="str">
        <f>IFERROR(VLOOKUP($H315,TEV[],3,FALSE),"NA")</f>
        <v>NA</v>
      </c>
      <c r="T315" s="79">
        <f>SUM(TbAlquiler[[#This Row],[GENERAL]:[ELEVADOR]])</f>
        <v>0</v>
      </c>
      <c r="U315" s="80">
        <f>IF(VLOOKUP(TbAlquiler[[#This Row],[ITEM]],TbPiezas[],5,FALSE)="NA",0,VLOOKUP(TbAlquiler[[#This Row],[ITEM]],TbPiezas[],5,FALSE))</f>
        <v>0.5</v>
      </c>
      <c r="V315" s="81">
        <f>+TbAlquiler[[#This Row],[TOTAL]]*TbAlquiler[[#This Row],[P.U. (1)]]</f>
        <v>0</v>
      </c>
      <c r="W315" s="82">
        <f>+VLOOKUP(TbAlquiler[[#This Row],[ITEM]],TbPiezas[],6,FALSE)</f>
        <v>88.94</v>
      </c>
      <c r="X315" s="83">
        <f>+TbAlquiler[[#This Row],[TOTAL]]*TbAlquiler[[#This Row],[P.U. (2)]]</f>
        <v>0</v>
      </c>
      <c r="Y315" s="82">
        <f>+VLOOKUP(TbAlquiler[[#This Row],[ITEM]],TbPiezas[],7,FALSE)</f>
        <v>4.4470000000000001</v>
      </c>
      <c r="Z315" s="84">
        <f>+TbAlquiler[[#This Row],[TOTAL]]*TbAlquiler[[#This Row],[P.U. (3)]]</f>
        <v>0</v>
      </c>
    </row>
    <row r="316" spans="1:26" ht="15" customHeight="1" x14ac:dyDescent="0.3">
      <c r="A316" s="2"/>
      <c r="B316" s="85">
        <v>300</v>
      </c>
      <c r="C316" s="71" t="s">
        <v>601</v>
      </c>
      <c r="D316" s="72" t="s">
        <v>602</v>
      </c>
      <c r="E316" s="73"/>
      <c r="F316" s="74">
        <f>+VLOOKUP(C316,TbAlquiler[],13,FALSE)</f>
        <v>0</v>
      </c>
      <c r="G316" s="2"/>
      <c r="H316" s="75" t="str">
        <f t="shared" si="8"/>
        <v>AE.12200</v>
      </c>
      <c r="I316" s="59" t="str">
        <f t="shared" si="9"/>
        <v>ok</v>
      </c>
      <c r="J316" s="77">
        <f>IFERROR(VLOOKUP($H316,TG[],3,FALSE),"NA")</f>
        <v>0</v>
      </c>
      <c r="K316" s="77" t="str">
        <f>IFERROR(VLOOKUP($H316,TF[],3,FALSE),"NA")</f>
        <v>NA</v>
      </c>
      <c r="L316" s="77" t="str">
        <f>IFERROR(VLOOKUP($H316,TT[],3,FALSE),"NA")</f>
        <v>NA</v>
      </c>
      <c r="M316" s="77" t="str">
        <f>IFERROR(VLOOKUP($H316,TES[],3,FALSE),"NA")</f>
        <v>NA</v>
      </c>
      <c r="N316" s="77" t="str">
        <f>IFERROR(VLOOKUP($H316,TEC[],3,FALSE),"NA")</f>
        <v>NA</v>
      </c>
      <c r="O316" s="77" t="str">
        <f>IFERROR(VLOOKUP($H316,TP[],3,FALSE),"NA")</f>
        <v>NA</v>
      </c>
      <c r="P316" s="77" t="str">
        <f>IFERROR(VLOOKUP($H316,TEN[],3,FALSE),"NA")</f>
        <v>NA</v>
      </c>
      <c r="Q316" s="77" t="str">
        <f>IFERROR(VLOOKUP($H316,TD[],3,FALSE),"NA")</f>
        <v>NA</v>
      </c>
      <c r="R316" s="77">
        <f>IFERROR(VLOOKUP($H316,TC[],3,FALSE),"NA")</f>
        <v>0</v>
      </c>
      <c r="S316" s="77" t="str">
        <f>IFERROR(VLOOKUP($H316,TEV[],3,FALSE),"NA")</f>
        <v>NA</v>
      </c>
      <c r="T316" s="79">
        <f>SUM(TbAlquiler[[#This Row],[GENERAL]:[ELEVADOR]])</f>
        <v>0</v>
      </c>
      <c r="U316" s="80">
        <f>IF(VLOOKUP(TbAlquiler[[#This Row],[ITEM]],TbPiezas[],5,FALSE)="NA",0,VLOOKUP(TbAlquiler[[#This Row],[ITEM]],TbPiezas[],5,FALSE))</f>
        <v>0.75</v>
      </c>
      <c r="V316" s="81">
        <f>+TbAlquiler[[#This Row],[TOTAL]]*TbAlquiler[[#This Row],[P.U. (1)]]</f>
        <v>0</v>
      </c>
      <c r="W316" s="82">
        <f>+VLOOKUP(TbAlquiler[[#This Row],[ITEM]],TbPiezas[],6,FALSE)</f>
        <v>200</v>
      </c>
      <c r="X316" s="83">
        <f>+TbAlquiler[[#This Row],[TOTAL]]*TbAlquiler[[#This Row],[P.U. (2)]]</f>
        <v>0</v>
      </c>
      <c r="Y316" s="82">
        <f>+VLOOKUP(TbAlquiler[[#This Row],[ITEM]],TbPiezas[],7,FALSE)</f>
        <v>10</v>
      </c>
      <c r="Z316" s="84">
        <f>+TbAlquiler[[#This Row],[TOTAL]]*TbAlquiler[[#This Row],[P.U. (3)]]</f>
        <v>0</v>
      </c>
    </row>
    <row r="317" spans="1:26" ht="15" customHeight="1" x14ac:dyDescent="0.3">
      <c r="A317" s="2"/>
      <c r="B317" s="85">
        <v>301</v>
      </c>
      <c r="C317" s="71" t="s">
        <v>603</v>
      </c>
      <c r="D317" s="72" t="s">
        <v>604</v>
      </c>
      <c r="E317" s="73"/>
      <c r="F317" s="74">
        <f>+VLOOKUP(C317,TbAlquiler[],13,FALSE)</f>
        <v>0</v>
      </c>
      <c r="G317" s="2"/>
      <c r="H317" s="75" t="str">
        <f t="shared" si="8"/>
        <v>AE.12300</v>
      </c>
      <c r="I317" s="59" t="str">
        <f t="shared" si="9"/>
        <v>ok</v>
      </c>
      <c r="J317" s="77">
        <f>IFERROR(VLOOKUP($H317,TG[],3,FALSE),"NA")</f>
        <v>0</v>
      </c>
      <c r="K317" s="77" t="str">
        <f>IFERROR(VLOOKUP($H317,TF[],3,FALSE),"NA")</f>
        <v>NA</v>
      </c>
      <c r="L317" s="77" t="str">
        <f>IFERROR(VLOOKUP($H317,TT[],3,FALSE),"NA")</f>
        <v>NA</v>
      </c>
      <c r="M317" s="77" t="str">
        <f>IFERROR(VLOOKUP($H317,TES[],3,FALSE),"NA")</f>
        <v>NA</v>
      </c>
      <c r="N317" s="77" t="str">
        <f>IFERROR(VLOOKUP($H317,TEC[],3,FALSE),"NA")</f>
        <v>NA</v>
      </c>
      <c r="O317" s="77" t="str">
        <f>IFERROR(VLOOKUP($H317,TP[],3,FALSE),"NA")</f>
        <v>NA</v>
      </c>
      <c r="P317" s="77" t="str">
        <f>IFERROR(VLOOKUP($H317,TEN[],3,FALSE),"NA")</f>
        <v>NA</v>
      </c>
      <c r="Q317" s="77" t="str">
        <f>IFERROR(VLOOKUP($H317,TD[],3,FALSE),"NA")</f>
        <v>NA</v>
      </c>
      <c r="R317" s="77">
        <f>IFERROR(VLOOKUP($H317,TC[],3,FALSE),"NA")</f>
        <v>0</v>
      </c>
      <c r="S317" s="77" t="str">
        <f>IFERROR(VLOOKUP($H317,TEV[],3,FALSE),"NA")</f>
        <v>NA</v>
      </c>
      <c r="T317" s="79">
        <f>SUM(TbAlquiler[[#This Row],[GENERAL]:[ELEVADOR]])</f>
        <v>0</v>
      </c>
      <c r="U317" s="80">
        <f>IF(VLOOKUP(TbAlquiler[[#This Row],[ITEM]],TbPiezas[],5,FALSE)="NA",0,VLOOKUP(TbAlquiler[[#This Row],[ITEM]],TbPiezas[],5,FALSE))</f>
        <v>0.1</v>
      </c>
      <c r="V317" s="81">
        <f>+TbAlquiler[[#This Row],[TOTAL]]*TbAlquiler[[#This Row],[P.U. (1)]]</f>
        <v>0</v>
      </c>
      <c r="W317" s="82">
        <f>+VLOOKUP(TbAlquiler[[#This Row],[ITEM]],TbPiezas[],6,FALSE)</f>
        <v>200</v>
      </c>
      <c r="X317" s="83">
        <f>+TbAlquiler[[#This Row],[TOTAL]]*TbAlquiler[[#This Row],[P.U. (2)]]</f>
        <v>0</v>
      </c>
      <c r="Y317" s="82">
        <f>+VLOOKUP(TbAlquiler[[#This Row],[ITEM]],TbPiezas[],7,FALSE)</f>
        <v>10</v>
      </c>
      <c r="Z317" s="84">
        <f>+TbAlquiler[[#This Row],[TOTAL]]*TbAlquiler[[#This Row],[P.U. (3)]]</f>
        <v>0</v>
      </c>
    </row>
    <row r="318" spans="1:26" ht="15" customHeight="1" x14ac:dyDescent="0.3">
      <c r="A318" s="2"/>
      <c r="B318" s="85">
        <v>302</v>
      </c>
      <c r="C318" s="71" t="s">
        <v>605</v>
      </c>
      <c r="D318" s="72" t="s">
        <v>606</v>
      </c>
      <c r="E318" s="73"/>
      <c r="F318" s="74">
        <f>+VLOOKUP(C318,TbAlquiler[],13,FALSE)</f>
        <v>0</v>
      </c>
      <c r="G318" s="2"/>
      <c r="H318" s="75" t="str">
        <f t="shared" si="8"/>
        <v>EN.0100</v>
      </c>
      <c r="I318" s="59" t="str">
        <f t="shared" si="9"/>
        <v>ok</v>
      </c>
      <c r="J318" s="77">
        <f>IFERROR(VLOOKUP($H318,TG[],3,FALSE),"NA")</f>
        <v>0</v>
      </c>
      <c r="K318" s="77" t="str">
        <f>IFERROR(VLOOKUP($H318,TF[],3,FALSE),"NA")</f>
        <v>NA</v>
      </c>
      <c r="L318" s="77" t="str">
        <f>IFERROR(VLOOKUP($H318,TT[],3,FALSE),"NA")</f>
        <v>NA</v>
      </c>
      <c r="M318" s="77" t="str">
        <f>IFERROR(VLOOKUP($H318,TES[],3,FALSE),"NA")</f>
        <v>NA</v>
      </c>
      <c r="N318" s="77" t="str">
        <f>IFERROR(VLOOKUP($H318,TEC[],3,FALSE),"NA")</f>
        <v>NA</v>
      </c>
      <c r="O318" s="77" t="str">
        <f>IFERROR(VLOOKUP($H318,TP[],3,FALSE),"NA")</f>
        <v>NA</v>
      </c>
      <c r="P318" s="77">
        <f>IFERROR(VLOOKUP($H318,TEN[],3,FALSE),"NA")</f>
        <v>0</v>
      </c>
      <c r="Q318" s="77" t="str">
        <f>IFERROR(VLOOKUP($H318,TD[],3,FALSE),"NA")</f>
        <v>NA</v>
      </c>
      <c r="R318" s="77" t="str">
        <f>IFERROR(VLOOKUP($H318,TC[],3,FALSE),"NA")</f>
        <v>NA</v>
      </c>
      <c r="S318" s="77" t="str">
        <f>IFERROR(VLOOKUP($H318,TEV[],3,FALSE),"NA")</f>
        <v>NA</v>
      </c>
      <c r="T318" s="79">
        <f>SUM(TbAlquiler[[#This Row],[GENERAL]:[ELEVADOR]])</f>
        <v>0</v>
      </c>
      <c r="U318" s="80">
        <f>IF(VLOOKUP(TbAlquiler[[#This Row],[ITEM]],TbPiezas[],5,FALSE)="NA",0,VLOOKUP(TbAlquiler[[#This Row],[ITEM]],TbPiezas[],5,FALSE))</f>
        <v>2.4</v>
      </c>
      <c r="V318" s="81">
        <f>+TbAlquiler[[#This Row],[TOTAL]]*TbAlquiler[[#This Row],[P.U. (1)]]</f>
        <v>0</v>
      </c>
      <c r="W318" s="82">
        <f>+VLOOKUP(TbAlquiler[[#This Row],[ITEM]],TbPiezas[],6,FALSE)</f>
        <v>102.82</v>
      </c>
      <c r="X318" s="83">
        <f>+TbAlquiler[[#This Row],[TOTAL]]*TbAlquiler[[#This Row],[P.U. (2)]]</f>
        <v>0</v>
      </c>
      <c r="Y318" s="82">
        <f>+VLOOKUP(TbAlquiler[[#This Row],[ITEM]],TbPiezas[],7,FALSE)</f>
        <v>5.141</v>
      </c>
      <c r="Z318" s="84">
        <f>+TbAlquiler[[#This Row],[TOTAL]]*TbAlquiler[[#This Row],[P.U. (3)]]</f>
        <v>0</v>
      </c>
    </row>
    <row r="319" spans="1:26" ht="15" customHeight="1" x14ac:dyDescent="0.3">
      <c r="A319" s="2"/>
      <c r="B319" s="85">
        <v>303</v>
      </c>
      <c r="C319" s="71" t="s">
        <v>607</v>
      </c>
      <c r="D319" s="72" t="s">
        <v>608</v>
      </c>
      <c r="E319" s="73"/>
      <c r="F319" s="74">
        <f>+VLOOKUP(C319,TbAlquiler[],13,FALSE)</f>
        <v>0</v>
      </c>
      <c r="G319" s="2"/>
      <c r="H319" s="75" t="str">
        <f t="shared" si="8"/>
        <v>EN.0200</v>
      </c>
      <c r="I319" s="59" t="str">
        <f t="shared" si="9"/>
        <v>ok</v>
      </c>
      <c r="J319" s="77">
        <f>IFERROR(VLOOKUP($H319,TG[],3,FALSE),"NA")</f>
        <v>0</v>
      </c>
      <c r="K319" s="77" t="str">
        <f>IFERROR(VLOOKUP($H319,TF[],3,FALSE),"NA")</f>
        <v>NA</v>
      </c>
      <c r="L319" s="77" t="str">
        <f>IFERROR(VLOOKUP($H319,TT[],3,FALSE),"NA")</f>
        <v>NA</v>
      </c>
      <c r="M319" s="77" t="str">
        <f>IFERROR(VLOOKUP($H319,TES[],3,FALSE),"NA")</f>
        <v>NA</v>
      </c>
      <c r="N319" s="77" t="str">
        <f>IFERROR(VLOOKUP($H319,TEC[],3,FALSE),"NA")</f>
        <v>NA</v>
      </c>
      <c r="O319" s="77" t="str">
        <f>IFERROR(VLOOKUP($H319,TP[],3,FALSE),"NA")</f>
        <v>NA</v>
      </c>
      <c r="P319" s="77">
        <f>IFERROR(VLOOKUP($H319,TEN[],3,FALSE),"NA")</f>
        <v>0</v>
      </c>
      <c r="Q319" s="77" t="str">
        <f>IFERROR(VLOOKUP($H319,TD[],3,FALSE),"NA")</f>
        <v>NA</v>
      </c>
      <c r="R319" s="77" t="str">
        <f>IFERROR(VLOOKUP($H319,TC[],3,FALSE),"NA")</f>
        <v>NA</v>
      </c>
      <c r="S319" s="77" t="str">
        <f>IFERROR(VLOOKUP($H319,TEV[],3,FALSE),"NA")</f>
        <v>NA</v>
      </c>
      <c r="T319" s="79">
        <f>SUM(TbAlquiler[[#This Row],[GENERAL]:[ELEVADOR]])</f>
        <v>0</v>
      </c>
      <c r="U319" s="80">
        <f>IF(VLOOKUP(TbAlquiler[[#This Row],[ITEM]],TbPiezas[],5,FALSE)="NA",0,VLOOKUP(TbAlquiler[[#This Row],[ITEM]],TbPiezas[],5,FALSE))</f>
        <v>2</v>
      </c>
      <c r="V319" s="81">
        <f>+TbAlquiler[[#This Row],[TOTAL]]*TbAlquiler[[#This Row],[P.U. (1)]]</f>
        <v>0</v>
      </c>
      <c r="W319" s="82">
        <f>+VLOOKUP(TbAlquiler[[#This Row],[ITEM]],TbPiezas[],6,FALSE)</f>
        <v>85.68</v>
      </c>
      <c r="X319" s="83">
        <f>+TbAlquiler[[#This Row],[TOTAL]]*TbAlquiler[[#This Row],[P.U. (2)]]</f>
        <v>0</v>
      </c>
      <c r="Y319" s="82">
        <f>+VLOOKUP(TbAlquiler[[#This Row],[ITEM]],TbPiezas[],7,FALSE)</f>
        <v>4.2840000000000007</v>
      </c>
      <c r="Z319" s="84">
        <f>+TbAlquiler[[#This Row],[TOTAL]]*TbAlquiler[[#This Row],[P.U. (3)]]</f>
        <v>0</v>
      </c>
    </row>
    <row r="320" spans="1:26" ht="15" customHeight="1" x14ac:dyDescent="0.3">
      <c r="A320" s="2"/>
      <c r="B320" s="85">
        <v>304</v>
      </c>
      <c r="C320" s="71" t="s">
        <v>609</v>
      </c>
      <c r="D320" s="72" t="s">
        <v>610</v>
      </c>
      <c r="E320" s="73"/>
      <c r="F320" s="74">
        <f>+VLOOKUP(C320,TbAlquiler[],13,FALSE)</f>
        <v>0</v>
      </c>
      <c r="G320" s="2"/>
      <c r="H320" s="75" t="str">
        <f t="shared" si="8"/>
        <v>EN.0300</v>
      </c>
      <c r="I320" s="59" t="str">
        <f t="shared" si="9"/>
        <v>ok</v>
      </c>
      <c r="J320" s="77">
        <f>IFERROR(VLOOKUP($H320,TG[],3,FALSE),"NA")</f>
        <v>0</v>
      </c>
      <c r="K320" s="77" t="str">
        <f>IFERROR(VLOOKUP($H320,TF[],3,FALSE),"NA")</f>
        <v>NA</v>
      </c>
      <c r="L320" s="77" t="str">
        <f>IFERROR(VLOOKUP($H320,TT[],3,FALSE),"NA")</f>
        <v>NA</v>
      </c>
      <c r="M320" s="77" t="str">
        <f>IFERROR(VLOOKUP($H320,TES[],3,FALSE),"NA")</f>
        <v>NA</v>
      </c>
      <c r="N320" s="77" t="str">
        <f>IFERROR(VLOOKUP($H320,TEC[],3,FALSE),"NA")</f>
        <v>NA</v>
      </c>
      <c r="O320" s="77" t="str">
        <f>IFERROR(VLOOKUP($H320,TP[],3,FALSE),"NA")</f>
        <v>NA</v>
      </c>
      <c r="P320" s="77">
        <f>IFERROR(VLOOKUP($H320,TEN[],3,FALSE),"NA")</f>
        <v>0</v>
      </c>
      <c r="Q320" s="77" t="str">
        <f>IFERROR(VLOOKUP($H320,TD[],3,FALSE),"NA")</f>
        <v>NA</v>
      </c>
      <c r="R320" s="77" t="str">
        <f>IFERROR(VLOOKUP($H320,TC[],3,FALSE),"NA")</f>
        <v>NA</v>
      </c>
      <c r="S320" s="77" t="str">
        <f>IFERROR(VLOOKUP($H320,TEV[],3,FALSE),"NA")</f>
        <v>NA</v>
      </c>
      <c r="T320" s="79">
        <f>SUM(TbAlquiler[[#This Row],[GENERAL]:[ELEVADOR]])</f>
        <v>0</v>
      </c>
      <c r="U320" s="80">
        <f>IF(VLOOKUP(TbAlquiler[[#This Row],[ITEM]],TbPiezas[],5,FALSE)="NA",0,VLOOKUP(TbAlquiler[[#This Row],[ITEM]],TbPiezas[],5,FALSE))</f>
        <v>0.5</v>
      </c>
      <c r="V320" s="81">
        <f>+TbAlquiler[[#This Row],[TOTAL]]*TbAlquiler[[#This Row],[P.U. (1)]]</f>
        <v>0</v>
      </c>
      <c r="W320" s="82">
        <f>+VLOOKUP(TbAlquiler[[#This Row],[ITEM]],TbPiezas[],6,FALSE)</f>
        <v>40.020000000000003</v>
      </c>
      <c r="X320" s="83">
        <f>+TbAlquiler[[#This Row],[TOTAL]]*TbAlquiler[[#This Row],[P.U. (2)]]</f>
        <v>0</v>
      </c>
      <c r="Y320" s="82">
        <f>+VLOOKUP(TbAlquiler[[#This Row],[ITEM]],TbPiezas[],7,FALSE)</f>
        <v>2.0010000000000003</v>
      </c>
      <c r="Z320" s="84">
        <f>+TbAlquiler[[#This Row],[TOTAL]]*TbAlquiler[[#This Row],[P.U. (3)]]</f>
        <v>0</v>
      </c>
    </row>
    <row r="321" spans="1:26" ht="15" customHeight="1" x14ac:dyDescent="0.3">
      <c r="A321" s="2"/>
      <c r="B321" s="85">
        <v>305</v>
      </c>
      <c r="C321" s="71" t="s">
        <v>611</v>
      </c>
      <c r="D321" s="72" t="s">
        <v>612</v>
      </c>
      <c r="E321" s="73"/>
      <c r="F321" s="74">
        <f>+VLOOKUP(C321,TbAlquiler[],13,FALSE)</f>
        <v>0</v>
      </c>
      <c r="G321" s="2"/>
      <c r="H321" s="75" t="str">
        <f t="shared" si="8"/>
        <v>EN.0310</v>
      </c>
      <c r="I321" s="59" t="str">
        <f t="shared" si="9"/>
        <v>ok</v>
      </c>
      <c r="J321" s="77">
        <f>IFERROR(VLOOKUP($H321,TG[],3,FALSE),"NA")</f>
        <v>0</v>
      </c>
      <c r="K321" s="77" t="str">
        <f>IFERROR(VLOOKUP($H321,TF[],3,FALSE),"NA")</f>
        <v>NA</v>
      </c>
      <c r="L321" s="77" t="str">
        <f>IFERROR(VLOOKUP($H321,TT[],3,FALSE),"NA")</f>
        <v>NA</v>
      </c>
      <c r="M321" s="77" t="str">
        <f>IFERROR(VLOOKUP($H321,TES[],3,FALSE),"NA")</f>
        <v>NA</v>
      </c>
      <c r="N321" s="77">
        <f>IFERROR(VLOOKUP($H321,TEC[],3,FALSE),"NA")</f>
        <v>0</v>
      </c>
      <c r="O321" s="77" t="str">
        <f>IFERROR(VLOOKUP($H321,TP[],3,FALSE),"NA")</f>
        <v>NA</v>
      </c>
      <c r="P321" s="77">
        <f>IFERROR(VLOOKUP($H321,TEN[],3,FALSE),"NA")</f>
        <v>0</v>
      </c>
      <c r="Q321" s="77" t="str">
        <f>IFERROR(VLOOKUP($H321,TD[],3,FALSE),"NA")</f>
        <v>NA</v>
      </c>
      <c r="R321" s="77" t="str">
        <f>IFERROR(VLOOKUP($H321,TC[],3,FALSE),"NA")</f>
        <v>NA</v>
      </c>
      <c r="S321" s="77" t="str">
        <f>IFERROR(VLOOKUP($H321,TEV[],3,FALSE),"NA")</f>
        <v>NA</v>
      </c>
      <c r="T321" s="79">
        <f>SUM(TbAlquiler[[#This Row],[GENERAL]:[ELEVADOR]])</f>
        <v>0</v>
      </c>
      <c r="U321" s="80">
        <f>IF(VLOOKUP(TbAlquiler[[#This Row],[ITEM]],TbPiezas[],5,FALSE)="NA",0,VLOOKUP(TbAlquiler[[#This Row],[ITEM]],TbPiezas[],5,FALSE))</f>
        <v>3</v>
      </c>
      <c r="V321" s="81">
        <f>+TbAlquiler[[#This Row],[TOTAL]]*TbAlquiler[[#This Row],[P.U. (1)]]</f>
        <v>0</v>
      </c>
      <c r="W321" s="82">
        <f>+VLOOKUP(TbAlquiler[[#This Row],[ITEM]],TbPiezas[],6,FALSE)</f>
        <v>128.53</v>
      </c>
      <c r="X321" s="83">
        <f>+TbAlquiler[[#This Row],[TOTAL]]*TbAlquiler[[#This Row],[P.U. (2)]]</f>
        <v>0</v>
      </c>
      <c r="Y321" s="82">
        <f>+VLOOKUP(TbAlquiler[[#This Row],[ITEM]],TbPiezas[],7,FALSE)</f>
        <v>6.4265000000000008</v>
      </c>
      <c r="Z321" s="84">
        <f>+TbAlquiler[[#This Row],[TOTAL]]*TbAlquiler[[#This Row],[P.U. (3)]]</f>
        <v>0</v>
      </c>
    </row>
    <row r="322" spans="1:26" ht="15" customHeight="1" x14ac:dyDescent="0.3">
      <c r="A322" s="2"/>
      <c r="B322" s="85">
        <v>306</v>
      </c>
      <c r="C322" s="71" t="s">
        <v>613</v>
      </c>
      <c r="D322" s="72" t="s">
        <v>614</v>
      </c>
      <c r="E322" s="73"/>
      <c r="F322" s="74">
        <f>+VLOOKUP(C322,TbAlquiler[],13,FALSE)</f>
        <v>0</v>
      </c>
      <c r="G322" s="2"/>
      <c r="H322" s="75" t="str">
        <f t="shared" si="8"/>
        <v>EN.0320</v>
      </c>
      <c r="I322" s="59" t="str">
        <f t="shared" si="9"/>
        <v>ok</v>
      </c>
      <c r="J322" s="77">
        <f>IFERROR(VLOOKUP($H322,TG[],3,FALSE),"NA")</f>
        <v>0</v>
      </c>
      <c r="K322" s="77" t="str">
        <f>IFERROR(VLOOKUP($H322,TF[],3,FALSE),"NA")</f>
        <v>NA</v>
      </c>
      <c r="L322" s="77" t="str">
        <f>IFERROR(VLOOKUP($H322,TT[],3,FALSE),"NA")</f>
        <v>NA</v>
      </c>
      <c r="M322" s="77" t="str">
        <f>IFERROR(VLOOKUP($H322,TES[],3,FALSE),"NA")</f>
        <v>NA</v>
      </c>
      <c r="N322" s="77" t="str">
        <f>IFERROR(VLOOKUP($H322,TEC[],3,FALSE),"NA")</f>
        <v>NA</v>
      </c>
      <c r="O322" s="77" t="str">
        <f>IFERROR(VLOOKUP($H322,TP[],3,FALSE),"NA")</f>
        <v>NA</v>
      </c>
      <c r="P322" s="77">
        <f>IFERROR(VLOOKUP($H322,TEN[],3,FALSE),"NA")</f>
        <v>0</v>
      </c>
      <c r="Q322" s="77" t="str">
        <f>IFERROR(VLOOKUP($H322,TD[],3,FALSE),"NA")</f>
        <v>NA</v>
      </c>
      <c r="R322" s="77" t="str">
        <f>IFERROR(VLOOKUP($H322,TC[],3,FALSE),"NA")</f>
        <v>NA</v>
      </c>
      <c r="S322" s="77">
        <f>IFERROR(VLOOKUP($H322,TEV[],3,FALSE),"NA")</f>
        <v>0</v>
      </c>
      <c r="T322" s="79">
        <f>SUM(TbAlquiler[[#This Row],[GENERAL]:[ELEVADOR]])</f>
        <v>0</v>
      </c>
      <c r="U322" s="80">
        <f>IF(VLOOKUP(TbAlquiler[[#This Row],[ITEM]],TbPiezas[],5,FALSE)="NA",0,VLOOKUP(TbAlquiler[[#This Row],[ITEM]],TbPiezas[],5,FALSE))</f>
        <v>2.2999999999999998</v>
      </c>
      <c r="V322" s="81">
        <f>+TbAlquiler[[#This Row],[TOTAL]]*TbAlquiler[[#This Row],[P.U. (1)]]</f>
        <v>0</v>
      </c>
      <c r="W322" s="82">
        <f>+VLOOKUP(TbAlquiler[[#This Row],[ITEM]],TbPiezas[],6,FALSE)</f>
        <v>107.99</v>
      </c>
      <c r="X322" s="83">
        <f>+TbAlquiler[[#This Row],[TOTAL]]*TbAlquiler[[#This Row],[P.U. (2)]]</f>
        <v>0</v>
      </c>
      <c r="Y322" s="82">
        <f>+VLOOKUP(TbAlquiler[[#This Row],[ITEM]],TbPiezas[],7,FALSE)</f>
        <v>5.3994999999999997</v>
      </c>
      <c r="Z322" s="84">
        <f>+TbAlquiler[[#This Row],[TOTAL]]*TbAlquiler[[#This Row],[P.U. (3)]]</f>
        <v>0</v>
      </c>
    </row>
    <row r="323" spans="1:26" ht="15" customHeight="1" x14ac:dyDescent="0.3">
      <c r="A323" s="2"/>
      <c r="B323" s="85">
        <v>307</v>
      </c>
      <c r="C323" s="71" t="s">
        <v>615</v>
      </c>
      <c r="D323" s="72" t="s">
        <v>616</v>
      </c>
      <c r="E323" s="73"/>
      <c r="F323" s="74">
        <f>+VLOOKUP(C323,TbAlquiler[],13,FALSE)</f>
        <v>0</v>
      </c>
      <c r="G323" s="2"/>
      <c r="H323" s="75" t="str">
        <f t="shared" si="8"/>
        <v>EN.0325</v>
      </c>
      <c r="I323" s="59" t="str">
        <f t="shared" si="9"/>
        <v>ok</v>
      </c>
      <c r="J323" s="77">
        <f>IFERROR(VLOOKUP($H323,TG[],3,FALSE),"NA")</f>
        <v>0</v>
      </c>
      <c r="K323" s="77" t="str">
        <f>IFERROR(VLOOKUP($H323,TF[],3,FALSE),"NA")</f>
        <v>NA</v>
      </c>
      <c r="L323" s="77" t="str">
        <f>IFERROR(VLOOKUP($H323,TT[],3,FALSE),"NA")</f>
        <v>NA</v>
      </c>
      <c r="M323" s="77" t="str">
        <f>IFERROR(VLOOKUP($H323,TES[],3,FALSE),"NA")</f>
        <v>NA</v>
      </c>
      <c r="N323" s="77" t="str">
        <f>IFERROR(VLOOKUP($H323,TEC[],3,FALSE),"NA")</f>
        <v>NA</v>
      </c>
      <c r="O323" s="77" t="str">
        <f>IFERROR(VLOOKUP($H323,TP[],3,FALSE),"NA")</f>
        <v>NA</v>
      </c>
      <c r="P323" s="77">
        <f>IFERROR(VLOOKUP($H323,TEN[],3,FALSE),"NA")</f>
        <v>0</v>
      </c>
      <c r="Q323" s="77" t="str">
        <f>IFERROR(VLOOKUP($H323,TD[],3,FALSE),"NA")</f>
        <v>NA</v>
      </c>
      <c r="R323" s="77" t="str">
        <f>IFERROR(VLOOKUP($H323,TC[],3,FALSE),"NA")</f>
        <v>NA</v>
      </c>
      <c r="S323" s="77">
        <f>IFERROR(VLOOKUP($H323,TEV[],3,FALSE),"NA")</f>
        <v>0</v>
      </c>
      <c r="T323" s="79">
        <f>SUM(TbAlquiler[[#This Row],[GENERAL]:[ELEVADOR]])</f>
        <v>0</v>
      </c>
      <c r="U323" s="80">
        <f>IF(VLOOKUP(TbAlquiler[[#This Row],[ITEM]],TbPiezas[],5,FALSE)="NA",0,VLOOKUP(TbAlquiler[[#This Row],[ITEM]],TbPiezas[],5,FALSE))</f>
        <v>1.7</v>
      </c>
      <c r="V323" s="81">
        <f>+TbAlquiler[[#This Row],[TOTAL]]*TbAlquiler[[#This Row],[P.U. (1)]]</f>
        <v>0</v>
      </c>
      <c r="W323" s="82">
        <f>+VLOOKUP(TbAlquiler[[#This Row],[ITEM]],TbPiezas[],6,FALSE)</f>
        <v>79.34</v>
      </c>
      <c r="X323" s="83">
        <f>+TbAlquiler[[#This Row],[TOTAL]]*TbAlquiler[[#This Row],[P.U. (2)]]</f>
        <v>0</v>
      </c>
      <c r="Y323" s="82">
        <f>+VLOOKUP(TbAlquiler[[#This Row],[ITEM]],TbPiezas[],7,FALSE)</f>
        <v>3.9670000000000005</v>
      </c>
      <c r="Z323" s="84">
        <f>+TbAlquiler[[#This Row],[TOTAL]]*TbAlquiler[[#This Row],[P.U. (3)]]</f>
        <v>0</v>
      </c>
    </row>
    <row r="324" spans="1:26" ht="15" customHeight="1" x14ac:dyDescent="0.3">
      <c r="A324" s="2"/>
      <c r="B324" s="85">
        <v>308</v>
      </c>
      <c r="C324" s="71" t="s">
        <v>617</v>
      </c>
      <c r="D324" s="72" t="s">
        <v>618</v>
      </c>
      <c r="E324" s="73"/>
      <c r="F324" s="74">
        <f>+VLOOKUP(C324,TbAlquiler[],13,FALSE)</f>
        <v>0</v>
      </c>
      <c r="G324" s="2"/>
      <c r="H324" s="75" t="str">
        <f t="shared" si="8"/>
        <v>EN.0330</v>
      </c>
      <c r="I324" s="59" t="str">
        <f t="shared" si="9"/>
        <v>ok</v>
      </c>
      <c r="J324" s="77">
        <f>IFERROR(VLOOKUP($H324,TG[],3,FALSE),"NA")</f>
        <v>0</v>
      </c>
      <c r="K324" s="77" t="str">
        <f>IFERROR(VLOOKUP($H324,TF[],3,FALSE),"NA")</f>
        <v>NA</v>
      </c>
      <c r="L324" s="77" t="str">
        <f>IFERROR(VLOOKUP($H324,TT[],3,FALSE),"NA")</f>
        <v>NA</v>
      </c>
      <c r="M324" s="77" t="str">
        <f>IFERROR(VLOOKUP($H324,TES[],3,FALSE),"NA")</f>
        <v>NA</v>
      </c>
      <c r="N324" s="77" t="str">
        <f>IFERROR(VLOOKUP($H324,TEC[],3,FALSE),"NA")</f>
        <v>NA</v>
      </c>
      <c r="O324" s="77" t="str">
        <f>IFERROR(VLOOKUP($H324,TP[],3,FALSE),"NA")</f>
        <v>NA</v>
      </c>
      <c r="P324" s="77">
        <f>IFERROR(VLOOKUP($H324,TEN[],3,FALSE),"NA")</f>
        <v>0</v>
      </c>
      <c r="Q324" s="77" t="str">
        <f>IFERROR(VLOOKUP($H324,TD[],3,FALSE),"NA")</f>
        <v>NA</v>
      </c>
      <c r="R324" s="77" t="str">
        <f>IFERROR(VLOOKUP($H324,TC[],3,FALSE),"NA")</f>
        <v>NA</v>
      </c>
      <c r="S324" s="77" t="str">
        <f>IFERROR(VLOOKUP($H324,TEV[],3,FALSE),"NA")</f>
        <v>NA</v>
      </c>
      <c r="T324" s="79">
        <f>SUM(TbAlquiler[[#This Row],[GENERAL]:[ELEVADOR]])</f>
        <v>0</v>
      </c>
      <c r="U324" s="80">
        <f>IF(VLOOKUP(TbAlquiler[[#This Row],[ITEM]],TbPiezas[],5,FALSE)="NA",0,VLOOKUP(TbAlquiler[[#This Row],[ITEM]],TbPiezas[],5,FALSE))</f>
        <v>1.4</v>
      </c>
      <c r="V324" s="81">
        <f>+TbAlquiler[[#This Row],[TOTAL]]*TbAlquiler[[#This Row],[P.U. (1)]]</f>
        <v>0</v>
      </c>
      <c r="W324" s="82">
        <f>+VLOOKUP(TbAlquiler[[#This Row],[ITEM]],TbPiezas[],6,FALSE)</f>
        <v>82.58</v>
      </c>
      <c r="X324" s="83">
        <f>+TbAlquiler[[#This Row],[TOTAL]]*TbAlquiler[[#This Row],[P.U. (2)]]</f>
        <v>0</v>
      </c>
      <c r="Y324" s="82">
        <f>+VLOOKUP(TbAlquiler[[#This Row],[ITEM]],TbPiezas[],7,FALSE)</f>
        <v>4.1290000000000004</v>
      </c>
      <c r="Z324" s="84">
        <f>+TbAlquiler[[#This Row],[TOTAL]]*TbAlquiler[[#This Row],[P.U. (3)]]</f>
        <v>0</v>
      </c>
    </row>
    <row r="325" spans="1:26" ht="15" customHeight="1" x14ac:dyDescent="0.3">
      <c r="A325" s="2"/>
      <c r="B325" s="85">
        <v>309</v>
      </c>
      <c r="C325" s="71" t="s">
        <v>619</v>
      </c>
      <c r="D325" s="72" t="s">
        <v>620</v>
      </c>
      <c r="E325" s="73"/>
      <c r="F325" s="74">
        <f>+VLOOKUP(C325,TbAlquiler[],13,FALSE)</f>
        <v>0</v>
      </c>
      <c r="G325" s="2"/>
      <c r="H325" s="75" t="str">
        <f t="shared" si="8"/>
        <v>EN.0331</v>
      </c>
      <c r="I325" s="59" t="str">
        <f t="shared" si="9"/>
        <v>ok</v>
      </c>
      <c r="J325" s="77">
        <f>IFERROR(VLOOKUP($H325,TG[],3,FALSE),"NA")</f>
        <v>0</v>
      </c>
      <c r="K325" s="77" t="str">
        <f>IFERROR(VLOOKUP($H325,TF[],3,FALSE),"NA")</f>
        <v>NA</v>
      </c>
      <c r="L325" s="77" t="str">
        <f>IFERROR(VLOOKUP($H325,TT[],3,FALSE),"NA")</f>
        <v>NA</v>
      </c>
      <c r="M325" s="77" t="str">
        <f>IFERROR(VLOOKUP($H325,TES[],3,FALSE),"NA")</f>
        <v>NA</v>
      </c>
      <c r="N325" s="77" t="str">
        <f>IFERROR(VLOOKUP($H325,TEC[],3,FALSE),"NA")</f>
        <v>NA</v>
      </c>
      <c r="O325" s="77" t="str">
        <f>IFERROR(VLOOKUP($H325,TP[],3,FALSE),"NA")</f>
        <v>NA</v>
      </c>
      <c r="P325" s="77">
        <f>IFERROR(VLOOKUP($H325,TEN[],3,FALSE),"NA")</f>
        <v>0</v>
      </c>
      <c r="Q325" s="77" t="str">
        <f>IFERROR(VLOOKUP($H325,TD[],3,FALSE),"NA")</f>
        <v>NA</v>
      </c>
      <c r="R325" s="77" t="str">
        <f>IFERROR(VLOOKUP($H325,TC[],3,FALSE),"NA")</f>
        <v>NA</v>
      </c>
      <c r="S325" s="77" t="str">
        <f>IFERROR(VLOOKUP($H325,TEV[],3,FALSE),"NA")</f>
        <v>NA</v>
      </c>
      <c r="T325" s="79">
        <f>SUM(TbAlquiler[[#This Row],[GENERAL]:[ELEVADOR]])</f>
        <v>0</v>
      </c>
      <c r="U325" s="80">
        <f>IF(VLOOKUP(TbAlquiler[[#This Row],[ITEM]],TbPiezas[],5,FALSE)="NA",0,VLOOKUP(TbAlquiler[[#This Row],[ITEM]],TbPiezas[],5,FALSE))</f>
        <v>1.8</v>
      </c>
      <c r="V325" s="81">
        <f>+TbAlquiler[[#This Row],[TOTAL]]*TbAlquiler[[#This Row],[P.U. (1)]]</f>
        <v>0</v>
      </c>
      <c r="W325" s="82">
        <f>+VLOOKUP(TbAlquiler[[#This Row],[ITEM]],TbPiezas[],6,FALSE)</f>
        <v>95.29</v>
      </c>
      <c r="X325" s="83">
        <f>+TbAlquiler[[#This Row],[TOTAL]]*TbAlquiler[[#This Row],[P.U. (2)]]</f>
        <v>0</v>
      </c>
      <c r="Y325" s="82">
        <f>+VLOOKUP(TbAlquiler[[#This Row],[ITEM]],TbPiezas[],7,FALSE)</f>
        <v>4.7645000000000008</v>
      </c>
      <c r="Z325" s="84">
        <f>+TbAlquiler[[#This Row],[TOTAL]]*TbAlquiler[[#This Row],[P.U. (3)]]</f>
        <v>0</v>
      </c>
    </row>
    <row r="326" spans="1:26" ht="15" customHeight="1" x14ac:dyDescent="0.3">
      <c r="A326" s="2"/>
      <c r="B326" s="85">
        <v>310</v>
      </c>
      <c r="C326" s="71" t="s">
        <v>621</v>
      </c>
      <c r="D326" s="72" t="s">
        <v>622</v>
      </c>
      <c r="E326" s="73"/>
      <c r="F326" s="74">
        <f>+VLOOKUP(C326,TbAlquiler[],13,FALSE)</f>
        <v>0</v>
      </c>
      <c r="G326" s="2"/>
      <c r="H326" s="75" t="str">
        <f t="shared" si="8"/>
        <v>EN.0400</v>
      </c>
      <c r="I326" s="59" t="str">
        <f t="shared" si="9"/>
        <v>ok</v>
      </c>
      <c r="J326" s="77">
        <f>IFERROR(VLOOKUP($H326,TG[],3,FALSE),"NA")</f>
        <v>0</v>
      </c>
      <c r="K326" s="77" t="str">
        <f>IFERROR(VLOOKUP($H326,TF[],3,FALSE),"NA")</f>
        <v>NA</v>
      </c>
      <c r="L326" s="77" t="str">
        <f>IFERROR(VLOOKUP($H326,TT[],3,FALSE),"NA")</f>
        <v>NA</v>
      </c>
      <c r="M326" s="77" t="str">
        <f>IFERROR(VLOOKUP($H326,TES[],3,FALSE),"NA")</f>
        <v>NA</v>
      </c>
      <c r="N326" s="77">
        <f>IFERROR(VLOOKUP($H326,TEC[],3,FALSE),"NA")</f>
        <v>0</v>
      </c>
      <c r="O326" s="77" t="str">
        <f>IFERROR(VLOOKUP($H326,TP[],3,FALSE),"NA")</f>
        <v>NA</v>
      </c>
      <c r="P326" s="77">
        <f>IFERROR(VLOOKUP($H326,TEN[],3,FALSE),"NA")</f>
        <v>0</v>
      </c>
      <c r="Q326" s="77" t="str">
        <f>IFERROR(VLOOKUP($H326,TD[],3,FALSE),"NA")</f>
        <v>NA</v>
      </c>
      <c r="R326" s="77" t="str">
        <f>IFERROR(VLOOKUP($H326,TC[],3,FALSE),"NA")</f>
        <v>NA</v>
      </c>
      <c r="S326" s="77" t="str">
        <f>IFERROR(VLOOKUP($H326,TEV[],3,FALSE),"NA")</f>
        <v>NA</v>
      </c>
      <c r="T326" s="79">
        <f>SUM(TbAlquiler[[#This Row],[GENERAL]:[ELEVADOR]])</f>
        <v>0</v>
      </c>
      <c r="U326" s="80">
        <f>IF(VLOOKUP(TbAlquiler[[#This Row],[ITEM]],TbPiezas[],5,FALSE)="NA",0,VLOOKUP(TbAlquiler[[#This Row],[ITEM]],TbPiezas[],5,FALSE))</f>
        <v>2</v>
      </c>
      <c r="V326" s="81">
        <f>+TbAlquiler[[#This Row],[TOTAL]]*TbAlquiler[[#This Row],[P.U. (1)]]</f>
        <v>0</v>
      </c>
      <c r="W326" s="82">
        <f>+VLOOKUP(TbAlquiler[[#This Row],[ITEM]],TbPiezas[],6,FALSE)</f>
        <v>85.68</v>
      </c>
      <c r="X326" s="83">
        <f>+TbAlquiler[[#This Row],[TOTAL]]*TbAlquiler[[#This Row],[P.U. (2)]]</f>
        <v>0</v>
      </c>
      <c r="Y326" s="82">
        <f>+VLOOKUP(TbAlquiler[[#This Row],[ITEM]],TbPiezas[],7,FALSE)</f>
        <v>4.2840000000000007</v>
      </c>
      <c r="Z326" s="84">
        <f>+TbAlquiler[[#This Row],[TOTAL]]*TbAlquiler[[#This Row],[P.U. (3)]]</f>
        <v>0</v>
      </c>
    </row>
    <row r="327" spans="1:26" ht="15" customHeight="1" x14ac:dyDescent="0.3">
      <c r="A327" s="2"/>
      <c r="B327" s="85">
        <v>311</v>
      </c>
      <c r="C327" s="71" t="s">
        <v>623</v>
      </c>
      <c r="D327" s="72" t="s">
        <v>624</v>
      </c>
      <c r="E327" s="73"/>
      <c r="F327" s="74">
        <f>+VLOOKUP(C327,TbAlquiler[],13,FALSE)</f>
        <v>0</v>
      </c>
      <c r="G327" s="2"/>
      <c r="H327" s="75" t="str">
        <f t="shared" si="8"/>
        <v>EN.0500</v>
      </c>
      <c r="I327" s="59" t="str">
        <f t="shared" si="9"/>
        <v>ok</v>
      </c>
      <c r="J327" s="77">
        <f>IFERROR(VLOOKUP($H327,TG[],3,FALSE),"NA")</f>
        <v>0</v>
      </c>
      <c r="K327" s="77" t="str">
        <f>IFERROR(VLOOKUP($H327,TF[],3,FALSE),"NA")</f>
        <v>NA</v>
      </c>
      <c r="L327" s="77" t="str">
        <f>IFERROR(VLOOKUP($H327,TT[],3,FALSE),"NA")</f>
        <v>NA</v>
      </c>
      <c r="M327" s="77" t="str">
        <f>IFERROR(VLOOKUP($H327,TES[],3,FALSE),"NA")</f>
        <v>NA</v>
      </c>
      <c r="N327" s="77" t="str">
        <f>IFERROR(VLOOKUP($H327,TEC[],3,FALSE),"NA")</f>
        <v>NA</v>
      </c>
      <c r="O327" s="77" t="str">
        <f>IFERROR(VLOOKUP($H327,TP[],3,FALSE),"NA")</f>
        <v>NA</v>
      </c>
      <c r="P327" s="77">
        <f>IFERROR(VLOOKUP($H327,TEN[],3,FALSE),"NA")</f>
        <v>0</v>
      </c>
      <c r="Q327" s="77" t="str">
        <f>IFERROR(VLOOKUP($H327,TD[],3,FALSE),"NA")</f>
        <v>NA</v>
      </c>
      <c r="R327" s="77" t="str">
        <f>IFERROR(VLOOKUP($H327,TC[],3,FALSE),"NA")</f>
        <v>NA</v>
      </c>
      <c r="S327" s="77" t="str">
        <f>IFERROR(VLOOKUP($H327,TEV[],3,FALSE),"NA")</f>
        <v>NA</v>
      </c>
      <c r="T327" s="79">
        <f>SUM(TbAlquiler[[#This Row],[GENERAL]:[ELEVADOR]])</f>
        <v>0</v>
      </c>
      <c r="U327" s="80">
        <f>IF(VLOOKUP(TbAlquiler[[#This Row],[ITEM]],TbPiezas[],5,FALSE)="NA",0,VLOOKUP(TbAlquiler[[#This Row],[ITEM]],TbPiezas[],5,FALSE))</f>
        <v>0.79999999999999716</v>
      </c>
      <c r="V327" s="81">
        <f>+TbAlquiler[[#This Row],[TOTAL]]*TbAlquiler[[#This Row],[P.U. (1)]]</f>
        <v>0</v>
      </c>
      <c r="W327" s="82">
        <f>+VLOOKUP(TbAlquiler[[#This Row],[ITEM]],TbPiezas[],6,FALSE)</f>
        <v>63.53</v>
      </c>
      <c r="X327" s="83">
        <f>+TbAlquiler[[#This Row],[TOTAL]]*TbAlquiler[[#This Row],[P.U. (2)]]</f>
        <v>0</v>
      </c>
      <c r="Y327" s="82">
        <f>+VLOOKUP(TbAlquiler[[#This Row],[ITEM]],TbPiezas[],7,FALSE)</f>
        <v>3.1765000000000003</v>
      </c>
      <c r="Z327" s="84">
        <f>+TbAlquiler[[#This Row],[TOTAL]]*TbAlquiler[[#This Row],[P.U. (3)]]</f>
        <v>0</v>
      </c>
    </row>
    <row r="328" spans="1:26" ht="15" customHeight="1" x14ac:dyDescent="0.3">
      <c r="A328" s="2"/>
      <c r="B328" s="85">
        <v>312</v>
      </c>
      <c r="C328" s="71" t="s">
        <v>625</v>
      </c>
      <c r="D328" s="72" t="s">
        <v>626</v>
      </c>
      <c r="E328" s="73"/>
      <c r="F328" s="74">
        <f>+VLOOKUP(C328,TbAlquiler[],13,FALSE)</f>
        <v>0</v>
      </c>
      <c r="G328" s="2"/>
      <c r="H328" s="75" t="str">
        <f t="shared" si="8"/>
        <v>EN.0550</v>
      </c>
      <c r="I328" s="59" t="str">
        <f t="shared" si="9"/>
        <v>ok</v>
      </c>
      <c r="J328" s="77">
        <f>IFERROR(VLOOKUP($H328,TG[],3,FALSE),"NA")</f>
        <v>0</v>
      </c>
      <c r="K328" s="77" t="str">
        <f>IFERROR(VLOOKUP($H328,TF[],3,FALSE),"NA")</f>
        <v>NA</v>
      </c>
      <c r="L328" s="77" t="str">
        <f>IFERROR(VLOOKUP($H328,TT[],3,FALSE),"NA")</f>
        <v>NA</v>
      </c>
      <c r="M328" s="77" t="str">
        <f>IFERROR(VLOOKUP($H328,TES[],3,FALSE),"NA")</f>
        <v>NA</v>
      </c>
      <c r="N328" s="77" t="str">
        <f>IFERROR(VLOOKUP($H328,TEC[],3,FALSE),"NA")</f>
        <v>NA</v>
      </c>
      <c r="O328" s="77" t="str">
        <f>IFERROR(VLOOKUP($H328,TP[],3,FALSE),"NA")</f>
        <v>NA</v>
      </c>
      <c r="P328" s="77">
        <f>IFERROR(VLOOKUP($H328,TEN[],3,FALSE),"NA")</f>
        <v>0</v>
      </c>
      <c r="Q328" s="77" t="str">
        <f>IFERROR(VLOOKUP($H328,TD[],3,FALSE),"NA")</f>
        <v>NA</v>
      </c>
      <c r="R328" s="77" t="str">
        <f>IFERROR(VLOOKUP($H328,TC[],3,FALSE),"NA")</f>
        <v>NA</v>
      </c>
      <c r="S328" s="77" t="str">
        <f>IFERROR(VLOOKUP($H328,TEV[],3,FALSE),"NA")</f>
        <v>NA</v>
      </c>
      <c r="T328" s="79">
        <f>SUM(TbAlquiler[[#This Row],[GENERAL]:[ELEVADOR]])</f>
        <v>0</v>
      </c>
      <c r="U328" s="80">
        <f>IF(VLOOKUP(TbAlquiler[[#This Row],[ITEM]],TbPiezas[],5,FALSE)="NA",0,VLOOKUP(TbAlquiler[[#This Row],[ITEM]],TbPiezas[],5,FALSE))</f>
        <v>5.5</v>
      </c>
      <c r="V328" s="81">
        <f>+TbAlquiler[[#This Row],[TOTAL]]*TbAlquiler[[#This Row],[P.U. (1)]]</f>
        <v>0</v>
      </c>
      <c r="W328" s="82">
        <f>+VLOOKUP(TbAlquiler[[#This Row],[ITEM]],TbPiezas[],6,FALSE)</f>
        <v>185</v>
      </c>
      <c r="X328" s="83">
        <f>+TbAlquiler[[#This Row],[TOTAL]]*TbAlquiler[[#This Row],[P.U. (2)]]</f>
        <v>0</v>
      </c>
      <c r="Y328" s="82">
        <f>+VLOOKUP(TbAlquiler[[#This Row],[ITEM]],TbPiezas[],7,FALSE)</f>
        <v>9.25</v>
      </c>
      <c r="Z328" s="84">
        <f>+TbAlquiler[[#This Row],[TOTAL]]*TbAlquiler[[#This Row],[P.U. (3)]]</f>
        <v>0</v>
      </c>
    </row>
    <row r="329" spans="1:26" ht="15" customHeight="1" x14ac:dyDescent="0.3">
      <c r="A329" s="2"/>
      <c r="B329" s="85">
        <v>313</v>
      </c>
      <c r="C329" s="71" t="s">
        <v>627</v>
      </c>
      <c r="D329" s="72" t="s">
        <v>628</v>
      </c>
      <c r="E329" s="73"/>
      <c r="F329" s="74">
        <f>+VLOOKUP(C329,TbAlquiler[],13,FALSE)</f>
        <v>0</v>
      </c>
      <c r="G329" s="2"/>
      <c r="H329" s="75" t="str">
        <f t="shared" si="8"/>
        <v>EN.0600</v>
      </c>
      <c r="I329" s="59" t="str">
        <f t="shared" si="9"/>
        <v>ok</v>
      </c>
      <c r="J329" s="77">
        <f>IFERROR(VLOOKUP($H329,TG[],3,FALSE),"NA")</f>
        <v>0</v>
      </c>
      <c r="K329" s="77" t="str">
        <f>IFERROR(VLOOKUP($H329,TF[],3,FALSE),"NA")</f>
        <v>NA</v>
      </c>
      <c r="L329" s="77" t="str">
        <f>IFERROR(VLOOKUP($H329,TT[],3,FALSE),"NA")</f>
        <v>NA</v>
      </c>
      <c r="M329" s="77" t="str">
        <f>IFERROR(VLOOKUP($H329,TES[],3,FALSE),"NA")</f>
        <v>NA</v>
      </c>
      <c r="N329" s="77" t="str">
        <f>IFERROR(VLOOKUP($H329,TEC[],3,FALSE),"NA")</f>
        <v>NA</v>
      </c>
      <c r="O329" s="77" t="str">
        <f>IFERROR(VLOOKUP($H329,TP[],3,FALSE),"NA")</f>
        <v>NA</v>
      </c>
      <c r="P329" s="77">
        <f>IFERROR(VLOOKUP($H329,TEN[],3,FALSE),"NA")</f>
        <v>0</v>
      </c>
      <c r="Q329" s="77" t="str">
        <f>IFERROR(VLOOKUP($H329,TD[],3,FALSE),"NA")</f>
        <v>NA</v>
      </c>
      <c r="R329" s="77" t="str">
        <f>IFERROR(VLOOKUP($H329,TC[],3,FALSE),"NA")</f>
        <v>NA</v>
      </c>
      <c r="S329" s="77" t="str">
        <f>IFERROR(VLOOKUP($H329,TEV[],3,FALSE),"NA")</f>
        <v>NA</v>
      </c>
      <c r="T329" s="79">
        <f>SUM(TbAlquiler[[#This Row],[GENERAL]:[ELEVADOR]])</f>
        <v>0</v>
      </c>
      <c r="U329" s="80">
        <f>IF(VLOOKUP(TbAlquiler[[#This Row],[ITEM]],TbPiezas[],5,FALSE)="NA",0,VLOOKUP(TbAlquiler[[#This Row],[ITEM]],TbPiezas[],5,FALSE))</f>
        <v>17.399999999999991</v>
      </c>
      <c r="V329" s="81">
        <f>+TbAlquiler[[#This Row],[TOTAL]]*TbAlquiler[[#This Row],[P.U. (1)]]</f>
        <v>0</v>
      </c>
      <c r="W329" s="82">
        <f>+VLOOKUP(TbAlquiler[[#This Row],[ITEM]],TbPiezas[],6,FALSE)</f>
        <v>247.38</v>
      </c>
      <c r="X329" s="83">
        <f>+TbAlquiler[[#This Row],[TOTAL]]*TbAlquiler[[#This Row],[P.U. (2)]]</f>
        <v>0</v>
      </c>
      <c r="Y329" s="82">
        <f>+VLOOKUP(TbAlquiler[[#This Row],[ITEM]],TbPiezas[],7,FALSE)</f>
        <v>12.369</v>
      </c>
      <c r="Z329" s="84">
        <f>+TbAlquiler[[#This Row],[TOTAL]]*TbAlquiler[[#This Row],[P.U. (3)]]</f>
        <v>0</v>
      </c>
    </row>
    <row r="330" spans="1:26" ht="15" customHeight="1" x14ac:dyDescent="0.3">
      <c r="A330" s="2"/>
      <c r="B330" s="85">
        <v>314</v>
      </c>
      <c r="C330" s="71" t="s">
        <v>629</v>
      </c>
      <c r="D330" s="72" t="s">
        <v>630</v>
      </c>
      <c r="E330" s="73"/>
      <c r="F330" s="74">
        <f>+VLOOKUP(C330,TbAlquiler[],13,FALSE)</f>
        <v>0</v>
      </c>
      <c r="G330" s="2"/>
      <c r="H330" s="75" t="str">
        <f t="shared" si="8"/>
        <v>EN.0650</v>
      </c>
      <c r="I330" s="59" t="str">
        <f t="shared" si="9"/>
        <v>ok</v>
      </c>
      <c r="J330" s="77">
        <f>IFERROR(VLOOKUP($H330,TG[],3,FALSE),"NA")</f>
        <v>0</v>
      </c>
      <c r="K330" s="77" t="str">
        <f>IFERROR(VLOOKUP($H330,TF[],3,FALSE),"NA")</f>
        <v>NA</v>
      </c>
      <c r="L330" s="77" t="str">
        <f>IFERROR(VLOOKUP($H330,TT[],3,FALSE),"NA")</f>
        <v>NA</v>
      </c>
      <c r="M330" s="77" t="str">
        <f>IFERROR(VLOOKUP($H330,TES[],3,FALSE),"NA")</f>
        <v>NA</v>
      </c>
      <c r="N330" s="77" t="str">
        <f>IFERROR(VLOOKUP($H330,TEC[],3,FALSE),"NA")</f>
        <v>NA</v>
      </c>
      <c r="O330" s="77" t="str">
        <f>IFERROR(VLOOKUP($H330,TP[],3,FALSE),"NA")</f>
        <v>NA</v>
      </c>
      <c r="P330" s="77">
        <f>IFERROR(VLOOKUP($H330,TEN[],3,FALSE),"NA")</f>
        <v>0</v>
      </c>
      <c r="Q330" s="77" t="str">
        <f>IFERROR(VLOOKUP($H330,TD[],3,FALSE),"NA")</f>
        <v>NA</v>
      </c>
      <c r="R330" s="77" t="str">
        <f>IFERROR(VLOOKUP($H330,TC[],3,FALSE),"NA")</f>
        <v>NA</v>
      </c>
      <c r="S330" s="77" t="str">
        <f>IFERROR(VLOOKUP($H330,TEV[],3,FALSE),"NA")</f>
        <v>NA</v>
      </c>
      <c r="T330" s="79">
        <f>SUM(TbAlquiler[[#This Row],[GENERAL]:[ELEVADOR]])</f>
        <v>0</v>
      </c>
      <c r="U330" s="80">
        <f>IF(VLOOKUP(TbAlquiler[[#This Row],[ITEM]],TbPiezas[],5,FALSE)="NA",0,VLOOKUP(TbAlquiler[[#This Row],[ITEM]],TbPiezas[],5,FALSE))</f>
        <v>11.6</v>
      </c>
      <c r="V330" s="81">
        <f>+TbAlquiler[[#This Row],[TOTAL]]*TbAlquiler[[#This Row],[P.U. (1)]]</f>
        <v>0</v>
      </c>
      <c r="W330" s="82">
        <f>+VLOOKUP(TbAlquiler[[#This Row],[ITEM]],TbPiezas[],6,FALSE)</f>
        <v>164.91</v>
      </c>
      <c r="X330" s="83">
        <f>+TbAlquiler[[#This Row],[TOTAL]]*TbAlquiler[[#This Row],[P.U. (2)]]</f>
        <v>0</v>
      </c>
      <c r="Y330" s="82">
        <f>+VLOOKUP(TbAlquiler[[#This Row],[ITEM]],TbPiezas[],7,FALSE)</f>
        <v>8.2454999999999998</v>
      </c>
      <c r="Z330" s="84">
        <f>+TbAlquiler[[#This Row],[TOTAL]]*TbAlquiler[[#This Row],[P.U. (3)]]</f>
        <v>0</v>
      </c>
    </row>
    <row r="331" spans="1:26" ht="15" customHeight="1" x14ac:dyDescent="0.3">
      <c r="A331" s="2"/>
      <c r="B331" s="85">
        <v>315</v>
      </c>
      <c r="C331" s="71" t="s">
        <v>631</v>
      </c>
      <c r="D331" s="72" t="s">
        <v>632</v>
      </c>
      <c r="E331" s="73"/>
      <c r="F331" s="74">
        <f>+VLOOKUP(C331,TbAlquiler[],13,FALSE)</f>
        <v>0</v>
      </c>
      <c r="G331" s="2"/>
      <c r="H331" s="75" t="str">
        <f t="shared" si="8"/>
        <v>EN.0700</v>
      </c>
      <c r="I331" s="59" t="str">
        <f t="shared" si="9"/>
        <v>ok</v>
      </c>
      <c r="J331" s="77">
        <f>IFERROR(VLOOKUP($H331,TG[],3,FALSE),"NA")</f>
        <v>0</v>
      </c>
      <c r="K331" s="77" t="str">
        <f>IFERROR(VLOOKUP($H331,TF[],3,FALSE),"NA")</f>
        <v>NA</v>
      </c>
      <c r="L331" s="77" t="str">
        <f>IFERROR(VLOOKUP($H331,TT[],3,FALSE),"NA")</f>
        <v>NA</v>
      </c>
      <c r="M331" s="77" t="str">
        <f>IFERROR(VLOOKUP($H331,TES[],3,FALSE),"NA")</f>
        <v>NA</v>
      </c>
      <c r="N331" s="77" t="str">
        <f>IFERROR(VLOOKUP($H331,TEC[],3,FALSE),"NA")</f>
        <v>NA</v>
      </c>
      <c r="O331" s="77" t="str">
        <f>IFERROR(VLOOKUP($H331,TP[],3,FALSE),"NA")</f>
        <v>NA</v>
      </c>
      <c r="P331" s="77">
        <f>IFERROR(VLOOKUP($H331,TEN[],3,FALSE),"NA")</f>
        <v>0</v>
      </c>
      <c r="Q331" s="77" t="str">
        <f>IFERROR(VLOOKUP($H331,TD[],3,FALSE),"NA")</f>
        <v>NA</v>
      </c>
      <c r="R331" s="77" t="str">
        <f>IFERROR(VLOOKUP($H331,TC[],3,FALSE),"NA")</f>
        <v>NA</v>
      </c>
      <c r="S331" s="77" t="str">
        <f>IFERROR(VLOOKUP($H331,TEV[],3,FALSE),"NA")</f>
        <v>NA</v>
      </c>
      <c r="T331" s="79">
        <f>SUM(TbAlquiler[[#This Row],[GENERAL]:[ELEVADOR]])</f>
        <v>0</v>
      </c>
      <c r="U331" s="80">
        <f>IF(VLOOKUP(TbAlquiler[[#This Row],[ITEM]],TbPiezas[],5,FALSE)="NA",0,VLOOKUP(TbAlquiler[[#This Row],[ITEM]],TbPiezas[],5,FALSE))</f>
        <v>6.9</v>
      </c>
      <c r="V331" s="81">
        <f>+TbAlquiler[[#This Row],[TOTAL]]*TbAlquiler[[#This Row],[P.U. (1)]]</f>
        <v>0</v>
      </c>
      <c r="W331" s="82">
        <f>+VLOOKUP(TbAlquiler[[#This Row],[ITEM]],TbPiezas[],6,FALSE)</f>
        <v>127.05</v>
      </c>
      <c r="X331" s="83">
        <f>+TbAlquiler[[#This Row],[TOTAL]]*TbAlquiler[[#This Row],[P.U. (2)]]</f>
        <v>0</v>
      </c>
      <c r="Y331" s="82">
        <f>+VLOOKUP(TbAlquiler[[#This Row],[ITEM]],TbPiezas[],7,FALSE)</f>
        <v>6.3525</v>
      </c>
      <c r="Z331" s="84">
        <f>+TbAlquiler[[#This Row],[TOTAL]]*TbAlquiler[[#This Row],[P.U. (3)]]</f>
        <v>0</v>
      </c>
    </row>
    <row r="332" spans="1:26" ht="15" customHeight="1" x14ac:dyDescent="0.3">
      <c r="A332" s="2"/>
      <c r="B332" s="85">
        <v>316</v>
      </c>
      <c r="C332" s="71" t="s">
        <v>633</v>
      </c>
      <c r="D332" s="72" t="s">
        <v>634</v>
      </c>
      <c r="E332" s="73"/>
      <c r="F332" s="74">
        <f>+VLOOKUP(C332,TbAlquiler[],13,FALSE)</f>
        <v>0</v>
      </c>
      <c r="G332" s="2"/>
      <c r="H332" s="75" t="str">
        <f t="shared" si="8"/>
        <v>EN.0800</v>
      </c>
      <c r="I332" s="59" t="str">
        <f t="shared" si="9"/>
        <v>ok</v>
      </c>
      <c r="J332" s="77">
        <f>IFERROR(VLOOKUP($H332,TG[],3,FALSE),"NA")</f>
        <v>0</v>
      </c>
      <c r="K332" s="77" t="str">
        <f>IFERROR(VLOOKUP($H332,TF[],3,FALSE),"NA")</f>
        <v>NA</v>
      </c>
      <c r="L332" s="77" t="str">
        <f>IFERROR(VLOOKUP($H332,TT[],3,FALSE),"NA")</f>
        <v>NA</v>
      </c>
      <c r="M332" s="77" t="str">
        <f>IFERROR(VLOOKUP($H332,TES[],3,FALSE),"NA")</f>
        <v>NA</v>
      </c>
      <c r="N332" s="77" t="str">
        <f>IFERROR(VLOOKUP($H332,TEC[],3,FALSE),"NA")</f>
        <v>NA</v>
      </c>
      <c r="O332" s="77" t="str">
        <f>IFERROR(VLOOKUP($H332,TP[],3,FALSE),"NA")</f>
        <v>NA</v>
      </c>
      <c r="P332" s="77">
        <f>IFERROR(VLOOKUP($H332,TEN[],3,FALSE),"NA")</f>
        <v>0</v>
      </c>
      <c r="Q332" s="77" t="str">
        <f>IFERROR(VLOOKUP($H332,TD[],3,FALSE),"NA")</f>
        <v>NA</v>
      </c>
      <c r="R332" s="77" t="str">
        <f>IFERROR(VLOOKUP($H332,TC[],3,FALSE),"NA")</f>
        <v>NA</v>
      </c>
      <c r="S332" s="77" t="str">
        <f>IFERROR(VLOOKUP($H332,TEV[],3,FALSE),"NA")</f>
        <v>NA</v>
      </c>
      <c r="T332" s="79">
        <f>SUM(TbAlquiler[[#This Row],[GENERAL]:[ELEVADOR]])</f>
        <v>0</v>
      </c>
      <c r="U332" s="80">
        <f>IF(VLOOKUP(TbAlquiler[[#This Row],[ITEM]],TbPiezas[],5,FALSE)="NA",0,VLOOKUP(TbAlquiler[[#This Row],[ITEM]],TbPiezas[],5,FALSE))</f>
        <v>127.5</v>
      </c>
      <c r="V332" s="81">
        <f>+TbAlquiler[[#This Row],[TOTAL]]*TbAlquiler[[#This Row],[P.U. (1)]]</f>
        <v>0</v>
      </c>
      <c r="W332" s="82">
        <f>+VLOOKUP(TbAlquiler[[#This Row],[ITEM]],TbPiezas[],6,FALSE)</f>
        <v>1905.75</v>
      </c>
      <c r="X332" s="83">
        <f>+TbAlquiler[[#This Row],[TOTAL]]*TbAlquiler[[#This Row],[P.U. (2)]]</f>
        <v>0</v>
      </c>
      <c r="Y332" s="82">
        <f>+VLOOKUP(TbAlquiler[[#This Row],[ITEM]],TbPiezas[],7,FALSE)</f>
        <v>95.287500000000009</v>
      </c>
      <c r="Z332" s="84">
        <f>+TbAlquiler[[#This Row],[TOTAL]]*TbAlquiler[[#This Row],[P.U. (3)]]</f>
        <v>0</v>
      </c>
    </row>
    <row r="333" spans="1:26" ht="15" customHeight="1" x14ac:dyDescent="0.3">
      <c r="A333" s="2"/>
      <c r="B333" s="85">
        <v>317</v>
      </c>
      <c r="C333" s="71" t="s">
        <v>635</v>
      </c>
      <c r="D333" s="72" t="s">
        <v>636</v>
      </c>
      <c r="E333" s="73"/>
      <c r="F333" s="74">
        <f>+VLOOKUP(C333,TbAlquiler[],13,FALSE)</f>
        <v>0</v>
      </c>
      <c r="G333" s="2"/>
      <c r="H333" s="75" t="str">
        <f t="shared" si="8"/>
        <v>EN.0900</v>
      </c>
      <c r="I333" s="59" t="str">
        <f t="shared" si="9"/>
        <v>ok</v>
      </c>
      <c r="J333" s="77">
        <f>IFERROR(VLOOKUP($H333,TG[],3,FALSE),"NA")</f>
        <v>0</v>
      </c>
      <c r="K333" s="77" t="str">
        <f>IFERROR(VLOOKUP($H333,TF[],3,FALSE),"NA")</f>
        <v>NA</v>
      </c>
      <c r="L333" s="77" t="str">
        <f>IFERROR(VLOOKUP($H333,TT[],3,FALSE),"NA")</f>
        <v>NA</v>
      </c>
      <c r="M333" s="77" t="str">
        <f>IFERROR(VLOOKUP($H333,TES[],3,FALSE),"NA")</f>
        <v>NA</v>
      </c>
      <c r="N333" s="77" t="str">
        <f>IFERROR(VLOOKUP($H333,TEC[],3,FALSE),"NA")</f>
        <v>NA</v>
      </c>
      <c r="O333" s="77" t="str">
        <f>IFERROR(VLOOKUP($H333,TP[],3,FALSE),"NA")</f>
        <v>NA</v>
      </c>
      <c r="P333" s="77">
        <f>IFERROR(VLOOKUP($H333,TEN[],3,FALSE),"NA")</f>
        <v>0</v>
      </c>
      <c r="Q333" s="77" t="str">
        <f>IFERROR(VLOOKUP($H333,TD[],3,FALSE),"NA")</f>
        <v>NA</v>
      </c>
      <c r="R333" s="77" t="str">
        <f>IFERROR(VLOOKUP($H333,TC[],3,FALSE),"NA")</f>
        <v>NA</v>
      </c>
      <c r="S333" s="77" t="str">
        <f>IFERROR(VLOOKUP($H333,TEV[],3,FALSE),"NA")</f>
        <v>NA</v>
      </c>
      <c r="T333" s="79">
        <f>SUM(TbAlquiler[[#This Row],[GENERAL]:[ELEVADOR]])</f>
        <v>0</v>
      </c>
      <c r="U333" s="80">
        <f>IF(VLOOKUP(TbAlquiler[[#This Row],[ITEM]],TbPiezas[],5,FALSE)="NA",0,VLOOKUP(TbAlquiler[[#This Row],[ITEM]],TbPiezas[],5,FALSE))</f>
        <v>153</v>
      </c>
      <c r="V333" s="81">
        <f>+TbAlquiler[[#This Row],[TOTAL]]*TbAlquiler[[#This Row],[P.U. (1)]]</f>
        <v>0</v>
      </c>
      <c r="W333" s="82">
        <f>+VLOOKUP(TbAlquiler[[#This Row],[ITEM]],TbPiezas[],6,FALSE)</f>
        <v>2286.9</v>
      </c>
      <c r="X333" s="83">
        <f>+TbAlquiler[[#This Row],[TOTAL]]*TbAlquiler[[#This Row],[P.U. (2)]]</f>
        <v>0</v>
      </c>
      <c r="Y333" s="82">
        <f>+VLOOKUP(TbAlquiler[[#This Row],[ITEM]],TbPiezas[],7,FALSE)</f>
        <v>114.34500000000001</v>
      </c>
      <c r="Z333" s="84">
        <f>+TbAlquiler[[#This Row],[TOTAL]]*TbAlquiler[[#This Row],[P.U. (3)]]</f>
        <v>0</v>
      </c>
    </row>
    <row r="334" spans="1:26" ht="15" customHeight="1" x14ac:dyDescent="0.3">
      <c r="A334" s="2"/>
      <c r="B334" s="85">
        <v>318</v>
      </c>
      <c r="C334" s="71" t="s">
        <v>637</v>
      </c>
      <c r="D334" s="72" t="s">
        <v>638</v>
      </c>
      <c r="E334" s="73"/>
      <c r="F334" s="74">
        <f>+VLOOKUP(C334,TbAlquiler[],13,FALSE)</f>
        <v>0</v>
      </c>
      <c r="G334" s="2"/>
      <c r="H334" s="75" t="str">
        <f t="shared" si="8"/>
        <v>EN.1000</v>
      </c>
      <c r="I334" s="59" t="str">
        <f t="shared" si="9"/>
        <v>ok</v>
      </c>
      <c r="J334" s="77">
        <f>IFERROR(VLOOKUP($H334,TG[],3,FALSE),"NA")</f>
        <v>0</v>
      </c>
      <c r="K334" s="77" t="str">
        <f>IFERROR(VLOOKUP($H334,TF[],3,FALSE),"NA")</f>
        <v>NA</v>
      </c>
      <c r="L334" s="77" t="str">
        <f>IFERROR(VLOOKUP($H334,TT[],3,FALSE),"NA")</f>
        <v>NA</v>
      </c>
      <c r="M334" s="77" t="str">
        <f>IFERROR(VLOOKUP($H334,TES[],3,FALSE),"NA")</f>
        <v>NA</v>
      </c>
      <c r="N334" s="77" t="str">
        <f>IFERROR(VLOOKUP($H334,TEC[],3,FALSE),"NA")</f>
        <v>NA</v>
      </c>
      <c r="O334" s="77" t="str">
        <f>IFERROR(VLOOKUP($H334,TP[],3,FALSE),"NA")</f>
        <v>NA</v>
      </c>
      <c r="P334" s="77">
        <f>IFERROR(VLOOKUP($H334,TEN[],3,FALSE),"NA")</f>
        <v>0</v>
      </c>
      <c r="Q334" s="77" t="str">
        <f>IFERROR(VLOOKUP($H334,TD[],3,FALSE),"NA")</f>
        <v>NA</v>
      </c>
      <c r="R334" s="77" t="str">
        <f>IFERROR(VLOOKUP($H334,TC[],3,FALSE),"NA")</f>
        <v>NA</v>
      </c>
      <c r="S334" s="77" t="str">
        <f>IFERROR(VLOOKUP($H334,TEV[],3,FALSE),"NA")</f>
        <v>NA</v>
      </c>
      <c r="T334" s="79">
        <f>SUM(TbAlquiler[[#This Row],[GENERAL]:[ELEVADOR]])</f>
        <v>0</v>
      </c>
      <c r="U334" s="80">
        <f>IF(VLOOKUP(TbAlquiler[[#This Row],[ITEM]],TbPiezas[],5,FALSE)="NA",0,VLOOKUP(TbAlquiler[[#This Row],[ITEM]],TbPiezas[],5,FALSE))</f>
        <v>204</v>
      </c>
      <c r="V334" s="81">
        <f>+TbAlquiler[[#This Row],[TOTAL]]*TbAlquiler[[#This Row],[P.U. (1)]]</f>
        <v>0</v>
      </c>
      <c r="W334" s="82">
        <f>+VLOOKUP(TbAlquiler[[#This Row],[ITEM]],TbPiezas[],6,FALSE)</f>
        <v>3049.2</v>
      </c>
      <c r="X334" s="83">
        <f>+TbAlquiler[[#This Row],[TOTAL]]*TbAlquiler[[#This Row],[P.U. (2)]]</f>
        <v>0</v>
      </c>
      <c r="Y334" s="82">
        <f>+VLOOKUP(TbAlquiler[[#This Row],[ITEM]],TbPiezas[],7,FALSE)</f>
        <v>152.46</v>
      </c>
      <c r="Z334" s="84">
        <f>+TbAlquiler[[#This Row],[TOTAL]]*TbAlquiler[[#This Row],[P.U. (3)]]</f>
        <v>0</v>
      </c>
    </row>
    <row r="335" spans="1:26" ht="15" customHeight="1" x14ac:dyDescent="0.3">
      <c r="A335" s="2"/>
      <c r="B335" s="85">
        <v>319</v>
      </c>
      <c r="C335" s="71" t="s">
        <v>639</v>
      </c>
      <c r="D335" s="72" t="s">
        <v>640</v>
      </c>
      <c r="E335" s="73"/>
      <c r="F335" s="74">
        <f>+VLOOKUP(C335,TbAlquiler[],13,FALSE)</f>
        <v>0</v>
      </c>
      <c r="G335" s="2"/>
      <c r="H335" s="75" t="str">
        <f t="shared" si="8"/>
        <v>EN.1100</v>
      </c>
      <c r="I335" s="59" t="str">
        <f t="shared" si="9"/>
        <v>ok</v>
      </c>
      <c r="J335" s="77">
        <f>IFERROR(VLOOKUP($H335,TG[],3,FALSE),"NA")</f>
        <v>0</v>
      </c>
      <c r="K335" s="77" t="str">
        <f>IFERROR(VLOOKUP($H335,TF[],3,FALSE),"NA")</f>
        <v>NA</v>
      </c>
      <c r="L335" s="77" t="str">
        <f>IFERROR(VLOOKUP($H335,TT[],3,FALSE),"NA")</f>
        <v>NA</v>
      </c>
      <c r="M335" s="77" t="str">
        <f>IFERROR(VLOOKUP($H335,TES[],3,FALSE),"NA")</f>
        <v>NA</v>
      </c>
      <c r="N335" s="77" t="str">
        <f>IFERROR(VLOOKUP($H335,TEC[],3,FALSE),"NA")</f>
        <v>NA</v>
      </c>
      <c r="O335" s="77" t="str">
        <f>IFERROR(VLOOKUP($H335,TP[],3,FALSE),"NA")</f>
        <v>NA</v>
      </c>
      <c r="P335" s="77">
        <f>IFERROR(VLOOKUP($H335,TEN[],3,FALSE),"NA")</f>
        <v>0</v>
      </c>
      <c r="Q335" s="77" t="str">
        <f>IFERROR(VLOOKUP($H335,TD[],3,FALSE),"NA")</f>
        <v>NA</v>
      </c>
      <c r="R335" s="77" t="str">
        <f>IFERROR(VLOOKUP($H335,TC[],3,FALSE),"NA")</f>
        <v>NA</v>
      </c>
      <c r="S335" s="77" t="str">
        <f>IFERROR(VLOOKUP($H335,TEV[],3,FALSE),"NA")</f>
        <v>NA</v>
      </c>
      <c r="T335" s="79">
        <f>SUM(TbAlquiler[[#This Row],[GENERAL]:[ELEVADOR]])</f>
        <v>0</v>
      </c>
      <c r="U335" s="80">
        <f>IF(VLOOKUP(TbAlquiler[[#This Row],[ITEM]],TbPiezas[],5,FALSE)="NA",0,VLOOKUP(TbAlquiler[[#This Row],[ITEM]],TbPiezas[],5,FALSE))</f>
        <v>48.45</v>
      </c>
      <c r="V335" s="81">
        <f>+TbAlquiler[[#This Row],[TOTAL]]*TbAlquiler[[#This Row],[P.U. (1)]]</f>
        <v>0</v>
      </c>
      <c r="W335" s="82">
        <f>+VLOOKUP(TbAlquiler[[#This Row],[ITEM]],TbPiezas[],6,FALSE)</f>
        <v>3811.5</v>
      </c>
      <c r="X335" s="83">
        <f>+TbAlquiler[[#This Row],[TOTAL]]*TbAlquiler[[#This Row],[P.U. (2)]]</f>
        <v>0</v>
      </c>
      <c r="Y335" s="82">
        <f>+VLOOKUP(TbAlquiler[[#This Row],[ITEM]],TbPiezas[],7,FALSE)</f>
        <v>190.57500000000002</v>
      </c>
      <c r="Z335" s="84">
        <f>+TbAlquiler[[#This Row],[TOTAL]]*TbAlquiler[[#This Row],[P.U. (3)]]</f>
        <v>0</v>
      </c>
    </row>
    <row r="336" spans="1:26" ht="15" customHeight="1" x14ac:dyDescent="0.3">
      <c r="A336" s="2"/>
      <c r="B336" s="85">
        <v>320</v>
      </c>
      <c r="C336" s="71" t="s">
        <v>641</v>
      </c>
      <c r="D336" s="72" t="s">
        <v>642</v>
      </c>
      <c r="E336" s="73"/>
      <c r="F336" s="74">
        <f>+VLOOKUP(C336,TbAlquiler[],13,FALSE)</f>
        <v>0</v>
      </c>
      <c r="G336" s="2"/>
      <c r="H336" s="75" t="str">
        <f t="shared" si="8"/>
        <v>EN.1200</v>
      </c>
      <c r="I336" s="59" t="str">
        <f t="shared" si="9"/>
        <v>ok</v>
      </c>
      <c r="J336" s="77">
        <f>IFERROR(VLOOKUP($H336,TG[],3,FALSE),"NA")</f>
        <v>0</v>
      </c>
      <c r="K336" s="77" t="str">
        <f>IFERROR(VLOOKUP($H336,TF[],3,FALSE),"NA")</f>
        <v>NA</v>
      </c>
      <c r="L336" s="77" t="str">
        <f>IFERROR(VLOOKUP($H336,TT[],3,FALSE),"NA")</f>
        <v>NA</v>
      </c>
      <c r="M336" s="77" t="str">
        <f>IFERROR(VLOOKUP($H336,TES[],3,FALSE),"NA")</f>
        <v>NA</v>
      </c>
      <c r="N336" s="77" t="str">
        <f>IFERROR(VLOOKUP($H336,TEC[],3,FALSE),"NA")</f>
        <v>NA</v>
      </c>
      <c r="O336" s="77" t="str">
        <f>IFERROR(VLOOKUP($H336,TP[],3,FALSE),"NA")</f>
        <v>NA</v>
      </c>
      <c r="P336" s="77">
        <f>IFERROR(VLOOKUP($H336,TEN[],3,FALSE),"NA")</f>
        <v>0</v>
      </c>
      <c r="Q336" s="77" t="str">
        <f>IFERROR(VLOOKUP($H336,TD[],3,FALSE),"NA")</f>
        <v>NA</v>
      </c>
      <c r="R336" s="77" t="str">
        <f>IFERROR(VLOOKUP($H336,TC[],3,FALSE),"NA")</f>
        <v>NA</v>
      </c>
      <c r="S336" s="77" t="str">
        <f>IFERROR(VLOOKUP($H336,TEV[],3,FALSE),"NA")</f>
        <v>NA</v>
      </c>
      <c r="T336" s="79">
        <f>SUM(TbAlquiler[[#This Row],[GENERAL]:[ELEVADOR]])</f>
        <v>0</v>
      </c>
      <c r="U336" s="80">
        <f>IF(VLOOKUP(TbAlquiler[[#This Row],[ITEM]],TbPiezas[],5,FALSE)="NA",0,VLOOKUP(TbAlquiler[[#This Row],[ITEM]],TbPiezas[],5,FALSE))</f>
        <v>9.5</v>
      </c>
      <c r="V336" s="81">
        <f>+TbAlquiler[[#This Row],[TOTAL]]*TbAlquiler[[#This Row],[P.U. (1)]]</f>
        <v>0</v>
      </c>
      <c r="W336" s="82">
        <f>+VLOOKUP(TbAlquiler[[#This Row],[ITEM]],TbPiezas[],6,FALSE)</f>
        <v>1905.75</v>
      </c>
      <c r="X336" s="83">
        <f>+TbAlquiler[[#This Row],[TOTAL]]*TbAlquiler[[#This Row],[P.U. (2)]]</f>
        <v>0</v>
      </c>
      <c r="Y336" s="82">
        <f>+VLOOKUP(TbAlquiler[[#This Row],[ITEM]],TbPiezas[],7,FALSE)</f>
        <v>95.287500000000009</v>
      </c>
      <c r="Z336" s="84">
        <f>+TbAlquiler[[#This Row],[TOTAL]]*TbAlquiler[[#This Row],[P.U. (3)]]</f>
        <v>0</v>
      </c>
    </row>
    <row r="337" spans="1:26" ht="15" customHeight="1" x14ac:dyDescent="0.3">
      <c r="A337" s="2"/>
      <c r="B337" s="85">
        <v>321</v>
      </c>
      <c r="C337" s="71" t="s">
        <v>643</v>
      </c>
      <c r="D337" s="72" t="s">
        <v>644</v>
      </c>
      <c r="E337" s="73"/>
      <c r="F337" s="74">
        <f>+VLOOKUP(C337,TbAlquiler[],13,FALSE)</f>
        <v>0</v>
      </c>
      <c r="G337" s="2"/>
      <c r="H337" s="75" t="str">
        <f t="shared" si="8"/>
        <v>EN.1300</v>
      </c>
      <c r="I337" s="59" t="str">
        <f t="shared" si="9"/>
        <v>ok</v>
      </c>
      <c r="J337" s="77">
        <f>IFERROR(VLOOKUP($H337,TG[],3,FALSE),"NA")</f>
        <v>0</v>
      </c>
      <c r="K337" s="77" t="str">
        <f>IFERROR(VLOOKUP($H337,TF[],3,FALSE),"NA")</f>
        <v>NA</v>
      </c>
      <c r="L337" s="77" t="str">
        <f>IFERROR(VLOOKUP($H337,TT[],3,FALSE),"NA")</f>
        <v>NA</v>
      </c>
      <c r="M337" s="77" t="str">
        <f>IFERROR(VLOOKUP($H337,TES[],3,FALSE),"NA")</f>
        <v>NA</v>
      </c>
      <c r="N337" s="77" t="str">
        <f>IFERROR(VLOOKUP($H337,TEC[],3,FALSE),"NA")</f>
        <v>NA</v>
      </c>
      <c r="O337" s="77" t="str">
        <f>IFERROR(VLOOKUP($H337,TP[],3,FALSE),"NA")</f>
        <v>NA</v>
      </c>
      <c r="P337" s="77">
        <f>IFERROR(VLOOKUP($H337,TEN[],3,FALSE),"NA")</f>
        <v>0</v>
      </c>
      <c r="Q337" s="77" t="str">
        <f>IFERROR(VLOOKUP($H337,TD[],3,FALSE),"NA")</f>
        <v>NA</v>
      </c>
      <c r="R337" s="77" t="str">
        <f>IFERROR(VLOOKUP($H337,TC[],3,FALSE),"NA")</f>
        <v>NA</v>
      </c>
      <c r="S337" s="77" t="str">
        <f>IFERROR(VLOOKUP($H337,TEV[],3,FALSE),"NA")</f>
        <v>NA</v>
      </c>
      <c r="T337" s="79">
        <f>SUM(TbAlquiler[[#This Row],[GENERAL]:[ELEVADOR]])</f>
        <v>0</v>
      </c>
      <c r="U337" s="80">
        <f>IF(VLOOKUP(TbAlquiler[[#This Row],[ITEM]],TbPiezas[],5,FALSE)="NA",0,VLOOKUP(TbAlquiler[[#This Row],[ITEM]],TbPiezas[],5,FALSE))</f>
        <v>0.5</v>
      </c>
      <c r="V337" s="81">
        <f>+TbAlquiler[[#This Row],[TOTAL]]*TbAlquiler[[#This Row],[P.U. (1)]]</f>
        <v>0</v>
      </c>
      <c r="W337" s="82">
        <f>+VLOOKUP(TbAlquiler[[#This Row],[ITEM]],TbPiezas[],6,FALSE)</f>
        <v>27.42</v>
      </c>
      <c r="X337" s="83">
        <f>+TbAlquiler[[#This Row],[TOTAL]]*TbAlquiler[[#This Row],[P.U. (2)]]</f>
        <v>0</v>
      </c>
      <c r="Y337" s="82">
        <f>+VLOOKUP(TbAlquiler[[#This Row],[ITEM]],TbPiezas[],7,FALSE)</f>
        <v>1.3710000000000002</v>
      </c>
      <c r="Z337" s="84">
        <f>+TbAlquiler[[#This Row],[TOTAL]]*TbAlquiler[[#This Row],[P.U. (3)]]</f>
        <v>0</v>
      </c>
    </row>
    <row r="338" spans="1:26" ht="15" customHeight="1" x14ac:dyDescent="0.3">
      <c r="A338" s="2"/>
      <c r="B338" s="85">
        <v>322</v>
      </c>
      <c r="C338" s="71" t="s">
        <v>645</v>
      </c>
      <c r="D338" s="72" t="s">
        <v>646</v>
      </c>
      <c r="E338" s="73"/>
      <c r="F338" s="74">
        <f>+VLOOKUP(C338,TbAlquiler[],13,FALSE)</f>
        <v>0</v>
      </c>
      <c r="G338" s="2"/>
      <c r="H338" s="75" t="str">
        <f t="shared" ref="H338:H401" si="10">+C338</f>
        <v>EN.1350</v>
      </c>
      <c r="I338" s="59" t="str">
        <f t="shared" ref="I338:I401" si="11">+IF(C338=H338,"ok","mal")</f>
        <v>ok</v>
      </c>
      <c r="J338" s="77">
        <f>IFERROR(VLOOKUP($H338,TG[],3,FALSE),"NA")</f>
        <v>0</v>
      </c>
      <c r="K338" s="77" t="str">
        <f>IFERROR(VLOOKUP($H338,TF[],3,FALSE),"NA")</f>
        <v>NA</v>
      </c>
      <c r="L338" s="77" t="str">
        <f>IFERROR(VLOOKUP($H338,TT[],3,FALSE),"NA")</f>
        <v>NA</v>
      </c>
      <c r="M338" s="77" t="str">
        <f>IFERROR(VLOOKUP($H338,TES[],3,FALSE),"NA")</f>
        <v>NA</v>
      </c>
      <c r="N338" s="77" t="str">
        <f>IFERROR(VLOOKUP($H338,TEC[],3,FALSE),"NA")</f>
        <v>NA</v>
      </c>
      <c r="O338" s="77" t="str">
        <f>IFERROR(VLOOKUP($H338,TP[],3,FALSE),"NA")</f>
        <v>NA</v>
      </c>
      <c r="P338" s="77">
        <f>IFERROR(VLOOKUP($H338,TEN[],3,FALSE),"NA")</f>
        <v>0</v>
      </c>
      <c r="Q338" s="77" t="str">
        <f>IFERROR(VLOOKUP($H338,TD[],3,FALSE),"NA")</f>
        <v>NA</v>
      </c>
      <c r="R338" s="77" t="str">
        <f>IFERROR(VLOOKUP($H338,TC[],3,FALSE),"NA")</f>
        <v>NA</v>
      </c>
      <c r="S338" s="77" t="str">
        <f>IFERROR(VLOOKUP($H338,TEV[],3,FALSE),"NA")</f>
        <v>NA</v>
      </c>
      <c r="T338" s="79">
        <f>SUM(TbAlquiler[[#This Row],[GENERAL]:[ELEVADOR]])</f>
        <v>0</v>
      </c>
      <c r="U338" s="80">
        <f>IF(VLOOKUP(TbAlquiler[[#This Row],[ITEM]],TbPiezas[],5,FALSE)="NA",0,VLOOKUP(TbAlquiler[[#This Row],[ITEM]],TbPiezas[],5,FALSE))</f>
        <v>0.4</v>
      </c>
      <c r="V338" s="81">
        <f>+TbAlquiler[[#This Row],[TOTAL]]*TbAlquiler[[#This Row],[P.U. (1)]]</f>
        <v>0</v>
      </c>
      <c r="W338" s="82">
        <f>+VLOOKUP(TbAlquiler[[#This Row],[ITEM]],TbPiezas[],6,FALSE)</f>
        <v>34.270000000000003</v>
      </c>
      <c r="X338" s="83">
        <f>+TbAlquiler[[#This Row],[TOTAL]]*TbAlquiler[[#This Row],[P.U. (2)]]</f>
        <v>0</v>
      </c>
      <c r="Y338" s="82">
        <f>+VLOOKUP(TbAlquiler[[#This Row],[ITEM]],TbPiezas[],7,FALSE)</f>
        <v>1.7135000000000002</v>
      </c>
      <c r="Z338" s="84">
        <f>+TbAlquiler[[#This Row],[TOTAL]]*TbAlquiler[[#This Row],[P.U. (3)]]</f>
        <v>0</v>
      </c>
    </row>
    <row r="339" spans="1:26" ht="15" customHeight="1" x14ac:dyDescent="0.3">
      <c r="A339" s="2"/>
      <c r="B339" s="85">
        <v>323</v>
      </c>
      <c r="C339" s="71" t="s">
        <v>647</v>
      </c>
      <c r="D339" s="72" t="s">
        <v>648</v>
      </c>
      <c r="E339" s="73"/>
      <c r="F339" s="74">
        <f>+VLOOKUP(C339,TbAlquiler[],13,FALSE)</f>
        <v>0</v>
      </c>
      <c r="G339" s="2"/>
      <c r="H339" s="75" t="str">
        <f t="shared" si="10"/>
        <v>EN.1360</v>
      </c>
      <c r="I339" s="59" t="str">
        <f t="shared" si="11"/>
        <v>ok</v>
      </c>
      <c r="J339" s="77">
        <f>IFERROR(VLOOKUP($H339,TG[],3,FALSE),"NA")</f>
        <v>0</v>
      </c>
      <c r="K339" s="77" t="str">
        <f>IFERROR(VLOOKUP($H339,TF[],3,FALSE),"NA")</f>
        <v>NA</v>
      </c>
      <c r="L339" s="77" t="str">
        <f>IFERROR(VLOOKUP($H339,TT[],3,FALSE),"NA")</f>
        <v>NA</v>
      </c>
      <c r="M339" s="77" t="str">
        <f>IFERROR(VLOOKUP($H339,TES[],3,FALSE),"NA")</f>
        <v>NA</v>
      </c>
      <c r="N339" s="77" t="str">
        <f>IFERROR(VLOOKUP($H339,TEC[],3,FALSE),"NA")</f>
        <v>NA</v>
      </c>
      <c r="O339" s="77" t="str">
        <f>IFERROR(VLOOKUP($H339,TP[],3,FALSE),"NA")</f>
        <v>NA</v>
      </c>
      <c r="P339" s="77">
        <f>IFERROR(VLOOKUP($H339,TEN[],3,FALSE),"NA")</f>
        <v>0</v>
      </c>
      <c r="Q339" s="77" t="str">
        <f>IFERROR(VLOOKUP($H339,TD[],3,FALSE),"NA")</f>
        <v>NA</v>
      </c>
      <c r="R339" s="77" t="str">
        <f>IFERROR(VLOOKUP($H339,TC[],3,FALSE),"NA")</f>
        <v>NA</v>
      </c>
      <c r="S339" s="77" t="str">
        <f>IFERROR(VLOOKUP($H339,TEV[],3,FALSE),"NA")</f>
        <v>NA</v>
      </c>
      <c r="T339" s="79">
        <f>SUM(TbAlquiler[[#This Row],[GENERAL]:[ELEVADOR]])</f>
        <v>0</v>
      </c>
      <c r="U339" s="80">
        <f>IF(VLOOKUP(TbAlquiler[[#This Row],[ITEM]],TbPiezas[],5,FALSE)="NA",0,VLOOKUP(TbAlquiler[[#This Row],[ITEM]],TbPiezas[],5,FALSE))</f>
        <v>0.5</v>
      </c>
      <c r="V339" s="81">
        <f>+TbAlquiler[[#This Row],[TOTAL]]*TbAlquiler[[#This Row],[P.U. (1)]]</f>
        <v>0</v>
      </c>
      <c r="W339" s="82">
        <f>+VLOOKUP(TbAlquiler[[#This Row],[ITEM]],TbPiezas[],6,FALSE)</f>
        <v>41.13</v>
      </c>
      <c r="X339" s="83">
        <f>+TbAlquiler[[#This Row],[TOTAL]]*TbAlquiler[[#This Row],[P.U. (2)]]</f>
        <v>0</v>
      </c>
      <c r="Y339" s="82">
        <f>+VLOOKUP(TbAlquiler[[#This Row],[ITEM]],TbPiezas[],7,FALSE)</f>
        <v>2.0565000000000002</v>
      </c>
      <c r="Z339" s="84">
        <f>+TbAlquiler[[#This Row],[TOTAL]]*TbAlquiler[[#This Row],[P.U. (3)]]</f>
        <v>0</v>
      </c>
    </row>
    <row r="340" spans="1:26" ht="15" customHeight="1" x14ac:dyDescent="0.3">
      <c r="A340" s="2"/>
      <c r="B340" s="85">
        <v>324</v>
      </c>
      <c r="C340" s="71" t="s">
        <v>649</v>
      </c>
      <c r="D340" s="72" t="s">
        <v>650</v>
      </c>
      <c r="E340" s="73"/>
      <c r="F340" s="74">
        <f>+VLOOKUP(C340,TbAlquiler[],13,FALSE)</f>
        <v>0</v>
      </c>
      <c r="G340" s="2"/>
      <c r="H340" s="75" t="str">
        <f t="shared" si="10"/>
        <v>EN.1400</v>
      </c>
      <c r="I340" s="59" t="str">
        <f t="shared" si="11"/>
        <v>ok</v>
      </c>
      <c r="J340" s="77">
        <f>IFERROR(VLOOKUP($H340,TG[],3,FALSE),"NA")</f>
        <v>0</v>
      </c>
      <c r="K340" s="77" t="str">
        <f>IFERROR(VLOOKUP($H340,TF[],3,FALSE),"NA")</f>
        <v>NA</v>
      </c>
      <c r="L340" s="77" t="str">
        <f>IFERROR(VLOOKUP($H340,TT[],3,FALSE),"NA")</f>
        <v>NA</v>
      </c>
      <c r="M340" s="77" t="str">
        <f>IFERROR(VLOOKUP($H340,TES[],3,FALSE),"NA")</f>
        <v>NA</v>
      </c>
      <c r="N340" s="77" t="str">
        <f>IFERROR(VLOOKUP($H340,TEC[],3,FALSE),"NA")</f>
        <v>NA</v>
      </c>
      <c r="O340" s="77" t="str">
        <f>IFERROR(VLOOKUP($H340,TP[],3,FALSE),"NA")</f>
        <v>NA</v>
      </c>
      <c r="P340" s="77">
        <f>IFERROR(VLOOKUP($H340,TEN[],3,FALSE),"NA")</f>
        <v>0</v>
      </c>
      <c r="Q340" s="77" t="str">
        <f>IFERROR(VLOOKUP($H340,TD[],3,FALSE),"NA")</f>
        <v>NA</v>
      </c>
      <c r="R340" s="77" t="str">
        <f>IFERROR(VLOOKUP($H340,TC[],3,FALSE),"NA")</f>
        <v>NA</v>
      </c>
      <c r="S340" s="77" t="str">
        <f>IFERROR(VLOOKUP($H340,TEV[],3,FALSE),"NA")</f>
        <v>NA</v>
      </c>
      <c r="T340" s="79">
        <f>SUM(TbAlquiler[[#This Row],[GENERAL]:[ELEVADOR]])</f>
        <v>0</v>
      </c>
      <c r="U340" s="80">
        <f>IF(VLOOKUP(TbAlquiler[[#This Row],[ITEM]],TbPiezas[],5,FALSE)="NA",0,VLOOKUP(TbAlquiler[[#This Row],[ITEM]],TbPiezas[],5,FALSE))</f>
        <v>0.5</v>
      </c>
      <c r="V340" s="81">
        <f>+TbAlquiler[[#This Row],[TOTAL]]*TbAlquiler[[#This Row],[P.U. (1)]]</f>
        <v>0</v>
      </c>
      <c r="W340" s="82">
        <f>+VLOOKUP(TbAlquiler[[#This Row],[ITEM]],TbPiezas[],6,FALSE)</f>
        <v>31.76</v>
      </c>
      <c r="X340" s="83">
        <f>+TbAlquiler[[#This Row],[TOTAL]]*TbAlquiler[[#This Row],[P.U. (2)]]</f>
        <v>0</v>
      </c>
      <c r="Y340" s="82">
        <f>+VLOOKUP(TbAlquiler[[#This Row],[ITEM]],TbPiezas[],7,FALSE)</f>
        <v>1.5880000000000001</v>
      </c>
      <c r="Z340" s="84">
        <f>+TbAlquiler[[#This Row],[TOTAL]]*TbAlquiler[[#This Row],[P.U. (3)]]</f>
        <v>0</v>
      </c>
    </row>
    <row r="341" spans="1:26" ht="15" customHeight="1" x14ac:dyDescent="0.3">
      <c r="A341" s="2"/>
      <c r="B341" s="85">
        <v>325</v>
      </c>
      <c r="C341" s="71" t="s">
        <v>651</v>
      </c>
      <c r="D341" s="72" t="s">
        <v>652</v>
      </c>
      <c r="E341" s="73"/>
      <c r="F341" s="74">
        <f>+VLOOKUP(C341,TbAlquiler[],13,FALSE)</f>
        <v>0</v>
      </c>
      <c r="G341" s="2"/>
      <c r="H341" s="75" t="str">
        <f t="shared" si="10"/>
        <v>EN.1500</v>
      </c>
      <c r="I341" s="59" t="str">
        <f t="shared" si="11"/>
        <v>ok</v>
      </c>
      <c r="J341" s="77">
        <f>IFERROR(VLOOKUP($H341,TG[],3,FALSE),"NA")</f>
        <v>0</v>
      </c>
      <c r="K341" s="77" t="str">
        <f>IFERROR(VLOOKUP($H341,TF[],3,FALSE),"NA")</f>
        <v>NA</v>
      </c>
      <c r="L341" s="77" t="str">
        <f>IFERROR(VLOOKUP($H341,TT[],3,FALSE),"NA")</f>
        <v>NA</v>
      </c>
      <c r="M341" s="77" t="str">
        <f>IFERROR(VLOOKUP($H341,TES[],3,FALSE),"NA")</f>
        <v>NA</v>
      </c>
      <c r="N341" s="77" t="str">
        <f>IFERROR(VLOOKUP($H341,TEC[],3,FALSE),"NA")</f>
        <v>NA</v>
      </c>
      <c r="O341" s="77" t="str">
        <f>IFERROR(VLOOKUP($H341,TP[],3,FALSE),"NA")</f>
        <v>NA</v>
      </c>
      <c r="P341" s="77">
        <f>IFERROR(VLOOKUP($H341,TEN[],3,FALSE),"NA")</f>
        <v>0</v>
      </c>
      <c r="Q341" s="77" t="str">
        <f>IFERROR(VLOOKUP($H341,TD[],3,FALSE),"NA")</f>
        <v>NA</v>
      </c>
      <c r="R341" s="77" t="str">
        <f>IFERROR(VLOOKUP($H341,TC[],3,FALSE),"NA")</f>
        <v>NA</v>
      </c>
      <c r="S341" s="77" t="str">
        <f>IFERROR(VLOOKUP($H341,TEV[],3,FALSE),"NA")</f>
        <v>NA</v>
      </c>
      <c r="T341" s="79">
        <f>SUM(TbAlquiler[[#This Row],[GENERAL]:[ELEVADOR]])</f>
        <v>0</v>
      </c>
      <c r="U341" s="80">
        <f>IF(VLOOKUP(TbAlquiler[[#This Row],[ITEM]],TbPiezas[],5,FALSE)="NA",0,VLOOKUP(TbAlquiler[[#This Row],[ITEM]],TbPiezas[],5,FALSE))</f>
        <v>4.5999999999999996</v>
      </c>
      <c r="V341" s="81">
        <f>+TbAlquiler[[#This Row],[TOTAL]]*TbAlquiler[[#This Row],[P.U. (1)]]</f>
        <v>0</v>
      </c>
      <c r="W341" s="82">
        <f>+VLOOKUP(TbAlquiler[[#This Row],[ITEM]],TbPiezas[],6,FALSE)</f>
        <v>317.63</v>
      </c>
      <c r="X341" s="83">
        <f>+TbAlquiler[[#This Row],[TOTAL]]*TbAlquiler[[#This Row],[P.U. (2)]]</f>
        <v>0</v>
      </c>
      <c r="Y341" s="82">
        <f>+VLOOKUP(TbAlquiler[[#This Row],[ITEM]],TbPiezas[],7,FALSE)</f>
        <v>15.881500000000001</v>
      </c>
      <c r="Z341" s="84">
        <f>+TbAlquiler[[#This Row],[TOTAL]]*TbAlquiler[[#This Row],[P.U. (3)]]</f>
        <v>0</v>
      </c>
    </row>
    <row r="342" spans="1:26" ht="15" customHeight="1" x14ac:dyDescent="0.3">
      <c r="A342" s="2"/>
      <c r="B342" s="85">
        <v>326</v>
      </c>
      <c r="C342" s="71" t="s">
        <v>653</v>
      </c>
      <c r="D342" s="72" t="s">
        <v>654</v>
      </c>
      <c r="E342" s="73"/>
      <c r="F342" s="74">
        <f>+VLOOKUP(C342,TbAlquiler[],13,FALSE)</f>
        <v>0</v>
      </c>
      <c r="G342" s="2"/>
      <c r="H342" s="75" t="str">
        <f t="shared" si="10"/>
        <v>EN.1600</v>
      </c>
      <c r="I342" s="59" t="str">
        <f t="shared" si="11"/>
        <v>ok</v>
      </c>
      <c r="J342" s="77">
        <f>IFERROR(VLOOKUP($H342,TG[],3,FALSE),"NA")</f>
        <v>0</v>
      </c>
      <c r="K342" s="77" t="str">
        <f>IFERROR(VLOOKUP($H342,TF[],3,FALSE),"NA")</f>
        <v>NA</v>
      </c>
      <c r="L342" s="77" t="str">
        <f>IFERROR(VLOOKUP($H342,TT[],3,FALSE),"NA")</f>
        <v>NA</v>
      </c>
      <c r="M342" s="77" t="str">
        <f>IFERROR(VLOOKUP($H342,TES[],3,FALSE),"NA")</f>
        <v>NA</v>
      </c>
      <c r="N342" s="77" t="str">
        <f>IFERROR(VLOOKUP($H342,TEC[],3,FALSE),"NA")</f>
        <v>NA</v>
      </c>
      <c r="O342" s="77" t="str">
        <f>IFERROR(VLOOKUP($H342,TP[],3,FALSE),"NA")</f>
        <v>NA</v>
      </c>
      <c r="P342" s="77">
        <f>IFERROR(VLOOKUP($H342,TEN[],3,FALSE),"NA")</f>
        <v>0</v>
      </c>
      <c r="Q342" s="77" t="str">
        <f>IFERROR(VLOOKUP($H342,TD[],3,FALSE),"NA")</f>
        <v>NA</v>
      </c>
      <c r="R342" s="77" t="str">
        <f>IFERROR(VLOOKUP($H342,TC[],3,FALSE),"NA")</f>
        <v>NA</v>
      </c>
      <c r="S342" s="77" t="str">
        <f>IFERROR(VLOOKUP($H342,TEV[],3,FALSE),"NA")</f>
        <v>NA</v>
      </c>
      <c r="T342" s="79">
        <f>SUM(TbAlquiler[[#This Row],[GENERAL]:[ELEVADOR]])</f>
        <v>0</v>
      </c>
      <c r="U342" s="80">
        <f>IF(VLOOKUP(TbAlquiler[[#This Row],[ITEM]],TbPiezas[],5,FALSE)="NA",0,VLOOKUP(TbAlquiler[[#This Row],[ITEM]],TbPiezas[],5,FALSE))</f>
        <v>11.299999999999997</v>
      </c>
      <c r="V342" s="81">
        <f>+TbAlquiler[[#This Row],[TOTAL]]*TbAlquiler[[#This Row],[P.U. (1)]]</f>
        <v>0</v>
      </c>
      <c r="W342" s="82">
        <f>+VLOOKUP(TbAlquiler[[#This Row],[ITEM]],TbPiezas[],6,FALSE)</f>
        <v>317.63</v>
      </c>
      <c r="X342" s="83">
        <f>+TbAlquiler[[#This Row],[TOTAL]]*TbAlquiler[[#This Row],[P.U. (2)]]</f>
        <v>0</v>
      </c>
      <c r="Y342" s="82">
        <f>+VLOOKUP(TbAlquiler[[#This Row],[ITEM]],TbPiezas[],7,FALSE)</f>
        <v>15.881500000000001</v>
      </c>
      <c r="Z342" s="84">
        <f>+TbAlquiler[[#This Row],[TOTAL]]*TbAlquiler[[#This Row],[P.U. (3)]]</f>
        <v>0</v>
      </c>
    </row>
    <row r="343" spans="1:26" ht="15" customHeight="1" x14ac:dyDescent="0.3">
      <c r="A343" s="2"/>
      <c r="B343" s="85">
        <v>327</v>
      </c>
      <c r="C343" s="71" t="s">
        <v>655</v>
      </c>
      <c r="D343" s="72" t="s">
        <v>656</v>
      </c>
      <c r="E343" s="73"/>
      <c r="F343" s="74">
        <f>+VLOOKUP(C343,TbAlquiler[],13,FALSE)</f>
        <v>0</v>
      </c>
      <c r="G343" s="2"/>
      <c r="H343" s="75" t="str">
        <f t="shared" si="10"/>
        <v>EN.1700</v>
      </c>
      <c r="I343" s="59" t="str">
        <f t="shared" si="11"/>
        <v>ok</v>
      </c>
      <c r="J343" s="77">
        <f>IFERROR(VLOOKUP($H343,TG[],3,FALSE),"NA")</f>
        <v>0</v>
      </c>
      <c r="K343" s="77" t="str">
        <f>IFERROR(VLOOKUP($H343,TF[],3,FALSE),"NA")</f>
        <v>NA</v>
      </c>
      <c r="L343" s="77" t="str">
        <f>IFERROR(VLOOKUP($H343,TT[],3,FALSE),"NA")</f>
        <v>NA</v>
      </c>
      <c r="M343" s="77" t="str">
        <f>IFERROR(VLOOKUP($H343,TES[],3,FALSE),"NA")</f>
        <v>NA</v>
      </c>
      <c r="N343" s="77" t="str">
        <f>IFERROR(VLOOKUP($H343,TEC[],3,FALSE),"NA")</f>
        <v>NA</v>
      </c>
      <c r="O343" s="77" t="str">
        <f>IFERROR(VLOOKUP($H343,TP[],3,FALSE),"NA")</f>
        <v>NA</v>
      </c>
      <c r="P343" s="77">
        <f>IFERROR(VLOOKUP($H343,TEN[],3,FALSE),"NA")</f>
        <v>0</v>
      </c>
      <c r="Q343" s="77" t="str">
        <f>IFERROR(VLOOKUP($H343,TD[],3,FALSE),"NA")</f>
        <v>NA</v>
      </c>
      <c r="R343" s="77" t="str">
        <f>IFERROR(VLOOKUP($H343,TC[],3,FALSE),"NA")</f>
        <v>NA</v>
      </c>
      <c r="S343" s="77" t="str">
        <f>IFERROR(VLOOKUP($H343,TEV[],3,FALSE),"NA")</f>
        <v>NA</v>
      </c>
      <c r="T343" s="79">
        <f>SUM(TbAlquiler[[#This Row],[GENERAL]:[ELEVADOR]])</f>
        <v>0</v>
      </c>
      <c r="U343" s="80">
        <f>IF(VLOOKUP(TbAlquiler[[#This Row],[ITEM]],TbPiezas[],5,FALSE)="NA",0,VLOOKUP(TbAlquiler[[#This Row],[ITEM]],TbPiezas[],5,FALSE))</f>
        <v>0</v>
      </c>
      <c r="V343" s="81">
        <f>+TbAlquiler[[#This Row],[TOTAL]]*TbAlquiler[[#This Row],[P.U. (1)]]</f>
        <v>0</v>
      </c>
      <c r="W343" s="82">
        <f>+VLOOKUP(TbAlquiler[[#This Row],[ITEM]],TbPiezas[],6,FALSE)</f>
        <v>444.68</v>
      </c>
      <c r="X343" s="83">
        <f>+TbAlquiler[[#This Row],[TOTAL]]*TbAlquiler[[#This Row],[P.U. (2)]]</f>
        <v>0</v>
      </c>
      <c r="Y343" s="82">
        <f>+VLOOKUP(TbAlquiler[[#This Row],[ITEM]],TbPiezas[],7,FALSE)</f>
        <v>22.234000000000002</v>
      </c>
      <c r="Z343" s="84">
        <f>+TbAlquiler[[#This Row],[TOTAL]]*TbAlquiler[[#This Row],[P.U. (3)]]</f>
        <v>0</v>
      </c>
    </row>
    <row r="344" spans="1:26" ht="15" customHeight="1" x14ac:dyDescent="0.3">
      <c r="A344" s="2"/>
      <c r="B344" s="85">
        <v>328</v>
      </c>
      <c r="C344" s="71" t="s">
        <v>658</v>
      </c>
      <c r="D344" s="72" t="s">
        <v>659</v>
      </c>
      <c r="E344" s="73"/>
      <c r="F344" s="74">
        <f>+VLOOKUP(C344,TbAlquiler[],13,FALSE)</f>
        <v>0</v>
      </c>
      <c r="G344" s="2"/>
      <c r="H344" s="75" t="str">
        <f t="shared" si="10"/>
        <v>EN.1800</v>
      </c>
      <c r="I344" s="59" t="str">
        <f t="shared" si="11"/>
        <v>ok</v>
      </c>
      <c r="J344" s="77">
        <f>IFERROR(VLOOKUP($H344,TG[],3,FALSE),"NA")</f>
        <v>0</v>
      </c>
      <c r="K344" s="77" t="str">
        <f>IFERROR(VLOOKUP($H344,TF[],3,FALSE),"NA")</f>
        <v>NA</v>
      </c>
      <c r="L344" s="77" t="str">
        <f>IFERROR(VLOOKUP($H344,TT[],3,FALSE),"NA")</f>
        <v>NA</v>
      </c>
      <c r="M344" s="77" t="str">
        <f>IFERROR(VLOOKUP($H344,TES[],3,FALSE),"NA")</f>
        <v>NA</v>
      </c>
      <c r="N344" s="77" t="str">
        <f>IFERROR(VLOOKUP($H344,TEC[],3,FALSE),"NA")</f>
        <v>NA</v>
      </c>
      <c r="O344" s="77" t="str">
        <f>IFERROR(VLOOKUP($H344,TP[],3,FALSE),"NA")</f>
        <v>NA</v>
      </c>
      <c r="P344" s="77">
        <f>IFERROR(VLOOKUP($H344,TEN[],3,FALSE),"NA")</f>
        <v>0</v>
      </c>
      <c r="Q344" s="77" t="str">
        <f>IFERROR(VLOOKUP($H344,TD[],3,FALSE),"NA")</f>
        <v>NA</v>
      </c>
      <c r="R344" s="77" t="str">
        <f>IFERROR(VLOOKUP($H344,TC[],3,FALSE),"NA")</f>
        <v>NA</v>
      </c>
      <c r="S344" s="77" t="str">
        <f>IFERROR(VLOOKUP($H344,TEV[],3,FALSE),"NA")</f>
        <v>NA</v>
      </c>
      <c r="T344" s="79">
        <f>SUM(TbAlquiler[[#This Row],[GENERAL]:[ELEVADOR]])</f>
        <v>0</v>
      </c>
      <c r="U344" s="80">
        <f>IF(VLOOKUP(TbAlquiler[[#This Row],[ITEM]],TbPiezas[],5,FALSE)="NA",0,VLOOKUP(TbAlquiler[[#This Row],[ITEM]],TbPiezas[],5,FALSE))</f>
        <v>0</v>
      </c>
      <c r="V344" s="81">
        <f>+TbAlquiler[[#This Row],[TOTAL]]*TbAlquiler[[#This Row],[P.U. (1)]]</f>
        <v>0</v>
      </c>
      <c r="W344" s="82">
        <f>+VLOOKUP(TbAlquiler[[#This Row],[ITEM]],TbPiezas[],6,FALSE)</f>
        <v>63.53</v>
      </c>
      <c r="X344" s="83">
        <f>+TbAlquiler[[#This Row],[TOTAL]]*TbAlquiler[[#This Row],[P.U. (2)]]</f>
        <v>0</v>
      </c>
      <c r="Y344" s="82">
        <f>+VLOOKUP(TbAlquiler[[#This Row],[ITEM]],TbPiezas[],7,FALSE)</f>
        <v>3.1765000000000003</v>
      </c>
      <c r="Z344" s="84">
        <f>+TbAlquiler[[#This Row],[TOTAL]]*TbAlquiler[[#This Row],[P.U. (3)]]</f>
        <v>0</v>
      </c>
    </row>
    <row r="345" spans="1:26" ht="15" customHeight="1" x14ac:dyDescent="0.3">
      <c r="A345" s="2"/>
      <c r="B345" s="85">
        <v>329</v>
      </c>
      <c r="C345" s="71" t="s">
        <v>660</v>
      </c>
      <c r="D345" s="72" t="s">
        <v>661</v>
      </c>
      <c r="E345" s="73"/>
      <c r="F345" s="74">
        <f>+VLOOKUP(C345,TbAlquiler[],13,FALSE)</f>
        <v>0</v>
      </c>
      <c r="G345" s="2"/>
      <c r="H345" s="75" t="str">
        <f t="shared" si="10"/>
        <v>EN.1900</v>
      </c>
      <c r="I345" s="59" t="str">
        <f t="shared" si="11"/>
        <v>ok</v>
      </c>
      <c r="J345" s="77">
        <f>IFERROR(VLOOKUP($H345,TG[],3,FALSE),"NA")</f>
        <v>0</v>
      </c>
      <c r="K345" s="77" t="str">
        <f>IFERROR(VLOOKUP($H345,TF[],3,FALSE),"NA")</f>
        <v>NA</v>
      </c>
      <c r="L345" s="77" t="str">
        <f>IFERROR(VLOOKUP($H345,TT[],3,FALSE),"NA")</f>
        <v>NA</v>
      </c>
      <c r="M345" s="77" t="str">
        <f>IFERROR(VLOOKUP($H345,TES[],3,FALSE),"NA")</f>
        <v>NA</v>
      </c>
      <c r="N345" s="77" t="str">
        <f>IFERROR(VLOOKUP($H345,TEC[],3,FALSE),"NA")</f>
        <v>NA</v>
      </c>
      <c r="O345" s="77" t="str">
        <f>IFERROR(VLOOKUP($H345,TP[],3,FALSE),"NA")</f>
        <v>NA</v>
      </c>
      <c r="P345" s="77">
        <f>IFERROR(VLOOKUP($H345,TEN[],3,FALSE),"NA")</f>
        <v>0</v>
      </c>
      <c r="Q345" s="77" t="str">
        <f>IFERROR(VLOOKUP($H345,TD[],3,FALSE),"NA")</f>
        <v>NA</v>
      </c>
      <c r="R345" s="77" t="str">
        <f>IFERROR(VLOOKUP($H345,TC[],3,FALSE),"NA")</f>
        <v>NA</v>
      </c>
      <c r="S345" s="77" t="str">
        <f>IFERROR(VLOOKUP($H345,TEV[],3,FALSE),"NA")</f>
        <v>NA</v>
      </c>
      <c r="T345" s="79">
        <f>SUM(TbAlquiler[[#This Row],[GENERAL]:[ELEVADOR]])</f>
        <v>0</v>
      </c>
      <c r="U345" s="80">
        <f>IF(VLOOKUP(TbAlquiler[[#This Row],[ITEM]],TbPiezas[],5,FALSE)="NA",0,VLOOKUP(TbAlquiler[[#This Row],[ITEM]],TbPiezas[],5,FALSE))</f>
        <v>0</v>
      </c>
      <c r="V345" s="81">
        <f>+TbAlquiler[[#This Row],[TOTAL]]*TbAlquiler[[#This Row],[P.U. (1)]]</f>
        <v>0</v>
      </c>
      <c r="W345" s="82">
        <f>+VLOOKUP(TbAlquiler[[#This Row],[ITEM]],TbPiezas[],6,FALSE)</f>
        <v>63.53</v>
      </c>
      <c r="X345" s="83">
        <f>+TbAlquiler[[#This Row],[TOTAL]]*TbAlquiler[[#This Row],[P.U. (2)]]</f>
        <v>0</v>
      </c>
      <c r="Y345" s="82">
        <f>+VLOOKUP(TbAlquiler[[#This Row],[ITEM]],TbPiezas[],7,FALSE)</f>
        <v>3.1765000000000003</v>
      </c>
      <c r="Z345" s="84">
        <f>+TbAlquiler[[#This Row],[TOTAL]]*TbAlquiler[[#This Row],[P.U. (3)]]</f>
        <v>0</v>
      </c>
    </row>
    <row r="346" spans="1:26" ht="15" customHeight="1" x14ac:dyDescent="0.3">
      <c r="A346" s="2"/>
      <c r="B346" s="85">
        <v>330</v>
      </c>
      <c r="C346" s="71" t="s">
        <v>662</v>
      </c>
      <c r="D346" s="72" t="s">
        <v>663</v>
      </c>
      <c r="E346" s="73"/>
      <c r="F346" s="74">
        <f>+VLOOKUP(C346,TbAlquiler[],13,FALSE)</f>
        <v>0</v>
      </c>
      <c r="G346" s="2"/>
      <c r="H346" s="75" t="str">
        <f t="shared" si="10"/>
        <v>EN.2000</v>
      </c>
      <c r="I346" s="59" t="str">
        <f t="shared" si="11"/>
        <v>ok</v>
      </c>
      <c r="J346" s="77">
        <f>IFERROR(VLOOKUP($H346,TG[],3,FALSE),"NA")</f>
        <v>0</v>
      </c>
      <c r="K346" s="77" t="str">
        <f>IFERROR(VLOOKUP($H346,TF[],3,FALSE),"NA")</f>
        <v>NA</v>
      </c>
      <c r="L346" s="77" t="str">
        <f>IFERROR(VLOOKUP($H346,TT[],3,FALSE),"NA")</f>
        <v>NA</v>
      </c>
      <c r="M346" s="77" t="str">
        <f>IFERROR(VLOOKUP($H346,TES[],3,FALSE),"NA")</f>
        <v>NA</v>
      </c>
      <c r="N346" s="77" t="str">
        <f>IFERROR(VLOOKUP($H346,TEC[],3,FALSE),"NA")</f>
        <v>NA</v>
      </c>
      <c r="O346" s="77" t="str">
        <f>IFERROR(VLOOKUP($H346,TP[],3,FALSE),"NA")</f>
        <v>NA</v>
      </c>
      <c r="P346" s="77">
        <f>IFERROR(VLOOKUP($H346,TEN[],3,FALSE),"NA")</f>
        <v>0</v>
      </c>
      <c r="Q346" s="77" t="str">
        <f>IFERROR(VLOOKUP($H346,TD[],3,FALSE),"NA")</f>
        <v>NA</v>
      </c>
      <c r="R346" s="77" t="str">
        <f>IFERROR(VLOOKUP($H346,TC[],3,FALSE),"NA")</f>
        <v>NA</v>
      </c>
      <c r="S346" s="77" t="str">
        <f>IFERROR(VLOOKUP($H346,TEV[],3,FALSE),"NA")</f>
        <v>NA</v>
      </c>
      <c r="T346" s="79">
        <f>SUM(TbAlquiler[[#This Row],[GENERAL]:[ELEVADOR]])</f>
        <v>0</v>
      </c>
      <c r="U346" s="80">
        <f>IF(VLOOKUP(TbAlquiler[[#This Row],[ITEM]],TbPiezas[],5,FALSE)="NA",0,VLOOKUP(TbAlquiler[[#This Row],[ITEM]],TbPiezas[],5,FALSE))</f>
        <v>40.700000000000003</v>
      </c>
      <c r="V346" s="81">
        <f>+TbAlquiler[[#This Row],[TOTAL]]*TbAlquiler[[#This Row],[P.U. (1)]]</f>
        <v>0</v>
      </c>
      <c r="W346" s="82">
        <f>+VLOOKUP(TbAlquiler[[#This Row],[ITEM]],TbPiezas[],6,FALSE)</f>
        <v>1003.91</v>
      </c>
      <c r="X346" s="83">
        <f>+TbAlquiler[[#This Row],[TOTAL]]*TbAlquiler[[#This Row],[P.U. (2)]]</f>
        <v>0</v>
      </c>
      <c r="Y346" s="82">
        <f>+VLOOKUP(TbAlquiler[[#This Row],[ITEM]],TbPiezas[],7,FALSE)</f>
        <v>50.195500000000003</v>
      </c>
      <c r="Z346" s="84">
        <f>+TbAlquiler[[#This Row],[TOTAL]]*TbAlquiler[[#This Row],[P.U. (3)]]</f>
        <v>0</v>
      </c>
    </row>
    <row r="347" spans="1:26" ht="15" customHeight="1" x14ac:dyDescent="0.3">
      <c r="A347" s="2"/>
      <c r="B347" s="85">
        <v>331</v>
      </c>
      <c r="C347" s="71" t="s">
        <v>664</v>
      </c>
      <c r="D347" s="72" t="s">
        <v>665</v>
      </c>
      <c r="E347" s="73"/>
      <c r="F347" s="74">
        <f>+VLOOKUP(C347,TbAlquiler[],13,FALSE)</f>
        <v>0</v>
      </c>
      <c r="G347" s="2"/>
      <c r="H347" s="75" t="str">
        <f t="shared" si="10"/>
        <v>EN.2100</v>
      </c>
      <c r="I347" s="59" t="str">
        <f t="shared" si="11"/>
        <v>ok</v>
      </c>
      <c r="J347" s="77">
        <f>IFERROR(VLOOKUP($H347,TG[],3,FALSE),"NA")</f>
        <v>0</v>
      </c>
      <c r="K347" s="77" t="str">
        <f>IFERROR(VLOOKUP($H347,TF[],3,FALSE),"NA")</f>
        <v>NA</v>
      </c>
      <c r="L347" s="77" t="str">
        <f>IFERROR(VLOOKUP($H347,TT[],3,FALSE),"NA")</f>
        <v>NA</v>
      </c>
      <c r="M347" s="77" t="str">
        <f>IFERROR(VLOOKUP($H347,TES[],3,FALSE),"NA")</f>
        <v>NA</v>
      </c>
      <c r="N347" s="77" t="str">
        <f>IFERROR(VLOOKUP($H347,TEC[],3,FALSE),"NA")</f>
        <v>NA</v>
      </c>
      <c r="O347" s="77" t="str">
        <f>IFERROR(VLOOKUP($H347,TP[],3,FALSE),"NA")</f>
        <v>NA</v>
      </c>
      <c r="P347" s="77">
        <f>IFERROR(VLOOKUP($H347,TEN[],3,FALSE),"NA")</f>
        <v>0</v>
      </c>
      <c r="Q347" s="77" t="str">
        <f>IFERROR(VLOOKUP($H347,TD[],3,FALSE),"NA")</f>
        <v>NA</v>
      </c>
      <c r="R347" s="77" t="str">
        <f>IFERROR(VLOOKUP($H347,TC[],3,FALSE),"NA")</f>
        <v>NA</v>
      </c>
      <c r="S347" s="77" t="str">
        <f>IFERROR(VLOOKUP($H347,TEV[],3,FALSE),"NA")</f>
        <v>NA</v>
      </c>
      <c r="T347" s="79">
        <f>SUM(TbAlquiler[[#This Row],[GENERAL]:[ELEVADOR]])</f>
        <v>0</v>
      </c>
      <c r="U347" s="80">
        <f>IF(VLOOKUP(TbAlquiler[[#This Row],[ITEM]],TbPiezas[],5,FALSE)="NA",0,VLOOKUP(TbAlquiler[[#This Row],[ITEM]],TbPiezas[],5,FALSE))</f>
        <v>26</v>
      </c>
      <c r="V347" s="81">
        <f>+TbAlquiler[[#This Row],[TOTAL]]*TbAlquiler[[#This Row],[P.U. (1)]]</f>
        <v>0</v>
      </c>
      <c r="W347" s="82">
        <f>+VLOOKUP(TbAlquiler[[#This Row],[ITEM]],TbPiezas[],6,FALSE)</f>
        <v>738.5</v>
      </c>
      <c r="X347" s="83">
        <f>+TbAlquiler[[#This Row],[TOTAL]]*TbAlquiler[[#This Row],[P.U. (2)]]</f>
        <v>0</v>
      </c>
      <c r="Y347" s="82">
        <f>+VLOOKUP(TbAlquiler[[#This Row],[ITEM]],TbPiezas[],7,FALSE)</f>
        <v>36.925000000000004</v>
      </c>
      <c r="Z347" s="84">
        <f>+TbAlquiler[[#This Row],[TOTAL]]*TbAlquiler[[#This Row],[P.U. (3)]]</f>
        <v>0</v>
      </c>
    </row>
    <row r="348" spans="1:26" ht="15" customHeight="1" x14ac:dyDescent="0.3">
      <c r="A348" s="2"/>
      <c r="B348" s="85">
        <v>332</v>
      </c>
      <c r="C348" s="71" t="s">
        <v>666</v>
      </c>
      <c r="D348" s="72" t="s">
        <v>667</v>
      </c>
      <c r="E348" s="73"/>
      <c r="F348" s="74">
        <f>+VLOOKUP(C348,TbAlquiler[],13,FALSE)</f>
        <v>0</v>
      </c>
      <c r="G348" s="2"/>
      <c r="H348" s="75" t="str">
        <f t="shared" si="10"/>
        <v>EN.2200</v>
      </c>
      <c r="I348" s="59" t="str">
        <f t="shared" si="11"/>
        <v>ok</v>
      </c>
      <c r="J348" s="77">
        <f>IFERROR(VLOOKUP($H348,TG[],3,FALSE),"NA")</f>
        <v>0</v>
      </c>
      <c r="K348" s="77" t="str">
        <f>IFERROR(VLOOKUP($H348,TF[],3,FALSE),"NA")</f>
        <v>NA</v>
      </c>
      <c r="L348" s="77" t="str">
        <f>IFERROR(VLOOKUP($H348,TT[],3,FALSE),"NA")</f>
        <v>NA</v>
      </c>
      <c r="M348" s="77" t="str">
        <f>IFERROR(VLOOKUP($H348,TES[],3,FALSE),"NA")</f>
        <v>NA</v>
      </c>
      <c r="N348" s="77" t="str">
        <f>IFERROR(VLOOKUP($H348,TEC[],3,FALSE),"NA")</f>
        <v>NA</v>
      </c>
      <c r="O348" s="77" t="str">
        <f>IFERROR(VLOOKUP($H348,TP[],3,FALSE),"NA")</f>
        <v>NA</v>
      </c>
      <c r="P348" s="77">
        <f>IFERROR(VLOOKUP($H348,TEN[],3,FALSE),"NA")</f>
        <v>0</v>
      </c>
      <c r="Q348" s="77" t="str">
        <f>IFERROR(VLOOKUP($H348,TD[],3,FALSE),"NA")</f>
        <v>NA</v>
      </c>
      <c r="R348" s="77" t="str">
        <f>IFERROR(VLOOKUP($H348,TC[],3,FALSE),"NA")</f>
        <v>NA</v>
      </c>
      <c r="S348" s="77" t="str">
        <f>IFERROR(VLOOKUP($H348,TEV[],3,FALSE),"NA")</f>
        <v>NA</v>
      </c>
      <c r="T348" s="79">
        <f>SUM(TbAlquiler[[#This Row],[GENERAL]:[ELEVADOR]])</f>
        <v>0</v>
      </c>
      <c r="U348" s="80">
        <f>IF(VLOOKUP(TbAlquiler[[#This Row],[ITEM]],TbPiezas[],5,FALSE)="NA",0,VLOOKUP(TbAlquiler[[#This Row],[ITEM]],TbPiezas[],5,FALSE))</f>
        <v>20.099999999999994</v>
      </c>
      <c r="V348" s="81">
        <f>+TbAlquiler[[#This Row],[TOTAL]]*TbAlquiler[[#This Row],[P.U. (1)]]</f>
        <v>0</v>
      </c>
      <c r="W348" s="82">
        <f>+VLOOKUP(TbAlquiler[[#This Row],[ITEM]],TbPiezas[],6,FALSE)</f>
        <v>588.53</v>
      </c>
      <c r="X348" s="83">
        <f>+TbAlquiler[[#This Row],[TOTAL]]*TbAlquiler[[#This Row],[P.U. (2)]]</f>
        <v>0</v>
      </c>
      <c r="Y348" s="82">
        <f>+VLOOKUP(TbAlquiler[[#This Row],[ITEM]],TbPiezas[],7,FALSE)</f>
        <v>29.426500000000001</v>
      </c>
      <c r="Z348" s="84">
        <f>+TbAlquiler[[#This Row],[TOTAL]]*TbAlquiler[[#This Row],[P.U. (3)]]</f>
        <v>0</v>
      </c>
    </row>
    <row r="349" spans="1:26" ht="15" customHeight="1" x14ac:dyDescent="0.3">
      <c r="A349" s="2"/>
      <c r="B349" s="85">
        <v>333</v>
      </c>
      <c r="C349" s="71" t="s">
        <v>668</v>
      </c>
      <c r="D349" s="72" t="s">
        <v>669</v>
      </c>
      <c r="E349" s="73"/>
      <c r="F349" s="74">
        <f>+VLOOKUP(C349,TbAlquiler[],13,FALSE)</f>
        <v>0</v>
      </c>
      <c r="G349" s="2"/>
      <c r="H349" s="75" t="str">
        <f t="shared" si="10"/>
        <v>EN.2300</v>
      </c>
      <c r="I349" s="59" t="str">
        <f t="shared" si="11"/>
        <v>ok</v>
      </c>
      <c r="J349" s="77">
        <f>IFERROR(VLOOKUP($H349,TG[],3,FALSE),"NA")</f>
        <v>0</v>
      </c>
      <c r="K349" s="77" t="str">
        <f>IFERROR(VLOOKUP($H349,TF[],3,FALSE),"NA")</f>
        <v>NA</v>
      </c>
      <c r="L349" s="77" t="str">
        <f>IFERROR(VLOOKUP($H349,TT[],3,FALSE),"NA")</f>
        <v>NA</v>
      </c>
      <c r="M349" s="77" t="str">
        <f>IFERROR(VLOOKUP($H349,TES[],3,FALSE),"NA")</f>
        <v>NA</v>
      </c>
      <c r="N349" s="77" t="str">
        <f>IFERROR(VLOOKUP($H349,TEC[],3,FALSE),"NA")</f>
        <v>NA</v>
      </c>
      <c r="O349" s="77" t="str">
        <f>IFERROR(VLOOKUP($H349,TP[],3,FALSE),"NA")</f>
        <v>NA</v>
      </c>
      <c r="P349" s="77">
        <f>IFERROR(VLOOKUP($H349,TEN[],3,FALSE),"NA")</f>
        <v>0</v>
      </c>
      <c r="Q349" s="77" t="str">
        <f>IFERROR(VLOOKUP($H349,TD[],3,FALSE),"NA")</f>
        <v>NA</v>
      </c>
      <c r="R349" s="77" t="str">
        <f>IFERROR(VLOOKUP($H349,TC[],3,FALSE),"NA")</f>
        <v>NA</v>
      </c>
      <c r="S349" s="77" t="str">
        <f>IFERROR(VLOOKUP($H349,TEV[],3,FALSE),"NA")</f>
        <v>NA</v>
      </c>
      <c r="T349" s="79">
        <f>SUM(TbAlquiler[[#This Row],[GENERAL]:[ELEVADOR]])</f>
        <v>0</v>
      </c>
      <c r="U349" s="80">
        <f>IF(VLOOKUP(TbAlquiler[[#This Row],[ITEM]],TbPiezas[],5,FALSE)="NA",0,VLOOKUP(TbAlquiler[[#This Row],[ITEM]],TbPiezas[],5,FALSE))</f>
        <v>21.700000000000003</v>
      </c>
      <c r="V349" s="81">
        <f>+TbAlquiler[[#This Row],[TOTAL]]*TbAlquiler[[#This Row],[P.U. (1)]]</f>
        <v>0</v>
      </c>
      <c r="W349" s="82">
        <f>+VLOOKUP(TbAlquiler[[#This Row],[ITEM]],TbPiezas[],6,FALSE)</f>
        <v>646.25</v>
      </c>
      <c r="X349" s="83">
        <f>+TbAlquiler[[#This Row],[TOTAL]]*TbAlquiler[[#This Row],[P.U. (2)]]</f>
        <v>0</v>
      </c>
      <c r="Y349" s="82">
        <f>+VLOOKUP(TbAlquiler[[#This Row],[ITEM]],TbPiezas[],7,FALSE)</f>
        <v>32.3125</v>
      </c>
      <c r="Z349" s="84">
        <f>+TbAlquiler[[#This Row],[TOTAL]]*TbAlquiler[[#This Row],[P.U. (3)]]</f>
        <v>0</v>
      </c>
    </row>
    <row r="350" spans="1:26" ht="15" customHeight="1" x14ac:dyDescent="0.3">
      <c r="A350" s="2"/>
      <c r="B350" s="85">
        <v>334</v>
      </c>
      <c r="C350" s="71" t="s">
        <v>670</v>
      </c>
      <c r="D350" s="72" t="s">
        <v>671</v>
      </c>
      <c r="E350" s="73"/>
      <c r="F350" s="74">
        <f>+VLOOKUP(C350,TbAlquiler[],13,FALSE)</f>
        <v>0</v>
      </c>
      <c r="G350" s="2"/>
      <c r="H350" s="75" t="str">
        <f t="shared" si="10"/>
        <v>EN.2400</v>
      </c>
      <c r="I350" s="59" t="str">
        <f t="shared" si="11"/>
        <v>ok</v>
      </c>
      <c r="J350" s="77">
        <f>IFERROR(VLOOKUP($H350,TG[],3,FALSE),"NA")</f>
        <v>0</v>
      </c>
      <c r="K350" s="77" t="str">
        <f>IFERROR(VLOOKUP($H350,TF[],3,FALSE),"NA")</f>
        <v>NA</v>
      </c>
      <c r="L350" s="77" t="str">
        <f>IFERROR(VLOOKUP($H350,TT[],3,FALSE),"NA")</f>
        <v>NA</v>
      </c>
      <c r="M350" s="77" t="str">
        <f>IFERROR(VLOOKUP($H350,TES[],3,FALSE),"NA")</f>
        <v>NA</v>
      </c>
      <c r="N350" s="77" t="str">
        <f>IFERROR(VLOOKUP($H350,TEC[],3,FALSE),"NA")</f>
        <v>NA</v>
      </c>
      <c r="O350" s="77" t="str">
        <f>IFERROR(VLOOKUP($H350,TP[],3,FALSE),"NA")</f>
        <v>NA</v>
      </c>
      <c r="P350" s="77">
        <f>IFERROR(VLOOKUP($H350,TEN[],3,FALSE),"NA")</f>
        <v>0</v>
      </c>
      <c r="Q350" s="77" t="str">
        <f>IFERROR(VLOOKUP($H350,TD[],3,FALSE),"NA")</f>
        <v>NA</v>
      </c>
      <c r="R350" s="77" t="str">
        <f>IFERROR(VLOOKUP($H350,TC[],3,FALSE),"NA")</f>
        <v>NA</v>
      </c>
      <c r="S350" s="77" t="str">
        <f>IFERROR(VLOOKUP($H350,TEV[],3,FALSE),"NA")</f>
        <v>NA</v>
      </c>
      <c r="T350" s="79">
        <f>SUM(TbAlquiler[[#This Row],[GENERAL]:[ELEVADOR]])</f>
        <v>0</v>
      </c>
      <c r="U350" s="80">
        <f>IF(VLOOKUP(TbAlquiler[[#This Row],[ITEM]],TbPiezas[],5,FALSE)="NA",0,VLOOKUP(TbAlquiler[[#This Row],[ITEM]],TbPiezas[],5,FALSE))</f>
        <v>9</v>
      </c>
      <c r="V350" s="81">
        <f>+TbAlquiler[[#This Row],[TOTAL]]*TbAlquiler[[#This Row],[P.U. (1)]]</f>
        <v>0</v>
      </c>
      <c r="W350" s="82">
        <f>+VLOOKUP(TbAlquiler[[#This Row],[ITEM]],TbPiezas[],6,FALSE)</f>
        <v>311.58999999999997</v>
      </c>
      <c r="X350" s="83">
        <f>+TbAlquiler[[#This Row],[TOTAL]]*TbAlquiler[[#This Row],[P.U. (2)]]</f>
        <v>0</v>
      </c>
      <c r="Y350" s="82">
        <f>+VLOOKUP(TbAlquiler[[#This Row],[ITEM]],TbPiezas[],7,FALSE)</f>
        <v>15.579499999999999</v>
      </c>
      <c r="Z350" s="84">
        <f>+TbAlquiler[[#This Row],[TOTAL]]*TbAlquiler[[#This Row],[P.U. (3)]]</f>
        <v>0</v>
      </c>
    </row>
    <row r="351" spans="1:26" ht="15" customHeight="1" x14ac:dyDescent="0.3">
      <c r="A351" s="2"/>
      <c r="B351" s="85">
        <v>335</v>
      </c>
      <c r="C351" s="71" t="s">
        <v>672</v>
      </c>
      <c r="D351" s="72" t="s">
        <v>673</v>
      </c>
      <c r="E351" s="73"/>
      <c r="F351" s="74">
        <f>+VLOOKUP(C351,TbAlquiler[],13,FALSE)</f>
        <v>0</v>
      </c>
      <c r="G351" s="2"/>
      <c r="H351" s="75" t="str">
        <f t="shared" si="10"/>
        <v>EN.2500</v>
      </c>
      <c r="I351" s="59" t="str">
        <f t="shared" si="11"/>
        <v>ok</v>
      </c>
      <c r="J351" s="77">
        <f>IFERROR(VLOOKUP($H351,TG[],3,FALSE),"NA")</f>
        <v>0</v>
      </c>
      <c r="K351" s="77" t="str">
        <f>IFERROR(VLOOKUP($H351,TF[],3,FALSE),"NA")</f>
        <v>NA</v>
      </c>
      <c r="L351" s="77" t="str">
        <f>IFERROR(VLOOKUP($H351,TT[],3,FALSE),"NA")</f>
        <v>NA</v>
      </c>
      <c r="M351" s="77" t="str">
        <f>IFERROR(VLOOKUP($H351,TES[],3,FALSE),"NA")</f>
        <v>NA</v>
      </c>
      <c r="N351" s="77" t="str">
        <f>IFERROR(VLOOKUP($H351,TEC[],3,FALSE),"NA")</f>
        <v>NA</v>
      </c>
      <c r="O351" s="77" t="str">
        <f>IFERROR(VLOOKUP($H351,TP[],3,FALSE),"NA")</f>
        <v>NA</v>
      </c>
      <c r="P351" s="77">
        <f>IFERROR(VLOOKUP($H351,TEN[],3,FALSE),"NA")</f>
        <v>0</v>
      </c>
      <c r="Q351" s="77" t="str">
        <f>IFERROR(VLOOKUP($H351,TD[],3,FALSE),"NA")</f>
        <v>NA</v>
      </c>
      <c r="R351" s="77" t="str">
        <f>IFERROR(VLOOKUP($H351,TC[],3,FALSE),"NA")</f>
        <v>NA</v>
      </c>
      <c r="S351" s="77" t="str">
        <f>IFERROR(VLOOKUP($H351,TEV[],3,FALSE),"NA")</f>
        <v>NA</v>
      </c>
      <c r="T351" s="79">
        <f>SUM(TbAlquiler[[#This Row],[GENERAL]:[ELEVADOR]])</f>
        <v>0</v>
      </c>
      <c r="U351" s="80">
        <f>IF(VLOOKUP(TbAlquiler[[#This Row],[ITEM]],TbPiezas[],5,FALSE)="NA",0,VLOOKUP(TbAlquiler[[#This Row],[ITEM]],TbPiezas[],5,FALSE))</f>
        <v>10.599999999999994</v>
      </c>
      <c r="V351" s="81">
        <f>+TbAlquiler[[#This Row],[TOTAL]]*TbAlquiler[[#This Row],[P.U. (1)]]</f>
        <v>0</v>
      </c>
      <c r="W351" s="82">
        <f>+VLOOKUP(TbAlquiler[[#This Row],[ITEM]],TbPiezas[],6,FALSE)</f>
        <v>288.49</v>
      </c>
      <c r="X351" s="83">
        <f>+TbAlquiler[[#This Row],[TOTAL]]*TbAlquiler[[#This Row],[P.U. (2)]]</f>
        <v>0</v>
      </c>
      <c r="Y351" s="82">
        <f>+VLOOKUP(TbAlquiler[[#This Row],[ITEM]],TbPiezas[],7,FALSE)</f>
        <v>14.424500000000002</v>
      </c>
      <c r="Z351" s="84">
        <f>+TbAlquiler[[#This Row],[TOTAL]]*TbAlquiler[[#This Row],[P.U. (3)]]</f>
        <v>0</v>
      </c>
    </row>
    <row r="352" spans="1:26" ht="15" customHeight="1" x14ac:dyDescent="0.3">
      <c r="A352" s="2"/>
      <c r="B352" s="85">
        <v>336</v>
      </c>
      <c r="C352" s="71" t="s">
        <v>674</v>
      </c>
      <c r="D352" s="72" t="s">
        <v>675</v>
      </c>
      <c r="E352" s="73"/>
      <c r="F352" s="74">
        <f>+VLOOKUP(C352,TbAlquiler[],13,FALSE)</f>
        <v>0</v>
      </c>
      <c r="G352" s="2"/>
      <c r="H352" s="75" t="str">
        <f t="shared" si="10"/>
        <v>EN.2600</v>
      </c>
      <c r="I352" s="59" t="str">
        <f t="shared" si="11"/>
        <v>ok</v>
      </c>
      <c r="J352" s="77">
        <f>IFERROR(VLOOKUP($H352,TG[],3,FALSE),"NA")</f>
        <v>0</v>
      </c>
      <c r="K352" s="77" t="str">
        <f>IFERROR(VLOOKUP($H352,TF[],3,FALSE),"NA")</f>
        <v>NA</v>
      </c>
      <c r="L352" s="77" t="str">
        <f>IFERROR(VLOOKUP($H352,TT[],3,FALSE),"NA")</f>
        <v>NA</v>
      </c>
      <c r="M352" s="77" t="str">
        <f>IFERROR(VLOOKUP($H352,TES[],3,FALSE),"NA")</f>
        <v>NA</v>
      </c>
      <c r="N352" s="77" t="str">
        <f>IFERROR(VLOOKUP($H352,TEC[],3,FALSE),"NA")</f>
        <v>NA</v>
      </c>
      <c r="O352" s="77" t="str">
        <f>IFERROR(VLOOKUP($H352,TP[],3,FALSE),"NA")</f>
        <v>NA</v>
      </c>
      <c r="P352" s="77">
        <f>IFERROR(VLOOKUP($H352,TEN[],3,FALSE),"NA")</f>
        <v>0</v>
      </c>
      <c r="Q352" s="77" t="str">
        <f>IFERROR(VLOOKUP($H352,TD[],3,FALSE),"NA")</f>
        <v>NA</v>
      </c>
      <c r="R352" s="77" t="str">
        <f>IFERROR(VLOOKUP($H352,TC[],3,FALSE),"NA")</f>
        <v>NA</v>
      </c>
      <c r="S352" s="77" t="str">
        <f>IFERROR(VLOOKUP($H352,TEV[],3,FALSE),"NA")</f>
        <v>NA</v>
      </c>
      <c r="T352" s="79">
        <f>SUM(TbAlquiler[[#This Row],[GENERAL]:[ELEVADOR]])</f>
        <v>0</v>
      </c>
      <c r="U352" s="80">
        <f>IF(VLOOKUP(TbAlquiler[[#This Row],[ITEM]],TbPiezas[],5,FALSE)="NA",0,VLOOKUP(TbAlquiler[[#This Row],[ITEM]],TbPiezas[],5,FALSE))</f>
        <v>10.200000000000003</v>
      </c>
      <c r="V352" s="81">
        <f>+TbAlquiler[[#This Row],[TOTAL]]*TbAlquiler[[#This Row],[P.U. (1)]]</f>
        <v>0</v>
      </c>
      <c r="W352" s="82">
        <f>+VLOOKUP(TbAlquiler[[#This Row],[ITEM]],TbPiezas[],6,FALSE)</f>
        <v>563.89</v>
      </c>
      <c r="X352" s="83">
        <f>+TbAlquiler[[#This Row],[TOTAL]]*TbAlquiler[[#This Row],[P.U. (2)]]</f>
        <v>0</v>
      </c>
      <c r="Y352" s="82">
        <f>+VLOOKUP(TbAlquiler[[#This Row],[ITEM]],TbPiezas[],7,FALSE)</f>
        <v>28.194500000000001</v>
      </c>
      <c r="Z352" s="84">
        <f>+TbAlquiler[[#This Row],[TOTAL]]*TbAlquiler[[#This Row],[P.U. (3)]]</f>
        <v>0</v>
      </c>
    </row>
    <row r="353" spans="1:26" ht="15" customHeight="1" x14ac:dyDescent="0.3">
      <c r="A353" s="2"/>
      <c r="B353" s="85">
        <v>337</v>
      </c>
      <c r="C353" s="71" t="s">
        <v>676</v>
      </c>
      <c r="D353" s="72" t="s">
        <v>677</v>
      </c>
      <c r="E353" s="73"/>
      <c r="F353" s="74">
        <f>+VLOOKUP(C353,TbAlquiler[],13,FALSE)</f>
        <v>0</v>
      </c>
      <c r="G353" s="2"/>
      <c r="H353" s="75" t="str">
        <f t="shared" si="10"/>
        <v>EN.2700</v>
      </c>
      <c r="I353" s="59" t="str">
        <f t="shared" si="11"/>
        <v>ok</v>
      </c>
      <c r="J353" s="77">
        <f>IFERROR(VLOOKUP($H353,TG[],3,FALSE),"NA")</f>
        <v>0</v>
      </c>
      <c r="K353" s="77" t="str">
        <f>IFERROR(VLOOKUP($H353,TF[],3,FALSE),"NA")</f>
        <v>NA</v>
      </c>
      <c r="L353" s="77" t="str">
        <f>IFERROR(VLOOKUP($H353,TT[],3,FALSE),"NA")</f>
        <v>NA</v>
      </c>
      <c r="M353" s="77" t="str">
        <f>IFERROR(VLOOKUP($H353,TES[],3,FALSE),"NA")</f>
        <v>NA</v>
      </c>
      <c r="N353" s="77" t="str">
        <f>IFERROR(VLOOKUP($H353,TEC[],3,FALSE),"NA")</f>
        <v>NA</v>
      </c>
      <c r="O353" s="77" t="str">
        <f>IFERROR(VLOOKUP($H353,TP[],3,FALSE),"NA")</f>
        <v>NA</v>
      </c>
      <c r="P353" s="77">
        <f>IFERROR(VLOOKUP($H353,TEN[],3,FALSE),"NA")</f>
        <v>0</v>
      </c>
      <c r="Q353" s="77" t="str">
        <f>IFERROR(VLOOKUP($H353,TD[],3,FALSE),"NA")</f>
        <v>NA</v>
      </c>
      <c r="R353" s="77" t="str">
        <f>IFERROR(VLOOKUP($H353,TC[],3,FALSE),"NA")</f>
        <v>NA</v>
      </c>
      <c r="S353" s="77" t="str">
        <f>IFERROR(VLOOKUP($H353,TEV[],3,FALSE),"NA")</f>
        <v>NA</v>
      </c>
      <c r="T353" s="79">
        <f>SUM(TbAlquiler[[#This Row],[GENERAL]:[ELEVADOR]])</f>
        <v>0</v>
      </c>
      <c r="U353" s="80">
        <f>IF(VLOOKUP(TbAlquiler[[#This Row],[ITEM]],TbPiezas[],5,FALSE)="NA",0,VLOOKUP(TbAlquiler[[#This Row],[ITEM]],TbPiezas[],5,FALSE))</f>
        <v>7</v>
      </c>
      <c r="V353" s="81">
        <f>+TbAlquiler[[#This Row],[TOTAL]]*TbAlquiler[[#This Row],[P.U. (1)]]</f>
        <v>0</v>
      </c>
      <c r="W353" s="82">
        <f>+VLOOKUP(TbAlquiler[[#This Row],[ITEM]],TbPiezas[],6,FALSE)</f>
        <v>235.87</v>
      </c>
      <c r="X353" s="83">
        <f>+TbAlquiler[[#This Row],[TOTAL]]*TbAlquiler[[#This Row],[P.U. (2)]]</f>
        <v>0</v>
      </c>
      <c r="Y353" s="82">
        <f>+VLOOKUP(TbAlquiler[[#This Row],[ITEM]],TbPiezas[],7,FALSE)</f>
        <v>11.793500000000002</v>
      </c>
      <c r="Z353" s="84">
        <f>+TbAlquiler[[#This Row],[TOTAL]]*TbAlquiler[[#This Row],[P.U. (3)]]</f>
        <v>0</v>
      </c>
    </row>
    <row r="354" spans="1:26" ht="15" customHeight="1" x14ac:dyDescent="0.3">
      <c r="A354" s="2"/>
      <c r="B354" s="85">
        <v>338</v>
      </c>
      <c r="C354" s="71" t="s">
        <v>678</v>
      </c>
      <c r="D354" s="72" t="s">
        <v>679</v>
      </c>
      <c r="E354" s="73"/>
      <c r="F354" s="74">
        <f>+VLOOKUP(C354,TbAlquiler[],13,FALSE)</f>
        <v>0</v>
      </c>
      <c r="G354" s="2"/>
      <c r="H354" s="75" t="str">
        <f t="shared" si="10"/>
        <v>EN.2800</v>
      </c>
      <c r="I354" s="59" t="str">
        <f t="shared" si="11"/>
        <v>ok</v>
      </c>
      <c r="J354" s="77">
        <f>IFERROR(VLOOKUP($H354,TG[],3,FALSE),"NA")</f>
        <v>0</v>
      </c>
      <c r="K354" s="77" t="str">
        <f>IFERROR(VLOOKUP($H354,TF[],3,FALSE),"NA")</f>
        <v>NA</v>
      </c>
      <c r="L354" s="77" t="str">
        <f>IFERROR(VLOOKUP($H354,TT[],3,FALSE),"NA")</f>
        <v>NA</v>
      </c>
      <c r="M354" s="77" t="str">
        <f>IFERROR(VLOOKUP($H354,TES[],3,FALSE),"NA")</f>
        <v>NA</v>
      </c>
      <c r="N354" s="77" t="str">
        <f>IFERROR(VLOOKUP($H354,TEC[],3,FALSE),"NA")</f>
        <v>NA</v>
      </c>
      <c r="O354" s="77" t="str">
        <f>IFERROR(VLOOKUP($H354,TP[],3,FALSE),"NA")</f>
        <v>NA</v>
      </c>
      <c r="P354" s="77">
        <f>IFERROR(VLOOKUP($H354,TEN[],3,FALSE),"NA")</f>
        <v>0</v>
      </c>
      <c r="Q354" s="77" t="str">
        <f>IFERROR(VLOOKUP($H354,TD[],3,FALSE),"NA")</f>
        <v>NA</v>
      </c>
      <c r="R354" s="77" t="str">
        <f>IFERROR(VLOOKUP($H354,TC[],3,FALSE),"NA")</f>
        <v>NA</v>
      </c>
      <c r="S354" s="77" t="str">
        <f>IFERROR(VLOOKUP($H354,TEV[],3,FALSE),"NA")</f>
        <v>NA</v>
      </c>
      <c r="T354" s="79">
        <f>SUM(TbAlquiler[[#This Row],[GENERAL]:[ELEVADOR]])</f>
        <v>0</v>
      </c>
      <c r="U354" s="80">
        <f>IF(VLOOKUP(TbAlquiler[[#This Row],[ITEM]],TbPiezas[],5,FALSE)="NA",0,VLOOKUP(TbAlquiler[[#This Row],[ITEM]],TbPiezas[],5,FALSE))</f>
        <v>0.20000000000000284</v>
      </c>
      <c r="V354" s="81">
        <f>+TbAlquiler[[#This Row],[TOTAL]]*TbAlquiler[[#This Row],[P.U. (1)]]</f>
        <v>0</v>
      </c>
      <c r="W354" s="82">
        <f>+VLOOKUP(TbAlquiler[[#This Row],[ITEM]],TbPiezas[],6,FALSE)</f>
        <v>43.83</v>
      </c>
      <c r="X354" s="83">
        <f>+TbAlquiler[[#This Row],[TOTAL]]*TbAlquiler[[#This Row],[P.U. (2)]]</f>
        <v>0</v>
      </c>
      <c r="Y354" s="82">
        <f>+VLOOKUP(TbAlquiler[[#This Row],[ITEM]],TbPiezas[],7,FALSE)</f>
        <v>2.1915</v>
      </c>
      <c r="Z354" s="84">
        <f>+TbAlquiler[[#This Row],[TOTAL]]*TbAlquiler[[#This Row],[P.U. (3)]]</f>
        <v>0</v>
      </c>
    </row>
    <row r="355" spans="1:26" ht="15" customHeight="1" x14ac:dyDescent="0.3">
      <c r="A355" s="2"/>
      <c r="B355" s="85"/>
      <c r="C355" s="71" t="s">
        <v>1385</v>
      </c>
      <c r="D355" s="72" t="s">
        <v>1386</v>
      </c>
      <c r="E355" s="73"/>
      <c r="F355" s="74">
        <f>+VLOOKUP(C355,TbAlquiler[],13,FALSE)</f>
        <v>0</v>
      </c>
      <c r="G355" s="2"/>
      <c r="H355" s="75" t="str">
        <f t="shared" si="10"/>
        <v>EN.2820</v>
      </c>
      <c r="I355" s="59" t="str">
        <f t="shared" si="11"/>
        <v>ok</v>
      </c>
      <c r="J355" s="77">
        <f>IFERROR(VLOOKUP($H355,TG[],3,FALSE),"NA")</f>
        <v>0</v>
      </c>
      <c r="K355" s="77" t="str">
        <f>IFERROR(VLOOKUP($H355,TF[],3,FALSE),"NA")</f>
        <v>NA</v>
      </c>
      <c r="L355" s="77" t="str">
        <f>IFERROR(VLOOKUP($H355,TT[],3,FALSE),"NA")</f>
        <v>NA</v>
      </c>
      <c r="M355" s="77" t="str">
        <f>IFERROR(VLOOKUP($H355,TES[],3,FALSE),"NA")</f>
        <v>NA</v>
      </c>
      <c r="N355" s="77" t="str">
        <f>IFERROR(VLOOKUP($H355,TEC[],3,FALSE),"NA")</f>
        <v>NA</v>
      </c>
      <c r="O355" s="77" t="str">
        <f>IFERROR(VLOOKUP($H355,TP[],3,FALSE),"NA")</f>
        <v>NA</v>
      </c>
      <c r="P355" s="77">
        <f>IFERROR(VLOOKUP($H355,TEN[],3,FALSE),"NA")</f>
        <v>0</v>
      </c>
      <c r="Q355" s="77" t="str">
        <f>IFERROR(VLOOKUP($H355,TD[],3,FALSE),"NA")</f>
        <v>NA</v>
      </c>
      <c r="R355" s="77" t="str">
        <f>IFERROR(VLOOKUP($H355,TC[],3,FALSE),"NA")</f>
        <v>NA</v>
      </c>
      <c r="S355" s="77" t="str">
        <f>IFERROR(VLOOKUP($H355,TEV[],3,FALSE),"NA")</f>
        <v>NA</v>
      </c>
      <c r="T355" s="79">
        <f>SUM(TbAlquiler[[#This Row],[GENERAL]:[ELEVADOR]])</f>
        <v>0</v>
      </c>
      <c r="U355" s="80">
        <f>IF(VLOOKUP(TbAlquiler[[#This Row],[ITEM]],TbPiezas[],5,FALSE)="NA",0,VLOOKUP(TbAlquiler[[#This Row],[ITEM]],TbPiezas[],5,FALSE))</f>
        <v>0</v>
      </c>
      <c r="V355" s="81">
        <f>+TbAlquiler[[#This Row],[TOTAL]]*TbAlquiler[[#This Row],[P.U. (1)]]</f>
        <v>0</v>
      </c>
      <c r="W355" s="82">
        <f>+VLOOKUP(TbAlquiler[[#This Row],[ITEM]],TbPiezas[],6,FALSE)</f>
        <v>565.36199999999997</v>
      </c>
      <c r="X355" s="83">
        <f>+TbAlquiler[[#This Row],[TOTAL]]*TbAlquiler[[#This Row],[P.U. (2)]]</f>
        <v>0</v>
      </c>
      <c r="Y355" s="82">
        <f>+VLOOKUP(TbAlquiler[[#This Row],[ITEM]],TbPiezas[],7,FALSE)</f>
        <v>28.2681</v>
      </c>
      <c r="Z355" s="84">
        <f>+TbAlquiler[[#This Row],[TOTAL]]*TbAlquiler[[#This Row],[P.U. (3)]]</f>
        <v>0</v>
      </c>
    </row>
    <row r="356" spans="1:26" ht="15" customHeight="1" x14ac:dyDescent="0.3">
      <c r="A356" s="2"/>
      <c r="B356" s="85"/>
      <c r="C356" s="71" t="s">
        <v>1387</v>
      </c>
      <c r="D356" s="72" t="s">
        <v>1388</v>
      </c>
      <c r="E356" s="73"/>
      <c r="F356" s="74">
        <f>+VLOOKUP(C356,TbAlquiler[],13,FALSE)</f>
        <v>0</v>
      </c>
      <c r="G356" s="2"/>
      <c r="H356" s="75" t="str">
        <f t="shared" si="10"/>
        <v>EN.2840</v>
      </c>
      <c r="I356" s="59" t="str">
        <f t="shared" si="11"/>
        <v>ok</v>
      </c>
      <c r="J356" s="77">
        <f>IFERROR(VLOOKUP($H356,TG[],3,FALSE),"NA")</f>
        <v>0</v>
      </c>
      <c r="K356" s="77" t="str">
        <f>IFERROR(VLOOKUP($H356,TF[],3,FALSE),"NA")</f>
        <v>NA</v>
      </c>
      <c r="L356" s="77" t="str">
        <f>IFERROR(VLOOKUP($H356,TT[],3,FALSE),"NA")</f>
        <v>NA</v>
      </c>
      <c r="M356" s="77" t="str">
        <f>IFERROR(VLOOKUP($H356,TES[],3,FALSE),"NA")</f>
        <v>NA</v>
      </c>
      <c r="N356" s="77" t="str">
        <f>IFERROR(VLOOKUP($H356,TEC[],3,FALSE),"NA")</f>
        <v>NA</v>
      </c>
      <c r="O356" s="77" t="str">
        <f>IFERROR(VLOOKUP($H356,TP[],3,FALSE),"NA")</f>
        <v>NA</v>
      </c>
      <c r="P356" s="77">
        <f>IFERROR(VLOOKUP($H356,TEN[],3,FALSE),"NA")</f>
        <v>0</v>
      </c>
      <c r="Q356" s="77" t="str">
        <f>IFERROR(VLOOKUP($H356,TD[],3,FALSE),"NA")</f>
        <v>NA</v>
      </c>
      <c r="R356" s="77" t="str">
        <f>IFERROR(VLOOKUP($H356,TC[],3,FALSE),"NA")</f>
        <v>NA</v>
      </c>
      <c r="S356" s="77" t="str">
        <f>IFERROR(VLOOKUP($H356,TEV[],3,FALSE),"NA")</f>
        <v>NA</v>
      </c>
      <c r="T356" s="79">
        <f>SUM(TbAlquiler[[#This Row],[GENERAL]:[ELEVADOR]])</f>
        <v>0</v>
      </c>
      <c r="U356" s="80">
        <f>IF(VLOOKUP(TbAlquiler[[#This Row],[ITEM]],TbPiezas[],5,FALSE)="NA",0,VLOOKUP(TbAlquiler[[#This Row],[ITEM]],TbPiezas[],5,FALSE))</f>
        <v>17</v>
      </c>
      <c r="V356" s="81">
        <f>+TbAlquiler[[#This Row],[TOTAL]]*TbAlquiler[[#This Row],[P.U. (1)]]</f>
        <v>0</v>
      </c>
      <c r="W356" s="82">
        <f>+VLOOKUP(TbAlquiler[[#This Row],[ITEM]],TbPiezas[],6,FALSE)</f>
        <v>449.98199999999997</v>
      </c>
      <c r="X356" s="83">
        <f>+TbAlquiler[[#This Row],[TOTAL]]*TbAlquiler[[#This Row],[P.U. (2)]]</f>
        <v>0</v>
      </c>
      <c r="Y356" s="82">
        <f>+VLOOKUP(TbAlquiler[[#This Row],[ITEM]],TbPiezas[],7,FALSE)</f>
        <v>22.499099999999999</v>
      </c>
      <c r="Z356" s="84">
        <f>+TbAlquiler[[#This Row],[TOTAL]]*TbAlquiler[[#This Row],[P.U. (3)]]</f>
        <v>0</v>
      </c>
    </row>
    <row r="357" spans="1:26" ht="15" customHeight="1" x14ac:dyDescent="0.3">
      <c r="A357" s="2"/>
      <c r="B357" s="85"/>
      <c r="C357" s="71" t="s">
        <v>1389</v>
      </c>
      <c r="D357" s="72" t="s">
        <v>1390</v>
      </c>
      <c r="E357" s="73"/>
      <c r="F357" s="74">
        <f>+VLOOKUP(C357,TbAlquiler[],13,FALSE)</f>
        <v>0</v>
      </c>
      <c r="G357" s="2"/>
      <c r="H357" s="75" t="str">
        <f t="shared" si="10"/>
        <v>EN.2860</v>
      </c>
      <c r="I357" s="59" t="str">
        <f t="shared" si="11"/>
        <v>ok</v>
      </c>
      <c r="J357" s="77">
        <f>IFERROR(VLOOKUP($H357,TG[],3,FALSE),"NA")</f>
        <v>0</v>
      </c>
      <c r="K357" s="77" t="str">
        <f>IFERROR(VLOOKUP($H357,TF[],3,FALSE),"NA")</f>
        <v>NA</v>
      </c>
      <c r="L357" s="77" t="str">
        <f>IFERROR(VLOOKUP($H357,TT[],3,FALSE),"NA")</f>
        <v>NA</v>
      </c>
      <c r="M357" s="77" t="str">
        <f>IFERROR(VLOOKUP($H357,TES[],3,FALSE),"NA")</f>
        <v>NA</v>
      </c>
      <c r="N357" s="77" t="str">
        <f>IFERROR(VLOOKUP($H357,TEC[],3,FALSE),"NA")</f>
        <v>NA</v>
      </c>
      <c r="O357" s="77" t="str">
        <f>IFERROR(VLOOKUP($H357,TP[],3,FALSE),"NA")</f>
        <v>NA</v>
      </c>
      <c r="P357" s="77">
        <f>IFERROR(VLOOKUP($H357,TEN[],3,FALSE),"NA")</f>
        <v>0</v>
      </c>
      <c r="Q357" s="77" t="str">
        <f>IFERROR(VLOOKUP($H357,TD[],3,FALSE),"NA")</f>
        <v>NA</v>
      </c>
      <c r="R357" s="77" t="str">
        <f>IFERROR(VLOOKUP($H357,TC[],3,FALSE),"NA")</f>
        <v>NA</v>
      </c>
      <c r="S357" s="77" t="str">
        <f>IFERROR(VLOOKUP($H357,TEV[],3,FALSE),"NA")</f>
        <v>NA</v>
      </c>
      <c r="T357" s="79">
        <f>SUM(TbAlquiler[[#This Row],[GENERAL]:[ELEVADOR]])</f>
        <v>0</v>
      </c>
      <c r="U357" s="80">
        <f>IF(VLOOKUP(TbAlquiler[[#This Row],[ITEM]],TbPiezas[],5,FALSE)="NA",0,VLOOKUP(TbAlquiler[[#This Row],[ITEM]],TbPiezas[],5,FALSE))</f>
        <v>0</v>
      </c>
      <c r="V357" s="81">
        <f>+TbAlquiler[[#This Row],[TOTAL]]*TbAlquiler[[#This Row],[P.U. (1)]]</f>
        <v>0</v>
      </c>
      <c r="W357" s="82">
        <f>+VLOOKUP(TbAlquiler[[#This Row],[ITEM]],TbPiezas[],6,FALSE)</f>
        <v>334.60199999999998</v>
      </c>
      <c r="X357" s="83">
        <f>+TbAlquiler[[#This Row],[TOTAL]]*TbAlquiler[[#This Row],[P.U. (2)]]</f>
        <v>0</v>
      </c>
      <c r="Y357" s="82">
        <f>+VLOOKUP(TbAlquiler[[#This Row],[ITEM]],TbPiezas[],7,FALSE)</f>
        <v>16.7301</v>
      </c>
      <c r="Z357" s="84">
        <f>+TbAlquiler[[#This Row],[TOTAL]]*TbAlquiler[[#This Row],[P.U. (3)]]</f>
        <v>0</v>
      </c>
    </row>
    <row r="358" spans="1:26" ht="15" customHeight="1" x14ac:dyDescent="0.3">
      <c r="A358" s="2"/>
      <c r="B358" s="85"/>
      <c r="C358" s="71" t="s">
        <v>1391</v>
      </c>
      <c r="D358" s="72" t="s">
        <v>1392</v>
      </c>
      <c r="E358" s="73"/>
      <c r="F358" s="74">
        <f>+VLOOKUP(C358,TbAlquiler[],13,FALSE)</f>
        <v>0</v>
      </c>
      <c r="G358" s="2"/>
      <c r="H358" s="75" t="str">
        <f t="shared" si="10"/>
        <v>EN.2880</v>
      </c>
      <c r="I358" s="59" t="str">
        <f t="shared" si="11"/>
        <v>ok</v>
      </c>
      <c r="J358" s="77">
        <f>IFERROR(VLOOKUP($H358,TG[],3,FALSE),"NA")</f>
        <v>0</v>
      </c>
      <c r="K358" s="77" t="str">
        <f>IFERROR(VLOOKUP($H358,TF[],3,FALSE),"NA")</f>
        <v>NA</v>
      </c>
      <c r="L358" s="77" t="str">
        <f>IFERROR(VLOOKUP($H358,TT[],3,FALSE),"NA")</f>
        <v>NA</v>
      </c>
      <c r="M358" s="77" t="str">
        <f>IFERROR(VLOOKUP($H358,TES[],3,FALSE),"NA")</f>
        <v>NA</v>
      </c>
      <c r="N358" s="77" t="str">
        <f>IFERROR(VLOOKUP($H358,TEC[],3,FALSE),"NA")</f>
        <v>NA</v>
      </c>
      <c r="O358" s="77" t="str">
        <f>IFERROR(VLOOKUP($H358,TP[],3,FALSE),"NA")</f>
        <v>NA</v>
      </c>
      <c r="P358" s="77">
        <f>IFERROR(VLOOKUP($H358,TEN[],3,FALSE),"NA")</f>
        <v>0</v>
      </c>
      <c r="Q358" s="77" t="str">
        <f>IFERROR(VLOOKUP($H358,TD[],3,FALSE),"NA")</f>
        <v>NA</v>
      </c>
      <c r="R358" s="77" t="str">
        <f>IFERROR(VLOOKUP($H358,TC[],3,FALSE),"NA")</f>
        <v>NA</v>
      </c>
      <c r="S358" s="77" t="str">
        <f>IFERROR(VLOOKUP($H358,TEV[],3,FALSE),"NA")</f>
        <v>NA</v>
      </c>
      <c r="T358" s="79">
        <f>SUM(TbAlquiler[[#This Row],[GENERAL]:[ELEVADOR]])</f>
        <v>0</v>
      </c>
      <c r="U358" s="80">
        <f>IF(VLOOKUP(TbAlquiler[[#This Row],[ITEM]],TbPiezas[],5,FALSE)="NA",0,VLOOKUP(TbAlquiler[[#This Row],[ITEM]],TbPiezas[],5,FALSE))</f>
        <v>0</v>
      </c>
      <c r="V358" s="81">
        <f>+TbAlquiler[[#This Row],[TOTAL]]*TbAlquiler[[#This Row],[P.U. (1)]]</f>
        <v>0</v>
      </c>
      <c r="W358" s="82">
        <f>+VLOOKUP(TbAlquiler[[#This Row],[ITEM]],TbPiezas[],6,FALSE)</f>
        <v>219.22199999999998</v>
      </c>
      <c r="X358" s="83">
        <f>+TbAlquiler[[#This Row],[TOTAL]]*TbAlquiler[[#This Row],[P.U. (2)]]</f>
        <v>0</v>
      </c>
      <c r="Y358" s="82">
        <f>+VLOOKUP(TbAlquiler[[#This Row],[ITEM]],TbPiezas[],7,FALSE)</f>
        <v>10.9611</v>
      </c>
      <c r="Z358" s="84">
        <f>+TbAlquiler[[#This Row],[TOTAL]]*TbAlquiler[[#This Row],[P.U. (3)]]</f>
        <v>0</v>
      </c>
    </row>
    <row r="359" spans="1:26" ht="15" customHeight="1" x14ac:dyDescent="0.3">
      <c r="A359" s="2"/>
      <c r="B359" s="85">
        <v>339</v>
      </c>
      <c r="C359" s="71" t="s">
        <v>680</v>
      </c>
      <c r="D359" s="72" t="s">
        <v>681</v>
      </c>
      <c r="E359" s="73"/>
      <c r="F359" s="74">
        <f>+VLOOKUP(C359,TbAlquiler[],13,FALSE)</f>
        <v>0</v>
      </c>
      <c r="G359" s="2"/>
      <c r="H359" s="75" t="str">
        <f t="shared" si="10"/>
        <v>EN.2900</v>
      </c>
      <c r="I359" s="59" t="str">
        <f t="shared" si="11"/>
        <v>ok</v>
      </c>
      <c r="J359" s="77">
        <f>IFERROR(VLOOKUP($H359,TG[],3,FALSE),"NA")</f>
        <v>0</v>
      </c>
      <c r="K359" s="77" t="str">
        <f>IFERROR(VLOOKUP($H359,TF[],3,FALSE),"NA")</f>
        <v>NA</v>
      </c>
      <c r="L359" s="77" t="str">
        <f>IFERROR(VLOOKUP($H359,TT[],3,FALSE),"NA")</f>
        <v>NA</v>
      </c>
      <c r="M359" s="77" t="str">
        <f>IFERROR(VLOOKUP($H359,TES[],3,FALSE),"NA")</f>
        <v>NA</v>
      </c>
      <c r="N359" s="77" t="str">
        <f>IFERROR(VLOOKUP($H359,TEC[],3,FALSE),"NA")</f>
        <v>NA</v>
      </c>
      <c r="O359" s="77" t="str">
        <f>IFERROR(VLOOKUP($H359,TP[],3,FALSE),"NA")</f>
        <v>NA</v>
      </c>
      <c r="P359" s="77">
        <f>IFERROR(VLOOKUP($H359,TEN[],3,FALSE),"NA")</f>
        <v>0</v>
      </c>
      <c r="Q359" s="77" t="str">
        <f>IFERROR(VLOOKUP($H359,TD[],3,FALSE),"NA")</f>
        <v>NA</v>
      </c>
      <c r="R359" s="77" t="str">
        <f>IFERROR(VLOOKUP($H359,TC[],3,FALSE),"NA")</f>
        <v>NA</v>
      </c>
      <c r="S359" s="77" t="str">
        <f>IFERROR(VLOOKUP($H359,TEV[],3,FALSE),"NA")</f>
        <v>NA</v>
      </c>
      <c r="T359" s="79">
        <f>SUM(TbAlquiler[[#This Row],[GENERAL]:[ELEVADOR]])</f>
        <v>0</v>
      </c>
      <c r="U359" s="80">
        <f>IF(VLOOKUP(TbAlquiler[[#This Row],[ITEM]],TbPiezas[],5,FALSE)="NA",0,VLOOKUP(TbAlquiler[[#This Row],[ITEM]],TbPiezas[],5,FALSE))</f>
        <v>20.8</v>
      </c>
      <c r="V359" s="81">
        <f>+TbAlquiler[[#This Row],[TOTAL]]*TbAlquiler[[#This Row],[P.U. (1)]]</f>
        <v>0</v>
      </c>
      <c r="W359" s="82">
        <f>+VLOOKUP(TbAlquiler[[#This Row],[ITEM]],TbPiezas[],6,FALSE)</f>
        <v>254.1</v>
      </c>
      <c r="X359" s="83">
        <f>+TbAlquiler[[#This Row],[TOTAL]]*TbAlquiler[[#This Row],[P.U. (2)]]</f>
        <v>0</v>
      </c>
      <c r="Y359" s="82">
        <f>+VLOOKUP(TbAlquiler[[#This Row],[ITEM]],TbPiezas[],7,FALSE)</f>
        <v>12.705</v>
      </c>
      <c r="Z359" s="84">
        <f>+TbAlquiler[[#This Row],[TOTAL]]*TbAlquiler[[#This Row],[P.U. (3)]]</f>
        <v>0</v>
      </c>
    </row>
    <row r="360" spans="1:26" ht="15" customHeight="1" x14ac:dyDescent="0.3">
      <c r="A360" s="2"/>
      <c r="B360" s="85">
        <v>340</v>
      </c>
      <c r="C360" s="71" t="s">
        <v>682</v>
      </c>
      <c r="D360" s="72" t="s">
        <v>683</v>
      </c>
      <c r="E360" s="73"/>
      <c r="F360" s="74">
        <f>+VLOOKUP(C360,TbAlquiler[],13,FALSE)</f>
        <v>0</v>
      </c>
      <c r="G360" s="2"/>
      <c r="H360" s="75" t="str">
        <f t="shared" si="10"/>
        <v>EN.3000</v>
      </c>
      <c r="I360" s="59" t="str">
        <f t="shared" si="11"/>
        <v>ok</v>
      </c>
      <c r="J360" s="77">
        <f>IFERROR(VLOOKUP($H360,TG[],3,FALSE),"NA")</f>
        <v>0</v>
      </c>
      <c r="K360" s="77" t="str">
        <f>IFERROR(VLOOKUP($H360,TF[],3,FALSE),"NA")</f>
        <v>NA</v>
      </c>
      <c r="L360" s="77" t="str">
        <f>IFERROR(VLOOKUP($H360,TT[],3,FALSE),"NA")</f>
        <v>NA</v>
      </c>
      <c r="M360" s="77" t="str">
        <f>IFERROR(VLOOKUP($H360,TES[],3,FALSE),"NA")</f>
        <v>NA</v>
      </c>
      <c r="N360" s="77" t="str">
        <f>IFERROR(VLOOKUP($H360,TEC[],3,FALSE),"NA")</f>
        <v>NA</v>
      </c>
      <c r="O360" s="77" t="str">
        <f>IFERROR(VLOOKUP($H360,TP[],3,FALSE),"NA")</f>
        <v>NA</v>
      </c>
      <c r="P360" s="77">
        <f>IFERROR(VLOOKUP($H360,TEN[],3,FALSE),"NA")</f>
        <v>0</v>
      </c>
      <c r="Q360" s="77" t="str">
        <f>IFERROR(VLOOKUP($H360,TD[],3,FALSE),"NA")</f>
        <v>NA</v>
      </c>
      <c r="R360" s="77" t="str">
        <f>IFERROR(VLOOKUP($H360,TC[],3,FALSE),"NA")</f>
        <v>NA</v>
      </c>
      <c r="S360" s="77" t="str">
        <f>IFERROR(VLOOKUP($H360,TEV[],3,FALSE),"NA")</f>
        <v>NA</v>
      </c>
      <c r="T360" s="79">
        <f>SUM(TbAlquiler[[#This Row],[GENERAL]:[ELEVADOR]])</f>
        <v>0</v>
      </c>
      <c r="U360" s="80">
        <f>IF(VLOOKUP(TbAlquiler[[#This Row],[ITEM]],TbPiezas[],5,FALSE)="NA",0,VLOOKUP(TbAlquiler[[#This Row],[ITEM]],TbPiezas[],5,FALSE))</f>
        <v>23</v>
      </c>
      <c r="V360" s="81">
        <f>+TbAlquiler[[#This Row],[TOTAL]]*TbAlquiler[[#This Row],[P.U. (1)]]</f>
        <v>0</v>
      </c>
      <c r="W360" s="82">
        <f>+VLOOKUP(TbAlquiler[[#This Row],[ITEM]],TbPiezas[],6,FALSE)</f>
        <v>285.86</v>
      </c>
      <c r="X360" s="83">
        <f>+TbAlquiler[[#This Row],[TOTAL]]*TbAlquiler[[#This Row],[P.U. (2)]]</f>
        <v>0</v>
      </c>
      <c r="Y360" s="82">
        <f>+VLOOKUP(TbAlquiler[[#This Row],[ITEM]],TbPiezas[],7,FALSE)</f>
        <v>14.293000000000001</v>
      </c>
      <c r="Z360" s="84">
        <f>+TbAlquiler[[#This Row],[TOTAL]]*TbAlquiler[[#This Row],[P.U. (3)]]</f>
        <v>0</v>
      </c>
    </row>
    <row r="361" spans="1:26" ht="15" customHeight="1" x14ac:dyDescent="0.3">
      <c r="A361" s="2"/>
      <c r="B361" s="85">
        <v>341</v>
      </c>
      <c r="C361" s="71" t="s">
        <v>684</v>
      </c>
      <c r="D361" s="72" t="s">
        <v>685</v>
      </c>
      <c r="E361" s="73"/>
      <c r="F361" s="74">
        <f>+VLOOKUP(C361,TbAlquiler[],13,FALSE)</f>
        <v>0</v>
      </c>
      <c r="G361" s="2"/>
      <c r="H361" s="75" t="str">
        <f t="shared" si="10"/>
        <v>EN.3100</v>
      </c>
      <c r="I361" s="59" t="str">
        <f t="shared" si="11"/>
        <v>ok</v>
      </c>
      <c r="J361" s="77">
        <f>IFERROR(VLOOKUP($H361,TG[],3,FALSE),"NA")</f>
        <v>0</v>
      </c>
      <c r="K361" s="77" t="str">
        <f>IFERROR(VLOOKUP($H361,TF[],3,FALSE),"NA")</f>
        <v>NA</v>
      </c>
      <c r="L361" s="77" t="str">
        <f>IFERROR(VLOOKUP($H361,TT[],3,FALSE),"NA")</f>
        <v>NA</v>
      </c>
      <c r="M361" s="77" t="str">
        <f>IFERROR(VLOOKUP($H361,TES[],3,FALSE),"NA")</f>
        <v>NA</v>
      </c>
      <c r="N361" s="77" t="str">
        <f>IFERROR(VLOOKUP($H361,TEC[],3,FALSE),"NA")</f>
        <v>NA</v>
      </c>
      <c r="O361" s="77" t="str">
        <f>IFERROR(VLOOKUP($H361,TP[],3,FALSE),"NA")</f>
        <v>NA</v>
      </c>
      <c r="P361" s="77">
        <f>IFERROR(VLOOKUP($H361,TEN[],3,FALSE),"NA")</f>
        <v>0</v>
      </c>
      <c r="Q361" s="77" t="str">
        <f>IFERROR(VLOOKUP($H361,TD[],3,FALSE),"NA")</f>
        <v>NA</v>
      </c>
      <c r="R361" s="77" t="str">
        <f>IFERROR(VLOOKUP($H361,TC[],3,FALSE),"NA")</f>
        <v>NA</v>
      </c>
      <c r="S361" s="77" t="str">
        <f>IFERROR(VLOOKUP($H361,TEV[],3,FALSE),"NA")</f>
        <v>NA</v>
      </c>
      <c r="T361" s="79">
        <f>SUM(TbAlquiler[[#This Row],[GENERAL]:[ELEVADOR]])</f>
        <v>0</v>
      </c>
      <c r="U361" s="80">
        <f>IF(VLOOKUP(TbAlquiler[[#This Row],[ITEM]],TbPiezas[],5,FALSE)="NA",0,VLOOKUP(TbAlquiler[[#This Row],[ITEM]],TbPiezas[],5,FALSE))</f>
        <v>25.9</v>
      </c>
      <c r="V361" s="81">
        <f>+TbAlquiler[[#This Row],[TOTAL]]*TbAlquiler[[#This Row],[P.U. (1)]]</f>
        <v>0</v>
      </c>
      <c r="W361" s="82">
        <f>+VLOOKUP(TbAlquiler[[#This Row],[ITEM]],TbPiezas[],6,FALSE)</f>
        <v>317.63</v>
      </c>
      <c r="X361" s="83">
        <f>+TbAlquiler[[#This Row],[TOTAL]]*TbAlquiler[[#This Row],[P.U. (2)]]</f>
        <v>0</v>
      </c>
      <c r="Y361" s="82">
        <f>+VLOOKUP(TbAlquiler[[#This Row],[ITEM]],TbPiezas[],7,FALSE)</f>
        <v>15.881500000000001</v>
      </c>
      <c r="Z361" s="84">
        <f>+TbAlquiler[[#This Row],[TOTAL]]*TbAlquiler[[#This Row],[P.U. (3)]]</f>
        <v>0</v>
      </c>
    </row>
    <row r="362" spans="1:26" ht="15" customHeight="1" x14ac:dyDescent="0.3">
      <c r="A362" s="2"/>
      <c r="B362" s="85">
        <v>342</v>
      </c>
      <c r="C362" s="71" t="s">
        <v>686</v>
      </c>
      <c r="D362" s="72" t="s">
        <v>687</v>
      </c>
      <c r="E362" s="73"/>
      <c r="F362" s="74">
        <f>+VLOOKUP(C362,TbAlquiler[],13,FALSE)</f>
        <v>0</v>
      </c>
      <c r="G362" s="2"/>
      <c r="H362" s="75" t="str">
        <f t="shared" si="10"/>
        <v>EN.3200</v>
      </c>
      <c r="I362" s="59" t="str">
        <f t="shared" si="11"/>
        <v>ok</v>
      </c>
      <c r="J362" s="77">
        <f>IFERROR(VLOOKUP($H362,TG[],3,FALSE),"NA")</f>
        <v>0</v>
      </c>
      <c r="K362" s="77" t="str">
        <f>IFERROR(VLOOKUP($H362,TF[],3,FALSE),"NA")</f>
        <v>NA</v>
      </c>
      <c r="L362" s="77" t="str">
        <f>IFERROR(VLOOKUP($H362,TT[],3,FALSE),"NA")</f>
        <v>NA</v>
      </c>
      <c r="M362" s="77" t="str">
        <f>IFERROR(VLOOKUP($H362,TES[],3,FALSE),"NA")</f>
        <v>NA</v>
      </c>
      <c r="N362" s="77" t="str">
        <f>IFERROR(VLOOKUP($H362,TEC[],3,FALSE),"NA")</f>
        <v>NA</v>
      </c>
      <c r="O362" s="77" t="str">
        <f>IFERROR(VLOOKUP($H362,TP[],3,FALSE),"NA")</f>
        <v>NA</v>
      </c>
      <c r="P362" s="77">
        <f>IFERROR(VLOOKUP($H362,TEN[],3,FALSE),"NA")</f>
        <v>0</v>
      </c>
      <c r="Q362" s="77" t="str">
        <f>IFERROR(VLOOKUP($H362,TD[],3,FALSE),"NA")</f>
        <v>NA</v>
      </c>
      <c r="R362" s="77" t="str">
        <f>IFERROR(VLOOKUP($H362,TC[],3,FALSE),"NA")</f>
        <v>NA</v>
      </c>
      <c r="S362" s="77" t="str">
        <f>IFERROR(VLOOKUP($H362,TEV[],3,FALSE),"NA")</f>
        <v>NA</v>
      </c>
      <c r="T362" s="79">
        <f>SUM(TbAlquiler[[#This Row],[GENERAL]:[ELEVADOR]])</f>
        <v>0</v>
      </c>
      <c r="U362" s="80">
        <f>IF(VLOOKUP(TbAlquiler[[#This Row],[ITEM]],TbPiezas[],5,FALSE)="NA",0,VLOOKUP(TbAlquiler[[#This Row],[ITEM]],TbPiezas[],5,FALSE))</f>
        <v>16.599999999999994</v>
      </c>
      <c r="V362" s="81">
        <f>+TbAlquiler[[#This Row],[TOTAL]]*TbAlquiler[[#This Row],[P.U. (1)]]</f>
        <v>0</v>
      </c>
      <c r="W362" s="82">
        <f>+VLOOKUP(TbAlquiler[[#This Row],[ITEM]],TbPiezas[],6,FALSE)</f>
        <v>777.67</v>
      </c>
      <c r="X362" s="83">
        <f>+TbAlquiler[[#This Row],[TOTAL]]*TbAlquiler[[#This Row],[P.U. (2)]]</f>
        <v>0</v>
      </c>
      <c r="Y362" s="82">
        <f>+VLOOKUP(TbAlquiler[[#This Row],[ITEM]],TbPiezas[],7,FALSE)</f>
        <v>38.883499999999998</v>
      </c>
      <c r="Z362" s="84">
        <f>+TbAlquiler[[#This Row],[TOTAL]]*TbAlquiler[[#This Row],[P.U. (3)]]</f>
        <v>0</v>
      </c>
    </row>
    <row r="363" spans="1:26" ht="15" customHeight="1" x14ac:dyDescent="0.3">
      <c r="A363" s="2"/>
      <c r="B363" s="85">
        <v>343</v>
      </c>
      <c r="C363" s="71" t="s">
        <v>688</v>
      </c>
      <c r="D363" s="72" t="s">
        <v>689</v>
      </c>
      <c r="E363" s="73"/>
      <c r="F363" s="74">
        <f>+VLOOKUP(C363,TbAlquiler[],13,FALSE)</f>
        <v>0</v>
      </c>
      <c r="G363" s="2"/>
      <c r="H363" s="75" t="str">
        <f t="shared" si="10"/>
        <v>EN.3300</v>
      </c>
      <c r="I363" s="59" t="str">
        <f t="shared" si="11"/>
        <v>ok</v>
      </c>
      <c r="J363" s="77">
        <f>IFERROR(VLOOKUP($H363,TG[],3,FALSE),"NA")</f>
        <v>0</v>
      </c>
      <c r="K363" s="77" t="str">
        <f>IFERROR(VLOOKUP($H363,TF[],3,FALSE),"NA")</f>
        <v>NA</v>
      </c>
      <c r="L363" s="77" t="str">
        <f>IFERROR(VLOOKUP($H363,TT[],3,FALSE),"NA")</f>
        <v>NA</v>
      </c>
      <c r="M363" s="77" t="str">
        <f>IFERROR(VLOOKUP($H363,TES[],3,FALSE),"NA")</f>
        <v>NA</v>
      </c>
      <c r="N363" s="77" t="str">
        <f>IFERROR(VLOOKUP($H363,TEC[],3,FALSE),"NA")</f>
        <v>NA</v>
      </c>
      <c r="O363" s="77" t="str">
        <f>IFERROR(VLOOKUP($H363,TP[],3,FALSE),"NA")</f>
        <v>NA</v>
      </c>
      <c r="P363" s="77">
        <f>IFERROR(VLOOKUP($H363,TEN[],3,FALSE),"NA")</f>
        <v>0</v>
      </c>
      <c r="Q363" s="77" t="str">
        <f>IFERROR(VLOOKUP($H363,TD[],3,FALSE),"NA")</f>
        <v>NA</v>
      </c>
      <c r="R363" s="77" t="str">
        <f>IFERROR(VLOOKUP($H363,TC[],3,FALSE),"NA")</f>
        <v>NA</v>
      </c>
      <c r="S363" s="77" t="str">
        <f>IFERROR(VLOOKUP($H363,TEV[],3,FALSE),"NA")</f>
        <v>NA</v>
      </c>
      <c r="T363" s="79">
        <f>SUM(TbAlquiler[[#This Row],[GENERAL]:[ELEVADOR]])</f>
        <v>0</v>
      </c>
      <c r="U363" s="80">
        <f>IF(VLOOKUP(TbAlquiler[[#This Row],[ITEM]],TbPiezas[],5,FALSE)="NA",0,VLOOKUP(TbAlquiler[[#This Row],[ITEM]],TbPiezas[],5,FALSE))</f>
        <v>12.099999999999994</v>
      </c>
      <c r="V363" s="81">
        <f>+TbAlquiler[[#This Row],[TOTAL]]*TbAlquiler[[#This Row],[P.U. (1)]]</f>
        <v>0</v>
      </c>
      <c r="W363" s="82">
        <f>+VLOOKUP(TbAlquiler[[#This Row],[ITEM]],TbPiezas[],6,FALSE)</f>
        <v>705.81</v>
      </c>
      <c r="X363" s="83">
        <f>+TbAlquiler[[#This Row],[TOTAL]]*TbAlquiler[[#This Row],[P.U. (2)]]</f>
        <v>0</v>
      </c>
      <c r="Y363" s="82">
        <f>+VLOOKUP(TbAlquiler[[#This Row],[ITEM]],TbPiezas[],7,FALSE)</f>
        <v>35.290500000000002</v>
      </c>
      <c r="Z363" s="84">
        <f>+TbAlquiler[[#This Row],[TOTAL]]*TbAlquiler[[#This Row],[P.U. (3)]]</f>
        <v>0</v>
      </c>
    </row>
    <row r="364" spans="1:26" ht="15" customHeight="1" x14ac:dyDescent="0.3">
      <c r="A364" s="2"/>
      <c r="B364" s="85">
        <v>344</v>
      </c>
      <c r="C364" s="71" t="s">
        <v>690</v>
      </c>
      <c r="D364" s="72" t="s">
        <v>691</v>
      </c>
      <c r="E364" s="73"/>
      <c r="F364" s="74">
        <f>+VLOOKUP(C364,TbAlquiler[],13,FALSE)</f>
        <v>0</v>
      </c>
      <c r="G364" s="2"/>
      <c r="H364" s="75" t="str">
        <f t="shared" si="10"/>
        <v>EN.3400</v>
      </c>
      <c r="I364" s="59" t="str">
        <f t="shared" si="11"/>
        <v>ok</v>
      </c>
      <c r="J364" s="77">
        <f>IFERROR(VLOOKUP($H364,TG[],3,FALSE),"NA")</f>
        <v>0</v>
      </c>
      <c r="K364" s="77" t="str">
        <f>IFERROR(VLOOKUP($H364,TF[],3,FALSE),"NA")</f>
        <v>NA</v>
      </c>
      <c r="L364" s="77" t="str">
        <f>IFERROR(VLOOKUP($H364,TT[],3,FALSE),"NA")</f>
        <v>NA</v>
      </c>
      <c r="M364" s="77" t="str">
        <f>IFERROR(VLOOKUP($H364,TES[],3,FALSE),"NA")</f>
        <v>NA</v>
      </c>
      <c r="N364" s="77" t="str">
        <f>IFERROR(VLOOKUP($H364,TEC[],3,FALSE),"NA")</f>
        <v>NA</v>
      </c>
      <c r="O364" s="77" t="str">
        <f>IFERROR(VLOOKUP($H364,TP[],3,FALSE),"NA")</f>
        <v>NA</v>
      </c>
      <c r="P364" s="77">
        <f>IFERROR(VLOOKUP($H364,TEN[],3,FALSE),"NA")</f>
        <v>0</v>
      </c>
      <c r="Q364" s="77" t="str">
        <f>IFERROR(VLOOKUP($H364,TD[],3,FALSE),"NA")</f>
        <v>NA</v>
      </c>
      <c r="R364" s="77" t="str">
        <f>IFERROR(VLOOKUP($H364,TC[],3,FALSE),"NA")</f>
        <v>NA</v>
      </c>
      <c r="S364" s="77" t="str">
        <f>IFERROR(VLOOKUP($H364,TEV[],3,FALSE),"NA")</f>
        <v>NA</v>
      </c>
      <c r="T364" s="79">
        <f>SUM(TbAlquiler[[#This Row],[GENERAL]:[ELEVADOR]])</f>
        <v>0</v>
      </c>
      <c r="U364" s="80">
        <f>IF(VLOOKUP(TbAlquiler[[#This Row],[ITEM]],TbPiezas[],5,FALSE)="NA",0,VLOOKUP(TbAlquiler[[#This Row],[ITEM]],TbPiezas[],5,FALSE))</f>
        <v>8.2000000000000028</v>
      </c>
      <c r="V364" s="81">
        <f>+TbAlquiler[[#This Row],[TOTAL]]*TbAlquiler[[#This Row],[P.U. (1)]]</f>
        <v>0</v>
      </c>
      <c r="W364" s="82">
        <f>+VLOOKUP(TbAlquiler[[#This Row],[ITEM]],TbPiezas[],6,FALSE)</f>
        <v>610.46</v>
      </c>
      <c r="X364" s="83">
        <f>+TbAlquiler[[#This Row],[TOTAL]]*TbAlquiler[[#This Row],[P.U. (2)]]</f>
        <v>0</v>
      </c>
      <c r="Y364" s="82">
        <f>+VLOOKUP(TbAlquiler[[#This Row],[ITEM]],TbPiezas[],7,FALSE)</f>
        <v>30.523000000000003</v>
      </c>
      <c r="Z364" s="84">
        <f>+TbAlquiler[[#This Row],[TOTAL]]*TbAlquiler[[#This Row],[P.U. (3)]]</f>
        <v>0</v>
      </c>
    </row>
    <row r="365" spans="1:26" ht="15" customHeight="1" x14ac:dyDescent="0.3">
      <c r="A365" s="2"/>
      <c r="B365" s="85">
        <v>345</v>
      </c>
      <c r="C365" s="71" t="s">
        <v>692</v>
      </c>
      <c r="D365" s="72" t="s">
        <v>693</v>
      </c>
      <c r="E365" s="73"/>
      <c r="F365" s="74">
        <f>+VLOOKUP(C365,TbAlquiler[],13,FALSE)</f>
        <v>0</v>
      </c>
      <c r="G365" s="2"/>
      <c r="H365" s="75" t="str">
        <f t="shared" si="10"/>
        <v>EN.3500</v>
      </c>
      <c r="I365" s="59" t="str">
        <f t="shared" si="11"/>
        <v>ok</v>
      </c>
      <c r="J365" s="77">
        <f>IFERROR(VLOOKUP($H365,TG[],3,FALSE),"NA")</f>
        <v>0</v>
      </c>
      <c r="K365" s="77" t="str">
        <f>IFERROR(VLOOKUP($H365,TF[],3,FALSE),"NA")</f>
        <v>NA</v>
      </c>
      <c r="L365" s="77" t="str">
        <f>IFERROR(VLOOKUP($H365,TT[],3,FALSE),"NA")</f>
        <v>NA</v>
      </c>
      <c r="M365" s="77" t="str">
        <f>IFERROR(VLOOKUP($H365,TES[],3,FALSE),"NA")</f>
        <v>NA</v>
      </c>
      <c r="N365" s="77" t="str">
        <f>IFERROR(VLOOKUP($H365,TEC[],3,FALSE),"NA")</f>
        <v>NA</v>
      </c>
      <c r="O365" s="77" t="str">
        <f>IFERROR(VLOOKUP($H365,TP[],3,FALSE),"NA")</f>
        <v>NA</v>
      </c>
      <c r="P365" s="77">
        <f>IFERROR(VLOOKUP($H365,TEN[],3,FALSE),"NA")</f>
        <v>0</v>
      </c>
      <c r="Q365" s="77" t="str">
        <f>IFERROR(VLOOKUP($H365,TD[],3,FALSE),"NA")</f>
        <v>NA</v>
      </c>
      <c r="R365" s="77" t="str">
        <f>IFERROR(VLOOKUP($H365,TC[],3,FALSE),"NA")</f>
        <v>NA</v>
      </c>
      <c r="S365" s="77" t="str">
        <f>IFERROR(VLOOKUP($H365,TEV[],3,FALSE),"NA")</f>
        <v>NA</v>
      </c>
      <c r="T365" s="79">
        <f>SUM(TbAlquiler[[#This Row],[GENERAL]:[ELEVADOR]])</f>
        <v>0</v>
      </c>
      <c r="U365" s="80">
        <f>IF(VLOOKUP(TbAlquiler[[#This Row],[ITEM]],TbPiezas[],5,FALSE)="NA",0,VLOOKUP(TbAlquiler[[#This Row],[ITEM]],TbPiezas[],5,FALSE))</f>
        <v>11.700000000000003</v>
      </c>
      <c r="V365" s="81">
        <f>+TbAlquiler[[#This Row],[TOTAL]]*TbAlquiler[[#This Row],[P.U. (1)]]</f>
        <v>0</v>
      </c>
      <c r="W365" s="82">
        <f>+VLOOKUP(TbAlquiler[[#This Row],[ITEM]],TbPiezas[],6,FALSE)</f>
        <v>568.55999999999995</v>
      </c>
      <c r="X365" s="83">
        <f>+TbAlquiler[[#This Row],[TOTAL]]*TbAlquiler[[#This Row],[P.U. (2)]]</f>
        <v>0</v>
      </c>
      <c r="Y365" s="82">
        <f>+VLOOKUP(TbAlquiler[[#This Row],[ITEM]],TbPiezas[],7,FALSE)</f>
        <v>28.427999999999997</v>
      </c>
      <c r="Z365" s="84">
        <f>+TbAlquiler[[#This Row],[TOTAL]]*TbAlquiler[[#This Row],[P.U. (3)]]</f>
        <v>0</v>
      </c>
    </row>
    <row r="366" spans="1:26" ht="15" customHeight="1" x14ac:dyDescent="0.3">
      <c r="A366" s="2"/>
      <c r="B366" s="85">
        <v>346</v>
      </c>
      <c r="C366" s="71" t="s">
        <v>694</v>
      </c>
      <c r="D366" s="72" t="s">
        <v>695</v>
      </c>
      <c r="E366" s="73"/>
      <c r="F366" s="74">
        <f>+VLOOKUP(C366,TbAlquiler[],13,FALSE)</f>
        <v>0</v>
      </c>
      <c r="G366" s="2"/>
      <c r="H366" s="75" t="str">
        <f t="shared" si="10"/>
        <v>EN.3600</v>
      </c>
      <c r="I366" s="59" t="str">
        <f t="shared" si="11"/>
        <v>ok</v>
      </c>
      <c r="J366" s="77">
        <f>IFERROR(VLOOKUP($H366,TG[],3,FALSE),"NA")</f>
        <v>0</v>
      </c>
      <c r="K366" s="77" t="str">
        <f>IFERROR(VLOOKUP($H366,TF[],3,FALSE),"NA")</f>
        <v>NA</v>
      </c>
      <c r="L366" s="77" t="str">
        <f>IFERROR(VLOOKUP($H366,TT[],3,FALSE),"NA")</f>
        <v>NA</v>
      </c>
      <c r="M366" s="77" t="str">
        <f>IFERROR(VLOOKUP($H366,TES[],3,FALSE),"NA")</f>
        <v>NA</v>
      </c>
      <c r="N366" s="77" t="str">
        <f>IFERROR(VLOOKUP($H366,TEC[],3,FALSE),"NA")</f>
        <v>NA</v>
      </c>
      <c r="O366" s="77" t="str">
        <f>IFERROR(VLOOKUP($H366,TP[],3,FALSE),"NA")</f>
        <v>NA</v>
      </c>
      <c r="P366" s="77">
        <f>IFERROR(VLOOKUP($H366,TEN[],3,FALSE),"NA")</f>
        <v>0</v>
      </c>
      <c r="Q366" s="77" t="str">
        <f>IFERROR(VLOOKUP($H366,TD[],3,FALSE),"NA")</f>
        <v>NA</v>
      </c>
      <c r="R366" s="77" t="str">
        <f>IFERROR(VLOOKUP($H366,TC[],3,FALSE),"NA")</f>
        <v>NA</v>
      </c>
      <c r="S366" s="77" t="str">
        <f>IFERROR(VLOOKUP($H366,TEV[],3,FALSE),"NA")</f>
        <v>NA</v>
      </c>
      <c r="T366" s="79">
        <f>SUM(TbAlquiler[[#This Row],[GENERAL]:[ELEVADOR]])</f>
        <v>0</v>
      </c>
      <c r="U366" s="80">
        <f>IF(VLOOKUP(TbAlquiler[[#This Row],[ITEM]],TbPiezas[],5,FALSE)="NA",0,VLOOKUP(TbAlquiler[[#This Row],[ITEM]],TbPiezas[],5,FALSE))</f>
        <v>8.5999999999999943</v>
      </c>
      <c r="V366" s="81">
        <f>+TbAlquiler[[#This Row],[TOTAL]]*TbAlquiler[[#This Row],[P.U. (1)]]</f>
        <v>0</v>
      </c>
      <c r="W366" s="82">
        <f>+VLOOKUP(TbAlquiler[[#This Row],[ITEM]],TbPiezas[],6,FALSE)</f>
        <v>499.23</v>
      </c>
      <c r="X366" s="83">
        <f>+TbAlquiler[[#This Row],[TOTAL]]*TbAlquiler[[#This Row],[P.U. (2)]]</f>
        <v>0</v>
      </c>
      <c r="Y366" s="82">
        <f>+VLOOKUP(TbAlquiler[[#This Row],[ITEM]],TbPiezas[],7,FALSE)</f>
        <v>24.961500000000001</v>
      </c>
      <c r="Z366" s="84">
        <f>+TbAlquiler[[#This Row],[TOTAL]]*TbAlquiler[[#This Row],[P.U. (3)]]</f>
        <v>0</v>
      </c>
    </row>
    <row r="367" spans="1:26" ht="15" customHeight="1" x14ac:dyDescent="0.3">
      <c r="A367" s="2"/>
      <c r="B367" s="85">
        <v>347</v>
      </c>
      <c r="C367" s="71" t="s">
        <v>696</v>
      </c>
      <c r="D367" s="72" t="s">
        <v>697</v>
      </c>
      <c r="E367" s="73"/>
      <c r="F367" s="74">
        <f>+VLOOKUP(C367,TbAlquiler[],13,FALSE)</f>
        <v>0</v>
      </c>
      <c r="G367" s="2"/>
      <c r="H367" s="75" t="str">
        <f t="shared" si="10"/>
        <v>EN.3700</v>
      </c>
      <c r="I367" s="59" t="str">
        <f t="shared" si="11"/>
        <v>ok</v>
      </c>
      <c r="J367" s="77">
        <f>IFERROR(VLOOKUP($H367,TG[],3,FALSE),"NA")</f>
        <v>0</v>
      </c>
      <c r="K367" s="77" t="str">
        <f>IFERROR(VLOOKUP($H367,TF[],3,FALSE),"NA")</f>
        <v>NA</v>
      </c>
      <c r="L367" s="77" t="str">
        <f>IFERROR(VLOOKUP($H367,TT[],3,FALSE),"NA")</f>
        <v>NA</v>
      </c>
      <c r="M367" s="77" t="str">
        <f>IFERROR(VLOOKUP($H367,TES[],3,FALSE),"NA")</f>
        <v>NA</v>
      </c>
      <c r="N367" s="77" t="str">
        <f>IFERROR(VLOOKUP($H367,TEC[],3,FALSE),"NA")</f>
        <v>NA</v>
      </c>
      <c r="O367" s="77" t="str">
        <f>IFERROR(VLOOKUP($H367,TP[],3,FALSE),"NA")</f>
        <v>NA</v>
      </c>
      <c r="P367" s="77">
        <f>IFERROR(VLOOKUP($H367,TEN[],3,FALSE),"NA")</f>
        <v>0</v>
      </c>
      <c r="Q367" s="77" t="str">
        <f>IFERROR(VLOOKUP($H367,TD[],3,FALSE),"NA")</f>
        <v>NA</v>
      </c>
      <c r="R367" s="77" t="str">
        <f>IFERROR(VLOOKUP($H367,TC[],3,FALSE),"NA")</f>
        <v>NA</v>
      </c>
      <c r="S367" s="77" t="str">
        <f>IFERROR(VLOOKUP($H367,TEV[],3,FALSE),"NA")</f>
        <v>NA</v>
      </c>
      <c r="T367" s="79">
        <f>SUM(TbAlquiler[[#This Row],[GENERAL]:[ELEVADOR]])</f>
        <v>0</v>
      </c>
      <c r="U367" s="80">
        <f>IF(VLOOKUP(TbAlquiler[[#This Row],[ITEM]],TbPiezas[],5,FALSE)="NA",0,VLOOKUP(TbAlquiler[[#This Row],[ITEM]],TbPiezas[],5,FALSE))</f>
        <v>7.5</v>
      </c>
      <c r="V367" s="81">
        <f>+TbAlquiler[[#This Row],[TOTAL]]*TbAlquiler[[#This Row],[P.U. (1)]]</f>
        <v>0</v>
      </c>
      <c r="W367" s="82">
        <f>+VLOOKUP(TbAlquiler[[#This Row],[ITEM]],TbPiezas[],6,FALSE)</f>
        <v>423.29</v>
      </c>
      <c r="X367" s="83">
        <f>+TbAlquiler[[#This Row],[TOTAL]]*TbAlquiler[[#This Row],[P.U. (2)]]</f>
        <v>0</v>
      </c>
      <c r="Y367" s="82">
        <f>+VLOOKUP(TbAlquiler[[#This Row],[ITEM]],TbPiezas[],7,FALSE)</f>
        <v>21.164500000000004</v>
      </c>
      <c r="Z367" s="84">
        <f>+TbAlquiler[[#This Row],[TOTAL]]*TbAlquiler[[#This Row],[P.U. (3)]]</f>
        <v>0</v>
      </c>
    </row>
    <row r="368" spans="1:26" ht="15" customHeight="1" x14ac:dyDescent="0.3">
      <c r="A368" s="2"/>
      <c r="B368" s="85">
        <v>348</v>
      </c>
      <c r="C368" s="71" t="s">
        <v>698</v>
      </c>
      <c r="D368" s="430" t="s">
        <v>699</v>
      </c>
      <c r="E368" s="73"/>
      <c r="F368" s="74">
        <f>+VLOOKUP(C368,TbAlquiler[],13,FALSE)</f>
        <v>0</v>
      </c>
      <c r="G368" s="2"/>
      <c r="H368" s="75" t="str">
        <f t="shared" si="10"/>
        <v>EN.3800</v>
      </c>
      <c r="I368" s="59" t="str">
        <f t="shared" si="11"/>
        <v>ok</v>
      </c>
      <c r="J368" s="77">
        <f>IFERROR(VLOOKUP($H368,TG[],3,FALSE),"NA")</f>
        <v>0</v>
      </c>
      <c r="K368" s="77" t="str">
        <f>IFERROR(VLOOKUP($H368,TF[],3,FALSE),"NA")</f>
        <v>NA</v>
      </c>
      <c r="L368" s="77" t="str">
        <f>IFERROR(VLOOKUP($H368,TT[],3,FALSE),"NA")</f>
        <v>NA</v>
      </c>
      <c r="M368" s="77" t="str">
        <f>IFERROR(VLOOKUP($H368,TES[],3,FALSE),"NA")</f>
        <v>NA</v>
      </c>
      <c r="N368" s="77" t="str">
        <f>IFERROR(VLOOKUP($H368,TEC[],3,FALSE),"NA")</f>
        <v>NA</v>
      </c>
      <c r="O368" s="77" t="str">
        <f>IFERROR(VLOOKUP($H368,TP[],3,FALSE),"NA")</f>
        <v>NA</v>
      </c>
      <c r="P368" s="77">
        <f>IFERROR(VLOOKUP($H368,TEN[],3,FALSE),"NA")</f>
        <v>0</v>
      </c>
      <c r="Q368" s="77" t="str">
        <f>IFERROR(VLOOKUP($H368,TD[],3,FALSE),"NA")</f>
        <v>NA</v>
      </c>
      <c r="R368" s="77" t="str">
        <f>IFERROR(VLOOKUP($H368,TC[],3,FALSE),"NA")</f>
        <v>NA</v>
      </c>
      <c r="S368" s="77" t="str">
        <f>IFERROR(VLOOKUP($H368,TEV[],3,FALSE),"NA")</f>
        <v>NA</v>
      </c>
      <c r="T368" s="79">
        <f>SUM(TbAlquiler[[#This Row],[GENERAL]:[ELEVADOR]])</f>
        <v>0</v>
      </c>
      <c r="U368" s="80">
        <f>IF(VLOOKUP(TbAlquiler[[#This Row],[ITEM]],TbPiezas[],5,FALSE)="NA",0,VLOOKUP(TbAlquiler[[#This Row],[ITEM]],TbPiezas[],5,FALSE))</f>
        <v>17.599999999999994</v>
      </c>
      <c r="V368" s="81">
        <f>+TbAlquiler[[#This Row],[TOTAL]]*TbAlquiler[[#This Row],[P.U. (1)]]</f>
        <v>0</v>
      </c>
      <c r="W368" s="82">
        <f>+VLOOKUP(TbAlquiler[[#This Row],[ITEM]],TbPiezas[],6,FALSE)</f>
        <v>923.91</v>
      </c>
      <c r="X368" s="83">
        <f>+TbAlquiler[[#This Row],[TOTAL]]*TbAlquiler[[#This Row],[P.U. (2)]]</f>
        <v>0</v>
      </c>
      <c r="Y368" s="82">
        <f>+VLOOKUP(TbAlquiler[[#This Row],[ITEM]],TbPiezas[],7,FALSE)</f>
        <v>46.195500000000003</v>
      </c>
      <c r="Z368" s="84">
        <f>+TbAlquiler[[#This Row],[TOTAL]]*TbAlquiler[[#This Row],[P.U. (3)]]</f>
        <v>0</v>
      </c>
    </row>
    <row r="369" spans="1:26" ht="15" customHeight="1" x14ac:dyDescent="0.3">
      <c r="A369" s="2"/>
      <c r="B369" s="85">
        <v>349</v>
      </c>
      <c r="C369" s="71" t="s">
        <v>700</v>
      </c>
      <c r="D369" s="430" t="s">
        <v>701</v>
      </c>
      <c r="E369" s="73"/>
      <c r="F369" s="74">
        <f>+VLOOKUP(C369,TbAlquiler[],13,FALSE)</f>
        <v>0</v>
      </c>
      <c r="G369" s="2"/>
      <c r="H369" s="75" t="str">
        <f t="shared" si="10"/>
        <v>EN.3900</v>
      </c>
      <c r="I369" s="59" t="str">
        <f t="shared" si="11"/>
        <v>ok</v>
      </c>
      <c r="J369" s="77">
        <f>IFERROR(VLOOKUP($H369,TG[],3,FALSE),"NA")</f>
        <v>0</v>
      </c>
      <c r="K369" s="77" t="str">
        <f>IFERROR(VLOOKUP($H369,TF[],3,FALSE),"NA")</f>
        <v>NA</v>
      </c>
      <c r="L369" s="77" t="str">
        <f>IFERROR(VLOOKUP($H369,TT[],3,FALSE),"NA")</f>
        <v>NA</v>
      </c>
      <c r="M369" s="77" t="str">
        <f>IFERROR(VLOOKUP($H369,TES[],3,FALSE),"NA")</f>
        <v>NA</v>
      </c>
      <c r="N369" s="77" t="str">
        <f>IFERROR(VLOOKUP($H369,TEC[],3,FALSE),"NA")</f>
        <v>NA</v>
      </c>
      <c r="O369" s="77" t="str">
        <f>IFERROR(VLOOKUP($H369,TP[],3,FALSE),"NA")</f>
        <v>NA</v>
      </c>
      <c r="P369" s="77">
        <f>IFERROR(VLOOKUP($H369,TEN[],3,FALSE),"NA")</f>
        <v>0</v>
      </c>
      <c r="Q369" s="77" t="str">
        <f>IFERROR(VLOOKUP($H369,TD[],3,FALSE),"NA")</f>
        <v>NA</v>
      </c>
      <c r="R369" s="77" t="str">
        <f>IFERROR(VLOOKUP($H369,TC[],3,FALSE),"NA")</f>
        <v>NA</v>
      </c>
      <c r="S369" s="77" t="str">
        <f>IFERROR(VLOOKUP($H369,TEV[],3,FALSE),"NA")</f>
        <v>NA</v>
      </c>
      <c r="T369" s="79">
        <f>SUM(TbAlquiler[[#This Row],[GENERAL]:[ELEVADOR]])</f>
        <v>0</v>
      </c>
      <c r="U369" s="80">
        <f>IF(VLOOKUP(TbAlquiler[[#This Row],[ITEM]],TbPiezas[],5,FALSE)="NA",0,VLOOKUP(TbAlquiler[[#This Row],[ITEM]],TbPiezas[],5,FALSE))</f>
        <v>9.2999999999999972</v>
      </c>
      <c r="V369" s="81">
        <f>+TbAlquiler[[#This Row],[TOTAL]]*TbAlquiler[[#This Row],[P.U. (1)]]</f>
        <v>0</v>
      </c>
      <c r="W369" s="82">
        <f>+VLOOKUP(TbAlquiler[[#This Row],[ITEM]],TbPiezas[],6,FALSE)</f>
        <v>711.4</v>
      </c>
      <c r="X369" s="83">
        <f>+TbAlquiler[[#This Row],[TOTAL]]*TbAlquiler[[#This Row],[P.U. (2)]]</f>
        <v>0</v>
      </c>
      <c r="Y369" s="82">
        <f>+VLOOKUP(TbAlquiler[[#This Row],[ITEM]],TbPiezas[],7,FALSE)</f>
        <v>35.57</v>
      </c>
      <c r="Z369" s="84">
        <f>+TbAlquiler[[#This Row],[TOTAL]]*TbAlquiler[[#This Row],[P.U. (3)]]</f>
        <v>0</v>
      </c>
    </row>
    <row r="370" spans="1:26" ht="15" customHeight="1" x14ac:dyDescent="0.3">
      <c r="A370" s="2"/>
      <c r="B370" s="85">
        <v>350</v>
      </c>
      <c r="C370" s="71" t="s">
        <v>702</v>
      </c>
      <c r="D370" s="430" t="s">
        <v>703</v>
      </c>
      <c r="E370" s="73"/>
      <c r="F370" s="74">
        <f>+VLOOKUP(C370,TbAlquiler[],13,FALSE)</f>
        <v>0</v>
      </c>
      <c r="G370" s="2"/>
      <c r="H370" s="75" t="str">
        <f t="shared" si="10"/>
        <v>EN.4000</v>
      </c>
      <c r="I370" s="59" t="str">
        <f t="shared" si="11"/>
        <v>ok</v>
      </c>
      <c r="J370" s="77">
        <f>IFERROR(VLOOKUP($H370,TG[],3,FALSE),"NA")</f>
        <v>0</v>
      </c>
      <c r="K370" s="77" t="str">
        <f>IFERROR(VLOOKUP($H370,TF[],3,FALSE),"NA")</f>
        <v>NA</v>
      </c>
      <c r="L370" s="77" t="str">
        <f>IFERROR(VLOOKUP($H370,TT[],3,FALSE),"NA")</f>
        <v>NA</v>
      </c>
      <c r="M370" s="77" t="str">
        <f>IFERROR(VLOOKUP($H370,TES[],3,FALSE),"NA")</f>
        <v>NA</v>
      </c>
      <c r="N370" s="77" t="str">
        <f>IFERROR(VLOOKUP($H370,TEC[],3,FALSE),"NA")</f>
        <v>NA</v>
      </c>
      <c r="O370" s="77" t="str">
        <f>IFERROR(VLOOKUP($H370,TP[],3,FALSE),"NA")</f>
        <v>NA</v>
      </c>
      <c r="P370" s="77">
        <f>IFERROR(VLOOKUP($H370,TEN[],3,FALSE),"NA")</f>
        <v>0</v>
      </c>
      <c r="Q370" s="77" t="str">
        <f>IFERROR(VLOOKUP($H370,TD[],3,FALSE),"NA")</f>
        <v>NA</v>
      </c>
      <c r="R370" s="77" t="str">
        <f>IFERROR(VLOOKUP($H370,TC[],3,FALSE),"NA")</f>
        <v>NA</v>
      </c>
      <c r="S370" s="77" t="str">
        <f>IFERROR(VLOOKUP($H370,TEV[],3,FALSE),"NA")</f>
        <v>NA</v>
      </c>
      <c r="T370" s="79">
        <f>SUM(TbAlquiler[[#This Row],[GENERAL]:[ELEVADOR]])</f>
        <v>0</v>
      </c>
      <c r="U370" s="80">
        <f>IF(VLOOKUP(TbAlquiler[[#This Row],[ITEM]],TbPiezas[],5,FALSE)="NA",0,VLOOKUP(TbAlquiler[[#This Row],[ITEM]],TbPiezas[],5,FALSE))</f>
        <v>4.2999999999999972</v>
      </c>
      <c r="V370" s="81">
        <f>+TbAlquiler[[#This Row],[TOTAL]]*TbAlquiler[[#This Row],[P.U. (1)]]</f>
        <v>0</v>
      </c>
      <c r="W370" s="82">
        <f>+VLOOKUP(TbAlquiler[[#This Row],[ITEM]],TbPiezas[],6,FALSE)</f>
        <v>153.97999999999999</v>
      </c>
      <c r="X370" s="83">
        <f>+TbAlquiler[[#This Row],[TOTAL]]*TbAlquiler[[#This Row],[P.U. (2)]]</f>
        <v>0</v>
      </c>
      <c r="Y370" s="82">
        <f>+VLOOKUP(TbAlquiler[[#This Row],[ITEM]],TbPiezas[],7,FALSE)</f>
        <v>7.6989999999999998</v>
      </c>
      <c r="Z370" s="84">
        <f>+TbAlquiler[[#This Row],[TOTAL]]*TbAlquiler[[#This Row],[P.U. (3)]]</f>
        <v>0</v>
      </c>
    </row>
    <row r="371" spans="1:26" ht="15" customHeight="1" x14ac:dyDescent="0.3">
      <c r="A371" s="2"/>
      <c r="B371" s="85">
        <v>351</v>
      </c>
      <c r="C371" s="71" t="s">
        <v>704</v>
      </c>
      <c r="D371" s="72" t="s">
        <v>705</v>
      </c>
      <c r="E371" s="73"/>
      <c r="F371" s="74">
        <f>+VLOOKUP(C371,TbAlquiler[],13,FALSE)</f>
        <v>0</v>
      </c>
      <c r="G371" s="2"/>
      <c r="H371" s="75" t="str">
        <f t="shared" si="10"/>
        <v>EN.4100</v>
      </c>
      <c r="I371" s="59" t="str">
        <f t="shared" si="11"/>
        <v>ok</v>
      </c>
      <c r="J371" s="77">
        <f>IFERROR(VLOOKUP($H371,TG[],3,FALSE),"NA")</f>
        <v>0</v>
      </c>
      <c r="K371" s="77" t="str">
        <f>IFERROR(VLOOKUP($H371,TF[],3,FALSE),"NA")</f>
        <v>NA</v>
      </c>
      <c r="L371" s="77" t="str">
        <f>IFERROR(VLOOKUP($H371,TT[],3,FALSE),"NA")</f>
        <v>NA</v>
      </c>
      <c r="M371" s="77" t="str">
        <f>IFERROR(VLOOKUP($H371,TES[],3,FALSE),"NA")</f>
        <v>NA</v>
      </c>
      <c r="N371" s="77" t="str">
        <f>IFERROR(VLOOKUP($H371,TEC[],3,FALSE),"NA")</f>
        <v>NA</v>
      </c>
      <c r="O371" s="77" t="str">
        <f>IFERROR(VLOOKUP($H371,TP[],3,FALSE),"NA")</f>
        <v>NA</v>
      </c>
      <c r="P371" s="77">
        <f>IFERROR(VLOOKUP($H371,TEN[],3,FALSE),"NA")</f>
        <v>0</v>
      </c>
      <c r="Q371" s="77" t="str">
        <f>IFERROR(VLOOKUP($H371,TD[],3,FALSE),"NA")</f>
        <v>NA</v>
      </c>
      <c r="R371" s="77" t="str">
        <f>IFERROR(VLOOKUP($H371,TC[],3,FALSE),"NA")</f>
        <v>NA</v>
      </c>
      <c r="S371" s="77" t="str">
        <f>IFERROR(VLOOKUP($H371,TEV[],3,FALSE),"NA")</f>
        <v>NA</v>
      </c>
      <c r="T371" s="79">
        <f>SUM(TbAlquiler[[#This Row],[GENERAL]:[ELEVADOR]])</f>
        <v>0</v>
      </c>
      <c r="U371" s="80">
        <f>IF(VLOOKUP(TbAlquiler[[#This Row],[ITEM]],TbPiezas[],5,FALSE)="NA",0,VLOOKUP(TbAlquiler[[#This Row],[ITEM]],TbPiezas[],5,FALSE))</f>
        <v>9.6999999999999993</v>
      </c>
      <c r="V371" s="81">
        <f>+TbAlquiler[[#This Row],[TOTAL]]*TbAlquiler[[#This Row],[P.U. (1)]]</f>
        <v>0</v>
      </c>
      <c r="W371" s="82">
        <f>+VLOOKUP(TbAlquiler[[#This Row],[ITEM]],TbPiezas[],6,FALSE)</f>
        <v>1588.13</v>
      </c>
      <c r="X371" s="83">
        <f>+TbAlquiler[[#This Row],[TOTAL]]*TbAlquiler[[#This Row],[P.U. (2)]]</f>
        <v>0</v>
      </c>
      <c r="Y371" s="82">
        <f>+VLOOKUP(TbAlquiler[[#This Row],[ITEM]],TbPiezas[],7,FALSE)</f>
        <v>79.406500000000008</v>
      </c>
      <c r="Z371" s="84">
        <f>+TbAlquiler[[#This Row],[TOTAL]]*TbAlquiler[[#This Row],[P.U. (3)]]</f>
        <v>0</v>
      </c>
    </row>
    <row r="372" spans="1:26" ht="15" customHeight="1" x14ac:dyDescent="0.3">
      <c r="A372" s="2"/>
      <c r="B372" s="85">
        <v>352</v>
      </c>
      <c r="C372" s="71" t="s">
        <v>706</v>
      </c>
      <c r="D372" s="72" t="s">
        <v>707</v>
      </c>
      <c r="E372" s="73"/>
      <c r="F372" s="74">
        <f>+VLOOKUP(C372,TbAlquiler[],13,FALSE)</f>
        <v>0</v>
      </c>
      <c r="G372" s="2"/>
      <c r="H372" s="75" t="str">
        <f t="shared" si="10"/>
        <v>EN.4200</v>
      </c>
      <c r="I372" s="59" t="str">
        <f t="shared" si="11"/>
        <v>ok</v>
      </c>
      <c r="J372" s="77">
        <f>IFERROR(VLOOKUP($H372,TG[],3,FALSE),"NA")</f>
        <v>0</v>
      </c>
      <c r="K372" s="77" t="str">
        <f>IFERROR(VLOOKUP($H372,TF[],3,FALSE),"NA")</f>
        <v>NA</v>
      </c>
      <c r="L372" s="77" t="str">
        <f>IFERROR(VLOOKUP($H372,TT[],3,FALSE),"NA")</f>
        <v>NA</v>
      </c>
      <c r="M372" s="77" t="str">
        <f>IFERROR(VLOOKUP($H372,TES[],3,FALSE),"NA")</f>
        <v>NA</v>
      </c>
      <c r="N372" s="77" t="str">
        <f>IFERROR(VLOOKUP($H372,TEC[],3,FALSE),"NA")</f>
        <v>NA</v>
      </c>
      <c r="O372" s="77" t="str">
        <f>IFERROR(VLOOKUP($H372,TP[],3,FALSE),"NA")</f>
        <v>NA</v>
      </c>
      <c r="P372" s="77">
        <f>IFERROR(VLOOKUP($H372,TEN[],3,FALSE),"NA")</f>
        <v>0</v>
      </c>
      <c r="Q372" s="77" t="str">
        <f>IFERROR(VLOOKUP($H372,TD[],3,FALSE),"NA")</f>
        <v>NA</v>
      </c>
      <c r="R372" s="77" t="str">
        <f>IFERROR(VLOOKUP($H372,TC[],3,FALSE),"NA")</f>
        <v>NA</v>
      </c>
      <c r="S372" s="77" t="str">
        <f>IFERROR(VLOOKUP($H372,TEV[],3,FALSE),"NA")</f>
        <v>NA</v>
      </c>
      <c r="T372" s="79">
        <f>SUM(TbAlquiler[[#This Row],[GENERAL]:[ELEVADOR]])</f>
        <v>0</v>
      </c>
      <c r="U372" s="80">
        <f>IF(VLOOKUP(TbAlquiler[[#This Row],[ITEM]],TbPiezas[],5,FALSE)="NA",0,VLOOKUP(TbAlquiler[[#This Row],[ITEM]],TbPiezas[],5,FALSE))</f>
        <v>3</v>
      </c>
      <c r="V372" s="81">
        <f>+TbAlquiler[[#This Row],[TOTAL]]*TbAlquiler[[#This Row],[P.U. (1)]]</f>
        <v>0</v>
      </c>
      <c r="W372" s="82">
        <f>+VLOOKUP(TbAlquiler[[#This Row],[ITEM]],TbPiezas[],6,FALSE)</f>
        <v>54</v>
      </c>
      <c r="X372" s="83">
        <f>+TbAlquiler[[#This Row],[TOTAL]]*TbAlquiler[[#This Row],[P.U. (2)]]</f>
        <v>0</v>
      </c>
      <c r="Y372" s="82">
        <f>+VLOOKUP(TbAlquiler[[#This Row],[ITEM]],TbPiezas[],7,FALSE)</f>
        <v>2.7</v>
      </c>
      <c r="Z372" s="84">
        <f>+TbAlquiler[[#This Row],[TOTAL]]*TbAlquiler[[#This Row],[P.U. (3)]]</f>
        <v>0</v>
      </c>
    </row>
    <row r="373" spans="1:26" ht="15" customHeight="1" x14ac:dyDescent="0.3">
      <c r="A373" s="2"/>
      <c r="B373" s="85">
        <v>353</v>
      </c>
      <c r="C373" s="71" t="s">
        <v>708</v>
      </c>
      <c r="D373" s="72" t="s">
        <v>709</v>
      </c>
      <c r="E373" s="73"/>
      <c r="F373" s="74">
        <f>+VLOOKUP(C373,TbAlquiler[],13,FALSE)</f>
        <v>0</v>
      </c>
      <c r="G373" s="2"/>
      <c r="H373" s="75" t="str">
        <f t="shared" si="10"/>
        <v>EN.4300</v>
      </c>
      <c r="I373" s="59" t="str">
        <f t="shared" si="11"/>
        <v>ok</v>
      </c>
      <c r="J373" s="77">
        <f>IFERROR(VLOOKUP($H373,TG[],3,FALSE),"NA")</f>
        <v>0</v>
      </c>
      <c r="K373" s="77" t="str">
        <f>IFERROR(VLOOKUP($H373,TF[],3,FALSE),"NA")</f>
        <v>NA</v>
      </c>
      <c r="L373" s="77" t="str">
        <f>IFERROR(VLOOKUP($H373,TT[],3,FALSE),"NA")</f>
        <v>NA</v>
      </c>
      <c r="M373" s="77" t="str">
        <f>IFERROR(VLOOKUP($H373,TES[],3,FALSE),"NA")</f>
        <v>NA</v>
      </c>
      <c r="N373" s="77" t="str">
        <f>IFERROR(VLOOKUP($H373,TEC[],3,FALSE),"NA")</f>
        <v>NA</v>
      </c>
      <c r="O373" s="77" t="str">
        <f>IFERROR(VLOOKUP($H373,TP[],3,FALSE),"NA")</f>
        <v>NA</v>
      </c>
      <c r="P373" s="77">
        <f>IFERROR(VLOOKUP($H373,TEN[],3,FALSE),"NA")</f>
        <v>0</v>
      </c>
      <c r="Q373" s="77" t="str">
        <f>IFERROR(VLOOKUP($H373,TD[],3,FALSE),"NA")</f>
        <v>NA</v>
      </c>
      <c r="R373" s="77" t="str">
        <f>IFERROR(VLOOKUP($H373,TC[],3,FALSE),"NA")</f>
        <v>NA</v>
      </c>
      <c r="S373" s="77" t="str">
        <f>IFERROR(VLOOKUP($H373,TEV[],3,FALSE),"NA")</f>
        <v>NA</v>
      </c>
      <c r="T373" s="79">
        <f>SUM(TbAlquiler[[#This Row],[GENERAL]:[ELEVADOR]])</f>
        <v>0</v>
      </c>
      <c r="U373" s="80">
        <f>IF(VLOOKUP(TbAlquiler[[#This Row],[ITEM]],TbPiezas[],5,FALSE)="NA",0,VLOOKUP(TbAlquiler[[#This Row],[ITEM]],TbPiezas[],5,FALSE))</f>
        <v>7.5</v>
      </c>
      <c r="V373" s="81">
        <f>+TbAlquiler[[#This Row],[TOTAL]]*TbAlquiler[[#This Row],[P.U. (1)]]</f>
        <v>0</v>
      </c>
      <c r="W373" s="82">
        <f>+VLOOKUP(TbAlquiler[[#This Row],[ITEM]],TbPiezas[],6,FALSE)</f>
        <v>153.97999999999999</v>
      </c>
      <c r="X373" s="83">
        <f>+TbAlquiler[[#This Row],[TOTAL]]*TbAlquiler[[#This Row],[P.U. (2)]]</f>
        <v>0</v>
      </c>
      <c r="Y373" s="82">
        <f>+VLOOKUP(TbAlquiler[[#This Row],[ITEM]],TbPiezas[],7,FALSE)</f>
        <v>7.6989999999999998</v>
      </c>
      <c r="Z373" s="84">
        <f>+TbAlquiler[[#This Row],[TOTAL]]*TbAlquiler[[#This Row],[P.U. (3)]]</f>
        <v>0</v>
      </c>
    </row>
    <row r="374" spans="1:26" ht="15" customHeight="1" x14ac:dyDescent="0.3">
      <c r="A374" s="2"/>
      <c r="B374" s="85">
        <v>354</v>
      </c>
      <c r="C374" s="71" t="s">
        <v>710</v>
      </c>
      <c r="D374" s="72" t="s">
        <v>711</v>
      </c>
      <c r="E374" s="73"/>
      <c r="F374" s="74">
        <f>+VLOOKUP(C374,TbAlquiler[],13,FALSE)</f>
        <v>0</v>
      </c>
      <c r="G374" s="2"/>
      <c r="H374" s="75" t="str">
        <f t="shared" si="10"/>
        <v>EN.4400</v>
      </c>
      <c r="I374" s="59" t="str">
        <f t="shared" si="11"/>
        <v>ok</v>
      </c>
      <c r="J374" s="77">
        <f>IFERROR(VLOOKUP($H374,TG[],3,FALSE),"NA")</f>
        <v>0</v>
      </c>
      <c r="K374" s="77" t="str">
        <f>IFERROR(VLOOKUP($H374,TF[],3,FALSE),"NA")</f>
        <v>NA</v>
      </c>
      <c r="L374" s="77" t="str">
        <f>IFERROR(VLOOKUP($H374,TT[],3,FALSE),"NA")</f>
        <v>NA</v>
      </c>
      <c r="M374" s="77" t="str">
        <f>IFERROR(VLOOKUP($H374,TES[],3,FALSE),"NA")</f>
        <v>NA</v>
      </c>
      <c r="N374" s="77" t="str">
        <f>IFERROR(VLOOKUP($H374,TEC[],3,FALSE),"NA")</f>
        <v>NA</v>
      </c>
      <c r="O374" s="77" t="str">
        <f>IFERROR(VLOOKUP($H374,TP[],3,FALSE),"NA")</f>
        <v>NA</v>
      </c>
      <c r="P374" s="77">
        <f>IFERROR(VLOOKUP($H374,TEN[],3,FALSE),"NA")</f>
        <v>0</v>
      </c>
      <c r="Q374" s="77" t="str">
        <f>IFERROR(VLOOKUP($H374,TD[],3,FALSE),"NA")</f>
        <v>NA</v>
      </c>
      <c r="R374" s="77" t="str">
        <f>IFERROR(VLOOKUP($H374,TC[],3,FALSE),"NA")</f>
        <v>NA</v>
      </c>
      <c r="S374" s="77" t="str">
        <f>IFERROR(VLOOKUP($H374,TEV[],3,FALSE),"NA")</f>
        <v>NA</v>
      </c>
      <c r="T374" s="79">
        <f>SUM(TbAlquiler[[#This Row],[GENERAL]:[ELEVADOR]])</f>
        <v>0</v>
      </c>
      <c r="U374" s="80">
        <f>IF(VLOOKUP(TbAlquiler[[#This Row],[ITEM]],TbPiezas[],5,FALSE)="NA",0,VLOOKUP(TbAlquiler[[#This Row],[ITEM]],TbPiezas[],5,FALSE))</f>
        <v>2.2999999999999972</v>
      </c>
      <c r="V374" s="81">
        <f>+TbAlquiler[[#This Row],[TOTAL]]*TbAlquiler[[#This Row],[P.U. (1)]]</f>
        <v>0</v>
      </c>
      <c r="W374" s="82">
        <f>+VLOOKUP(TbAlquiler[[#This Row],[ITEM]],TbPiezas[],6,FALSE)</f>
        <v>76.87</v>
      </c>
      <c r="X374" s="83">
        <f>+TbAlquiler[[#This Row],[TOTAL]]*TbAlquiler[[#This Row],[P.U. (2)]]</f>
        <v>0</v>
      </c>
      <c r="Y374" s="82">
        <f>+VLOOKUP(TbAlquiler[[#This Row],[ITEM]],TbPiezas[],7,FALSE)</f>
        <v>3.8435000000000006</v>
      </c>
      <c r="Z374" s="84">
        <f>+TbAlquiler[[#This Row],[TOTAL]]*TbAlquiler[[#This Row],[P.U. (3)]]</f>
        <v>0</v>
      </c>
    </row>
    <row r="375" spans="1:26" ht="15" customHeight="1" x14ac:dyDescent="0.3">
      <c r="A375" s="2"/>
      <c r="B375" s="85">
        <v>355</v>
      </c>
      <c r="C375" s="71" t="s">
        <v>712</v>
      </c>
      <c r="D375" s="72" t="s">
        <v>713</v>
      </c>
      <c r="E375" s="73"/>
      <c r="F375" s="74">
        <f>+VLOOKUP(C375,TbAlquiler[],13,FALSE)</f>
        <v>0</v>
      </c>
      <c r="G375" s="2"/>
      <c r="H375" s="75" t="str">
        <f t="shared" si="10"/>
        <v>RE.0100</v>
      </c>
      <c r="I375" s="59" t="str">
        <f t="shared" si="11"/>
        <v>ok</v>
      </c>
      <c r="J375" s="77">
        <f>IFERROR(VLOOKUP($H375,TG[],3,FALSE),"NA")</f>
        <v>0</v>
      </c>
      <c r="K375" s="77" t="str">
        <f>IFERROR(VLOOKUP($H375,TF[],3,FALSE),"NA")</f>
        <v>NA</v>
      </c>
      <c r="L375" s="77" t="str">
        <f>IFERROR(VLOOKUP($H375,TT[],3,FALSE),"NA")</f>
        <v>NA</v>
      </c>
      <c r="M375" s="77" t="str">
        <f>IFERROR(VLOOKUP($H375,TES[],3,FALSE),"NA")</f>
        <v>NA</v>
      </c>
      <c r="N375" s="77" t="str">
        <f>IFERROR(VLOOKUP($H375,TEC[],3,FALSE),"NA")</f>
        <v>NA</v>
      </c>
      <c r="O375" s="77" t="str">
        <f>IFERROR(VLOOKUP($H375,TP[],3,FALSE),"NA")</f>
        <v>NA</v>
      </c>
      <c r="P375" s="77" t="str">
        <f>IFERROR(VLOOKUP($H375,TEN[],3,FALSE),"NA")</f>
        <v>NA</v>
      </c>
      <c r="Q375" s="77" t="str">
        <f>IFERROR(VLOOKUP($H375,TD[],3,FALSE),"NA")</f>
        <v>NA</v>
      </c>
      <c r="R375" s="77" t="str">
        <f>IFERROR(VLOOKUP($H375,TC[],3,FALSE),"NA")</f>
        <v>NA</v>
      </c>
      <c r="S375" s="77" t="str">
        <f>IFERROR(VLOOKUP($H375,TEV[],3,FALSE),"NA")</f>
        <v>NA</v>
      </c>
      <c r="T375" s="79">
        <f>SUM(TbAlquiler[[#This Row],[GENERAL]:[ELEVADOR]])</f>
        <v>0</v>
      </c>
      <c r="U375" s="80">
        <f>IF(VLOOKUP(TbAlquiler[[#This Row],[ITEM]],TbPiezas[],5,FALSE)="NA",0,VLOOKUP(TbAlquiler[[#This Row],[ITEM]],TbPiezas[],5,FALSE))</f>
        <v>15.4</v>
      </c>
      <c r="V375" s="81">
        <f>+TbAlquiler[[#This Row],[TOTAL]]*TbAlquiler[[#This Row],[P.U. (1)]]</f>
        <v>0</v>
      </c>
      <c r="W375" s="82">
        <f>+VLOOKUP(TbAlquiler[[#This Row],[ITEM]],TbPiezas[],6,FALSE)</f>
        <v>479.16</v>
      </c>
      <c r="X375" s="83">
        <f>+TbAlquiler[[#This Row],[TOTAL]]*TbAlquiler[[#This Row],[P.U. (2)]]</f>
        <v>0</v>
      </c>
      <c r="Y375" s="82">
        <f>+VLOOKUP(TbAlquiler[[#This Row],[ITEM]],TbPiezas[],7,FALSE)</f>
        <v>23.958000000000002</v>
      </c>
      <c r="Z375" s="84">
        <f>+TbAlquiler[[#This Row],[TOTAL]]*TbAlquiler[[#This Row],[P.U. (3)]]</f>
        <v>0</v>
      </c>
    </row>
    <row r="376" spans="1:26" ht="15" customHeight="1" x14ac:dyDescent="0.3">
      <c r="A376" s="2"/>
      <c r="B376" s="85">
        <v>356</v>
      </c>
      <c r="C376" s="71" t="s">
        <v>714</v>
      </c>
      <c r="D376" s="72" t="s">
        <v>715</v>
      </c>
      <c r="E376" s="73"/>
      <c r="F376" s="74">
        <f>+VLOOKUP(C376,TbAlquiler[],13,FALSE)</f>
        <v>0</v>
      </c>
      <c r="G376" s="2"/>
      <c r="H376" s="75" t="str">
        <f t="shared" si="10"/>
        <v>RE.0150</v>
      </c>
      <c r="I376" s="59" t="str">
        <f t="shared" si="11"/>
        <v>ok</v>
      </c>
      <c r="J376" s="77">
        <f>IFERROR(VLOOKUP($H376,TG[],3,FALSE),"NA")</f>
        <v>0</v>
      </c>
      <c r="K376" s="77" t="str">
        <f>IFERROR(VLOOKUP($H376,TF[],3,FALSE),"NA")</f>
        <v>NA</v>
      </c>
      <c r="L376" s="77" t="str">
        <f>IFERROR(VLOOKUP($H376,TT[],3,FALSE),"NA")</f>
        <v>NA</v>
      </c>
      <c r="M376" s="77" t="str">
        <f>IFERROR(VLOOKUP($H376,TES[],3,FALSE),"NA")</f>
        <v>NA</v>
      </c>
      <c r="N376" s="77" t="str">
        <f>IFERROR(VLOOKUP($H376,TEC[],3,FALSE),"NA")</f>
        <v>NA</v>
      </c>
      <c r="O376" s="77" t="str">
        <f>IFERROR(VLOOKUP($H376,TP[],3,FALSE),"NA")</f>
        <v>NA</v>
      </c>
      <c r="P376" s="77" t="str">
        <f>IFERROR(VLOOKUP($H376,TEN[],3,FALSE),"NA")</f>
        <v>NA</v>
      </c>
      <c r="Q376" s="77" t="str">
        <f>IFERROR(VLOOKUP($H376,TD[],3,FALSE),"NA")</f>
        <v>NA</v>
      </c>
      <c r="R376" s="77" t="str">
        <f>IFERROR(VLOOKUP($H376,TC[],3,FALSE),"NA")</f>
        <v>NA</v>
      </c>
      <c r="S376" s="77" t="str">
        <f>IFERROR(VLOOKUP($H376,TEV[],3,FALSE),"NA")</f>
        <v>NA</v>
      </c>
      <c r="T376" s="79">
        <f>SUM(TbAlquiler[[#This Row],[GENERAL]:[ELEVADOR]])</f>
        <v>0</v>
      </c>
      <c r="U376" s="80">
        <f>IF(VLOOKUP(TbAlquiler[[#This Row],[ITEM]],TbPiezas[],5,FALSE)="NA",0,VLOOKUP(TbAlquiler[[#This Row],[ITEM]],TbPiezas[],5,FALSE))</f>
        <v>0</v>
      </c>
      <c r="V376" s="81">
        <f>+TbAlquiler[[#This Row],[TOTAL]]*TbAlquiler[[#This Row],[P.U. (1)]]</f>
        <v>0</v>
      </c>
      <c r="W376" s="82">
        <f>+VLOOKUP(TbAlquiler[[#This Row],[ITEM]],TbPiezas[],6,FALSE)</f>
        <v>156.78</v>
      </c>
      <c r="X376" s="83">
        <f>+TbAlquiler[[#This Row],[TOTAL]]*TbAlquiler[[#This Row],[P.U. (2)]]</f>
        <v>0</v>
      </c>
      <c r="Y376" s="82">
        <f>+VLOOKUP(TbAlquiler[[#This Row],[ITEM]],TbPiezas[],7,FALSE)</f>
        <v>7.8390000000000004</v>
      </c>
      <c r="Z376" s="84">
        <f>+TbAlquiler[[#This Row],[TOTAL]]*TbAlquiler[[#This Row],[P.U. (3)]]</f>
        <v>0</v>
      </c>
    </row>
    <row r="377" spans="1:26" ht="15" customHeight="1" x14ac:dyDescent="0.3">
      <c r="A377" s="2"/>
      <c r="B377" s="85">
        <v>357</v>
      </c>
      <c r="C377" s="71" t="s">
        <v>716</v>
      </c>
      <c r="D377" s="72" t="s">
        <v>717</v>
      </c>
      <c r="E377" s="73"/>
      <c r="F377" s="74">
        <f>+VLOOKUP(C377,TbAlquiler[],13,FALSE)</f>
        <v>0</v>
      </c>
      <c r="G377" s="2"/>
      <c r="H377" s="75" t="str">
        <f t="shared" si="10"/>
        <v>RE.0200</v>
      </c>
      <c r="I377" s="59" t="str">
        <f t="shared" si="11"/>
        <v>ok</v>
      </c>
      <c r="J377" s="77">
        <f>IFERROR(VLOOKUP($H377,TG[],3,FALSE),"NA")</f>
        <v>0</v>
      </c>
      <c r="K377" s="77" t="str">
        <f>IFERROR(VLOOKUP($H377,TF[],3,FALSE),"NA")</f>
        <v>NA</v>
      </c>
      <c r="L377" s="77" t="str">
        <f>IFERROR(VLOOKUP($H377,TT[],3,FALSE),"NA")</f>
        <v>NA</v>
      </c>
      <c r="M377" s="77" t="str">
        <f>IFERROR(VLOOKUP($H377,TES[],3,FALSE),"NA")</f>
        <v>NA</v>
      </c>
      <c r="N377" s="77" t="str">
        <f>IFERROR(VLOOKUP($H377,TEC[],3,FALSE),"NA")</f>
        <v>NA</v>
      </c>
      <c r="O377" s="77" t="str">
        <f>IFERROR(VLOOKUP($H377,TP[],3,FALSE),"NA")</f>
        <v>NA</v>
      </c>
      <c r="P377" s="77" t="str">
        <f>IFERROR(VLOOKUP($H377,TEN[],3,FALSE),"NA")</f>
        <v>NA</v>
      </c>
      <c r="Q377" s="77" t="str">
        <f>IFERROR(VLOOKUP($H377,TD[],3,FALSE),"NA")</f>
        <v>NA</v>
      </c>
      <c r="R377" s="77" t="str">
        <f>IFERROR(VLOOKUP($H377,TC[],3,FALSE),"NA")</f>
        <v>NA</v>
      </c>
      <c r="S377" s="77" t="str">
        <f>IFERROR(VLOOKUP($H377,TEV[],3,FALSE),"NA")</f>
        <v>NA</v>
      </c>
      <c r="T377" s="79">
        <f>SUM(TbAlquiler[[#This Row],[GENERAL]:[ELEVADOR]])</f>
        <v>0</v>
      </c>
      <c r="U377" s="80">
        <f>IF(VLOOKUP(TbAlquiler[[#This Row],[ITEM]],TbPiezas[],5,FALSE)="NA",0,VLOOKUP(TbAlquiler[[#This Row],[ITEM]],TbPiezas[],5,FALSE))</f>
        <v>19.7</v>
      </c>
      <c r="V377" s="81">
        <f>+TbAlquiler[[#This Row],[TOTAL]]*TbAlquiler[[#This Row],[P.U. (1)]]</f>
        <v>0</v>
      </c>
      <c r="W377" s="82">
        <f>+VLOOKUP(TbAlquiler[[#This Row],[ITEM]],TbPiezas[],6,FALSE)</f>
        <v>815.76</v>
      </c>
      <c r="X377" s="83">
        <f>+TbAlquiler[[#This Row],[TOTAL]]*TbAlquiler[[#This Row],[P.U. (2)]]</f>
        <v>0</v>
      </c>
      <c r="Y377" s="82">
        <f>+VLOOKUP(TbAlquiler[[#This Row],[ITEM]],TbPiezas[],7,FALSE)</f>
        <v>40.788000000000004</v>
      </c>
      <c r="Z377" s="84">
        <f>+TbAlquiler[[#This Row],[TOTAL]]*TbAlquiler[[#This Row],[P.U. (3)]]</f>
        <v>0</v>
      </c>
    </row>
    <row r="378" spans="1:26" ht="15" customHeight="1" x14ac:dyDescent="0.3">
      <c r="A378" s="2"/>
      <c r="B378" s="85">
        <v>358</v>
      </c>
      <c r="C378" s="71" t="s">
        <v>718</v>
      </c>
      <c r="D378" s="72" t="s">
        <v>719</v>
      </c>
      <c r="E378" s="73"/>
      <c r="F378" s="74">
        <f>+VLOOKUP(C378,TbAlquiler[],13,FALSE)</f>
        <v>0</v>
      </c>
      <c r="G378" s="2"/>
      <c r="H378" s="75" t="str">
        <f t="shared" si="10"/>
        <v>RE.0250</v>
      </c>
      <c r="I378" s="59" t="str">
        <f t="shared" si="11"/>
        <v>ok</v>
      </c>
      <c r="J378" s="77">
        <f>IFERROR(VLOOKUP($H378,TG[],3,FALSE),"NA")</f>
        <v>0</v>
      </c>
      <c r="K378" s="77" t="str">
        <f>IFERROR(VLOOKUP($H378,TF[],3,FALSE),"NA")</f>
        <v>NA</v>
      </c>
      <c r="L378" s="77" t="str">
        <f>IFERROR(VLOOKUP($H378,TT[],3,FALSE),"NA")</f>
        <v>NA</v>
      </c>
      <c r="M378" s="77" t="str">
        <f>IFERROR(VLOOKUP($H378,TES[],3,FALSE),"NA")</f>
        <v>NA</v>
      </c>
      <c r="N378" s="77" t="str">
        <f>IFERROR(VLOOKUP($H378,TEC[],3,FALSE),"NA")</f>
        <v>NA</v>
      </c>
      <c r="O378" s="77" t="str">
        <f>IFERROR(VLOOKUP($H378,TP[],3,FALSE),"NA")</f>
        <v>NA</v>
      </c>
      <c r="P378" s="77" t="str">
        <f>IFERROR(VLOOKUP($H378,TEN[],3,FALSE),"NA")</f>
        <v>NA</v>
      </c>
      <c r="Q378" s="77" t="str">
        <f>IFERROR(VLOOKUP($H378,TD[],3,FALSE),"NA")</f>
        <v>NA</v>
      </c>
      <c r="R378" s="77" t="str">
        <f>IFERROR(VLOOKUP($H378,TC[],3,FALSE),"NA")</f>
        <v>NA</v>
      </c>
      <c r="S378" s="77" t="str">
        <f>IFERROR(VLOOKUP($H378,TEV[],3,FALSE),"NA")</f>
        <v>NA</v>
      </c>
      <c r="T378" s="79">
        <f>SUM(TbAlquiler[[#This Row],[GENERAL]:[ELEVADOR]])</f>
        <v>0</v>
      </c>
      <c r="U378" s="80">
        <f>IF(VLOOKUP(TbAlquiler[[#This Row],[ITEM]],TbPiezas[],5,FALSE)="NA",0,VLOOKUP(TbAlquiler[[#This Row],[ITEM]],TbPiezas[],5,FALSE))</f>
        <v>0</v>
      </c>
      <c r="V378" s="81">
        <f>+TbAlquiler[[#This Row],[TOTAL]]*TbAlquiler[[#This Row],[P.U. (1)]]</f>
        <v>0</v>
      </c>
      <c r="W378" s="82">
        <f>+VLOOKUP(TbAlquiler[[#This Row],[ITEM]],TbPiezas[],6,FALSE)</f>
        <v>156.78</v>
      </c>
      <c r="X378" s="83">
        <f>+TbAlquiler[[#This Row],[TOTAL]]*TbAlquiler[[#This Row],[P.U. (2)]]</f>
        <v>0</v>
      </c>
      <c r="Y378" s="82">
        <f>+VLOOKUP(TbAlquiler[[#This Row],[ITEM]],TbPiezas[],7,FALSE)</f>
        <v>7.8390000000000004</v>
      </c>
      <c r="Z378" s="84">
        <f>+TbAlquiler[[#This Row],[TOTAL]]*TbAlquiler[[#This Row],[P.U. (3)]]</f>
        <v>0</v>
      </c>
    </row>
    <row r="379" spans="1:26" ht="15" customHeight="1" x14ac:dyDescent="0.3">
      <c r="A379" s="2"/>
      <c r="B379" s="85">
        <v>359</v>
      </c>
      <c r="C379" s="71" t="s">
        <v>720</v>
      </c>
      <c r="D379" s="72" t="s">
        <v>721</v>
      </c>
      <c r="E379" s="73"/>
      <c r="F379" s="74">
        <f>+VLOOKUP(C379,TbAlquiler[],13,FALSE)</f>
        <v>0</v>
      </c>
      <c r="G379" s="2"/>
      <c r="H379" s="75" t="str">
        <f t="shared" si="10"/>
        <v>RE.0260</v>
      </c>
      <c r="I379" s="59" t="str">
        <f t="shared" si="11"/>
        <v>ok</v>
      </c>
      <c r="J379" s="77">
        <f>IFERROR(VLOOKUP($H379,TG[],3,FALSE),"NA")</f>
        <v>0</v>
      </c>
      <c r="K379" s="77" t="str">
        <f>IFERROR(VLOOKUP($H379,TF[],3,FALSE),"NA")</f>
        <v>NA</v>
      </c>
      <c r="L379" s="77" t="str">
        <f>IFERROR(VLOOKUP($H379,TT[],3,FALSE),"NA")</f>
        <v>NA</v>
      </c>
      <c r="M379" s="77" t="str">
        <f>IFERROR(VLOOKUP($H379,TES[],3,FALSE),"NA")</f>
        <v>NA</v>
      </c>
      <c r="N379" s="77" t="str">
        <f>IFERROR(VLOOKUP($H379,TEC[],3,FALSE),"NA")</f>
        <v>NA</v>
      </c>
      <c r="O379" s="77" t="str">
        <f>IFERROR(VLOOKUP($H379,TP[],3,FALSE),"NA")</f>
        <v>NA</v>
      </c>
      <c r="P379" s="77" t="str">
        <f>IFERROR(VLOOKUP($H379,TEN[],3,FALSE),"NA")</f>
        <v>NA</v>
      </c>
      <c r="Q379" s="77" t="str">
        <f>IFERROR(VLOOKUP($H379,TD[],3,FALSE),"NA")</f>
        <v>NA</v>
      </c>
      <c r="R379" s="77" t="str">
        <f>IFERROR(VLOOKUP($H379,TC[],3,FALSE),"NA")</f>
        <v>NA</v>
      </c>
      <c r="S379" s="77" t="str">
        <f>IFERROR(VLOOKUP($H379,TEV[],3,FALSE),"NA")</f>
        <v>NA</v>
      </c>
      <c r="T379" s="79">
        <f>SUM(TbAlquiler[[#This Row],[GENERAL]:[ELEVADOR]])</f>
        <v>0</v>
      </c>
      <c r="U379" s="80">
        <f>IF(VLOOKUP(TbAlquiler[[#This Row],[ITEM]],TbPiezas[],5,FALSE)="NA",0,VLOOKUP(TbAlquiler[[#This Row],[ITEM]],TbPiezas[],5,FALSE))</f>
        <v>0</v>
      </c>
      <c r="V379" s="81">
        <f>+TbAlquiler[[#This Row],[TOTAL]]*TbAlquiler[[#This Row],[P.U. (1)]]</f>
        <v>0</v>
      </c>
      <c r="W379" s="82">
        <f>+VLOOKUP(TbAlquiler[[#This Row],[ITEM]],TbPiezas[],6,FALSE)</f>
        <v>161.4</v>
      </c>
      <c r="X379" s="83">
        <f>+TbAlquiler[[#This Row],[TOTAL]]*TbAlquiler[[#This Row],[P.U. (2)]]</f>
        <v>0</v>
      </c>
      <c r="Y379" s="82">
        <f>+VLOOKUP(TbAlquiler[[#This Row],[ITEM]],TbPiezas[],7,FALSE)</f>
        <v>8.07</v>
      </c>
      <c r="Z379" s="84">
        <f>+TbAlquiler[[#This Row],[TOTAL]]*TbAlquiler[[#This Row],[P.U. (3)]]</f>
        <v>0</v>
      </c>
    </row>
    <row r="380" spans="1:26" ht="15" customHeight="1" x14ac:dyDescent="0.3">
      <c r="A380" s="2"/>
      <c r="B380" s="85">
        <v>360</v>
      </c>
      <c r="C380" s="71" t="s">
        <v>722</v>
      </c>
      <c r="D380" s="72" t="s">
        <v>723</v>
      </c>
      <c r="E380" s="73"/>
      <c r="F380" s="74">
        <f>+VLOOKUP(C380,TbAlquiler[],13,FALSE)</f>
        <v>0</v>
      </c>
      <c r="G380" s="2"/>
      <c r="H380" s="75" t="str">
        <f t="shared" si="10"/>
        <v>RE.0300</v>
      </c>
      <c r="I380" s="59" t="str">
        <f t="shared" si="11"/>
        <v>ok</v>
      </c>
      <c r="J380" s="77">
        <f>IFERROR(VLOOKUP($H380,TG[],3,FALSE),"NA")</f>
        <v>0</v>
      </c>
      <c r="K380" s="77" t="str">
        <f>IFERROR(VLOOKUP($H380,TF[],3,FALSE),"NA")</f>
        <v>NA</v>
      </c>
      <c r="L380" s="77" t="str">
        <f>IFERROR(VLOOKUP($H380,TT[],3,FALSE),"NA")</f>
        <v>NA</v>
      </c>
      <c r="M380" s="77" t="str">
        <f>IFERROR(VLOOKUP($H380,TES[],3,FALSE),"NA")</f>
        <v>NA</v>
      </c>
      <c r="N380" s="77" t="str">
        <f>IFERROR(VLOOKUP($H380,TEC[],3,FALSE),"NA")</f>
        <v>NA</v>
      </c>
      <c r="O380" s="77" t="str">
        <f>IFERROR(VLOOKUP($H380,TP[],3,FALSE),"NA")</f>
        <v>NA</v>
      </c>
      <c r="P380" s="77" t="str">
        <f>IFERROR(VLOOKUP($H380,TEN[],3,FALSE),"NA")</f>
        <v>NA</v>
      </c>
      <c r="Q380" s="77" t="str">
        <f>IFERROR(VLOOKUP($H380,TD[],3,FALSE),"NA")</f>
        <v>NA</v>
      </c>
      <c r="R380" s="77" t="str">
        <f>IFERROR(VLOOKUP($H380,TC[],3,FALSE),"NA")</f>
        <v>NA</v>
      </c>
      <c r="S380" s="77" t="str">
        <f>IFERROR(VLOOKUP($H380,TEV[],3,FALSE),"NA")</f>
        <v>NA</v>
      </c>
      <c r="T380" s="79">
        <f>SUM(TbAlquiler[[#This Row],[GENERAL]:[ELEVADOR]])</f>
        <v>0</v>
      </c>
      <c r="U380" s="80">
        <f>IF(VLOOKUP(TbAlquiler[[#This Row],[ITEM]],TbPiezas[],5,FALSE)="NA",0,VLOOKUP(TbAlquiler[[#This Row],[ITEM]],TbPiezas[],5,FALSE))</f>
        <v>9.4</v>
      </c>
      <c r="V380" s="81">
        <f>+TbAlquiler[[#This Row],[TOTAL]]*TbAlquiler[[#This Row],[P.U. (1)]]</f>
        <v>0</v>
      </c>
      <c r="W380" s="82">
        <f>+VLOOKUP(TbAlquiler[[#This Row],[ITEM]],TbPiezas[],6,FALSE)</f>
        <v>1001.88</v>
      </c>
      <c r="X380" s="83">
        <f>+TbAlquiler[[#This Row],[TOTAL]]*TbAlquiler[[#This Row],[P.U. (2)]]</f>
        <v>0</v>
      </c>
      <c r="Y380" s="82">
        <f>+VLOOKUP(TbAlquiler[[#This Row],[ITEM]],TbPiezas[],7,FALSE)</f>
        <v>50.094000000000001</v>
      </c>
      <c r="Z380" s="84">
        <f>+TbAlquiler[[#This Row],[TOTAL]]*TbAlquiler[[#This Row],[P.U. (3)]]</f>
        <v>0</v>
      </c>
    </row>
    <row r="381" spans="1:26" ht="15" customHeight="1" x14ac:dyDescent="0.3">
      <c r="A381" s="2"/>
      <c r="B381" s="85">
        <v>361</v>
      </c>
      <c r="C381" s="71" t="s">
        <v>724</v>
      </c>
      <c r="D381" s="72" t="s">
        <v>725</v>
      </c>
      <c r="E381" s="73"/>
      <c r="F381" s="74">
        <f>+VLOOKUP(C381,TbAlquiler[],13,FALSE)</f>
        <v>0</v>
      </c>
      <c r="G381" s="2"/>
      <c r="H381" s="75" t="str">
        <f t="shared" si="10"/>
        <v>RE.0400</v>
      </c>
      <c r="I381" s="59" t="str">
        <f t="shared" si="11"/>
        <v>ok</v>
      </c>
      <c r="J381" s="77">
        <f>IFERROR(VLOOKUP($H381,TG[],3,FALSE),"NA")</f>
        <v>0</v>
      </c>
      <c r="K381" s="77" t="str">
        <f>IFERROR(VLOOKUP($H381,TF[],3,FALSE),"NA")</f>
        <v>NA</v>
      </c>
      <c r="L381" s="77" t="str">
        <f>IFERROR(VLOOKUP($H381,TT[],3,FALSE),"NA")</f>
        <v>NA</v>
      </c>
      <c r="M381" s="77" t="str">
        <f>IFERROR(VLOOKUP($H381,TES[],3,FALSE),"NA")</f>
        <v>NA</v>
      </c>
      <c r="N381" s="77" t="str">
        <f>IFERROR(VLOOKUP($H381,TEC[],3,FALSE),"NA")</f>
        <v>NA</v>
      </c>
      <c r="O381" s="77" t="str">
        <f>IFERROR(VLOOKUP($H381,TP[],3,FALSE),"NA")</f>
        <v>NA</v>
      </c>
      <c r="P381" s="77" t="str">
        <f>IFERROR(VLOOKUP($H381,TEN[],3,FALSE),"NA")</f>
        <v>NA</v>
      </c>
      <c r="Q381" s="77" t="str">
        <f>IFERROR(VLOOKUP($H381,TD[],3,FALSE),"NA")</f>
        <v>NA</v>
      </c>
      <c r="R381" s="77" t="str">
        <f>IFERROR(VLOOKUP($H381,TC[],3,FALSE),"NA")</f>
        <v>NA</v>
      </c>
      <c r="S381" s="77" t="str">
        <f>IFERROR(VLOOKUP($H381,TEV[],3,FALSE),"NA")</f>
        <v>NA</v>
      </c>
      <c r="T381" s="79">
        <f>SUM(TbAlquiler[[#This Row],[GENERAL]:[ELEVADOR]])</f>
        <v>0</v>
      </c>
      <c r="U381" s="80">
        <f>IF(VLOOKUP(TbAlquiler[[#This Row],[ITEM]],TbPiezas[],5,FALSE)="NA",0,VLOOKUP(TbAlquiler[[#This Row],[ITEM]],TbPiezas[],5,FALSE))</f>
        <v>27.1</v>
      </c>
      <c r="V381" s="81">
        <f>+TbAlquiler[[#This Row],[TOTAL]]*TbAlquiler[[#This Row],[P.U. (1)]]</f>
        <v>0</v>
      </c>
      <c r="W381" s="82">
        <f>+VLOOKUP(TbAlquiler[[#This Row],[ITEM]],TbPiezas[],6,FALSE)</f>
        <v>1421.64</v>
      </c>
      <c r="X381" s="83">
        <f>+TbAlquiler[[#This Row],[TOTAL]]*TbAlquiler[[#This Row],[P.U. (2)]]</f>
        <v>0</v>
      </c>
      <c r="Y381" s="82">
        <f>+VLOOKUP(TbAlquiler[[#This Row],[ITEM]],TbPiezas[],7,FALSE)</f>
        <v>71.082000000000008</v>
      </c>
      <c r="Z381" s="84">
        <f>+TbAlquiler[[#This Row],[TOTAL]]*TbAlquiler[[#This Row],[P.U. (3)]]</f>
        <v>0</v>
      </c>
    </row>
    <row r="382" spans="1:26" ht="15" customHeight="1" x14ac:dyDescent="0.3">
      <c r="A382" s="2"/>
      <c r="B382" s="85">
        <v>362</v>
      </c>
      <c r="C382" s="71" t="s">
        <v>726</v>
      </c>
      <c r="D382" s="72" t="s">
        <v>727</v>
      </c>
      <c r="E382" s="73"/>
      <c r="F382" s="74">
        <f>+VLOOKUP(C382,TbAlquiler[],13,FALSE)</f>
        <v>0</v>
      </c>
      <c r="G382" s="2"/>
      <c r="H382" s="75" t="str">
        <f t="shared" si="10"/>
        <v>RE.0450</v>
      </c>
      <c r="I382" s="59" t="str">
        <f t="shared" si="11"/>
        <v>ok</v>
      </c>
      <c r="J382" s="77">
        <f>IFERROR(VLOOKUP($H382,TG[],3,FALSE),"NA")</f>
        <v>0</v>
      </c>
      <c r="K382" s="77" t="str">
        <f>IFERROR(VLOOKUP($H382,TF[],3,FALSE),"NA")</f>
        <v>NA</v>
      </c>
      <c r="L382" s="77" t="str">
        <f>IFERROR(VLOOKUP($H382,TT[],3,FALSE),"NA")</f>
        <v>NA</v>
      </c>
      <c r="M382" s="77" t="str">
        <f>IFERROR(VLOOKUP($H382,TES[],3,FALSE),"NA")</f>
        <v>NA</v>
      </c>
      <c r="N382" s="77" t="str">
        <f>IFERROR(VLOOKUP($H382,TEC[],3,FALSE),"NA")</f>
        <v>NA</v>
      </c>
      <c r="O382" s="77" t="str">
        <f>IFERROR(VLOOKUP($H382,TP[],3,FALSE),"NA")</f>
        <v>NA</v>
      </c>
      <c r="P382" s="77" t="str">
        <f>IFERROR(VLOOKUP($H382,TEN[],3,FALSE),"NA")</f>
        <v>NA</v>
      </c>
      <c r="Q382" s="77" t="str">
        <f>IFERROR(VLOOKUP($H382,TD[],3,FALSE),"NA")</f>
        <v>NA</v>
      </c>
      <c r="R382" s="77" t="str">
        <f>IFERROR(VLOOKUP($H382,TC[],3,FALSE),"NA")</f>
        <v>NA</v>
      </c>
      <c r="S382" s="77" t="str">
        <f>IFERROR(VLOOKUP($H382,TEV[],3,FALSE),"NA")</f>
        <v>NA</v>
      </c>
      <c r="T382" s="79">
        <f>SUM(TbAlquiler[[#This Row],[GENERAL]:[ELEVADOR]])</f>
        <v>0</v>
      </c>
      <c r="U382" s="80">
        <f>IF(VLOOKUP(TbAlquiler[[#This Row],[ITEM]],TbPiezas[],5,FALSE)="NA",0,VLOOKUP(TbAlquiler[[#This Row],[ITEM]],TbPiezas[],5,FALSE))</f>
        <v>0</v>
      </c>
      <c r="V382" s="81">
        <f>+TbAlquiler[[#This Row],[TOTAL]]*TbAlquiler[[#This Row],[P.U. (1)]]</f>
        <v>0</v>
      </c>
      <c r="W382" s="82">
        <f>+VLOOKUP(TbAlquiler[[#This Row],[ITEM]],TbPiezas[],6,FALSE)</f>
        <v>225</v>
      </c>
      <c r="X382" s="83">
        <f>+TbAlquiler[[#This Row],[TOTAL]]*TbAlquiler[[#This Row],[P.U. (2)]]</f>
        <v>0</v>
      </c>
      <c r="Y382" s="82">
        <f>+VLOOKUP(TbAlquiler[[#This Row],[ITEM]],TbPiezas[],7,FALSE)</f>
        <v>11.25</v>
      </c>
      <c r="Z382" s="84">
        <f>+TbAlquiler[[#This Row],[TOTAL]]*TbAlquiler[[#This Row],[P.U. (3)]]</f>
        <v>0</v>
      </c>
    </row>
    <row r="383" spans="1:26" ht="15" customHeight="1" x14ac:dyDescent="0.3">
      <c r="A383" s="2"/>
      <c r="B383" s="85">
        <v>363</v>
      </c>
      <c r="C383" s="71" t="s">
        <v>728</v>
      </c>
      <c r="D383" s="72" t="s">
        <v>729</v>
      </c>
      <c r="E383" s="73"/>
      <c r="F383" s="74">
        <f>+VLOOKUP(C383,TbAlquiler[],13,FALSE)</f>
        <v>0</v>
      </c>
      <c r="G383" s="2"/>
      <c r="H383" s="75" t="str">
        <f t="shared" si="10"/>
        <v>RE.0460</v>
      </c>
      <c r="I383" s="59" t="str">
        <f t="shared" si="11"/>
        <v>ok</v>
      </c>
      <c r="J383" s="77">
        <f>IFERROR(VLOOKUP($H383,TG[],3,FALSE),"NA")</f>
        <v>0</v>
      </c>
      <c r="K383" s="77" t="str">
        <f>IFERROR(VLOOKUP($H383,TF[],3,FALSE),"NA")</f>
        <v>NA</v>
      </c>
      <c r="L383" s="77" t="str">
        <f>IFERROR(VLOOKUP($H383,TT[],3,FALSE),"NA")</f>
        <v>NA</v>
      </c>
      <c r="M383" s="77" t="str">
        <f>IFERROR(VLOOKUP($H383,TES[],3,FALSE),"NA")</f>
        <v>NA</v>
      </c>
      <c r="N383" s="77" t="str">
        <f>IFERROR(VLOOKUP($H383,TEC[],3,FALSE),"NA")</f>
        <v>NA</v>
      </c>
      <c r="O383" s="77" t="str">
        <f>IFERROR(VLOOKUP($H383,TP[],3,FALSE),"NA")</f>
        <v>NA</v>
      </c>
      <c r="P383" s="77" t="str">
        <f>IFERROR(VLOOKUP($H383,TEN[],3,FALSE),"NA")</f>
        <v>NA</v>
      </c>
      <c r="Q383" s="77" t="str">
        <f>IFERROR(VLOOKUP($H383,TD[],3,FALSE),"NA")</f>
        <v>NA</v>
      </c>
      <c r="R383" s="77" t="str">
        <f>IFERROR(VLOOKUP($H383,TC[],3,FALSE),"NA")</f>
        <v>NA</v>
      </c>
      <c r="S383" s="77" t="str">
        <f>IFERROR(VLOOKUP($H383,TEV[],3,FALSE),"NA")</f>
        <v>NA</v>
      </c>
      <c r="T383" s="79">
        <f>SUM(TbAlquiler[[#This Row],[GENERAL]:[ELEVADOR]])</f>
        <v>0</v>
      </c>
      <c r="U383" s="80">
        <f>IF(VLOOKUP(TbAlquiler[[#This Row],[ITEM]],TbPiezas[],5,FALSE)="NA",0,VLOOKUP(TbAlquiler[[#This Row],[ITEM]],TbPiezas[],5,FALSE))</f>
        <v>0</v>
      </c>
      <c r="V383" s="81">
        <f>+TbAlquiler[[#This Row],[TOTAL]]*TbAlquiler[[#This Row],[P.U. (1)]]</f>
        <v>0</v>
      </c>
      <c r="W383" s="82">
        <f>+VLOOKUP(TbAlquiler[[#This Row],[ITEM]],TbPiezas[],6,FALSE)</f>
        <v>126</v>
      </c>
      <c r="X383" s="83">
        <f>+TbAlquiler[[#This Row],[TOTAL]]*TbAlquiler[[#This Row],[P.U. (2)]]</f>
        <v>0</v>
      </c>
      <c r="Y383" s="82">
        <f>+VLOOKUP(TbAlquiler[[#This Row],[ITEM]],TbPiezas[],7,FALSE)</f>
        <v>6.3000000000000007</v>
      </c>
      <c r="Z383" s="84">
        <f>+TbAlquiler[[#This Row],[TOTAL]]*TbAlquiler[[#This Row],[P.U. (3)]]</f>
        <v>0</v>
      </c>
    </row>
    <row r="384" spans="1:26" ht="15" customHeight="1" x14ac:dyDescent="0.3">
      <c r="A384" s="2"/>
      <c r="B384" s="85">
        <v>364</v>
      </c>
      <c r="C384" s="71" t="s">
        <v>730</v>
      </c>
      <c r="D384" s="72" t="s">
        <v>731</v>
      </c>
      <c r="E384" s="73"/>
      <c r="F384" s="74">
        <f>+VLOOKUP(C384,TbAlquiler[],13,FALSE)</f>
        <v>0</v>
      </c>
      <c r="G384" s="2"/>
      <c r="H384" s="75" t="str">
        <f t="shared" si="10"/>
        <v>RE.0470</v>
      </c>
      <c r="I384" s="59" t="str">
        <f t="shared" si="11"/>
        <v>ok</v>
      </c>
      <c r="J384" s="77">
        <f>IFERROR(VLOOKUP($H384,TG[],3,FALSE),"NA")</f>
        <v>0</v>
      </c>
      <c r="K384" s="77" t="str">
        <f>IFERROR(VLOOKUP($H384,TF[],3,FALSE),"NA")</f>
        <v>NA</v>
      </c>
      <c r="L384" s="77" t="str">
        <f>IFERROR(VLOOKUP($H384,TT[],3,FALSE),"NA")</f>
        <v>NA</v>
      </c>
      <c r="M384" s="77" t="str">
        <f>IFERROR(VLOOKUP($H384,TES[],3,FALSE),"NA")</f>
        <v>NA</v>
      </c>
      <c r="N384" s="77" t="str">
        <f>IFERROR(VLOOKUP($H384,TEC[],3,FALSE),"NA")</f>
        <v>NA</v>
      </c>
      <c r="O384" s="77" t="str">
        <f>IFERROR(VLOOKUP($H384,TP[],3,FALSE),"NA")</f>
        <v>NA</v>
      </c>
      <c r="P384" s="77" t="str">
        <f>IFERROR(VLOOKUP($H384,TEN[],3,FALSE),"NA")</f>
        <v>NA</v>
      </c>
      <c r="Q384" s="77" t="str">
        <f>IFERROR(VLOOKUP($H384,TD[],3,FALSE),"NA")</f>
        <v>NA</v>
      </c>
      <c r="R384" s="77" t="str">
        <f>IFERROR(VLOOKUP($H384,TC[],3,FALSE),"NA")</f>
        <v>NA</v>
      </c>
      <c r="S384" s="77" t="str">
        <f>IFERROR(VLOOKUP($H384,TEV[],3,FALSE),"NA")</f>
        <v>NA</v>
      </c>
      <c r="T384" s="79">
        <f>SUM(TbAlquiler[[#This Row],[GENERAL]:[ELEVADOR]])</f>
        <v>0</v>
      </c>
      <c r="U384" s="80">
        <f>IF(VLOOKUP(TbAlquiler[[#This Row],[ITEM]],TbPiezas[],5,FALSE)="NA",0,VLOOKUP(TbAlquiler[[#This Row],[ITEM]],TbPiezas[],5,FALSE))</f>
        <v>0</v>
      </c>
      <c r="V384" s="81">
        <f>+TbAlquiler[[#This Row],[TOTAL]]*TbAlquiler[[#This Row],[P.U. (1)]]</f>
        <v>0</v>
      </c>
      <c r="W384" s="82">
        <f>+VLOOKUP(TbAlquiler[[#This Row],[ITEM]],TbPiezas[],6,FALSE)</f>
        <v>161.4</v>
      </c>
      <c r="X384" s="83">
        <f>+TbAlquiler[[#This Row],[TOTAL]]*TbAlquiler[[#This Row],[P.U. (2)]]</f>
        <v>0</v>
      </c>
      <c r="Y384" s="82">
        <f>+VLOOKUP(TbAlquiler[[#This Row],[ITEM]],TbPiezas[],7,FALSE)</f>
        <v>8.07</v>
      </c>
      <c r="Z384" s="84">
        <f>+TbAlquiler[[#This Row],[TOTAL]]*TbAlquiler[[#This Row],[P.U. (3)]]</f>
        <v>0</v>
      </c>
    </row>
    <row r="385" spans="1:26" ht="15" customHeight="1" x14ac:dyDescent="0.3">
      <c r="A385" s="2"/>
      <c r="B385" s="85">
        <v>365</v>
      </c>
      <c r="C385" s="71" t="s">
        <v>732</v>
      </c>
      <c r="D385" s="72" t="s">
        <v>733</v>
      </c>
      <c r="E385" s="73"/>
      <c r="F385" s="74">
        <f>+VLOOKUP(C385,TbAlquiler[],13,FALSE)</f>
        <v>0</v>
      </c>
      <c r="G385" s="2"/>
      <c r="H385" s="75" t="str">
        <f t="shared" si="10"/>
        <v>RE.0500</v>
      </c>
      <c r="I385" s="59" t="str">
        <f t="shared" si="11"/>
        <v>ok</v>
      </c>
      <c r="J385" s="77">
        <f>IFERROR(VLOOKUP($H385,TG[],3,FALSE),"NA")</f>
        <v>0</v>
      </c>
      <c r="K385" s="77" t="str">
        <f>IFERROR(VLOOKUP($H385,TF[],3,FALSE),"NA")</f>
        <v>NA</v>
      </c>
      <c r="L385" s="77" t="str">
        <f>IFERROR(VLOOKUP($H385,TT[],3,FALSE),"NA")</f>
        <v>NA</v>
      </c>
      <c r="M385" s="77" t="str">
        <f>IFERROR(VLOOKUP($H385,TES[],3,FALSE),"NA")</f>
        <v>NA</v>
      </c>
      <c r="N385" s="77" t="str">
        <f>IFERROR(VLOOKUP($H385,TEC[],3,FALSE),"NA")</f>
        <v>NA</v>
      </c>
      <c r="O385" s="77" t="str">
        <f>IFERROR(VLOOKUP($H385,TP[],3,FALSE),"NA")</f>
        <v>NA</v>
      </c>
      <c r="P385" s="77" t="str">
        <f>IFERROR(VLOOKUP($H385,TEN[],3,FALSE),"NA")</f>
        <v>NA</v>
      </c>
      <c r="Q385" s="77" t="str">
        <f>IFERROR(VLOOKUP($H385,TD[],3,FALSE),"NA")</f>
        <v>NA</v>
      </c>
      <c r="R385" s="77" t="str">
        <f>IFERROR(VLOOKUP($H385,TC[],3,FALSE),"NA")</f>
        <v>NA</v>
      </c>
      <c r="S385" s="77" t="str">
        <f>IFERROR(VLOOKUP($H385,TEV[],3,FALSE),"NA")</f>
        <v>NA</v>
      </c>
      <c r="T385" s="79">
        <f>SUM(TbAlquiler[[#This Row],[GENERAL]:[ELEVADOR]])</f>
        <v>0</v>
      </c>
      <c r="U385" s="80">
        <f>IF(VLOOKUP(TbAlquiler[[#This Row],[ITEM]],TbPiezas[],5,FALSE)="NA",0,VLOOKUP(TbAlquiler[[#This Row],[ITEM]],TbPiezas[],5,FALSE))</f>
        <v>1</v>
      </c>
      <c r="V385" s="81">
        <f>+TbAlquiler[[#This Row],[TOTAL]]*TbAlquiler[[#This Row],[P.U. (1)]]</f>
        <v>0</v>
      </c>
      <c r="W385" s="82">
        <f>+VLOOKUP(TbAlquiler[[#This Row],[ITEM]],TbPiezas[],6,FALSE)</f>
        <v>142.56</v>
      </c>
      <c r="X385" s="83">
        <f>+TbAlquiler[[#This Row],[TOTAL]]*TbAlquiler[[#This Row],[P.U. (2)]]</f>
        <v>0</v>
      </c>
      <c r="Y385" s="82">
        <f>+VLOOKUP(TbAlquiler[[#This Row],[ITEM]],TbPiezas[],7,FALSE)</f>
        <v>7.1280000000000001</v>
      </c>
      <c r="Z385" s="84">
        <f>+TbAlquiler[[#This Row],[TOTAL]]*TbAlquiler[[#This Row],[P.U. (3)]]</f>
        <v>0</v>
      </c>
    </row>
    <row r="386" spans="1:26" ht="15" customHeight="1" x14ac:dyDescent="0.3">
      <c r="A386" s="2"/>
      <c r="B386" s="85">
        <v>366</v>
      </c>
      <c r="C386" s="71" t="s">
        <v>734</v>
      </c>
      <c r="D386" s="72" t="s">
        <v>735</v>
      </c>
      <c r="E386" s="73"/>
      <c r="F386" s="74">
        <f>+VLOOKUP(C386,TbAlquiler[],13,FALSE)</f>
        <v>0</v>
      </c>
      <c r="G386" s="2"/>
      <c r="H386" s="75" t="str">
        <f t="shared" si="10"/>
        <v>RE.0600</v>
      </c>
      <c r="I386" s="59" t="str">
        <f t="shared" si="11"/>
        <v>ok</v>
      </c>
      <c r="J386" s="77">
        <f>IFERROR(VLOOKUP($H386,TG[],3,FALSE),"NA")</f>
        <v>0</v>
      </c>
      <c r="K386" s="77" t="str">
        <f>IFERROR(VLOOKUP($H386,TF[],3,FALSE),"NA")</f>
        <v>NA</v>
      </c>
      <c r="L386" s="77" t="str">
        <f>IFERROR(VLOOKUP($H386,TT[],3,FALSE),"NA")</f>
        <v>NA</v>
      </c>
      <c r="M386" s="77" t="str">
        <f>IFERROR(VLOOKUP($H386,TES[],3,FALSE),"NA")</f>
        <v>NA</v>
      </c>
      <c r="N386" s="77" t="str">
        <f>IFERROR(VLOOKUP($H386,TEC[],3,FALSE),"NA")</f>
        <v>NA</v>
      </c>
      <c r="O386" s="77" t="str">
        <f>IFERROR(VLOOKUP($H386,TP[],3,FALSE),"NA")</f>
        <v>NA</v>
      </c>
      <c r="P386" s="77" t="str">
        <f>IFERROR(VLOOKUP($H386,TEN[],3,FALSE),"NA")</f>
        <v>NA</v>
      </c>
      <c r="Q386" s="77" t="str">
        <f>IFERROR(VLOOKUP($H386,TD[],3,FALSE),"NA")</f>
        <v>NA</v>
      </c>
      <c r="R386" s="77" t="str">
        <f>IFERROR(VLOOKUP($H386,TC[],3,FALSE),"NA")</f>
        <v>NA</v>
      </c>
      <c r="S386" s="77" t="str">
        <f>IFERROR(VLOOKUP($H386,TEV[],3,FALSE),"NA")</f>
        <v>NA</v>
      </c>
      <c r="T386" s="79">
        <f>SUM(TbAlquiler[[#This Row],[GENERAL]:[ELEVADOR]])</f>
        <v>0</v>
      </c>
      <c r="U386" s="80">
        <f>IF(VLOOKUP(TbAlquiler[[#This Row],[ITEM]],TbPiezas[],5,FALSE)="NA",0,VLOOKUP(TbAlquiler[[#This Row],[ITEM]],TbPiezas[],5,FALSE))</f>
        <v>13</v>
      </c>
      <c r="V386" s="81">
        <f>+TbAlquiler[[#This Row],[TOTAL]]*TbAlquiler[[#This Row],[P.U. (1)]]</f>
        <v>0</v>
      </c>
      <c r="W386" s="82">
        <f>+VLOOKUP(TbAlquiler[[#This Row],[ITEM]],TbPiezas[],6,FALSE)</f>
        <v>2459.16</v>
      </c>
      <c r="X386" s="83">
        <f>+TbAlquiler[[#This Row],[TOTAL]]*TbAlquiler[[#This Row],[P.U. (2)]]</f>
        <v>0</v>
      </c>
      <c r="Y386" s="82">
        <f>+VLOOKUP(TbAlquiler[[#This Row],[ITEM]],TbPiezas[],7,FALSE)</f>
        <v>122.958</v>
      </c>
      <c r="Z386" s="84">
        <f>+TbAlquiler[[#This Row],[TOTAL]]*TbAlquiler[[#This Row],[P.U. (3)]]</f>
        <v>0</v>
      </c>
    </row>
    <row r="387" spans="1:26" ht="15" customHeight="1" x14ac:dyDescent="0.3">
      <c r="A387" s="2"/>
      <c r="B387" s="85">
        <v>367</v>
      </c>
      <c r="C387" s="71" t="s">
        <v>736</v>
      </c>
      <c r="D387" s="72" t="s">
        <v>737</v>
      </c>
      <c r="E387" s="73"/>
      <c r="F387" s="74">
        <f>+VLOOKUP(C387,TbAlquiler[],13,FALSE)</f>
        <v>0</v>
      </c>
      <c r="G387" s="2"/>
      <c r="H387" s="75" t="str">
        <f t="shared" si="10"/>
        <v>RE.0700</v>
      </c>
      <c r="I387" s="59" t="str">
        <f t="shared" si="11"/>
        <v>ok</v>
      </c>
      <c r="J387" s="77">
        <f>IFERROR(VLOOKUP($H387,TG[],3,FALSE),"NA")</f>
        <v>0</v>
      </c>
      <c r="K387" s="77" t="str">
        <f>IFERROR(VLOOKUP($H387,TF[],3,FALSE),"NA")</f>
        <v>NA</v>
      </c>
      <c r="L387" s="77" t="str">
        <f>IFERROR(VLOOKUP($H387,TT[],3,FALSE),"NA")</f>
        <v>NA</v>
      </c>
      <c r="M387" s="77" t="str">
        <f>IFERROR(VLOOKUP($H387,TES[],3,FALSE),"NA")</f>
        <v>NA</v>
      </c>
      <c r="N387" s="77" t="str">
        <f>IFERROR(VLOOKUP($H387,TEC[],3,FALSE),"NA")</f>
        <v>NA</v>
      </c>
      <c r="O387" s="77" t="str">
        <f>IFERROR(VLOOKUP($H387,TP[],3,FALSE),"NA")</f>
        <v>NA</v>
      </c>
      <c r="P387" s="77" t="str">
        <f>IFERROR(VLOOKUP($H387,TEN[],3,FALSE),"NA")</f>
        <v>NA</v>
      </c>
      <c r="Q387" s="77" t="str">
        <f>IFERROR(VLOOKUP($H387,TD[],3,FALSE),"NA")</f>
        <v>NA</v>
      </c>
      <c r="R387" s="77" t="str">
        <f>IFERROR(VLOOKUP($H387,TC[],3,FALSE),"NA")</f>
        <v>NA</v>
      </c>
      <c r="S387" s="77" t="str">
        <f>IFERROR(VLOOKUP($H387,TEV[],3,FALSE),"NA")</f>
        <v>NA</v>
      </c>
      <c r="T387" s="79">
        <f>SUM(TbAlquiler[[#This Row],[GENERAL]:[ELEVADOR]])</f>
        <v>0</v>
      </c>
      <c r="U387" s="80">
        <f>IF(VLOOKUP(TbAlquiler[[#This Row],[ITEM]],TbPiezas[],5,FALSE)="NA",0,VLOOKUP(TbAlquiler[[#This Row],[ITEM]],TbPiezas[],5,FALSE))</f>
        <v>2.5</v>
      </c>
      <c r="V387" s="81">
        <f>+TbAlquiler[[#This Row],[TOTAL]]*TbAlquiler[[#This Row],[P.U. (1)]]</f>
        <v>0</v>
      </c>
      <c r="W387" s="82">
        <f>+VLOOKUP(TbAlquiler[[#This Row],[ITEM]],TbPiezas[],6,FALSE)</f>
        <v>253.44</v>
      </c>
      <c r="X387" s="83">
        <f>+TbAlquiler[[#This Row],[TOTAL]]*TbAlquiler[[#This Row],[P.U. (2)]]</f>
        <v>0</v>
      </c>
      <c r="Y387" s="82">
        <f>+VLOOKUP(TbAlquiler[[#This Row],[ITEM]],TbPiezas[],7,FALSE)</f>
        <v>12.672000000000001</v>
      </c>
      <c r="Z387" s="84">
        <f>+TbAlquiler[[#This Row],[TOTAL]]*TbAlquiler[[#This Row],[P.U. (3)]]</f>
        <v>0</v>
      </c>
    </row>
    <row r="388" spans="1:26" ht="15" customHeight="1" x14ac:dyDescent="0.3">
      <c r="A388" s="2"/>
      <c r="B388" s="85">
        <v>368</v>
      </c>
      <c r="C388" s="71" t="s">
        <v>738</v>
      </c>
      <c r="D388" s="72" t="s">
        <v>739</v>
      </c>
      <c r="E388" s="73"/>
      <c r="F388" s="74">
        <f>+VLOOKUP(C388,TbAlquiler[],13,FALSE)</f>
        <v>0</v>
      </c>
      <c r="G388" s="2"/>
      <c r="H388" s="75" t="str">
        <f t="shared" si="10"/>
        <v>RE.0800</v>
      </c>
      <c r="I388" s="59" t="str">
        <f t="shared" si="11"/>
        <v>ok</v>
      </c>
      <c r="J388" s="77">
        <f>IFERROR(VLOOKUP($H388,TG[],3,FALSE),"NA")</f>
        <v>0</v>
      </c>
      <c r="K388" s="77" t="str">
        <f>IFERROR(VLOOKUP($H388,TF[],3,FALSE),"NA")</f>
        <v>NA</v>
      </c>
      <c r="L388" s="77" t="str">
        <f>IFERROR(VLOOKUP($H388,TT[],3,FALSE),"NA")</f>
        <v>NA</v>
      </c>
      <c r="M388" s="77" t="str">
        <f>IFERROR(VLOOKUP($H388,TES[],3,FALSE),"NA")</f>
        <v>NA</v>
      </c>
      <c r="N388" s="77" t="str">
        <f>IFERROR(VLOOKUP($H388,TEC[],3,FALSE),"NA")</f>
        <v>NA</v>
      </c>
      <c r="O388" s="77" t="str">
        <f>IFERROR(VLOOKUP($H388,TP[],3,FALSE),"NA")</f>
        <v>NA</v>
      </c>
      <c r="P388" s="77" t="str">
        <f>IFERROR(VLOOKUP($H388,TEN[],3,FALSE),"NA")</f>
        <v>NA</v>
      </c>
      <c r="Q388" s="77" t="str">
        <f>IFERROR(VLOOKUP($H388,TD[],3,FALSE),"NA")</f>
        <v>NA</v>
      </c>
      <c r="R388" s="77" t="str">
        <f>IFERROR(VLOOKUP($H388,TC[],3,FALSE),"NA")</f>
        <v>NA</v>
      </c>
      <c r="S388" s="77" t="str">
        <f>IFERROR(VLOOKUP($H388,TEV[],3,FALSE),"NA")</f>
        <v>NA</v>
      </c>
      <c r="T388" s="79">
        <f>SUM(TbAlquiler[[#This Row],[GENERAL]:[ELEVADOR]])</f>
        <v>0</v>
      </c>
      <c r="U388" s="80">
        <f>IF(VLOOKUP(TbAlquiler[[#This Row],[ITEM]],TbPiezas[],5,FALSE)="NA",0,VLOOKUP(TbAlquiler[[#This Row],[ITEM]],TbPiezas[],5,FALSE))</f>
        <v>0.15</v>
      </c>
      <c r="V388" s="81">
        <f>+TbAlquiler[[#This Row],[TOTAL]]*TbAlquiler[[#This Row],[P.U. (1)]]</f>
        <v>0</v>
      </c>
      <c r="W388" s="82">
        <f>+VLOOKUP(TbAlquiler[[#This Row],[ITEM]],TbPiezas[],6,FALSE)</f>
        <v>18</v>
      </c>
      <c r="X388" s="83">
        <f>+TbAlquiler[[#This Row],[TOTAL]]*TbAlquiler[[#This Row],[P.U. (2)]]</f>
        <v>0</v>
      </c>
      <c r="Y388" s="82">
        <f>+VLOOKUP(TbAlquiler[[#This Row],[ITEM]],TbPiezas[],7,FALSE)</f>
        <v>0.9</v>
      </c>
      <c r="Z388" s="84">
        <f>+TbAlquiler[[#This Row],[TOTAL]]*TbAlquiler[[#This Row],[P.U. (3)]]</f>
        <v>0</v>
      </c>
    </row>
    <row r="389" spans="1:26" ht="15" customHeight="1" x14ac:dyDescent="0.3">
      <c r="A389" s="2"/>
      <c r="B389" s="85">
        <v>369</v>
      </c>
      <c r="C389" s="71" t="s">
        <v>740</v>
      </c>
      <c r="D389" s="72" t="s">
        <v>741</v>
      </c>
      <c r="E389" s="73"/>
      <c r="F389" s="74">
        <f>+VLOOKUP(C389,TbAlquiler[],13,FALSE)</f>
        <v>0</v>
      </c>
      <c r="G389" s="2"/>
      <c r="H389" s="75" t="str">
        <f t="shared" si="10"/>
        <v>RE.0810</v>
      </c>
      <c r="I389" s="59" t="str">
        <f t="shared" si="11"/>
        <v>ok</v>
      </c>
      <c r="J389" s="77">
        <f>IFERROR(VLOOKUP($H389,TG[],3,FALSE),"NA")</f>
        <v>0</v>
      </c>
      <c r="K389" s="77" t="str">
        <f>IFERROR(VLOOKUP($H389,TF[],3,FALSE),"NA")</f>
        <v>NA</v>
      </c>
      <c r="L389" s="77" t="str">
        <f>IFERROR(VLOOKUP($H389,TT[],3,FALSE),"NA")</f>
        <v>NA</v>
      </c>
      <c r="M389" s="77" t="str">
        <f>IFERROR(VLOOKUP($H389,TES[],3,FALSE),"NA")</f>
        <v>NA</v>
      </c>
      <c r="N389" s="77" t="str">
        <f>IFERROR(VLOOKUP($H389,TEC[],3,FALSE),"NA")</f>
        <v>NA</v>
      </c>
      <c r="O389" s="77" t="str">
        <f>IFERROR(VLOOKUP($H389,TP[],3,FALSE),"NA")</f>
        <v>NA</v>
      </c>
      <c r="P389" s="77" t="str">
        <f>IFERROR(VLOOKUP($H389,TEN[],3,FALSE),"NA")</f>
        <v>NA</v>
      </c>
      <c r="Q389" s="77" t="str">
        <f>IFERROR(VLOOKUP($H389,TD[],3,FALSE),"NA")</f>
        <v>NA</v>
      </c>
      <c r="R389" s="77" t="str">
        <f>IFERROR(VLOOKUP($H389,TC[],3,FALSE),"NA")</f>
        <v>NA</v>
      </c>
      <c r="S389" s="77" t="str">
        <f>IFERROR(VLOOKUP($H389,TEV[],3,FALSE),"NA")</f>
        <v>NA</v>
      </c>
      <c r="T389" s="79">
        <f>SUM(TbAlquiler[[#This Row],[GENERAL]:[ELEVADOR]])</f>
        <v>0</v>
      </c>
      <c r="U389" s="80">
        <f>IF(VLOOKUP(TbAlquiler[[#This Row],[ITEM]],TbPiezas[],5,FALSE)="NA",0,VLOOKUP(TbAlquiler[[#This Row],[ITEM]],TbPiezas[],5,FALSE))</f>
        <v>0.01</v>
      </c>
      <c r="V389" s="81">
        <f>+TbAlquiler[[#This Row],[TOTAL]]*TbAlquiler[[#This Row],[P.U. (1)]]</f>
        <v>0</v>
      </c>
      <c r="W389" s="82">
        <f>+VLOOKUP(TbAlquiler[[#This Row],[ITEM]],TbPiezas[],6,FALSE)</f>
        <v>2</v>
      </c>
      <c r="X389" s="83">
        <f>+TbAlquiler[[#This Row],[TOTAL]]*TbAlquiler[[#This Row],[P.U. (2)]]</f>
        <v>0</v>
      </c>
      <c r="Y389" s="82">
        <f>+VLOOKUP(TbAlquiler[[#This Row],[ITEM]],TbPiezas[],7,FALSE)</f>
        <v>0.1</v>
      </c>
      <c r="Z389" s="84">
        <f>+TbAlquiler[[#This Row],[TOTAL]]*TbAlquiler[[#This Row],[P.U. (3)]]</f>
        <v>0</v>
      </c>
    </row>
    <row r="390" spans="1:26" s="4" customFormat="1" x14ac:dyDescent="0.3">
      <c r="A390" s="2"/>
      <c r="B390" s="85">
        <v>370</v>
      </c>
      <c r="C390" s="429" t="s">
        <v>742</v>
      </c>
      <c r="D390" s="430" t="s">
        <v>743</v>
      </c>
      <c r="E390" s="431"/>
      <c r="F390" s="432">
        <f>+VLOOKUP(C390,TbAlquiler[],13,FALSE)</f>
        <v>0</v>
      </c>
      <c r="G390" s="2"/>
      <c r="H390" s="75" t="str">
        <f t="shared" si="10"/>
        <v>RE.0900</v>
      </c>
      <c r="I390" s="59" t="str">
        <f t="shared" si="11"/>
        <v>ok</v>
      </c>
      <c r="J390" s="77">
        <f>IFERROR(VLOOKUP($H390,TG[],3,FALSE),"NA")</f>
        <v>0</v>
      </c>
      <c r="K390" s="77" t="str">
        <f>IFERROR(VLOOKUP($H390,TF[],3,FALSE),"NA")</f>
        <v>NA</v>
      </c>
      <c r="L390" s="77" t="str">
        <f>IFERROR(VLOOKUP($H390,TT[],3,FALSE),"NA")</f>
        <v>NA</v>
      </c>
      <c r="M390" s="77" t="str">
        <f>IFERROR(VLOOKUP($H390,TES[],3,FALSE),"NA")</f>
        <v>NA</v>
      </c>
      <c r="N390" s="77" t="str">
        <f>IFERROR(VLOOKUP($H390,TEC[],3,FALSE),"NA")</f>
        <v>NA</v>
      </c>
      <c r="O390" s="77" t="str">
        <f>IFERROR(VLOOKUP($H390,TP[],3,FALSE),"NA")</f>
        <v>NA</v>
      </c>
      <c r="P390" s="77" t="str">
        <f>IFERROR(VLOOKUP($H390,TEN[],3,FALSE),"NA")</f>
        <v>NA</v>
      </c>
      <c r="Q390" s="77" t="str">
        <f>IFERROR(VLOOKUP($H390,TD[],3,FALSE),"NA")</f>
        <v>NA</v>
      </c>
      <c r="R390" s="77" t="str">
        <f>IFERROR(VLOOKUP($H390,TC[],3,FALSE),"NA")</f>
        <v>NA</v>
      </c>
      <c r="S390" s="77" t="str">
        <f>IFERROR(VLOOKUP($H390,TEV[],3,FALSE),"NA")</f>
        <v>NA</v>
      </c>
      <c r="T390" s="79">
        <f>SUM(TbAlquiler[[#This Row],[GENERAL]:[ELEVADOR]])</f>
        <v>0</v>
      </c>
      <c r="U390" s="80">
        <f>IF(VLOOKUP(TbAlquiler[[#This Row],[ITEM]],TbPiezas[],5,FALSE)="NA",0,VLOOKUP(TbAlquiler[[#This Row],[ITEM]],TbPiezas[],5,FALSE))</f>
        <v>0</v>
      </c>
      <c r="V390" s="81">
        <f>+TbAlquiler[[#This Row],[TOTAL]]*TbAlquiler[[#This Row],[P.U. (1)]]</f>
        <v>0</v>
      </c>
      <c r="W390" s="82">
        <f>+VLOOKUP(TbAlquiler[[#This Row],[ITEM]],TbPiezas[],6,FALSE)</f>
        <v>249</v>
      </c>
      <c r="X390" s="83">
        <f>+TbAlquiler[[#This Row],[TOTAL]]*TbAlquiler[[#This Row],[P.U. (2)]]</f>
        <v>0</v>
      </c>
      <c r="Y390" s="82">
        <f>+VLOOKUP(TbAlquiler[[#This Row],[ITEM]],TbPiezas[],7,FALSE)</f>
        <v>12.450000000000001</v>
      </c>
      <c r="Z390" s="84">
        <f>+TbAlquiler[[#This Row],[TOTAL]]*TbAlquiler[[#This Row],[P.U. (3)]]</f>
        <v>0</v>
      </c>
    </row>
    <row r="391" spans="1:26" s="4" customFormat="1" x14ac:dyDescent="0.3">
      <c r="A391" s="2"/>
      <c r="B391" s="85">
        <v>371</v>
      </c>
      <c r="C391" s="71" t="s">
        <v>744</v>
      </c>
      <c r="D391" s="72" t="s">
        <v>745</v>
      </c>
      <c r="E391" s="73"/>
      <c r="F391" s="74">
        <f>+VLOOKUP(C391,TbAlquiler[],13,FALSE)</f>
        <v>1</v>
      </c>
      <c r="G391" s="2"/>
      <c r="H391" s="75" t="str">
        <f t="shared" si="10"/>
        <v>EV.0100</v>
      </c>
      <c r="I391" s="59" t="str">
        <f t="shared" si="11"/>
        <v>ok</v>
      </c>
      <c r="J391" s="77">
        <f>IFERROR(VLOOKUP($H391,TG[],3,FALSE),"NA")</f>
        <v>0</v>
      </c>
      <c r="K391" s="77" t="str">
        <f>IFERROR(VLOOKUP($H391,TF[],3,FALSE),"NA")</f>
        <v>NA</v>
      </c>
      <c r="L391" s="77" t="str">
        <f>IFERROR(VLOOKUP($H391,TT[],3,FALSE),"NA")</f>
        <v>NA</v>
      </c>
      <c r="M391" s="77" t="str">
        <f>IFERROR(VLOOKUP($H391,TES[],3,FALSE),"NA")</f>
        <v>NA</v>
      </c>
      <c r="N391" s="77" t="str">
        <f>IFERROR(VLOOKUP($H391,TEC[],3,FALSE),"NA")</f>
        <v>NA</v>
      </c>
      <c r="O391" s="77" t="str">
        <f>IFERROR(VLOOKUP($H391,TP[],3,FALSE),"NA")</f>
        <v>NA</v>
      </c>
      <c r="P391" s="77" t="str">
        <f>IFERROR(VLOOKUP($H391,TEN[],3,FALSE),"NA")</f>
        <v>NA</v>
      </c>
      <c r="Q391" s="77" t="str">
        <f>IFERROR(VLOOKUP($H391,TD[],3,FALSE),"NA")</f>
        <v>NA</v>
      </c>
      <c r="R391" s="77" t="str">
        <f>IFERROR(VLOOKUP($H391,TC[],3,FALSE),"NA")</f>
        <v>NA</v>
      </c>
      <c r="S391" s="77">
        <f>IFERROR(VLOOKUP($H391,TEV[],3,FALSE),"NA")</f>
        <v>1</v>
      </c>
      <c r="T391" s="79">
        <f>SUM(TbAlquiler[[#This Row],[GENERAL]:[ELEVADOR]])</f>
        <v>1</v>
      </c>
      <c r="U391" s="80">
        <f>IF(VLOOKUP(TbAlquiler[[#This Row],[ITEM]],TbPiezas[],5,FALSE)="NA",0,VLOOKUP(TbAlquiler[[#This Row],[ITEM]],TbPiezas[],5,FALSE))</f>
        <v>1100</v>
      </c>
      <c r="V391" s="81">
        <f>+TbAlquiler[[#This Row],[TOTAL]]*TbAlquiler[[#This Row],[P.U. (1)]]</f>
        <v>1100</v>
      </c>
      <c r="W391" s="82">
        <f>+VLOOKUP(TbAlquiler[[#This Row],[ITEM]],TbPiezas[],6,FALSE)</f>
        <v>60984</v>
      </c>
      <c r="X391" s="83">
        <f>+TbAlquiler[[#This Row],[TOTAL]]*TbAlquiler[[#This Row],[P.U. (2)]]</f>
        <v>60984</v>
      </c>
      <c r="Y391" s="82">
        <f>+VLOOKUP(TbAlquiler[[#This Row],[ITEM]],TbPiezas[],7,FALSE)</f>
        <v>3049.2000000000003</v>
      </c>
      <c r="Z391" s="84">
        <f>+TbAlquiler[[#This Row],[TOTAL]]*TbAlquiler[[#This Row],[P.U. (3)]]</f>
        <v>3049.2000000000003</v>
      </c>
    </row>
    <row r="392" spans="1:26" s="4" customFormat="1" x14ac:dyDescent="0.3">
      <c r="A392" s="2"/>
      <c r="B392" s="85">
        <v>372</v>
      </c>
      <c r="C392" s="71" t="s">
        <v>746</v>
      </c>
      <c r="D392" s="72" t="s">
        <v>747</v>
      </c>
      <c r="E392" s="73"/>
      <c r="F392" s="74">
        <f>+VLOOKUP(C392,TbAlquiler[],13,FALSE)</f>
        <v>0</v>
      </c>
      <c r="G392" s="2"/>
      <c r="H392" s="75" t="str">
        <f t="shared" si="10"/>
        <v>EV.0200</v>
      </c>
      <c r="I392" s="59" t="str">
        <f t="shared" si="11"/>
        <v>ok</v>
      </c>
      <c r="J392" s="77">
        <f>IFERROR(VLOOKUP($H392,TG[],3,FALSE),"NA")</f>
        <v>0</v>
      </c>
      <c r="K392" s="77" t="str">
        <f>IFERROR(VLOOKUP($H392,TF[],3,FALSE),"NA")</f>
        <v>NA</v>
      </c>
      <c r="L392" s="77" t="str">
        <f>IFERROR(VLOOKUP($H392,TT[],3,FALSE),"NA")</f>
        <v>NA</v>
      </c>
      <c r="M392" s="77" t="str">
        <f>IFERROR(VLOOKUP($H392,TES[],3,FALSE),"NA")</f>
        <v>NA</v>
      </c>
      <c r="N392" s="77" t="str">
        <f>IFERROR(VLOOKUP($H392,TEC[],3,FALSE),"NA")</f>
        <v>NA</v>
      </c>
      <c r="O392" s="77" t="str">
        <f>IFERROR(VLOOKUP($H392,TP[],3,FALSE),"NA")</f>
        <v>NA</v>
      </c>
      <c r="P392" s="77" t="str">
        <f>IFERROR(VLOOKUP($H392,TEN[],3,FALSE),"NA")</f>
        <v>NA</v>
      </c>
      <c r="Q392" s="77" t="str">
        <f>IFERROR(VLOOKUP($H392,TD[],3,FALSE),"NA")</f>
        <v>NA</v>
      </c>
      <c r="R392" s="77" t="str">
        <f>IFERROR(VLOOKUP($H392,TC[],3,FALSE),"NA")</f>
        <v>NA</v>
      </c>
      <c r="S392" s="77">
        <f>IFERROR(VLOOKUP($H392,TEV[],3,FALSE),"NA")</f>
        <v>0</v>
      </c>
      <c r="T392" s="79">
        <f>SUM(TbAlquiler[[#This Row],[GENERAL]:[ELEVADOR]])</f>
        <v>0</v>
      </c>
      <c r="U392" s="80">
        <f>IF(VLOOKUP(TbAlquiler[[#This Row],[ITEM]],TbPiezas[],5,FALSE)="NA",0,VLOOKUP(TbAlquiler[[#This Row],[ITEM]],TbPiezas[],5,FALSE))</f>
        <v>1100</v>
      </c>
      <c r="V392" s="81">
        <f>+TbAlquiler[[#This Row],[TOTAL]]*TbAlquiler[[#This Row],[P.U. (1)]]</f>
        <v>0</v>
      </c>
      <c r="W392" s="82">
        <f>+VLOOKUP(TbAlquiler[[#This Row],[ITEM]],TbPiezas[],6,FALSE)</f>
        <v>60984</v>
      </c>
      <c r="X392" s="83">
        <f>+TbAlquiler[[#This Row],[TOTAL]]*TbAlquiler[[#This Row],[P.U. (2)]]</f>
        <v>0</v>
      </c>
      <c r="Y392" s="82">
        <f>+VLOOKUP(TbAlquiler[[#This Row],[ITEM]],TbPiezas[],7,FALSE)</f>
        <v>3049.2000000000003</v>
      </c>
      <c r="Z392" s="84">
        <f>+TbAlquiler[[#This Row],[TOTAL]]*TbAlquiler[[#This Row],[P.U. (3)]]</f>
        <v>0</v>
      </c>
    </row>
    <row r="393" spans="1:26" s="4" customFormat="1" x14ac:dyDescent="0.3">
      <c r="A393" s="2"/>
      <c r="B393" s="85"/>
      <c r="C393" s="71" t="s">
        <v>1409</v>
      </c>
      <c r="D393" s="72" t="s">
        <v>1405</v>
      </c>
      <c r="E393" s="73"/>
      <c r="F393" s="74"/>
      <c r="G393" s="2"/>
      <c r="H393" s="75" t="str">
        <f t="shared" si="10"/>
        <v>EV.0210</v>
      </c>
      <c r="I393" s="59" t="str">
        <f t="shared" si="11"/>
        <v>ok</v>
      </c>
      <c r="J393" s="77">
        <f>IFERROR(VLOOKUP($H393,TG[],3,FALSE),"NA")</f>
        <v>0</v>
      </c>
      <c r="K393" s="86" t="str">
        <f>IFERROR(VLOOKUP($H393,TF[],3,FALSE),"NA")</f>
        <v>NA</v>
      </c>
      <c r="L393" s="408" t="str">
        <f>IFERROR(VLOOKUP($H393,TT[],3,FALSE),"NA")</f>
        <v>NA</v>
      </c>
      <c r="M393" s="77" t="str">
        <f>IFERROR(VLOOKUP($H393,TES[],3,FALSE),"NA")</f>
        <v>NA</v>
      </c>
      <c r="N393" s="139" t="str">
        <f>IFERROR(VLOOKUP($H393,TEC[],3,FALSE),"NA")</f>
        <v>NA</v>
      </c>
      <c r="O393" s="77" t="str">
        <f>IFERROR(VLOOKUP($H393,TP[],3,FALSE),"NA")</f>
        <v>NA</v>
      </c>
      <c r="P393" s="77" t="str">
        <f>IFERROR(VLOOKUP($H393,TEN[],3,FALSE),"NA")</f>
        <v>NA</v>
      </c>
      <c r="Q393" s="77" t="str">
        <f>IFERROR(VLOOKUP($H393,TD[],3,FALSE),"NA")</f>
        <v>NA</v>
      </c>
      <c r="R393" s="139" t="str">
        <f>IFERROR(VLOOKUP($H393,TC[],3,FALSE),"NA")</f>
        <v>NA</v>
      </c>
      <c r="S393" s="78" t="str">
        <f>IFERROR(VLOOKUP($H393,TEV[],3,FALSE),"NA")</f>
        <v>NA</v>
      </c>
      <c r="T393" s="78">
        <f>SUM(TbAlquiler[[#This Row],[GENERAL]:[ELEVADOR]])</f>
        <v>0</v>
      </c>
      <c r="U393" s="295">
        <f>IF(VLOOKUP(TbAlquiler[[#This Row],[ITEM]],TbPiezas[],5,FALSE)="NA",0,VLOOKUP(TbAlquiler[[#This Row],[ITEM]],TbPiezas[],5,FALSE))</f>
        <v>0</v>
      </c>
      <c r="V393" s="295">
        <f>+TbAlquiler[[#This Row],[TOTAL]]*TbAlquiler[[#This Row],[P.U. (1)]]</f>
        <v>0</v>
      </c>
      <c r="W393" s="84">
        <f>+VLOOKUP(TbAlquiler[[#This Row],[ITEM]],TbPiezas[],6,FALSE)</f>
        <v>0</v>
      </c>
      <c r="X393" s="296">
        <f>+TbAlquiler[[#This Row],[TOTAL]]*TbAlquiler[[#This Row],[P.U. (2)]]</f>
        <v>0</v>
      </c>
      <c r="Y393" s="84">
        <f>+VLOOKUP(TbAlquiler[[#This Row],[ITEM]],TbPiezas[],7,FALSE)</f>
        <v>0</v>
      </c>
      <c r="Z393" s="296">
        <f>+TbAlquiler[[#This Row],[TOTAL]]*TbAlquiler[[#This Row],[P.U. (3)]]</f>
        <v>0</v>
      </c>
    </row>
    <row r="394" spans="1:26" s="4" customFormat="1" x14ac:dyDescent="0.3">
      <c r="A394" s="2"/>
      <c r="B394" s="85"/>
      <c r="C394" s="71" t="s">
        <v>1410</v>
      </c>
      <c r="D394" s="72" t="s">
        <v>1406</v>
      </c>
      <c r="E394" s="73"/>
      <c r="F394" s="74"/>
      <c r="G394" s="2"/>
      <c r="H394" s="75" t="str">
        <f t="shared" si="10"/>
        <v>EV.0220</v>
      </c>
      <c r="I394" s="59" t="str">
        <f t="shared" si="11"/>
        <v>ok</v>
      </c>
      <c r="J394" s="77">
        <f>IFERROR(VLOOKUP($H394,TG[],3,FALSE),"NA")</f>
        <v>0</v>
      </c>
      <c r="K394" s="86" t="str">
        <f>IFERROR(VLOOKUP($H394,TF[],3,FALSE),"NA")</f>
        <v>NA</v>
      </c>
      <c r="L394" s="408" t="str">
        <f>IFERROR(VLOOKUP($H394,TT[],3,FALSE),"NA")</f>
        <v>NA</v>
      </c>
      <c r="M394" s="77" t="str">
        <f>IFERROR(VLOOKUP($H394,TES[],3,FALSE),"NA")</f>
        <v>NA</v>
      </c>
      <c r="N394" s="139" t="str">
        <f>IFERROR(VLOOKUP($H394,TEC[],3,FALSE),"NA")</f>
        <v>NA</v>
      </c>
      <c r="O394" s="77" t="str">
        <f>IFERROR(VLOOKUP($H394,TP[],3,FALSE),"NA")</f>
        <v>NA</v>
      </c>
      <c r="P394" s="77" t="str">
        <f>IFERROR(VLOOKUP($H394,TEN[],3,FALSE),"NA")</f>
        <v>NA</v>
      </c>
      <c r="Q394" s="77" t="str">
        <f>IFERROR(VLOOKUP($H394,TD[],3,FALSE),"NA")</f>
        <v>NA</v>
      </c>
      <c r="R394" s="139" t="str">
        <f>IFERROR(VLOOKUP($H394,TC[],3,FALSE),"NA")</f>
        <v>NA</v>
      </c>
      <c r="S394" s="78" t="str">
        <f>IFERROR(VLOOKUP($H394,TEV[],3,FALSE),"NA")</f>
        <v>NA</v>
      </c>
      <c r="T394" s="78">
        <f>SUM(TbAlquiler[[#This Row],[GENERAL]:[ELEVADOR]])</f>
        <v>0</v>
      </c>
      <c r="U394" s="295">
        <f>IF(VLOOKUP(TbAlquiler[[#This Row],[ITEM]],TbPiezas[],5,FALSE)="NA",0,VLOOKUP(TbAlquiler[[#This Row],[ITEM]],TbPiezas[],5,FALSE))</f>
        <v>0</v>
      </c>
      <c r="V394" s="295">
        <f>+TbAlquiler[[#This Row],[TOTAL]]*TbAlquiler[[#This Row],[P.U. (1)]]</f>
        <v>0</v>
      </c>
      <c r="W394" s="84">
        <f>+VLOOKUP(TbAlquiler[[#This Row],[ITEM]],TbPiezas[],6,FALSE)</f>
        <v>0</v>
      </c>
      <c r="X394" s="296">
        <f>+TbAlquiler[[#This Row],[TOTAL]]*TbAlquiler[[#This Row],[P.U. (2)]]</f>
        <v>0</v>
      </c>
      <c r="Y394" s="84">
        <f>+VLOOKUP(TbAlquiler[[#This Row],[ITEM]],TbPiezas[],7,FALSE)</f>
        <v>0</v>
      </c>
      <c r="Z394" s="296">
        <f>+TbAlquiler[[#This Row],[TOTAL]]*TbAlquiler[[#This Row],[P.U. (3)]]</f>
        <v>0</v>
      </c>
    </row>
    <row r="395" spans="1:26" s="4" customFormat="1" x14ac:dyDescent="0.3">
      <c r="A395" s="2"/>
      <c r="B395" s="85"/>
      <c r="C395" s="71" t="s">
        <v>1411</v>
      </c>
      <c r="D395" s="72" t="s">
        <v>1407</v>
      </c>
      <c r="E395" s="73"/>
      <c r="F395" s="74"/>
      <c r="G395" s="2"/>
      <c r="H395" s="75" t="str">
        <f t="shared" si="10"/>
        <v>EV.0230</v>
      </c>
      <c r="I395" s="59" t="str">
        <f t="shared" si="11"/>
        <v>ok</v>
      </c>
      <c r="J395" s="77">
        <f>IFERROR(VLOOKUP($H395,TG[],3,FALSE),"NA")</f>
        <v>0</v>
      </c>
      <c r="K395" s="86" t="str">
        <f>IFERROR(VLOOKUP($H395,TF[],3,FALSE),"NA")</f>
        <v>NA</v>
      </c>
      <c r="L395" s="408" t="str">
        <f>IFERROR(VLOOKUP($H395,TT[],3,FALSE),"NA")</f>
        <v>NA</v>
      </c>
      <c r="M395" s="77" t="str">
        <f>IFERROR(VLOOKUP($H395,TES[],3,FALSE),"NA")</f>
        <v>NA</v>
      </c>
      <c r="N395" s="139" t="str">
        <f>IFERROR(VLOOKUP($H395,TEC[],3,FALSE),"NA")</f>
        <v>NA</v>
      </c>
      <c r="O395" s="77" t="str">
        <f>IFERROR(VLOOKUP($H395,TP[],3,FALSE),"NA")</f>
        <v>NA</v>
      </c>
      <c r="P395" s="77" t="str">
        <f>IFERROR(VLOOKUP($H395,TEN[],3,FALSE),"NA")</f>
        <v>NA</v>
      </c>
      <c r="Q395" s="77" t="str">
        <f>IFERROR(VLOOKUP($H395,TD[],3,FALSE),"NA")</f>
        <v>NA</v>
      </c>
      <c r="R395" s="139" t="str">
        <f>IFERROR(VLOOKUP($H395,TC[],3,FALSE),"NA")</f>
        <v>NA</v>
      </c>
      <c r="S395" s="78" t="str">
        <f>IFERROR(VLOOKUP($H395,TEV[],3,FALSE),"NA")</f>
        <v>NA</v>
      </c>
      <c r="T395" s="78">
        <f>SUM(TbAlquiler[[#This Row],[GENERAL]:[ELEVADOR]])</f>
        <v>0</v>
      </c>
      <c r="U395" s="295">
        <f>IF(VLOOKUP(TbAlquiler[[#This Row],[ITEM]],TbPiezas[],5,FALSE)="NA",0,VLOOKUP(TbAlquiler[[#This Row],[ITEM]],TbPiezas[],5,FALSE))</f>
        <v>0</v>
      </c>
      <c r="V395" s="295">
        <f>+TbAlquiler[[#This Row],[TOTAL]]*TbAlquiler[[#This Row],[P.U. (1)]]</f>
        <v>0</v>
      </c>
      <c r="W395" s="84">
        <f>+VLOOKUP(TbAlquiler[[#This Row],[ITEM]],TbPiezas[],6,FALSE)</f>
        <v>0</v>
      </c>
      <c r="X395" s="296">
        <f>+TbAlquiler[[#This Row],[TOTAL]]*TbAlquiler[[#This Row],[P.U. (2)]]</f>
        <v>0</v>
      </c>
      <c r="Y395" s="84">
        <f>+VLOOKUP(TbAlquiler[[#This Row],[ITEM]],TbPiezas[],7,FALSE)</f>
        <v>0</v>
      </c>
      <c r="Z395" s="296">
        <f>+TbAlquiler[[#This Row],[TOTAL]]*TbAlquiler[[#This Row],[P.U. (3)]]</f>
        <v>0</v>
      </c>
    </row>
    <row r="396" spans="1:26" s="4" customFormat="1" x14ac:dyDescent="0.3">
      <c r="A396" s="2"/>
      <c r="B396" s="85"/>
      <c r="C396" s="71" t="s">
        <v>1412</v>
      </c>
      <c r="D396" s="72" t="s">
        <v>1408</v>
      </c>
      <c r="E396" s="73"/>
      <c r="F396" s="74"/>
      <c r="G396" s="2"/>
      <c r="H396" s="75" t="str">
        <f t="shared" si="10"/>
        <v>EV.0240</v>
      </c>
      <c r="I396" s="59" t="str">
        <f t="shared" si="11"/>
        <v>ok</v>
      </c>
      <c r="J396" s="77">
        <f>IFERROR(VLOOKUP($H396,TG[],3,FALSE),"NA")</f>
        <v>0</v>
      </c>
      <c r="K396" s="86" t="str">
        <f>IFERROR(VLOOKUP($H396,TF[],3,FALSE),"NA")</f>
        <v>NA</v>
      </c>
      <c r="L396" s="408" t="str">
        <f>IFERROR(VLOOKUP($H396,TT[],3,FALSE),"NA")</f>
        <v>NA</v>
      </c>
      <c r="M396" s="77" t="str">
        <f>IFERROR(VLOOKUP($H396,TES[],3,FALSE),"NA")</f>
        <v>NA</v>
      </c>
      <c r="N396" s="139" t="str">
        <f>IFERROR(VLOOKUP($H396,TEC[],3,FALSE),"NA")</f>
        <v>NA</v>
      </c>
      <c r="O396" s="77" t="str">
        <f>IFERROR(VLOOKUP($H396,TP[],3,FALSE),"NA")</f>
        <v>NA</v>
      </c>
      <c r="P396" s="77" t="str">
        <f>IFERROR(VLOOKUP($H396,TEN[],3,FALSE),"NA")</f>
        <v>NA</v>
      </c>
      <c r="Q396" s="77" t="str">
        <f>IFERROR(VLOOKUP($H396,TD[],3,FALSE),"NA")</f>
        <v>NA</v>
      </c>
      <c r="R396" s="139" t="str">
        <f>IFERROR(VLOOKUP($H396,TC[],3,FALSE),"NA")</f>
        <v>NA</v>
      </c>
      <c r="S396" s="78" t="str">
        <f>IFERROR(VLOOKUP($H396,TEV[],3,FALSE),"NA")</f>
        <v>NA</v>
      </c>
      <c r="T396" s="78">
        <f>SUM(TbAlquiler[[#This Row],[GENERAL]:[ELEVADOR]])</f>
        <v>0</v>
      </c>
      <c r="U396" s="295">
        <f>IF(VLOOKUP(TbAlquiler[[#This Row],[ITEM]],TbPiezas[],5,FALSE)="NA",0,VLOOKUP(TbAlquiler[[#This Row],[ITEM]],TbPiezas[],5,FALSE))</f>
        <v>0</v>
      </c>
      <c r="V396" s="295">
        <f>+TbAlquiler[[#This Row],[TOTAL]]*TbAlquiler[[#This Row],[P.U. (1)]]</f>
        <v>0</v>
      </c>
      <c r="W396" s="84">
        <f>+VLOOKUP(TbAlquiler[[#This Row],[ITEM]],TbPiezas[],6,FALSE)</f>
        <v>0</v>
      </c>
      <c r="X396" s="296">
        <f>+TbAlquiler[[#This Row],[TOTAL]]*TbAlquiler[[#This Row],[P.U. (2)]]</f>
        <v>0</v>
      </c>
      <c r="Y396" s="84">
        <f>+VLOOKUP(TbAlquiler[[#This Row],[ITEM]],TbPiezas[],7,FALSE)</f>
        <v>0</v>
      </c>
      <c r="Z396" s="296">
        <f>+TbAlquiler[[#This Row],[TOTAL]]*TbAlquiler[[#This Row],[P.U. (3)]]</f>
        <v>0</v>
      </c>
    </row>
    <row r="397" spans="1:26" s="4" customFormat="1" x14ac:dyDescent="0.3">
      <c r="A397" s="2"/>
      <c r="B397" s="85">
        <v>373</v>
      </c>
      <c r="C397" s="71" t="s">
        <v>748</v>
      </c>
      <c r="D397" s="72" t="s">
        <v>1414</v>
      </c>
      <c r="E397" s="73"/>
      <c r="F397" s="74">
        <f>+VLOOKUP(C397,TbAlquiler[],13,FALSE)</f>
        <v>1</v>
      </c>
      <c r="G397" s="2"/>
      <c r="H397" s="75" t="str">
        <f t="shared" si="10"/>
        <v>EV.0300</v>
      </c>
      <c r="I397" s="59" t="str">
        <f t="shared" si="11"/>
        <v>ok</v>
      </c>
      <c r="J397" s="77">
        <f>IFERROR(VLOOKUP($H397,TG[],3,FALSE),"NA")</f>
        <v>0</v>
      </c>
      <c r="K397" s="77" t="str">
        <f>IFERROR(VLOOKUP($H397,TF[],3,FALSE),"NA")</f>
        <v>NA</v>
      </c>
      <c r="L397" s="77" t="str">
        <f>IFERROR(VLOOKUP($H397,TT[],3,FALSE),"NA")</f>
        <v>NA</v>
      </c>
      <c r="M397" s="77" t="str">
        <f>IFERROR(VLOOKUP($H397,TES[],3,FALSE),"NA")</f>
        <v>NA</v>
      </c>
      <c r="N397" s="77" t="str">
        <f>IFERROR(VLOOKUP($H397,TEC[],3,FALSE),"NA")</f>
        <v>NA</v>
      </c>
      <c r="O397" s="77" t="str">
        <f>IFERROR(VLOOKUP($H397,TP[],3,FALSE),"NA")</f>
        <v>NA</v>
      </c>
      <c r="P397" s="77" t="str">
        <f>IFERROR(VLOOKUP($H397,TEN[],3,FALSE),"NA")</f>
        <v>NA</v>
      </c>
      <c r="Q397" s="77" t="str">
        <f>IFERROR(VLOOKUP($H397,TD[],3,FALSE),"NA")</f>
        <v>NA</v>
      </c>
      <c r="R397" s="77" t="str">
        <f>IFERROR(VLOOKUP($H397,TC[],3,FALSE),"NA")</f>
        <v>NA</v>
      </c>
      <c r="S397" s="77">
        <f>IFERROR(VLOOKUP($H397,TEV[],3,FALSE),"NA")</f>
        <v>1</v>
      </c>
      <c r="T397" s="79">
        <f>SUM(TbAlquiler[[#This Row],[GENERAL]:[ELEVADOR]])</f>
        <v>1</v>
      </c>
      <c r="U397" s="80">
        <f>IF(VLOOKUP(TbAlquiler[[#This Row],[ITEM]],TbPiezas[],5,FALSE)="NA",0,VLOOKUP(TbAlquiler[[#This Row],[ITEM]],TbPiezas[],5,FALSE))</f>
        <v>0</v>
      </c>
      <c r="V397" s="81">
        <f>+TbAlquiler[[#This Row],[TOTAL]]*TbAlquiler[[#This Row],[P.U. (1)]]</f>
        <v>0</v>
      </c>
      <c r="W397" s="82">
        <f>+VLOOKUP(TbAlquiler[[#This Row],[ITEM]],TbPiezas[],6,FALSE)</f>
        <v>9528.75</v>
      </c>
      <c r="X397" s="83">
        <f>+TbAlquiler[[#This Row],[TOTAL]]*TbAlquiler[[#This Row],[P.U. (2)]]</f>
        <v>9528.75</v>
      </c>
      <c r="Y397" s="82">
        <f>+VLOOKUP(TbAlquiler[[#This Row],[ITEM]],TbPiezas[],7,FALSE)</f>
        <v>476.4375</v>
      </c>
      <c r="Z397" s="84">
        <f>+TbAlquiler[[#This Row],[TOTAL]]*TbAlquiler[[#This Row],[P.U. (3)]]</f>
        <v>476.4375</v>
      </c>
    </row>
    <row r="398" spans="1:26" s="4" customFormat="1" x14ac:dyDescent="0.3">
      <c r="A398" s="2"/>
      <c r="B398" s="85"/>
      <c r="C398" s="71" t="s">
        <v>1415</v>
      </c>
      <c r="D398" s="72" t="s">
        <v>1413</v>
      </c>
      <c r="E398" s="73"/>
      <c r="F398" s="74"/>
      <c r="G398" s="2"/>
      <c r="H398" s="75" t="str">
        <f t="shared" si="10"/>
        <v>EV.0310</v>
      </c>
      <c r="I398" s="59" t="str">
        <f t="shared" si="11"/>
        <v>ok</v>
      </c>
      <c r="J398" s="77">
        <f>IFERROR(VLOOKUP($H398,TG[],3,FALSE),"NA")</f>
        <v>0</v>
      </c>
      <c r="K398" s="86" t="str">
        <f>IFERROR(VLOOKUP($H398,TF[],3,FALSE),"NA")</f>
        <v>NA</v>
      </c>
      <c r="L398" s="408" t="str">
        <f>IFERROR(VLOOKUP($H398,TT[],3,FALSE),"NA")</f>
        <v>NA</v>
      </c>
      <c r="M398" s="77" t="str">
        <f>IFERROR(VLOOKUP($H398,TES[],3,FALSE),"NA")</f>
        <v>NA</v>
      </c>
      <c r="N398" s="139" t="str">
        <f>IFERROR(VLOOKUP($H398,TEC[],3,FALSE),"NA")</f>
        <v>NA</v>
      </c>
      <c r="O398" s="77" t="str">
        <f>IFERROR(VLOOKUP($H398,TP[],3,FALSE),"NA")</f>
        <v>NA</v>
      </c>
      <c r="P398" s="77" t="str">
        <f>IFERROR(VLOOKUP($H398,TEN[],3,FALSE),"NA")</f>
        <v>NA</v>
      </c>
      <c r="Q398" s="77" t="str">
        <f>IFERROR(VLOOKUP($H398,TD[],3,FALSE),"NA")</f>
        <v>NA</v>
      </c>
      <c r="R398" s="139" t="str">
        <f>IFERROR(VLOOKUP($H398,TC[],3,FALSE),"NA")</f>
        <v>NA</v>
      </c>
      <c r="S398" s="78" t="str">
        <f>IFERROR(VLOOKUP($H398,TEV[],3,FALSE),"NA")</f>
        <v>NA</v>
      </c>
      <c r="T398" s="78">
        <f>SUM(TbAlquiler[[#This Row],[GENERAL]:[ELEVADOR]])</f>
        <v>0</v>
      </c>
      <c r="U398" s="295">
        <f>IF(VLOOKUP(TbAlquiler[[#This Row],[ITEM]],TbPiezas[],5,FALSE)="NA",0,VLOOKUP(TbAlquiler[[#This Row],[ITEM]],TbPiezas[],5,FALSE))</f>
        <v>0</v>
      </c>
      <c r="V398" s="295">
        <f>+TbAlquiler[[#This Row],[TOTAL]]*TbAlquiler[[#This Row],[P.U. (1)]]</f>
        <v>0</v>
      </c>
      <c r="W398" s="84">
        <f>+VLOOKUP(TbAlquiler[[#This Row],[ITEM]],TbPiezas[],6,FALSE)</f>
        <v>0</v>
      </c>
      <c r="X398" s="296">
        <f>+TbAlquiler[[#This Row],[TOTAL]]*TbAlquiler[[#This Row],[P.U. (2)]]</f>
        <v>0</v>
      </c>
      <c r="Y398" s="84">
        <f>+VLOOKUP(TbAlquiler[[#This Row],[ITEM]],TbPiezas[],7,FALSE)</f>
        <v>0</v>
      </c>
      <c r="Z398" s="296">
        <f>+TbAlquiler[[#This Row],[TOTAL]]*TbAlquiler[[#This Row],[P.U. (3)]]</f>
        <v>0</v>
      </c>
    </row>
    <row r="399" spans="1:26" s="4" customFormat="1" x14ac:dyDescent="0.3">
      <c r="A399" s="2"/>
      <c r="B399" s="85">
        <v>374</v>
      </c>
      <c r="C399" s="71" t="s">
        <v>749</v>
      </c>
      <c r="D399" s="72" t="s">
        <v>750</v>
      </c>
      <c r="E399" s="73"/>
      <c r="F399" s="74">
        <f>+VLOOKUP(C399,TbAlquiler[],13,FALSE)</f>
        <v>1</v>
      </c>
      <c r="G399" s="2"/>
      <c r="H399" s="75" t="str">
        <f t="shared" si="10"/>
        <v>EV.0400</v>
      </c>
      <c r="I399" s="59" t="str">
        <f t="shared" si="11"/>
        <v>ok</v>
      </c>
      <c r="J399" s="77">
        <f>IFERROR(VLOOKUP($H399,TG[],3,FALSE),"NA")</f>
        <v>0</v>
      </c>
      <c r="K399" s="77" t="str">
        <f>IFERROR(VLOOKUP($H399,TF[],3,FALSE),"NA")</f>
        <v>NA</v>
      </c>
      <c r="L399" s="77" t="str">
        <f>IFERROR(VLOOKUP($H399,TT[],3,FALSE),"NA")</f>
        <v>NA</v>
      </c>
      <c r="M399" s="77" t="str">
        <f>IFERROR(VLOOKUP($H399,TES[],3,FALSE),"NA")</f>
        <v>NA</v>
      </c>
      <c r="N399" s="77" t="str">
        <f>IFERROR(VLOOKUP($H399,TEC[],3,FALSE),"NA")</f>
        <v>NA</v>
      </c>
      <c r="O399" s="77" t="str">
        <f>IFERROR(VLOOKUP($H399,TP[],3,FALSE),"NA")</f>
        <v>NA</v>
      </c>
      <c r="P399" s="77" t="str">
        <f>IFERROR(VLOOKUP($H399,TEN[],3,FALSE),"NA")</f>
        <v>NA</v>
      </c>
      <c r="Q399" s="77" t="str">
        <f>IFERROR(VLOOKUP($H399,TD[],3,FALSE),"NA")</f>
        <v>NA</v>
      </c>
      <c r="R399" s="77" t="str">
        <f>IFERROR(VLOOKUP($H399,TC[],3,FALSE),"NA")</f>
        <v>NA</v>
      </c>
      <c r="S399" s="77">
        <f>IFERROR(VLOOKUP($H399,TEV[],3,FALSE),"NA")</f>
        <v>1</v>
      </c>
      <c r="T399" s="79">
        <f>SUM(TbAlquiler[[#This Row],[GENERAL]:[ELEVADOR]])</f>
        <v>1</v>
      </c>
      <c r="U399" s="80">
        <f>IF(VLOOKUP(TbAlquiler[[#This Row],[ITEM]],TbPiezas[],5,FALSE)="NA",0,VLOOKUP(TbAlquiler[[#This Row],[ITEM]],TbPiezas[],5,FALSE))</f>
        <v>0</v>
      </c>
      <c r="V399" s="81">
        <f>+TbAlquiler[[#This Row],[TOTAL]]*TbAlquiler[[#This Row],[P.U. (1)]]</f>
        <v>0</v>
      </c>
      <c r="W399" s="82">
        <f>+VLOOKUP(TbAlquiler[[#This Row],[ITEM]],TbPiezas[],6,FALSE)</f>
        <v>444.68</v>
      </c>
      <c r="X399" s="83">
        <f>+TbAlquiler[[#This Row],[TOTAL]]*TbAlquiler[[#This Row],[P.U. (2)]]</f>
        <v>444.68</v>
      </c>
      <c r="Y399" s="82">
        <f>+VLOOKUP(TbAlquiler[[#This Row],[ITEM]],TbPiezas[],7,FALSE)</f>
        <v>22.234000000000002</v>
      </c>
      <c r="Z399" s="84">
        <f>+TbAlquiler[[#This Row],[TOTAL]]*TbAlquiler[[#This Row],[P.U. (3)]]</f>
        <v>22.234000000000002</v>
      </c>
    </row>
    <row r="400" spans="1:26" s="4" customFormat="1" x14ac:dyDescent="0.3">
      <c r="A400" s="2"/>
      <c r="B400" s="85">
        <v>375</v>
      </c>
      <c r="C400" s="71" t="s">
        <v>751</v>
      </c>
      <c r="D400" s="72" t="s">
        <v>752</v>
      </c>
      <c r="E400" s="73"/>
      <c r="F400" s="74">
        <f>+VLOOKUP(C400,TbAlquiler[],13,FALSE)</f>
        <v>1</v>
      </c>
      <c r="G400" s="2"/>
      <c r="H400" s="75" t="str">
        <f t="shared" si="10"/>
        <v>EV.0500</v>
      </c>
      <c r="I400" s="59" t="str">
        <f t="shared" si="11"/>
        <v>ok</v>
      </c>
      <c r="J400" s="77">
        <f>IFERROR(VLOOKUP($H400,TG[],3,FALSE),"NA")</f>
        <v>0</v>
      </c>
      <c r="K400" s="77" t="str">
        <f>IFERROR(VLOOKUP($H400,TF[],3,FALSE),"NA")</f>
        <v>NA</v>
      </c>
      <c r="L400" s="77" t="str">
        <f>IFERROR(VLOOKUP($H400,TT[],3,FALSE),"NA")</f>
        <v>NA</v>
      </c>
      <c r="M400" s="77" t="str">
        <f>IFERROR(VLOOKUP($H400,TES[],3,FALSE),"NA")</f>
        <v>NA</v>
      </c>
      <c r="N400" s="77" t="str">
        <f>IFERROR(VLOOKUP($H400,TEC[],3,FALSE),"NA")</f>
        <v>NA</v>
      </c>
      <c r="O400" s="77" t="str">
        <f>IFERROR(VLOOKUP($H400,TP[],3,FALSE),"NA")</f>
        <v>NA</v>
      </c>
      <c r="P400" s="77" t="str">
        <f>IFERROR(VLOOKUP($H400,TEN[],3,FALSE),"NA")</f>
        <v>NA</v>
      </c>
      <c r="Q400" s="77" t="str">
        <f>IFERROR(VLOOKUP($H400,TD[],3,FALSE),"NA")</f>
        <v>NA</v>
      </c>
      <c r="R400" s="77" t="str">
        <f>IFERROR(VLOOKUP($H400,TC[],3,FALSE),"NA")</f>
        <v>NA</v>
      </c>
      <c r="S400" s="77">
        <f>IFERROR(VLOOKUP($H400,TEV[],3,FALSE),"NA")</f>
        <v>1</v>
      </c>
      <c r="T400" s="79">
        <f>SUM(TbAlquiler[[#This Row],[GENERAL]:[ELEVADOR]])</f>
        <v>1</v>
      </c>
      <c r="U400" s="80">
        <f>IF(VLOOKUP(TbAlquiler[[#This Row],[ITEM]],TbPiezas[],5,FALSE)="NA",0,VLOOKUP(TbAlquiler[[#This Row],[ITEM]],TbPiezas[],5,FALSE))</f>
        <v>0</v>
      </c>
      <c r="V400" s="81">
        <f>+TbAlquiler[[#This Row],[TOTAL]]*TbAlquiler[[#This Row],[P.U. (1)]]</f>
        <v>0</v>
      </c>
      <c r="W400" s="82">
        <f>+VLOOKUP(TbAlquiler[[#This Row],[ITEM]],TbPiezas[],6,FALSE)</f>
        <v>4446.75</v>
      </c>
      <c r="X400" s="83">
        <f>+TbAlquiler[[#This Row],[TOTAL]]*TbAlquiler[[#This Row],[P.U. (2)]]</f>
        <v>4446.75</v>
      </c>
      <c r="Y400" s="82">
        <f>+VLOOKUP(TbAlquiler[[#This Row],[ITEM]],TbPiezas[],7,FALSE)</f>
        <v>222.33750000000001</v>
      </c>
      <c r="Z400" s="84">
        <f>+TbAlquiler[[#This Row],[TOTAL]]*TbAlquiler[[#This Row],[P.U. (3)]]</f>
        <v>222.33750000000001</v>
      </c>
    </row>
    <row r="401" spans="1:26" s="4" customFormat="1" x14ac:dyDescent="0.3">
      <c r="A401" s="2"/>
      <c r="B401" s="85">
        <v>376</v>
      </c>
      <c r="C401" s="71" t="s">
        <v>753</v>
      </c>
      <c r="D401" s="72" t="s">
        <v>754</v>
      </c>
      <c r="E401" s="73"/>
      <c r="F401" s="74">
        <f>+VLOOKUP(C401,TbAlquiler[],13,FALSE)</f>
        <v>1</v>
      </c>
      <c r="G401" s="2"/>
      <c r="H401" s="75" t="str">
        <f t="shared" si="10"/>
        <v>EV.0600</v>
      </c>
      <c r="I401" s="59" t="str">
        <f t="shared" si="11"/>
        <v>ok</v>
      </c>
      <c r="J401" s="77">
        <f>IFERROR(VLOOKUP($H401,TG[],3,FALSE),"NA")</f>
        <v>0</v>
      </c>
      <c r="K401" s="77" t="str">
        <f>IFERROR(VLOOKUP($H401,TF[],3,FALSE),"NA")</f>
        <v>NA</v>
      </c>
      <c r="L401" s="77" t="str">
        <f>IFERROR(VLOOKUP($H401,TT[],3,FALSE),"NA")</f>
        <v>NA</v>
      </c>
      <c r="M401" s="77" t="str">
        <f>IFERROR(VLOOKUP($H401,TES[],3,FALSE),"NA")</f>
        <v>NA</v>
      </c>
      <c r="N401" s="77" t="str">
        <f>IFERROR(VLOOKUP($H401,TEC[],3,FALSE),"NA")</f>
        <v>NA</v>
      </c>
      <c r="O401" s="77" t="str">
        <f>IFERROR(VLOOKUP($H401,TP[],3,FALSE),"NA")</f>
        <v>NA</v>
      </c>
      <c r="P401" s="77" t="str">
        <f>IFERROR(VLOOKUP($H401,TEN[],3,FALSE),"NA")</f>
        <v>NA</v>
      </c>
      <c r="Q401" s="77" t="str">
        <f>IFERROR(VLOOKUP($H401,TD[],3,FALSE),"NA")</f>
        <v>NA</v>
      </c>
      <c r="R401" s="77" t="str">
        <f>IFERROR(VLOOKUP($H401,TC[],3,FALSE),"NA")</f>
        <v>NA</v>
      </c>
      <c r="S401" s="77">
        <f>IFERROR(VLOOKUP($H401,TEV[],3,FALSE),"NA")</f>
        <v>1</v>
      </c>
      <c r="T401" s="79">
        <f>SUM(TbAlquiler[[#This Row],[GENERAL]:[ELEVADOR]])</f>
        <v>1</v>
      </c>
      <c r="U401" s="80">
        <f>IF(VLOOKUP(TbAlquiler[[#This Row],[ITEM]],TbPiezas[],5,FALSE)="NA",0,VLOOKUP(TbAlquiler[[#This Row],[ITEM]],TbPiezas[],5,FALSE))</f>
        <v>0</v>
      </c>
      <c r="V401" s="81">
        <f>+TbAlquiler[[#This Row],[TOTAL]]*TbAlquiler[[#This Row],[P.U. (1)]]</f>
        <v>0</v>
      </c>
      <c r="W401" s="82">
        <f>+VLOOKUP(TbAlquiler[[#This Row],[ITEM]],TbPiezas[],6,FALSE)</f>
        <v>152.46</v>
      </c>
      <c r="X401" s="83">
        <f>+TbAlquiler[[#This Row],[TOTAL]]*TbAlquiler[[#This Row],[P.U. (2)]]</f>
        <v>152.46</v>
      </c>
      <c r="Y401" s="82">
        <f>+VLOOKUP(TbAlquiler[[#This Row],[ITEM]],TbPiezas[],7,FALSE)</f>
        <v>7.6230000000000011</v>
      </c>
      <c r="Z401" s="84">
        <f>+TbAlquiler[[#This Row],[TOTAL]]*TbAlquiler[[#This Row],[P.U. (3)]]</f>
        <v>7.6230000000000011</v>
      </c>
    </row>
    <row r="402" spans="1:26" s="4" customFormat="1" x14ac:dyDescent="0.3">
      <c r="A402" s="2"/>
      <c r="B402" s="85">
        <v>377</v>
      </c>
      <c r="C402" s="71" t="s">
        <v>755</v>
      </c>
      <c r="D402" s="72" t="s">
        <v>756</v>
      </c>
      <c r="E402" s="73"/>
      <c r="F402" s="74">
        <f>+VLOOKUP(C402,TbAlquiler[],13,FALSE)</f>
        <v>1</v>
      </c>
      <c r="G402" s="2"/>
      <c r="H402" s="75" t="str">
        <f t="shared" ref="H402:H465" si="12">+C402</f>
        <v>EV.0700</v>
      </c>
      <c r="I402" s="59" t="str">
        <f t="shared" ref="I402:I465" si="13">+IF(C402=H402,"ok","mal")</f>
        <v>ok</v>
      </c>
      <c r="J402" s="77">
        <f>IFERROR(VLOOKUP($H402,TG[],3,FALSE),"NA")</f>
        <v>0</v>
      </c>
      <c r="K402" s="77" t="str">
        <f>IFERROR(VLOOKUP($H402,TF[],3,FALSE),"NA")</f>
        <v>NA</v>
      </c>
      <c r="L402" s="77" t="str">
        <f>IFERROR(VLOOKUP($H402,TT[],3,FALSE),"NA")</f>
        <v>NA</v>
      </c>
      <c r="M402" s="77" t="str">
        <f>IFERROR(VLOOKUP($H402,TES[],3,FALSE),"NA")</f>
        <v>NA</v>
      </c>
      <c r="N402" s="77" t="str">
        <f>IFERROR(VLOOKUP($H402,TEC[],3,FALSE),"NA")</f>
        <v>NA</v>
      </c>
      <c r="O402" s="77" t="str">
        <f>IFERROR(VLOOKUP($H402,TP[],3,FALSE),"NA")</f>
        <v>NA</v>
      </c>
      <c r="P402" s="77" t="str">
        <f>IFERROR(VLOOKUP($H402,TEN[],3,FALSE),"NA")</f>
        <v>NA</v>
      </c>
      <c r="Q402" s="77" t="str">
        <f>IFERROR(VLOOKUP($H402,TD[],3,FALSE),"NA")</f>
        <v>NA</v>
      </c>
      <c r="R402" s="77" t="str">
        <f>IFERROR(VLOOKUP($H402,TC[],3,FALSE),"NA")</f>
        <v>NA</v>
      </c>
      <c r="S402" s="77">
        <f>IFERROR(VLOOKUP($H402,TEV[],3,FALSE),"NA")</f>
        <v>1</v>
      </c>
      <c r="T402" s="79">
        <f>SUM(TbAlquiler[[#This Row],[GENERAL]:[ELEVADOR]])</f>
        <v>1</v>
      </c>
      <c r="U402" s="80">
        <f>IF(VLOOKUP(TbAlquiler[[#This Row],[ITEM]],TbPiezas[],5,FALSE)="NA",0,VLOOKUP(TbAlquiler[[#This Row],[ITEM]],TbPiezas[],5,FALSE))</f>
        <v>0</v>
      </c>
      <c r="V402" s="81">
        <f>+TbAlquiler[[#This Row],[TOTAL]]*TbAlquiler[[#This Row],[P.U. (1)]]</f>
        <v>0</v>
      </c>
      <c r="W402" s="82">
        <f>+VLOOKUP(TbAlquiler[[#This Row],[ITEM]],TbPiezas[],6,FALSE)</f>
        <v>317.63</v>
      </c>
      <c r="X402" s="83">
        <f>+TbAlquiler[[#This Row],[TOTAL]]*TbAlquiler[[#This Row],[P.U. (2)]]</f>
        <v>317.63</v>
      </c>
      <c r="Y402" s="82">
        <f>+VLOOKUP(TbAlquiler[[#This Row],[ITEM]],TbPiezas[],7,FALSE)</f>
        <v>15.881500000000001</v>
      </c>
      <c r="Z402" s="84">
        <f>+TbAlquiler[[#This Row],[TOTAL]]*TbAlquiler[[#This Row],[P.U. (3)]]</f>
        <v>15.881500000000001</v>
      </c>
    </row>
    <row r="403" spans="1:26" s="4" customFormat="1" x14ac:dyDescent="0.3">
      <c r="A403" s="2"/>
      <c r="B403" s="85">
        <v>378</v>
      </c>
      <c r="C403" s="71" t="s">
        <v>757</v>
      </c>
      <c r="D403" s="72" t="s">
        <v>758</v>
      </c>
      <c r="E403" s="73"/>
      <c r="F403" s="74">
        <f>+VLOOKUP(C403,TbAlquiler[],13,FALSE)</f>
        <v>1</v>
      </c>
      <c r="G403" s="2"/>
      <c r="H403" s="75" t="str">
        <f t="shared" si="12"/>
        <v>EV.0800</v>
      </c>
      <c r="I403" s="59" t="str">
        <f t="shared" si="13"/>
        <v>ok</v>
      </c>
      <c r="J403" s="77">
        <f>IFERROR(VLOOKUP($H403,TG[],3,FALSE),"NA")</f>
        <v>0</v>
      </c>
      <c r="K403" s="77" t="str">
        <f>IFERROR(VLOOKUP($H403,TF[],3,FALSE),"NA")</f>
        <v>NA</v>
      </c>
      <c r="L403" s="77" t="str">
        <f>IFERROR(VLOOKUP($H403,TT[],3,FALSE),"NA")</f>
        <v>NA</v>
      </c>
      <c r="M403" s="77" t="str">
        <f>IFERROR(VLOOKUP($H403,TES[],3,FALSE),"NA")</f>
        <v>NA</v>
      </c>
      <c r="N403" s="77" t="str">
        <f>IFERROR(VLOOKUP($H403,TEC[],3,FALSE),"NA")</f>
        <v>NA</v>
      </c>
      <c r="O403" s="77" t="str">
        <f>IFERROR(VLOOKUP($H403,TP[],3,FALSE),"NA")</f>
        <v>NA</v>
      </c>
      <c r="P403" s="77" t="str">
        <f>IFERROR(VLOOKUP($H403,TEN[],3,FALSE),"NA")</f>
        <v>NA</v>
      </c>
      <c r="Q403" s="77" t="str">
        <f>IFERROR(VLOOKUP($H403,TD[],3,FALSE),"NA")</f>
        <v>NA</v>
      </c>
      <c r="R403" s="77" t="str">
        <f>IFERROR(VLOOKUP($H403,TC[],3,FALSE),"NA")</f>
        <v>NA</v>
      </c>
      <c r="S403" s="77">
        <f>IFERROR(VLOOKUP($H403,TEV[],3,FALSE),"NA")</f>
        <v>1</v>
      </c>
      <c r="T403" s="79">
        <f>SUM(TbAlquiler[[#This Row],[GENERAL]:[ELEVADOR]])</f>
        <v>1</v>
      </c>
      <c r="U403" s="80">
        <f>IF(VLOOKUP(TbAlquiler[[#This Row],[ITEM]],TbPiezas[],5,FALSE)="NA",0,VLOOKUP(TbAlquiler[[#This Row],[ITEM]],TbPiezas[],5,FALSE))</f>
        <v>0</v>
      </c>
      <c r="V403" s="81">
        <f>+TbAlquiler[[#This Row],[TOTAL]]*TbAlquiler[[#This Row],[P.U. (1)]]</f>
        <v>0</v>
      </c>
      <c r="W403" s="82">
        <f>+VLOOKUP(TbAlquiler[[#This Row],[ITEM]],TbPiezas[],6,FALSE)</f>
        <v>444.68</v>
      </c>
      <c r="X403" s="83">
        <f>+TbAlquiler[[#This Row],[TOTAL]]*TbAlquiler[[#This Row],[P.U. (2)]]</f>
        <v>444.68</v>
      </c>
      <c r="Y403" s="82">
        <f>+VLOOKUP(TbAlquiler[[#This Row],[ITEM]],TbPiezas[],7,FALSE)</f>
        <v>22.234000000000002</v>
      </c>
      <c r="Z403" s="84">
        <f>+TbAlquiler[[#This Row],[TOTAL]]*TbAlquiler[[#This Row],[P.U. (3)]]</f>
        <v>22.234000000000002</v>
      </c>
    </row>
    <row r="404" spans="1:26" s="4" customFormat="1" x14ac:dyDescent="0.3">
      <c r="A404" s="2"/>
      <c r="B404" s="85">
        <v>379</v>
      </c>
      <c r="C404" s="71" t="s">
        <v>759</v>
      </c>
      <c r="D404" s="72" t="s">
        <v>760</v>
      </c>
      <c r="E404" s="73"/>
      <c r="F404" s="74">
        <f>+VLOOKUP(C404,TbAlquiler[],13,FALSE)</f>
        <v>1</v>
      </c>
      <c r="G404" s="2"/>
      <c r="H404" s="75" t="str">
        <f t="shared" si="12"/>
        <v>EV.0900</v>
      </c>
      <c r="I404" s="59" t="str">
        <f t="shared" si="13"/>
        <v>ok</v>
      </c>
      <c r="J404" s="77">
        <f>IFERROR(VLOOKUP($H404,TG[],3,FALSE),"NA")</f>
        <v>0</v>
      </c>
      <c r="K404" s="77" t="str">
        <f>IFERROR(VLOOKUP($H404,TF[],3,FALSE),"NA")</f>
        <v>NA</v>
      </c>
      <c r="L404" s="77" t="str">
        <f>IFERROR(VLOOKUP($H404,TT[],3,FALSE),"NA")</f>
        <v>NA</v>
      </c>
      <c r="M404" s="77" t="str">
        <f>IFERROR(VLOOKUP($H404,TES[],3,FALSE),"NA")</f>
        <v>NA</v>
      </c>
      <c r="N404" s="77" t="str">
        <f>IFERROR(VLOOKUP($H404,TEC[],3,FALSE),"NA")</f>
        <v>NA</v>
      </c>
      <c r="O404" s="77" t="str">
        <f>IFERROR(VLOOKUP($H404,TP[],3,FALSE),"NA")</f>
        <v>NA</v>
      </c>
      <c r="P404" s="77" t="str">
        <f>IFERROR(VLOOKUP($H404,TEN[],3,FALSE),"NA")</f>
        <v>NA</v>
      </c>
      <c r="Q404" s="77" t="str">
        <f>IFERROR(VLOOKUP($H404,TD[],3,FALSE),"NA")</f>
        <v>NA</v>
      </c>
      <c r="R404" s="77" t="str">
        <f>IFERROR(VLOOKUP($H404,TC[],3,FALSE),"NA")</f>
        <v>NA</v>
      </c>
      <c r="S404" s="77">
        <f>IFERROR(VLOOKUP($H404,TEV[],3,FALSE),"NA")</f>
        <v>1</v>
      </c>
      <c r="T404" s="79">
        <f>SUM(TbAlquiler[[#This Row],[GENERAL]:[ELEVADOR]])</f>
        <v>1</v>
      </c>
      <c r="U404" s="80">
        <f>IF(VLOOKUP(TbAlquiler[[#This Row],[ITEM]],TbPiezas[],5,FALSE)="NA",0,VLOOKUP(TbAlquiler[[#This Row],[ITEM]],TbPiezas[],5,FALSE))</f>
        <v>0</v>
      </c>
      <c r="V404" s="81">
        <f>+TbAlquiler[[#This Row],[TOTAL]]*TbAlquiler[[#This Row],[P.U. (1)]]</f>
        <v>0</v>
      </c>
      <c r="W404" s="82">
        <f>+VLOOKUP(TbAlquiler[[#This Row],[ITEM]],TbPiezas[],6,FALSE)</f>
        <v>444.68</v>
      </c>
      <c r="X404" s="83">
        <f>+TbAlquiler[[#This Row],[TOTAL]]*TbAlquiler[[#This Row],[P.U. (2)]]</f>
        <v>444.68</v>
      </c>
      <c r="Y404" s="82">
        <f>+VLOOKUP(TbAlquiler[[#This Row],[ITEM]],TbPiezas[],7,FALSE)</f>
        <v>22.234000000000002</v>
      </c>
      <c r="Z404" s="84">
        <f>+TbAlquiler[[#This Row],[TOTAL]]*TbAlquiler[[#This Row],[P.U. (3)]]</f>
        <v>22.234000000000002</v>
      </c>
    </row>
    <row r="405" spans="1:26" s="4" customFormat="1" x14ac:dyDescent="0.3">
      <c r="A405" s="2"/>
      <c r="B405" s="85">
        <v>380</v>
      </c>
      <c r="C405" s="71" t="s">
        <v>761</v>
      </c>
      <c r="D405" s="72" t="s">
        <v>762</v>
      </c>
      <c r="E405" s="73"/>
      <c r="F405" s="74">
        <f>+VLOOKUP(C405,TbAlquiler[],13,FALSE)</f>
        <v>14</v>
      </c>
      <c r="G405" s="2"/>
      <c r="H405" s="75" t="str">
        <f t="shared" si="12"/>
        <v>EV.1000</v>
      </c>
      <c r="I405" s="59" t="str">
        <f t="shared" si="13"/>
        <v>ok</v>
      </c>
      <c r="J405" s="77">
        <f>IFERROR(VLOOKUP($H405,TG[],3,FALSE),"NA")</f>
        <v>0</v>
      </c>
      <c r="K405" s="77" t="str">
        <f>IFERROR(VLOOKUP($H405,TF[],3,FALSE),"NA")</f>
        <v>NA</v>
      </c>
      <c r="L405" s="77" t="str">
        <f>IFERROR(VLOOKUP($H405,TT[],3,FALSE),"NA")</f>
        <v>NA</v>
      </c>
      <c r="M405" s="77" t="str">
        <f>IFERROR(VLOOKUP($H405,TES[],3,FALSE),"NA")</f>
        <v>NA</v>
      </c>
      <c r="N405" s="77" t="str">
        <f>IFERROR(VLOOKUP($H405,TEC[],3,FALSE),"NA")</f>
        <v>NA</v>
      </c>
      <c r="O405" s="77" t="str">
        <f>IFERROR(VLOOKUP($H405,TP[],3,FALSE),"NA")</f>
        <v>NA</v>
      </c>
      <c r="P405" s="77" t="str">
        <f>IFERROR(VLOOKUP($H405,TEN[],3,FALSE),"NA")</f>
        <v>NA</v>
      </c>
      <c r="Q405" s="77" t="str">
        <f>IFERROR(VLOOKUP($H405,TD[],3,FALSE),"NA")</f>
        <v>NA</v>
      </c>
      <c r="R405" s="77" t="str">
        <f>IFERROR(VLOOKUP($H405,TC[],3,FALSE),"NA")</f>
        <v>NA</v>
      </c>
      <c r="S405" s="77">
        <f>IFERROR(VLOOKUP($H405,TEV[],3,FALSE),"NA")</f>
        <v>14</v>
      </c>
      <c r="T405" s="79">
        <f>SUM(TbAlquiler[[#This Row],[GENERAL]:[ELEVADOR]])</f>
        <v>14</v>
      </c>
      <c r="U405" s="80">
        <f>IF(VLOOKUP(TbAlquiler[[#This Row],[ITEM]],TbPiezas[],5,FALSE)="NA",0,VLOOKUP(TbAlquiler[[#This Row],[ITEM]],TbPiezas[],5,FALSE))</f>
        <v>2</v>
      </c>
      <c r="V405" s="81">
        <f>+TbAlquiler[[#This Row],[TOTAL]]*TbAlquiler[[#This Row],[P.U. (1)]]</f>
        <v>28</v>
      </c>
      <c r="W405" s="82">
        <f>+VLOOKUP(TbAlquiler[[#This Row],[ITEM]],TbPiezas[],6,FALSE)</f>
        <v>317.63</v>
      </c>
      <c r="X405" s="83">
        <f>+TbAlquiler[[#This Row],[TOTAL]]*TbAlquiler[[#This Row],[P.U. (2)]]</f>
        <v>4446.82</v>
      </c>
      <c r="Y405" s="82">
        <f>+VLOOKUP(TbAlquiler[[#This Row],[ITEM]],TbPiezas[],7,FALSE)</f>
        <v>15.881500000000001</v>
      </c>
      <c r="Z405" s="84">
        <f>+TbAlquiler[[#This Row],[TOTAL]]*TbAlquiler[[#This Row],[P.U. (3)]]</f>
        <v>222.34100000000001</v>
      </c>
    </row>
    <row r="406" spans="1:26" s="4" customFormat="1" x14ac:dyDescent="0.3">
      <c r="A406" s="2"/>
      <c r="B406" s="85">
        <v>381</v>
      </c>
      <c r="C406" s="71" t="s">
        <v>763</v>
      </c>
      <c r="D406" s="72" t="s">
        <v>764</v>
      </c>
      <c r="E406" s="73"/>
      <c r="F406" s="74">
        <f>+VLOOKUP(C406,TbAlquiler[],13,FALSE)</f>
        <v>1</v>
      </c>
      <c r="G406" s="2"/>
      <c r="H406" s="75" t="str">
        <f t="shared" si="12"/>
        <v>EV.1100</v>
      </c>
      <c r="I406" s="59" t="str">
        <f t="shared" si="13"/>
        <v>ok</v>
      </c>
      <c r="J406" s="77">
        <f>IFERROR(VLOOKUP($H406,TG[],3,FALSE),"NA")</f>
        <v>0</v>
      </c>
      <c r="K406" s="77" t="str">
        <f>IFERROR(VLOOKUP($H406,TF[],3,FALSE),"NA")</f>
        <v>NA</v>
      </c>
      <c r="L406" s="77" t="str">
        <f>IFERROR(VLOOKUP($H406,TT[],3,FALSE),"NA")</f>
        <v>NA</v>
      </c>
      <c r="M406" s="77" t="str">
        <f>IFERROR(VLOOKUP($H406,TES[],3,FALSE),"NA")</f>
        <v>NA</v>
      </c>
      <c r="N406" s="77" t="str">
        <f>IFERROR(VLOOKUP($H406,TEC[],3,FALSE),"NA")</f>
        <v>NA</v>
      </c>
      <c r="O406" s="77" t="str">
        <f>IFERROR(VLOOKUP($H406,TP[],3,FALSE),"NA")</f>
        <v>NA</v>
      </c>
      <c r="P406" s="77" t="str">
        <f>IFERROR(VLOOKUP($H406,TEN[],3,FALSE),"NA")</f>
        <v>NA</v>
      </c>
      <c r="Q406" s="77" t="str">
        <f>IFERROR(VLOOKUP($H406,TD[],3,FALSE),"NA")</f>
        <v>NA</v>
      </c>
      <c r="R406" s="77" t="str">
        <f>IFERROR(VLOOKUP($H406,TC[],3,FALSE),"NA")</f>
        <v>NA</v>
      </c>
      <c r="S406" s="77">
        <f>IFERROR(VLOOKUP($H406,TEV[],3,FALSE),"NA")</f>
        <v>1</v>
      </c>
      <c r="T406" s="79">
        <f>SUM(TbAlquiler[[#This Row],[GENERAL]:[ELEVADOR]])</f>
        <v>1</v>
      </c>
      <c r="U406" s="80">
        <f>IF(VLOOKUP(TbAlquiler[[#This Row],[ITEM]],TbPiezas[],5,FALSE)="NA",0,VLOOKUP(TbAlquiler[[#This Row],[ITEM]],TbPiezas[],5,FALSE))</f>
        <v>9.5</v>
      </c>
      <c r="V406" s="81">
        <f>+TbAlquiler[[#This Row],[TOTAL]]*TbAlquiler[[#This Row],[P.U. (1)]]</f>
        <v>9.5</v>
      </c>
      <c r="W406" s="82">
        <f>+VLOOKUP(TbAlquiler[[#This Row],[ITEM]],TbPiezas[],6,FALSE)</f>
        <v>827.08</v>
      </c>
      <c r="X406" s="83">
        <f>+TbAlquiler[[#This Row],[TOTAL]]*TbAlquiler[[#This Row],[P.U. (2)]]</f>
        <v>827.08</v>
      </c>
      <c r="Y406" s="82">
        <f>+VLOOKUP(TbAlquiler[[#This Row],[ITEM]],TbPiezas[],7,FALSE)</f>
        <v>41.354000000000006</v>
      </c>
      <c r="Z406" s="84">
        <f>+TbAlquiler[[#This Row],[TOTAL]]*TbAlquiler[[#This Row],[P.U. (3)]]</f>
        <v>41.354000000000006</v>
      </c>
    </row>
    <row r="407" spans="1:26" s="4" customFormat="1" x14ac:dyDescent="0.3">
      <c r="A407" s="2"/>
      <c r="B407" s="85"/>
      <c r="C407" s="71" t="s">
        <v>1420</v>
      </c>
      <c r="D407" s="72" t="s">
        <v>1416</v>
      </c>
      <c r="E407" s="73"/>
      <c r="F407" s="74"/>
      <c r="G407" s="2"/>
      <c r="H407" s="75" t="str">
        <f t="shared" si="12"/>
        <v>EV.1110</v>
      </c>
      <c r="I407" s="59" t="str">
        <f t="shared" si="13"/>
        <v>ok</v>
      </c>
      <c r="J407" s="77">
        <f>IFERROR(VLOOKUP($H407,TG[],3,FALSE),"NA")</f>
        <v>0</v>
      </c>
      <c r="K407" s="86" t="str">
        <f>IFERROR(VLOOKUP($H407,TF[],3,FALSE),"NA")</f>
        <v>NA</v>
      </c>
      <c r="L407" s="408" t="str">
        <f>IFERROR(VLOOKUP($H407,TT[],3,FALSE),"NA")</f>
        <v>NA</v>
      </c>
      <c r="M407" s="77" t="str">
        <f>IFERROR(VLOOKUP($H407,TES[],3,FALSE),"NA")</f>
        <v>NA</v>
      </c>
      <c r="N407" s="139" t="str">
        <f>IFERROR(VLOOKUP($H407,TEC[],3,FALSE),"NA")</f>
        <v>NA</v>
      </c>
      <c r="O407" s="77" t="str">
        <f>IFERROR(VLOOKUP($H407,TP[],3,FALSE),"NA")</f>
        <v>NA</v>
      </c>
      <c r="P407" s="77" t="str">
        <f>IFERROR(VLOOKUP($H407,TEN[],3,FALSE),"NA")</f>
        <v>NA</v>
      </c>
      <c r="Q407" s="77" t="str">
        <f>IFERROR(VLOOKUP($H407,TD[],3,FALSE),"NA")</f>
        <v>NA</v>
      </c>
      <c r="R407" s="139" t="str">
        <f>IFERROR(VLOOKUP($H407,TC[],3,FALSE),"NA")</f>
        <v>NA</v>
      </c>
      <c r="S407" s="78" t="str">
        <f>IFERROR(VLOOKUP($H407,TEV[],3,FALSE),"NA")</f>
        <v>NA</v>
      </c>
      <c r="T407" s="78">
        <f>SUM(TbAlquiler[[#This Row],[GENERAL]:[ELEVADOR]])</f>
        <v>0</v>
      </c>
      <c r="U407" s="295">
        <f>IF(VLOOKUP(TbAlquiler[[#This Row],[ITEM]],TbPiezas[],5,FALSE)="NA",0,VLOOKUP(TbAlquiler[[#This Row],[ITEM]],TbPiezas[],5,FALSE))</f>
        <v>0</v>
      </c>
      <c r="V407" s="295">
        <f>+TbAlquiler[[#This Row],[TOTAL]]*TbAlquiler[[#This Row],[P.U. (1)]]</f>
        <v>0</v>
      </c>
      <c r="W407" s="84">
        <f>+VLOOKUP(TbAlquiler[[#This Row],[ITEM]],TbPiezas[],6,FALSE)</f>
        <v>0</v>
      </c>
      <c r="X407" s="296">
        <f>+TbAlquiler[[#This Row],[TOTAL]]*TbAlquiler[[#This Row],[P.U. (2)]]</f>
        <v>0</v>
      </c>
      <c r="Y407" s="84">
        <f>+VLOOKUP(TbAlquiler[[#This Row],[ITEM]],TbPiezas[],7,FALSE)</f>
        <v>0</v>
      </c>
      <c r="Z407" s="296">
        <f>+TbAlquiler[[#This Row],[TOTAL]]*TbAlquiler[[#This Row],[P.U. (3)]]</f>
        <v>0</v>
      </c>
    </row>
    <row r="408" spans="1:26" s="4" customFormat="1" x14ac:dyDescent="0.3">
      <c r="A408" s="2"/>
      <c r="B408" s="85"/>
      <c r="C408" s="71" t="s">
        <v>1421</v>
      </c>
      <c r="D408" s="72" t="s">
        <v>1417</v>
      </c>
      <c r="E408" s="73"/>
      <c r="F408" s="74"/>
      <c r="G408" s="2"/>
      <c r="H408" s="75" t="str">
        <f t="shared" si="12"/>
        <v>EV.1120</v>
      </c>
      <c r="I408" s="59" t="str">
        <f t="shared" si="13"/>
        <v>ok</v>
      </c>
      <c r="J408" s="77">
        <f>IFERROR(VLOOKUP($H408,TG[],3,FALSE),"NA")</f>
        <v>0</v>
      </c>
      <c r="K408" s="86" t="str">
        <f>IFERROR(VLOOKUP($H408,TF[],3,FALSE),"NA")</f>
        <v>NA</v>
      </c>
      <c r="L408" s="408" t="str">
        <f>IFERROR(VLOOKUP($H408,TT[],3,FALSE),"NA")</f>
        <v>NA</v>
      </c>
      <c r="M408" s="77" t="str">
        <f>IFERROR(VLOOKUP($H408,TES[],3,FALSE),"NA")</f>
        <v>NA</v>
      </c>
      <c r="N408" s="139" t="str">
        <f>IFERROR(VLOOKUP($H408,TEC[],3,FALSE),"NA")</f>
        <v>NA</v>
      </c>
      <c r="O408" s="77" t="str">
        <f>IFERROR(VLOOKUP($H408,TP[],3,FALSE),"NA")</f>
        <v>NA</v>
      </c>
      <c r="P408" s="77" t="str">
        <f>IFERROR(VLOOKUP($H408,TEN[],3,FALSE),"NA")</f>
        <v>NA</v>
      </c>
      <c r="Q408" s="77" t="str">
        <f>IFERROR(VLOOKUP($H408,TD[],3,FALSE),"NA")</f>
        <v>NA</v>
      </c>
      <c r="R408" s="139" t="str">
        <f>IFERROR(VLOOKUP($H408,TC[],3,FALSE),"NA")</f>
        <v>NA</v>
      </c>
      <c r="S408" s="78" t="str">
        <f>IFERROR(VLOOKUP($H408,TEV[],3,FALSE),"NA")</f>
        <v>NA</v>
      </c>
      <c r="T408" s="78">
        <f>SUM(TbAlquiler[[#This Row],[GENERAL]:[ELEVADOR]])</f>
        <v>0</v>
      </c>
      <c r="U408" s="295">
        <f>IF(VLOOKUP(TbAlquiler[[#This Row],[ITEM]],TbPiezas[],5,FALSE)="NA",0,VLOOKUP(TbAlquiler[[#This Row],[ITEM]],TbPiezas[],5,FALSE))</f>
        <v>0</v>
      </c>
      <c r="V408" s="295">
        <f>+TbAlquiler[[#This Row],[TOTAL]]*TbAlquiler[[#This Row],[P.U. (1)]]</f>
        <v>0</v>
      </c>
      <c r="W408" s="84">
        <f>+VLOOKUP(TbAlquiler[[#This Row],[ITEM]],TbPiezas[],6,FALSE)</f>
        <v>0</v>
      </c>
      <c r="X408" s="296">
        <f>+TbAlquiler[[#This Row],[TOTAL]]*TbAlquiler[[#This Row],[P.U. (2)]]</f>
        <v>0</v>
      </c>
      <c r="Y408" s="84">
        <f>+VLOOKUP(TbAlquiler[[#This Row],[ITEM]],TbPiezas[],7,FALSE)</f>
        <v>0</v>
      </c>
      <c r="Z408" s="296">
        <f>+TbAlquiler[[#This Row],[TOTAL]]*TbAlquiler[[#This Row],[P.U. (3)]]</f>
        <v>0</v>
      </c>
    </row>
    <row r="409" spans="1:26" s="4" customFormat="1" x14ac:dyDescent="0.3">
      <c r="A409" s="2"/>
      <c r="B409" s="85"/>
      <c r="C409" s="71" t="s">
        <v>1422</v>
      </c>
      <c r="D409" s="72" t="s">
        <v>1418</v>
      </c>
      <c r="E409" s="73"/>
      <c r="F409" s="74"/>
      <c r="G409" s="2"/>
      <c r="H409" s="75" t="str">
        <f t="shared" si="12"/>
        <v>EV.1130</v>
      </c>
      <c r="I409" s="59" t="str">
        <f t="shared" si="13"/>
        <v>ok</v>
      </c>
      <c r="J409" s="77">
        <f>IFERROR(VLOOKUP($H409,TG[],3,FALSE),"NA")</f>
        <v>0</v>
      </c>
      <c r="K409" s="86" t="str">
        <f>IFERROR(VLOOKUP($H409,TF[],3,FALSE),"NA")</f>
        <v>NA</v>
      </c>
      <c r="L409" s="408" t="str">
        <f>IFERROR(VLOOKUP($H409,TT[],3,FALSE),"NA")</f>
        <v>NA</v>
      </c>
      <c r="M409" s="77" t="str">
        <f>IFERROR(VLOOKUP($H409,TES[],3,FALSE),"NA")</f>
        <v>NA</v>
      </c>
      <c r="N409" s="139" t="str">
        <f>IFERROR(VLOOKUP($H409,TEC[],3,FALSE),"NA")</f>
        <v>NA</v>
      </c>
      <c r="O409" s="77" t="str">
        <f>IFERROR(VLOOKUP($H409,TP[],3,FALSE),"NA")</f>
        <v>NA</v>
      </c>
      <c r="P409" s="77" t="str">
        <f>IFERROR(VLOOKUP($H409,TEN[],3,FALSE),"NA")</f>
        <v>NA</v>
      </c>
      <c r="Q409" s="77" t="str">
        <f>IFERROR(VLOOKUP($H409,TD[],3,FALSE),"NA")</f>
        <v>NA</v>
      </c>
      <c r="R409" s="139" t="str">
        <f>IFERROR(VLOOKUP($H409,TC[],3,FALSE),"NA")</f>
        <v>NA</v>
      </c>
      <c r="S409" s="78" t="str">
        <f>IFERROR(VLOOKUP($H409,TEV[],3,FALSE),"NA")</f>
        <v>NA</v>
      </c>
      <c r="T409" s="78">
        <f>SUM(TbAlquiler[[#This Row],[GENERAL]:[ELEVADOR]])</f>
        <v>0</v>
      </c>
      <c r="U409" s="295">
        <f>IF(VLOOKUP(TbAlquiler[[#This Row],[ITEM]],TbPiezas[],5,FALSE)="NA",0,VLOOKUP(TbAlquiler[[#This Row],[ITEM]],TbPiezas[],5,FALSE))</f>
        <v>0</v>
      </c>
      <c r="V409" s="295">
        <f>+TbAlquiler[[#This Row],[TOTAL]]*TbAlquiler[[#This Row],[P.U. (1)]]</f>
        <v>0</v>
      </c>
      <c r="W409" s="84">
        <f>+VLOOKUP(TbAlquiler[[#This Row],[ITEM]],TbPiezas[],6,FALSE)</f>
        <v>0</v>
      </c>
      <c r="X409" s="296">
        <f>+TbAlquiler[[#This Row],[TOTAL]]*TbAlquiler[[#This Row],[P.U. (2)]]</f>
        <v>0</v>
      </c>
      <c r="Y409" s="84">
        <f>+VLOOKUP(TbAlquiler[[#This Row],[ITEM]],TbPiezas[],7,FALSE)</f>
        <v>0</v>
      </c>
      <c r="Z409" s="296">
        <f>+TbAlquiler[[#This Row],[TOTAL]]*TbAlquiler[[#This Row],[P.U. (3)]]</f>
        <v>0</v>
      </c>
    </row>
    <row r="410" spans="1:26" s="4" customFormat="1" x14ac:dyDescent="0.3">
      <c r="A410" s="2"/>
      <c r="B410" s="85"/>
      <c r="C410" s="71" t="s">
        <v>1423</v>
      </c>
      <c r="D410" s="72" t="s">
        <v>1419</v>
      </c>
      <c r="E410" s="73"/>
      <c r="F410" s="74"/>
      <c r="G410" s="2"/>
      <c r="H410" s="75" t="str">
        <f t="shared" si="12"/>
        <v>EV.1140</v>
      </c>
      <c r="I410" s="59" t="str">
        <f t="shared" si="13"/>
        <v>ok</v>
      </c>
      <c r="J410" s="77">
        <f>IFERROR(VLOOKUP($H410,TG[],3,FALSE),"NA")</f>
        <v>0</v>
      </c>
      <c r="K410" s="86" t="str">
        <f>IFERROR(VLOOKUP($H410,TF[],3,FALSE),"NA")</f>
        <v>NA</v>
      </c>
      <c r="L410" s="408" t="str">
        <f>IFERROR(VLOOKUP($H410,TT[],3,FALSE),"NA")</f>
        <v>NA</v>
      </c>
      <c r="M410" s="77" t="str">
        <f>IFERROR(VLOOKUP($H410,TES[],3,FALSE),"NA")</f>
        <v>NA</v>
      </c>
      <c r="N410" s="139" t="str">
        <f>IFERROR(VLOOKUP($H410,TEC[],3,FALSE),"NA")</f>
        <v>NA</v>
      </c>
      <c r="O410" s="77" t="str">
        <f>IFERROR(VLOOKUP($H410,TP[],3,FALSE),"NA")</f>
        <v>NA</v>
      </c>
      <c r="P410" s="77" t="str">
        <f>IFERROR(VLOOKUP($H410,TEN[],3,FALSE),"NA")</f>
        <v>NA</v>
      </c>
      <c r="Q410" s="77" t="str">
        <f>IFERROR(VLOOKUP($H410,TD[],3,FALSE),"NA")</f>
        <v>NA</v>
      </c>
      <c r="R410" s="139" t="str">
        <f>IFERROR(VLOOKUP($H410,TC[],3,FALSE),"NA")</f>
        <v>NA</v>
      </c>
      <c r="S410" s="78" t="str">
        <f>IFERROR(VLOOKUP($H410,TEV[],3,FALSE),"NA")</f>
        <v>NA</v>
      </c>
      <c r="T410" s="78">
        <f>SUM(TbAlquiler[[#This Row],[GENERAL]:[ELEVADOR]])</f>
        <v>0</v>
      </c>
      <c r="U410" s="295">
        <f>IF(VLOOKUP(TbAlquiler[[#This Row],[ITEM]],TbPiezas[],5,FALSE)="NA",0,VLOOKUP(TbAlquiler[[#This Row],[ITEM]],TbPiezas[],5,FALSE))</f>
        <v>0</v>
      </c>
      <c r="V410" s="295">
        <f>+TbAlquiler[[#This Row],[TOTAL]]*TbAlquiler[[#This Row],[P.U. (1)]]</f>
        <v>0</v>
      </c>
      <c r="W410" s="84">
        <f>+VLOOKUP(TbAlquiler[[#This Row],[ITEM]],TbPiezas[],6,FALSE)</f>
        <v>0</v>
      </c>
      <c r="X410" s="296">
        <f>+TbAlquiler[[#This Row],[TOTAL]]*TbAlquiler[[#This Row],[P.U. (2)]]</f>
        <v>0</v>
      </c>
      <c r="Y410" s="84">
        <f>+VLOOKUP(TbAlquiler[[#This Row],[ITEM]],TbPiezas[],7,FALSE)</f>
        <v>0</v>
      </c>
      <c r="Z410" s="296">
        <f>+TbAlquiler[[#This Row],[TOTAL]]*TbAlquiler[[#This Row],[P.U. (3)]]</f>
        <v>0</v>
      </c>
    </row>
    <row r="411" spans="1:26" s="4" customFormat="1" x14ac:dyDescent="0.3">
      <c r="A411" s="2"/>
      <c r="B411" s="85">
        <v>382</v>
      </c>
      <c r="C411" s="71" t="s">
        <v>765</v>
      </c>
      <c r="D411" s="72" t="s">
        <v>1424</v>
      </c>
      <c r="E411" s="73"/>
      <c r="F411" s="74">
        <f>+VLOOKUP(C411,TbAlquiler[],13,FALSE)</f>
        <v>0</v>
      </c>
      <c r="G411" s="2"/>
      <c r="H411" s="75" t="str">
        <f t="shared" si="12"/>
        <v>EV.1200</v>
      </c>
      <c r="I411" s="59" t="str">
        <f t="shared" si="13"/>
        <v>ok</v>
      </c>
      <c r="J411" s="77">
        <f>IFERROR(VLOOKUP($H411,TG[],3,FALSE),"NA")</f>
        <v>0</v>
      </c>
      <c r="K411" s="77" t="str">
        <f>IFERROR(VLOOKUP($H411,TF[],3,FALSE),"NA")</f>
        <v>NA</v>
      </c>
      <c r="L411" s="77" t="str">
        <f>IFERROR(VLOOKUP($H411,TT[],3,FALSE),"NA")</f>
        <v>NA</v>
      </c>
      <c r="M411" s="77" t="str">
        <f>IFERROR(VLOOKUP($H411,TES[],3,FALSE),"NA")</f>
        <v>NA</v>
      </c>
      <c r="N411" s="77" t="str">
        <f>IFERROR(VLOOKUP($H411,TEC[],3,FALSE),"NA")</f>
        <v>NA</v>
      </c>
      <c r="O411" s="77" t="str">
        <f>IFERROR(VLOOKUP($H411,TP[],3,FALSE),"NA")</f>
        <v>NA</v>
      </c>
      <c r="P411" s="77" t="str">
        <f>IFERROR(VLOOKUP($H411,TEN[],3,FALSE),"NA")</f>
        <v>NA</v>
      </c>
      <c r="Q411" s="77" t="str">
        <f>IFERROR(VLOOKUP($H411,TD[],3,FALSE),"NA")</f>
        <v>NA</v>
      </c>
      <c r="R411" s="77" t="str">
        <f>IFERROR(VLOOKUP($H411,TC[],3,FALSE),"NA")</f>
        <v>NA</v>
      </c>
      <c r="S411" s="77" t="str">
        <f>IFERROR(VLOOKUP($H411,TEV[],3,FALSE),"NA")</f>
        <v>NA</v>
      </c>
      <c r="T411" s="79">
        <f>SUM(TbAlquiler[[#This Row],[GENERAL]:[ELEVADOR]])</f>
        <v>0</v>
      </c>
      <c r="U411" s="80">
        <f>IF(VLOOKUP(TbAlquiler[[#This Row],[ITEM]],TbPiezas[],5,FALSE)="NA",0,VLOOKUP(TbAlquiler[[#This Row],[ITEM]],TbPiezas[],5,FALSE))</f>
        <v>0</v>
      </c>
      <c r="V411" s="81">
        <f>+TbAlquiler[[#This Row],[TOTAL]]*TbAlquiler[[#This Row],[P.U. (1)]]</f>
        <v>0</v>
      </c>
      <c r="W411" s="82">
        <f>+VLOOKUP(TbAlquiler[[#This Row],[ITEM]],TbPiezas[],6,FALSE)</f>
        <v>1905.75</v>
      </c>
      <c r="X411" s="83">
        <f>+TbAlquiler[[#This Row],[TOTAL]]*TbAlquiler[[#This Row],[P.U. (2)]]</f>
        <v>0</v>
      </c>
      <c r="Y411" s="82">
        <f>+VLOOKUP(TbAlquiler[[#This Row],[ITEM]],TbPiezas[],7,FALSE)</f>
        <v>95.287500000000009</v>
      </c>
      <c r="Z411" s="84">
        <f>+TbAlquiler[[#This Row],[TOTAL]]*TbAlquiler[[#This Row],[P.U. (3)]]</f>
        <v>0</v>
      </c>
    </row>
    <row r="412" spans="1:26" s="4" customFormat="1" x14ac:dyDescent="0.3">
      <c r="A412" s="2"/>
      <c r="B412" s="85"/>
      <c r="C412" s="71" t="s">
        <v>1426</v>
      </c>
      <c r="D412" s="72" t="s">
        <v>1425</v>
      </c>
      <c r="E412" s="73"/>
      <c r="F412" s="74"/>
      <c r="G412" s="2"/>
      <c r="H412" s="75" t="str">
        <f t="shared" si="12"/>
        <v>EV.1210</v>
      </c>
      <c r="I412" s="59" t="str">
        <f t="shared" si="13"/>
        <v>ok</v>
      </c>
      <c r="J412" s="77">
        <f>IFERROR(VLOOKUP($H412,TG[],3,FALSE),"NA")</f>
        <v>0</v>
      </c>
      <c r="K412" s="86" t="str">
        <f>IFERROR(VLOOKUP($H412,TF[],3,FALSE),"NA")</f>
        <v>NA</v>
      </c>
      <c r="L412" s="408" t="str">
        <f>IFERROR(VLOOKUP($H412,TT[],3,FALSE),"NA")</f>
        <v>NA</v>
      </c>
      <c r="M412" s="77" t="str">
        <f>IFERROR(VLOOKUP($H412,TES[],3,FALSE),"NA")</f>
        <v>NA</v>
      </c>
      <c r="N412" s="139" t="str">
        <f>IFERROR(VLOOKUP($H412,TEC[],3,FALSE),"NA")</f>
        <v>NA</v>
      </c>
      <c r="O412" s="77" t="str">
        <f>IFERROR(VLOOKUP($H412,TP[],3,FALSE),"NA")</f>
        <v>NA</v>
      </c>
      <c r="P412" s="77" t="str">
        <f>IFERROR(VLOOKUP($H412,TEN[],3,FALSE),"NA")</f>
        <v>NA</v>
      </c>
      <c r="Q412" s="77" t="str">
        <f>IFERROR(VLOOKUP($H412,TD[],3,FALSE),"NA")</f>
        <v>NA</v>
      </c>
      <c r="R412" s="139" t="str">
        <f>IFERROR(VLOOKUP($H412,TC[],3,FALSE),"NA")</f>
        <v>NA</v>
      </c>
      <c r="S412" s="78">
        <f>IFERROR(VLOOKUP($H412,TEV[],3,FALSE),"NA")</f>
        <v>1</v>
      </c>
      <c r="T412" s="78">
        <f>SUM(TbAlquiler[[#This Row],[GENERAL]:[ELEVADOR]])</f>
        <v>1</v>
      </c>
      <c r="U412" s="295">
        <f>IF(VLOOKUP(TbAlquiler[[#This Row],[ITEM]],TbPiezas[],5,FALSE)="NA",0,VLOOKUP(TbAlquiler[[#This Row],[ITEM]],TbPiezas[],5,FALSE))</f>
        <v>0</v>
      </c>
      <c r="V412" s="295">
        <f>+TbAlquiler[[#This Row],[TOTAL]]*TbAlquiler[[#This Row],[P.U. (1)]]</f>
        <v>0</v>
      </c>
      <c r="W412" s="84">
        <f>+VLOOKUP(TbAlquiler[[#This Row],[ITEM]],TbPiezas[],6,FALSE)</f>
        <v>0</v>
      </c>
      <c r="X412" s="296">
        <f>+TbAlquiler[[#This Row],[TOTAL]]*TbAlquiler[[#This Row],[P.U. (2)]]</f>
        <v>0</v>
      </c>
      <c r="Y412" s="84">
        <f>+VLOOKUP(TbAlquiler[[#This Row],[ITEM]],TbPiezas[],7,FALSE)</f>
        <v>0</v>
      </c>
      <c r="Z412" s="296">
        <f>+TbAlquiler[[#This Row],[TOTAL]]*TbAlquiler[[#This Row],[P.U. (3)]]</f>
        <v>0</v>
      </c>
    </row>
    <row r="413" spans="1:26" s="4" customFormat="1" x14ac:dyDescent="0.3">
      <c r="A413" s="2"/>
      <c r="B413" s="85">
        <v>383</v>
      </c>
      <c r="C413" s="71" t="s">
        <v>766</v>
      </c>
      <c r="D413" s="72" t="s">
        <v>767</v>
      </c>
      <c r="E413" s="73"/>
      <c r="F413" s="74">
        <f>+VLOOKUP(C413,TbAlquiler[],13,FALSE)</f>
        <v>1</v>
      </c>
      <c r="G413" s="2"/>
      <c r="H413" s="75" t="str">
        <f t="shared" si="12"/>
        <v>EV.1300</v>
      </c>
      <c r="I413" s="59" t="str">
        <f t="shared" si="13"/>
        <v>ok</v>
      </c>
      <c r="J413" s="77">
        <f>IFERROR(VLOOKUP($H413,TG[],3,FALSE),"NA")</f>
        <v>0</v>
      </c>
      <c r="K413" s="77" t="str">
        <f>IFERROR(VLOOKUP($H413,TF[],3,FALSE),"NA")</f>
        <v>NA</v>
      </c>
      <c r="L413" s="77" t="str">
        <f>IFERROR(VLOOKUP($H413,TT[],3,FALSE),"NA")</f>
        <v>NA</v>
      </c>
      <c r="M413" s="77" t="str">
        <f>IFERROR(VLOOKUP($H413,TES[],3,FALSE),"NA")</f>
        <v>NA</v>
      </c>
      <c r="N413" s="77" t="str">
        <f>IFERROR(VLOOKUP($H413,TEC[],3,FALSE),"NA")</f>
        <v>NA</v>
      </c>
      <c r="O413" s="77" t="str">
        <f>IFERROR(VLOOKUP($H413,TP[],3,FALSE),"NA")</f>
        <v>NA</v>
      </c>
      <c r="P413" s="77" t="str">
        <f>IFERROR(VLOOKUP($H413,TEN[],3,FALSE),"NA")</f>
        <v>NA</v>
      </c>
      <c r="Q413" s="77" t="str">
        <f>IFERROR(VLOOKUP($H413,TD[],3,FALSE),"NA")</f>
        <v>NA</v>
      </c>
      <c r="R413" s="77" t="str">
        <f>IFERROR(VLOOKUP($H413,TC[],3,FALSE),"NA")</f>
        <v>NA</v>
      </c>
      <c r="S413" s="77">
        <f>IFERROR(VLOOKUP($H413,TEV[],3,FALSE),"NA")</f>
        <v>1</v>
      </c>
      <c r="T413" s="79">
        <f>SUM(TbAlquiler[[#This Row],[GENERAL]:[ELEVADOR]])</f>
        <v>1</v>
      </c>
      <c r="U413" s="80">
        <f>IF(VLOOKUP(TbAlquiler[[#This Row],[ITEM]],TbPiezas[],5,FALSE)="NA",0,VLOOKUP(TbAlquiler[[#This Row],[ITEM]],TbPiezas[],5,FALSE))</f>
        <v>10</v>
      </c>
      <c r="V413" s="81">
        <f>+TbAlquiler[[#This Row],[TOTAL]]*TbAlquiler[[#This Row],[P.U. (1)]]</f>
        <v>10</v>
      </c>
      <c r="W413" s="82">
        <f>+VLOOKUP(TbAlquiler[[#This Row],[ITEM]],TbPiezas[],6,FALSE)</f>
        <v>3176.25</v>
      </c>
      <c r="X413" s="83">
        <f>+TbAlquiler[[#This Row],[TOTAL]]*TbAlquiler[[#This Row],[P.U. (2)]]</f>
        <v>3176.25</v>
      </c>
      <c r="Y413" s="82">
        <f>+VLOOKUP(TbAlquiler[[#This Row],[ITEM]],TbPiezas[],7,FALSE)</f>
        <v>158.8125</v>
      </c>
      <c r="Z413" s="84">
        <f>+TbAlquiler[[#This Row],[TOTAL]]*TbAlquiler[[#This Row],[P.U. (3)]]</f>
        <v>158.8125</v>
      </c>
    </row>
    <row r="414" spans="1:26" s="4" customFormat="1" x14ac:dyDescent="0.3">
      <c r="A414" s="2"/>
      <c r="B414" s="85">
        <v>384</v>
      </c>
      <c r="C414" s="71" t="s">
        <v>768</v>
      </c>
      <c r="D414" s="72" t="s">
        <v>769</v>
      </c>
      <c r="E414" s="73"/>
      <c r="F414" s="74">
        <f>+VLOOKUP(C414,TbAlquiler[],13,FALSE)</f>
        <v>2</v>
      </c>
      <c r="G414" s="2"/>
      <c r="H414" s="75" t="str">
        <f t="shared" si="12"/>
        <v>EV.1400</v>
      </c>
      <c r="I414" s="59" t="str">
        <f t="shared" si="13"/>
        <v>ok</v>
      </c>
      <c r="J414" s="77">
        <f>IFERROR(VLOOKUP($H414,TG[],3,FALSE),"NA")</f>
        <v>0</v>
      </c>
      <c r="K414" s="77" t="str">
        <f>IFERROR(VLOOKUP($H414,TF[],3,FALSE),"NA")</f>
        <v>NA</v>
      </c>
      <c r="L414" s="77" t="str">
        <f>IFERROR(VLOOKUP($H414,TT[],3,FALSE),"NA")</f>
        <v>NA</v>
      </c>
      <c r="M414" s="77" t="str">
        <f>IFERROR(VLOOKUP($H414,TES[],3,FALSE),"NA")</f>
        <v>NA</v>
      </c>
      <c r="N414" s="77" t="str">
        <f>IFERROR(VLOOKUP($H414,TEC[],3,FALSE),"NA")</f>
        <v>NA</v>
      </c>
      <c r="O414" s="77" t="str">
        <f>IFERROR(VLOOKUP($H414,TP[],3,FALSE),"NA")</f>
        <v>NA</v>
      </c>
      <c r="P414" s="77" t="str">
        <f>IFERROR(VLOOKUP($H414,TEN[],3,FALSE),"NA")</f>
        <v>NA</v>
      </c>
      <c r="Q414" s="77" t="str">
        <f>IFERROR(VLOOKUP($H414,TD[],3,FALSE),"NA")</f>
        <v>NA</v>
      </c>
      <c r="R414" s="77" t="str">
        <f>IFERROR(VLOOKUP($H414,TC[],3,FALSE),"NA")</f>
        <v>NA</v>
      </c>
      <c r="S414" s="77">
        <f>IFERROR(VLOOKUP($H414,TEV[],3,FALSE),"NA")</f>
        <v>2</v>
      </c>
      <c r="T414" s="79">
        <f>SUM(TbAlquiler[[#This Row],[GENERAL]:[ELEVADOR]])</f>
        <v>2</v>
      </c>
      <c r="U414" s="80">
        <f>IF(VLOOKUP(TbAlquiler[[#This Row],[ITEM]],TbPiezas[],5,FALSE)="NA",0,VLOOKUP(TbAlquiler[[#This Row],[ITEM]],TbPiezas[],5,FALSE))</f>
        <v>5</v>
      </c>
      <c r="V414" s="81">
        <f>+TbAlquiler[[#This Row],[TOTAL]]*TbAlquiler[[#This Row],[P.U. (1)]]</f>
        <v>10</v>
      </c>
      <c r="W414" s="82">
        <f>+VLOOKUP(TbAlquiler[[#This Row],[ITEM]],TbPiezas[],6,FALSE)</f>
        <v>2413.9499999999998</v>
      </c>
      <c r="X414" s="83">
        <f>+TbAlquiler[[#This Row],[TOTAL]]*TbAlquiler[[#This Row],[P.U. (2)]]</f>
        <v>4827.8999999999996</v>
      </c>
      <c r="Y414" s="82">
        <f>+VLOOKUP(TbAlquiler[[#This Row],[ITEM]],TbPiezas[],7,FALSE)</f>
        <v>120.69749999999999</v>
      </c>
      <c r="Z414" s="84">
        <f>+TbAlquiler[[#This Row],[TOTAL]]*TbAlquiler[[#This Row],[P.U. (3)]]</f>
        <v>241.39499999999998</v>
      </c>
    </row>
    <row r="415" spans="1:26" s="4" customFormat="1" x14ac:dyDescent="0.3">
      <c r="A415" s="2"/>
      <c r="B415" s="85">
        <v>385</v>
      </c>
      <c r="C415" s="71" t="s">
        <v>770</v>
      </c>
      <c r="D415" s="72" t="s">
        <v>771</v>
      </c>
      <c r="E415" s="73"/>
      <c r="F415" s="74">
        <f>+VLOOKUP(C415,TbAlquiler[],13,FALSE)</f>
        <v>1</v>
      </c>
      <c r="G415" s="2"/>
      <c r="H415" s="75" t="str">
        <f t="shared" si="12"/>
        <v>EV.1500</v>
      </c>
      <c r="I415" s="59" t="str">
        <f t="shared" si="13"/>
        <v>ok</v>
      </c>
      <c r="J415" s="77">
        <f>IFERROR(VLOOKUP($H415,TG[],3,FALSE),"NA")</f>
        <v>0</v>
      </c>
      <c r="K415" s="77" t="str">
        <f>IFERROR(VLOOKUP($H415,TF[],3,FALSE),"NA")</f>
        <v>NA</v>
      </c>
      <c r="L415" s="77" t="str">
        <f>IFERROR(VLOOKUP($H415,TT[],3,FALSE),"NA")</f>
        <v>NA</v>
      </c>
      <c r="M415" s="77" t="str">
        <f>IFERROR(VLOOKUP($H415,TES[],3,FALSE),"NA")</f>
        <v>NA</v>
      </c>
      <c r="N415" s="77" t="str">
        <f>IFERROR(VLOOKUP($H415,TEC[],3,FALSE),"NA")</f>
        <v>NA</v>
      </c>
      <c r="O415" s="77" t="str">
        <f>IFERROR(VLOOKUP($H415,TP[],3,FALSE),"NA")</f>
        <v>NA</v>
      </c>
      <c r="P415" s="77" t="str">
        <f>IFERROR(VLOOKUP($H415,TEN[],3,FALSE),"NA")</f>
        <v>NA</v>
      </c>
      <c r="Q415" s="77" t="str">
        <f>IFERROR(VLOOKUP($H415,TD[],3,FALSE),"NA")</f>
        <v>NA</v>
      </c>
      <c r="R415" s="77" t="str">
        <f>IFERROR(VLOOKUP($H415,TC[],3,FALSE),"NA")</f>
        <v>NA</v>
      </c>
      <c r="S415" s="77">
        <f>IFERROR(VLOOKUP($H415,TEV[],3,FALSE),"NA")</f>
        <v>1</v>
      </c>
      <c r="T415" s="79">
        <f>SUM(TbAlquiler[[#This Row],[GENERAL]:[ELEVADOR]])</f>
        <v>1</v>
      </c>
      <c r="U415" s="80">
        <f>IF(VLOOKUP(TbAlquiler[[#This Row],[ITEM]],TbPiezas[],5,FALSE)="NA",0,VLOOKUP(TbAlquiler[[#This Row],[ITEM]],TbPiezas[],5,FALSE))</f>
        <v>0</v>
      </c>
      <c r="V415" s="81">
        <f>+TbAlquiler[[#This Row],[TOTAL]]*TbAlquiler[[#This Row],[P.U. (1)]]</f>
        <v>0</v>
      </c>
      <c r="W415" s="82">
        <f>+VLOOKUP(TbAlquiler[[#This Row],[ITEM]],TbPiezas[],6,FALSE)</f>
        <v>8639.4</v>
      </c>
      <c r="X415" s="83">
        <f>+TbAlquiler[[#This Row],[TOTAL]]*TbAlquiler[[#This Row],[P.U. (2)]]</f>
        <v>8639.4</v>
      </c>
      <c r="Y415" s="82">
        <f>+VLOOKUP(TbAlquiler[[#This Row],[ITEM]],TbPiezas[],7,FALSE)</f>
        <v>431.97</v>
      </c>
      <c r="Z415" s="84">
        <f>+TbAlquiler[[#This Row],[TOTAL]]*TbAlquiler[[#This Row],[P.U. (3)]]</f>
        <v>431.97</v>
      </c>
    </row>
    <row r="416" spans="1:26" s="4" customFormat="1" x14ac:dyDescent="0.3">
      <c r="A416" s="2"/>
      <c r="B416" s="85">
        <v>386</v>
      </c>
      <c r="C416" s="71" t="s">
        <v>772</v>
      </c>
      <c r="D416" s="72" t="s">
        <v>773</v>
      </c>
      <c r="E416" s="73"/>
      <c r="F416" s="74">
        <f>+VLOOKUP(C416,TbAlquiler[],13,FALSE)</f>
        <v>1</v>
      </c>
      <c r="G416" s="2"/>
      <c r="H416" s="75" t="str">
        <f t="shared" si="12"/>
        <v>EV.1600</v>
      </c>
      <c r="I416" s="59" t="str">
        <f t="shared" si="13"/>
        <v>ok</v>
      </c>
      <c r="J416" s="77">
        <f>IFERROR(VLOOKUP($H416,TG[],3,FALSE),"NA")</f>
        <v>0</v>
      </c>
      <c r="K416" s="77" t="str">
        <f>IFERROR(VLOOKUP($H416,TF[],3,FALSE),"NA")</f>
        <v>NA</v>
      </c>
      <c r="L416" s="77" t="str">
        <f>IFERROR(VLOOKUP($H416,TT[],3,FALSE),"NA")</f>
        <v>NA</v>
      </c>
      <c r="M416" s="77" t="str">
        <f>IFERROR(VLOOKUP($H416,TES[],3,FALSE),"NA")</f>
        <v>NA</v>
      </c>
      <c r="N416" s="77" t="str">
        <f>IFERROR(VLOOKUP($H416,TEC[],3,FALSE),"NA")</f>
        <v>NA</v>
      </c>
      <c r="O416" s="77" t="str">
        <f>IFERROR(VLOOKUP($H416,TP[],3,FALSE),"NA")</f>
        <v>NA</v>
      </c>
      <c r="P416" s="77" t="str">
        <f>IFERROR(VLOOKUP($H416,TEN[],3,FALSE),"NA")</f>
        <v>NA</v>
      </c>
      <c r="Q416" s="77" t="str">
        <f>IFERROR(VLOOKUP($H416,TD[],3,FALSE),"NA")</f>
        <v>NA</v>
      </c>
      <c r="R416" s="77" t="str">
        <f>IFERROR(VLOOKUP($H416,TC[],3,FALSE),"NA")</f>
        <v>NA</v>
      </c>
      <c r="S416" s="77">
        <f>IFERROR(VLOOKUP($H416,TEV[],3,FALSE),"NA")</f>
        <v>1</v>
      </c>
      <c r="T416" s="79">
        <f>SUM(TbAlquiler[[#This Row],[GENERAL]:[ELEVADOR]])</f>
        <v>1</v>
      </c>
      <c r="U416" s="80">
        <f>IF(VLOOKUP(TbAlquiler[[#This Row],[ITEM]],TbPiezas[],5,FALSE)="NA",0,VLOOKUP(TbAlquiler[[#This Row],[ITEM]],TbPiezas[],5,FALSE))</f>
        <v>0</v>
      </c>
      <c r="V416" s="81">
        <f>+TbAlquiler[[#This Row],[TOTAL]]*TbAlquiler[[#This Row],[P.U. (1)]]</f>
        <v>0</v>
      </c>
      <c r="W416" s="82">
        <f>+VLOOKUP(TbAlquiler[[#This Row],[ITEM]],TbPiezas[],6,FALSE)</f>
        <v>6987.75</v>
      </c>
      <c r="X416" s="83">
        <f>+TbAlquiler[[#This Row],[TOTAL]]*TbAlquiler[[#This Row],[P.U. (2)]]</f>
        <v>6987.75</v>
      </c>
      <c r="Y416" s="82">
        <f>+VLOOKUP(TbAlquiler[[#This Row],[ITEM]],TbPiezas[],7,FALSE)</f>
        <v>349.38750000000005</v>
      </c>
      <c r="Z416" s="84">
        <f>+TbAlquiler[[#This Row],[TOTAL]]*TbAlquiler[[#This Row],[P.U. (3)]]</f>
        <v>349.38750000000005</v>
      </c>
    </row>
    <row r="417" spans="1:26" s="4" customFormat="1" x14ac:dyDescent="0.3">
      <c r="A417" s="2"/>
      <c r="B417" s="85">
        <v>387</v>
      </c>
      <c r="C417" s="71" t="s">
        <v>774</v>
      </c>
      <c r="D417" s="72" t="s">
        <v>775</v>
      </c>
      <c r="E417" s="73"/>
      <c r="F417" s="74">
        <f>+VLOOKUP(C417,TbAlquiler[],13,FALSE)</f>
        <v>2</v>
      </c>
      <c r="G417" s="2"/>
      <c r="H417" s="75" t="str">
        <f t="shared" si="12"/>
        <v>EV.1700</v>
      </c>
      <c r="I417" s="59" t="str">
        <f t="shared" si="13"/>
        <v>ok</v>
      </c>
      <c r="J417" s="77">
        <f>IFERROR(VLOOKUP($H417,TG[],3,FALSE),"NA")</f>
        <v>0</v>
      </c>
      <c r="K417" s="77" t="str">
        <f>IFERROR(VLOOKUP($H417,TF[],3,FALSE),"NA")</f>
        <v>NA</v>
      </c>
      <c r="L417" s="77" t="str">
        <f>IFERROR(VLOOKUP($H417,TT[],3,FALSE),"NA")</f>
        <v>NA</v>
      </c>
      <c r="M417" s="77" t="str">
        <f>IFERROR(VLOOKUP($H417,TES[],3,FALSE),"NA")</f>
        <v>NA</v>
      </c>
      <c r="N417" s="77" t="str">
        <f>IFERROR(VLOOKUP($H417,TEC[],3,FALSE),"NA")</f>
        <v>NA</v>
      </c>
      <c r="O417" s="77" t="str">
        <f>IFERROR(VLOOKUP($H417,TP[],3,FALSE),"NA")</f>
        <v>NA</v>
      </c>
      <c r="P417" s="77" t="str">
        <f>IFERROR(VLOOKUP($H417,TEN[],3,FALSE),"NA")</f>
        <v>NA</v>
      </c>
      <c r="Q417" s="77" t="str">
        <f>IFERROR(VLOOKUP($H417,TD[],3,FALSE),"NA")</f>
        <v>NA</v>
      </c>
      <c r="R417" s="77" t="str">
        <f>IFERROR(VLOOKUP($H417,TC[],3,FALSE),"NA")</f>
        <v>NA</v>
      </c>
      <c r="S417" s="77">
        <f>IFERROR(VLOOKUP($H417,TEV[],3,FALSE),"NA")</f>
        <v>2</v>
      </c>
      <c r="T417" s="79">
        <f>SUM(TbAlquiler[[#This Row],[GENERAL]:[ELEVADOR]])</f>
        <v>2</v>
      </c>
      <c r="U417" s="80">
        <f>IF(VLOOKUP(TbAlquiler[[#This Row],[ITEM]],TbPiezas[],5,FALSE)="NA",0,VLOOKUP(TbAlquiler[[#This Row],[ITEM]],TbPiezas[],5,FALSE))</f>
        <v>6</v>
      </c>
      <c r="V417" s="81">
        <f>+TbAlquiler[[#This Row],[TOTAL]]*TbAlquiler[[#This Row],[P.U. (1)]]</f>
        <v>12</v>
      </c>
      <c r="W417" s="82">
        <f>+VLOOKUP(TbAlquiler[[#This Row],[ITEM]],TbPiezas[],6,FALSE)</f>
        <v>825.83</v>
      </c>
      <c r="X417" s="83">
        <f>+TbAlquiler[[#This Row],[TOTAL]]*TbAlquiler[[#This Row],[P.U. (2)]]</f>
        <v>1651.66</v>
      </c>
      <c r="Y417" s="82">
        <f>+VLOOKUP(TbAlquiler[[#This Row],[ITEM]],TbPiezas[],7,FALSE)</f>
        <v>41.291500000000006</v>
      </c>
      <c r="Z417" s="84">
        <f>+TbAlquiler[[#This Row],[TOTAL]]*TbAlquiler[[#This Row],[P.U. (3)]]</f>
        <v>82.583000000000013</v>
      </c>
    </row>
    <row r="418" spans="1:26" s="4" customFormat="1" x14ac:dyDescent="0.3">
      <c r="A418" s="2"/>
      <c r="B418" s="85">
        <v>388</v>
      </c>
      <c r="C418" s="71" t="s">
        <v>776</v>
      </c>
      <c r="D418" s="72" t="s">
        <v>777</v>
      </c>
      <c r="E418" s="73"/>
      <c r="F418" s="74">
        <f>+VLOOKUP(C418,TbAlquiler[],13,FALSE)</f>
        <v>3</v>
      </c>
      <c r="G418" s="2"/>
      <c r="H418" s="75" t="str">
        <f t="shared" si="12"/>
        <v>EV.1800</v>
      </c>
      <c r="I418" s="59" t="str">
        <f t="shared" si="13"/>
        <v>ok</v>
      </c>
      <c r="J418" s="77">
        <f>IFERROR(VLOOKUP($H418,TG[],3,FALSE),"NA")</f>
        <v>0</v>
      </c>
      <c r="K418" s="77" t="str">
        <f>IFERROR(VLOOKUP($H418,TF[],3,FALSE),"NA")</f>
        <v>NA</v>
      </c>
      <c r="L418" s="77" t="str">
        <f>IFERROR(VLOOKUP($H418,TT[],3,FALSE),"NA")</f>
        <v>NA</v>
      </c>
      <c r="M418" s="77" t="str">
        <f>IFERROR(VLOOKUP($H418,TES[],3,FALSE),"NA")</f>
        <v>NA</v>
      </c>
      <c r="N418" s="77" t="str">
        <f>IFERROR(VLOOKUP($H418,TEC[],3,FALSE),"NA")</f>
        <v>NA</v>
      </c>
      <c r="O418" s="77" t="str">
        <f>IFERROR(VLOOKUP($H418,TP[],3,FALSE),"NA")</f>
        <v>NA</v>
      </c>
      <c r="P418" s="77" t="str">
        <f>IFERROR(VLOOKUP($H418,TEN[],3,FALSE),"NA")</f>
        <v>NA</v>
      </c>
      <c r="Q418" s="77" t="str">
        <f>IFERROR(VLOOKUP($H418,TD[],3,FALSE),"NA")</f>
        <v>NA</v>
      </c>
      <c r="R418" s="77" t="str">
        <f>IFERROR(VLOOKUP($H418,TC[],3,FALSE),"NA")</f>
        <v>NA</v>
      </c>
      <c r="S418" s="77">
        <f>IFERROR(VLOOKUP($H418,TEV[],3,FALSE),"NA")</f>
        <v>3</v>
      </c>
      <c r="T418" s="79">
        <f>SUM(TbAlquiler[[#This Row],[GENERAL]:[ELEVADOR]])</f>
        <v>3</v>
      </c>
      <c r="U418" s="80">
        <f>IF(VLOOKUP(TbAlquiler[[#This Row],[ITEM]],TbPiezas[],5,FALSE)="NA",0,VLOOKUP(TbAlquiler[[#This Row],[ITEM]],TbPiezas[],5,FALSE))</f>
        <v>5.2</v>
      </c>
      <c r="V418" s="81">
        <f>+TbAlquiler[[#This Row],[TOTAL]]*TbAlquiler[[#This Row],[P.U. (1)]]</f>
        <v>15.600000000000001</v>
      </c>
      <c r="W418" s="82">
        <f>+VLOOKUP(TbAlquiler[[#This Row],[ITEM]],TbPiezas[],6,FALSE)</f>
        <v>825.83</v>
      </c>
      <c r="X418" s="83">
        <f>+TbAlquiler[[#This Row],[TOTAL]]*TbAlquiler[[#This Row],[P.U. (2)]]</f>
        <v>2477.4900000000002</v>
      </c>
      <c r="Y418" s="82">
        <f>+VLOOKUP(TbAlquiler[[#This Row],[ITEM]],TbPiezas[],7,FALSE)</f>
        <v>41.291500000000006</v>
      </c>
      <c r="Z418" s="84">
        <f>+TbAlquiler[[#This Row],[TOTAL]]*TbAlquiler[[#This Row],[P.U. (3)]]</f>
        <v>123.87450000000001</v>
      </c>
    </row>
    <row r="419" spans="1:26" s="4" customFormat="1" x14ac:dyDescent="0.3">
      <c r="A419" s="2"/>
      <c r="B419" s="85">
        <v>389</v>
      </c>
      <c r="C419" s="71" t="s">
        <v>778</v>
      </c>
      <c r="D419" s="72" t="s">
        <v>779</v>
      </c>
      <c r="E419" s="73"/>
      <c r="F419" s="74">
        <f>+VLOOKUP(C419,TbAlquiler[],13,FALSE)</f>
        <v>3</v>
      </c>
      <c r="G419" s="2"/>
      <c r="H419" s="75" t="str">
        <f t="shared" si="12"/>
        <v>EV.1900</v>
      </c>
      <c r="I419" s="59" t="str">
        <f t="shared" si="13"/>
        <v>ok</v>
      </c>
      <c r="J419" s="77">
        <f>IFERROR(VLOOKUP($H419,TG[],3,FALSE),"NA")</f>
        <v>0</v>
      </c>
      <c r="K419" s="77" t="str">
        <f>IFERROR(VLOOKUP($H419,TF[],3,FALSE),"NA")</f>
        <v>NA</v>
      </c>
      <c r="L419" s="77" t="str">
        <f>IFERROR(VLOOKUP($H419,TT[],3,FALSE),"NA")</f>
        <v>NA</v>
      </c>
      <c r="M419" s="77" t="str">
        <f>IFERROR(VLOOKUP($H419,TES[],3,FALSE),"NA")</f>
        <v>NA</v>
      </c>
      <c r="N419" s="77" t="str">
        <f>IFERROR(VLOOKUP($H419,TEC[],3,FALSE),"NA")</f>
        <v>NA</v>
      </c>
      <c r="O419" s="77" t="str">
        <f>IFERROR(VLOOKUP($H419,TP[],3,FALSE),"NA")</f>
        <v>NA</v>
      </c>
      <c r="P419" s="77" t="str">
        <f>IFERROR(VLOOKUP($H419,TEN[],3,FALSE),"NA")</f>
        <v>NA</v>
      </c>
      <c r="Q419" s="77" t="str">
        <f>IFERROR(VLOOKUP($H419,TD[],3,FALSE),"NA")</f>
        <v>NA</v>
      </c>
      <c r="R419" s="77" t="str">
        <f>IFERROR(VLOOKUP($H419,TC[],3,FALSE),"NA")</f>
        <v>NA</v>
      </c>
      <c r="S419" s="77">
        <f>IFERROR(VLOOKUP($H419,TEV[],3,FALSE),"NA")</f>
        <v>3</v>
      </c>
      <c r="T419" s="79">
        <f>SUM(TbAlquiler[[#This Row],[GENERAL]:[ELEVADOR]])</f>
        <v>3</v>
      </c>
      <c r="U419" s="80">
        <f>IF(VLOOKUP(TbAlquiler[[#This Row],[ITEM]],TbPiezas[],5,FALSE)="NA",0,VLOOKUP(TbAlquiler[[#This Row],[ITEM]],TbPiezas[],5,FALSE))</f>
        <v>1.8</v>
      </c>
      <c r="V419" s="81">
        <f>+TbAlquiler[[#This Row],[TOTAL]]*TbAlquiler[[#This Row],[P.U. (1)]]</f>
        <v>5.4</v>
      </c>
      <c r="W419" s="82">
        <f>+VLOOKUP(TbAlquiler[[#This Row],[ITEM]],TbPiezas[],6,FALSE)</f>
        <v>381.15</v>
      </c>
      <c r="X419" s="83">
        <f>+TbAlquiler[[#This Row],[TOTAL]]*TbAlquiler[[#This Row],[P.U. (2)]]</f>
        <v>1143.4499999999998</v>
      </c>
      <c r="Y419" s="82">
        <f>+VLOOKUP(TbAlquiler[[#This Row],[ITEM]],TbPiezas[],7,FALSE)</f>
        <v>19.057500000000001</v>
      </c>
      <c r="Z419" s="84">
        <f>+TbAlquiler[[#This Row],[TOTAL]]*TbAlquiler[[#This Row],[P.U. (3)]]</f>
        <v>57.172499999999999</v>
      </c>
    </row>
    <row r="420" spans="1:26" s="4" customFormat="1" x14ac:dyDescent="0.3">
      <c r="A420" s="2"/>
      <c r="B420" s="85">
        <v>390</v>
      </c>
      <c r="C420" s="71" t="s">
        <v>780</v>
      </c>
      <c r="D420" s="72" t="s">
        <v>1427</v>
      </c>
      <c r="E420" s="73"/>
      <c r="F420" s="74">
        <f>+VLOOKUP(C420,TbAlquiler[],13,FALSE)</f>
        <v>2</v>
      </c>
      <c r="G420" s="2"/>
      <c r="H420" s="75" t="str">
        <f t="shared" si="12"/>
        <v>EV.2000</v>
      </c>
      <c r="I420" s="59" t="str">
        <f t="shared" si="13"/>
        <v>ok</v>
      </c>
      <c r="J420" s="77">
        <f>IFERROR(VLOOKUP($H420,TG[],3,FALSE),"NA")</f>
        <v>0</v>
      </c>
      <c r="K420" s="77" t="str">
        <f>IFERROR(VLOOKUP($H420,TF[],3,FALSE),"NA")</f>
        <v>NA</v>
      </c>
      <c r="L420" s="77" t="str">
        <f>IFERROR(VLOOKUP($H420,TT[],3,FALSE),"NA")</f>
        <v>NA</v>
      </c>
      <c r="M420" s="77" t="str">
        <f>IFERROR(VLOOKUP($H420,TES[],3,FALSE),"NA")</f>
        <v>NA</v>
      </c>
      <c r="N420" s="77" t="str">
        <f>IFERROR(VLOOKUP($H420,TEC[],3,FALSE),"NA")</f>
        <v>NA</v>
      </c>
      <c r="O420" s="77" t="str">
        <f>IFERROR(VLOOKUP($H420,TP[],3,FALSE),"NA")</f>
        <v>NA</v>
      </c>
      <c r="P420" s="77" t="str">
        <f>IFERROR(VLOOKUP($H420,TEN[],3,FALSE),"NA")</f>
        <v>NA</v>
      </c>
      <c r="Q420" s="77" t="str">
        <f>IFERROR(VLOOKUP($H420,TD[],3,FALSE),"NA")</f>
        <v>NA</v>
      </c>
      <c r="R420" s="77" t="str">
        <f>IFERROR(VLOOKUP($H420,TC[],3,FALSE),"NA")</f>
        <v>NA</v>
      </c>
      <c r="S420" s="77">
        <f>IFERROR(VLOOKUP($H420,TEV[],3,FALSE),"NA")</f>
        <v>2</v>
      </c>
      <c r="T420" s="79">
        <f>SUM(TbAlquiler[[#This Row],[GENERAL]:[ELEVADOR]])</f>
        <v>2</v>
      </c>
      <c r="U420" s="80">
        <f>IF(VLOOKUP(TbAlquiler[[#This Row],[ITEM]],TbPiezas[],5,FALSE)="NA",0,VLOOKUP(TbAlquiler[[#This Row],[ITEM]],TbPiezas[],5,FALSE))</f>
        <v>70</v>
      </c>
      <c r="V420" s="81">
        <f>+TbAlquiler[[#This Row],[TOTAL]]*TbAlquiler[[#This Row],[P.U. (1)]]</f>
        <v>140</v>
      </c>
      <c r="W420" s="82">
        <f>+VLOOKUP(TbAlquiler[[#This Row],[ITEM]],TbPiezas[],6,FALSE)</f>
        <v>23698.639999999999</v>
      </c>
      <c r="X420" s="83">
        <f>+TbAlquiler[[#This Row],[TOTAL]]*TbAlquiler[[#This Row],[P.U. (2)]]</f>
        <v>47397.279999999999</v>
      </c>
      <c r="Y420" s="82">
        <f>+VLOOKUP(TbAlquiler[[#This Row],[ITEM]],TbPiezas[],7,FALSE)</f>
        <v>1184.932</v>
      </c>
      <c r="Z420" s="84">
        <f>+TbAlquiler[[#This Row],[TOTAL]]*TbAlquiler[[#This Row],[P.U. (3)]]</f>
        <v>2369.864</v>
      </c>
    </row>
    <row r="421" spans="1:26" s="4" customFormat="1" x14ac:dyDescent="0.3">
      <c r="A421" s="2"/>
      <c r="B421" s="85"/>
      <c r="C421" s="71" t="s">
        <v>1429</v>
      </c>
      <c r="D421" s="72" t="s">
        <v>1428</v>
      </c>
      <c r="E421" s="73"/>
      <c r="F421" s="74"/>
      <c r="G421" s="2"/>
      <c r="H421" s="75" t="str">
        <f t="shared" si="12"/>
        <v>EV.2050</v>
      </c>
      <c r="I421" s="59" t="str">
        <f t="shared" si="13"/>
        <v>ok</v>
      </c>
      <c r="J421" s="77">
        <f>IFERROR(VLOOKUP($H421,TG[],3,FALSE),"NA")</f>
        <v>0</v>
      </c>
      <c r="K421" s="86" t="str">
        <f>IFERROR(VLOOKUP($H421,TF[],3,FALSE),"NA")</f>
        <v>NA</v>
      </c>
      <c r="L421" s="408" t="str">
        <f>IFERROR(VLOOKUP($H421,TT[],3,FALSE),"NA")</f>
        <v>NA</v>
      </c>
      <c r="M421" s="77" t="str">
        <f>IFERROR(VLOOKUP($H421,TES[],3,FALSE),"NA")</f>
        <v>NA</v>
      </c>
      <c r="N421" s="139" t="str">
        <f>IFERROR(VLOOKUP($H421,TEC[],3,FALSE),"NA")</f>
        <v>NA</v>
      </c>
      <c r="O421" s="77" t="str">
        <f>IFERROR(VLOOKUP($H421,TP[],3,FALSE),"NA")</f>
        <v>NA</v>
      </c>
      <c r="P421" s="77" t="str">
        <f>IFERROR(VLOOKUP($H421,TEN[],3,FALSE),"NA")</f>
        <v>NA</v>
      </c>
      <c r="Q421" s="77" t="str">
        <f>IFERROR(VLOOKUP($H421,TD[],3,FALSE),"NA")</f>
        <v>NA</v>
      </c>
      <c r="R421" s="139" t="str">
        <f>IFERROR(VLOOKUP($H421,TC[],3,FALSE),"NA")</f>
        <v>NA</v>
      </c>
      <c r="S421" s="78" t="str">
        <f>IFERROR(VLOOKUP($H421,TEV[],3,FALSE),"NA")</f>
        <v>NA</v>
      </c>
      <c r="T421" s="78">
        <f>SUM(TbAlquiler[[#This Row],[GENERAL]:[ELEVADOR]])</f>
        <v>0</v>
      </c>
      <c r="U421" s="295">
        <f>IF(VLOOKUP(TbAlquiler[[#This Row],[ITEM]],TbPiezas[],5,FALSE)="NA",0,VLOOKUP(TbAlquiler[[#This Row],[ITEM]],TbPiezas[],5,FALSE))</f>
        <v>0</v>
      </c>
      <c r="V421" s="295">
        <f>+TbAlquiler[[#This Row],[TOTAL]]*TbAlquiler[[#This Row],[P.U. (1)]]</f>
        <v>0</v>
      </c>
      <c r="W421" s="84">
        <f>+VLOOKUP(TbAlquiler[[#This Row],[ITEM]],TbPiezas[],6,FALSE)</f>
        <v>0</v>
      </c>
      <c r="X421" s="296">
        <f>+TbAlquiler[[#This Row],[TOTAL]]*TbAlquiler[[#This Row],[P.U. (2)]]</f>
        <v>0</v>
      </c>
      <c r="Y421" s="84">
        <f>+VLOOKUP(TbAlquiler[[#This Row],[ITEM]],TbPiezas[],7,FALSE)</f>
        <v>0</v>
      </c>
      <c r="Z421" s="296">
        <f>+TbAlquiler[[#This Row],[TOTAL]]*TbAlquiler[[#This Row],[P.U. (3)]]</f>
        <v>0</v>
      </c>
    </row>
    <row r="422" spans="1:26" s="4" customFormat="1" x14ac:dyDescent="0.3">
      <c r="A422" s="2"/>
      <c r="B422" s="85">
        <v>391</v>
      </c>
      <c r="C422" s="71" t="s">
        <v>781</v>
      </c>
      <c r="D422" s="72" t="s">
        <v>1430</v>
      </c>
      <c r="E422" s="73"/>
      <c r="F422" s="74">
        <f>+VLOOKUP(C422,TbAlquiler[],13,FALSE)</f>
        <v>1</v>
      </c>
      <c r="G422" s="2"/>
      <c r="H422" s="75" t="str">
        <f t="shared" si="12"/>
        <v>EV.2100</v>
      </c>
      <c r="I422" s="59" t="str">
        <f t="shared" si="13"/>
        <v>ok</v>
      </c>
      <c r="J422" s="77">
        <f>IFERROR(VLOOKUP($H422,TG[],3,FALSE),"NA")</f>
        <v>0</v>
      </c>
      <c r="K422" s="77" t="str">
        <f>IFERROR(VLOOKUP($H422,TF[],3,FALSE),"NA")</f>
        <v>NA</v>
      </c>
      <c r="L422" s="77" t="str">
        <f>IFERROR(VLOOKUP($H422,TT[],3,FALSE),"NA")</f>
        <v>NA</v>
      </c>
      <c r="M422" s="77" t="str">
        <f>IFERROR(VLOOKUP($H422,TES[],3,FALSE),"NA")</f>
        <v>NA</v>
      </c>
      <c r="N422" s="77" t="str">
        <f>IFERROR(VLOOKUP($H422,TEC[],3,FALSE),"NA")</f>
        <v>NA</v>
      </c>
      <c r="O422" s="77" t="str">
        <f>IFERROR(VLOOKUP($H422,TP[],3,FALSE),"NA")</f>
        <v>NA</v>
      </c>
      <c r="P422" s="77" t="str">
        <f>IFERROR(VLOOKUP($H422,TEN[],3,FALSE),"NA")</f>
        <v>NA</v>
      </c>
      <c r="Q422" s="77" t="str">
        <f>IFERROR(VLOOKUP($H422,TD[],3,FALSE),"NA")</f>
        <v>NA</v>
      </c>
      <c r="R422" s="77" t="str">
        <f>IFERROR(VLOOKUP($H422,TC[],3,FALSE),"NA")</f>
        <v>NA</v>
      </c>
      <c r="S422" s="77">
        <f>IFERROR(VLOOKUP($H422,TEV[],3,FALSE),"NA")</f>
        <v>1</v>
      </c>
      <c r="T422" s="79">
        <f>SUM(TbAlquiler[[#This Row],[GENERAL]:[ELEVADOR]])</f>
        <v>1</v>
      </c>
      <c r="U422" s="80">
        <f>IF(VLOOKUP(TbAlquiler[[#This Row],[ITEM]],TbPiezas[],5,FALSE)="NA",0,VLOOKUP(TbAlquiler[[#This Row],[ITEM]],TbPiezas[],5,FALSE))</f>
        <v>16</v>
      </c>
      <c r="V422" s="81">
        <f>+TbAlquiler[[#This Row],[TOTAL]]*TbAlquiler[[#This Row],[P.U. (1)]]</f>
        <v>16</v>
      </c>
      <c r="W422" s="82">
        <f>+VLOOKUP(TbAlquiler[[#This Row],[ITEM]],TbPiezas[],6,FALSE)</f>
        <v>3176.25</v>
      </c>
      <c r="X422" s="83">
        <f>+TbAlquiler[[#This Row],[TOTAL]]*TbAlquiler[[#This Row],[P.U. (2)]]</f>
        <v>3176.25</v>
      </c>
      <c r="Y422" s="82">
        <f>+VLOOKUP(TbAlquiler[[#This Row],[ITEM]],TbPiezas[],7,FALSE)</f>
        <v>158.8125</v>
      </c>
      <c r="Z422" s="84">
        <f>+TbAlquiler[[#This Row],[TOTAL]]*TbAlquiler[[#This Row],[P.U. (3)]]</f>
        <v>158.8125</v>
      </c>
    </row>
    <row r="423" spans="1:26" s="4" customFormat="1" x14ac:dyDescent="0.3">
      <c r="A423" s="2"/>
      <c r="B423" s="85"/>
      <c r="C423" s="71" t="s">
        <v>1432</v>
      </c>
      <c r="D423" s="72" t="s">
        <v>1431</v>
      </c>
      <c r="E423" s="73"/>
      <c r="F423" s="74"/>
      <c r="G423" s="2"/>
      <c r="H423" s="75" t="str">
        <f t="shared" si="12"/>
        <v>EV.2110</v>
      </c>
      <c r="I423" s="59" t="str">
        <f t="shared" si="13"/>
        <v>ok</v>
      </c>
      <c r="J423" s="77">
        <f>IFERROR(VLOOKUP($H423,TG[],3,FALSE),"NA")</f>
        <v>0</v>
      </c>
      <c r="K423" s="86" t="str">
        <f>IFERROR(VLOOKUP($H423,TF[],3,FALSE),"NA")</f>
        <v>NA</v>
      </c>
      <c r="L423" s="408" t="str">
        <f>IFERROR(VLOOKUP($H423,TT[],3,FALSE),"NA")</f>
        <v>NA</v>
      </c>
      <c r="M423" s="77" t="str">
        <f>IFERROR(VLOOKUP($H423,TES[],3,FALSE),"NA")</f>
        <v>NA</v>
      </c>
      <c r="N423" s="139" t="str">
        <f>IFERROR(VLOOKUP($H423,TEC[],3,FALSE),"NA")</f>
        <v>NA</v>
      </c>
      <c r="O423" s="77" t="str">
        <f>IFERROR(VLOOKUP($H423,TP[],3,FALSE),"NA")</f>
        <v>NA</v>
      </c>
      <c r="P423" s="77" t="str">
        <f>IFERROR(VLOOKUP($H423,TEN[],3,FALSE),"NA")</f>
        <v>NA</v>
      </c>
      <c r="Q423" s="77" t="str">
        <f>IFERROR(VLOOKUP($H423,TD[],3,FALSE),"NA")</f>
        <v>NA</v>
      </c>
      <c r="R423" s="139" t="str">
        <f>IFERROR(VLOOKUP($H423,TC[],3,FALSE),"NA")</f>
        <v>NA</v>
      </c>
      <c r="S423" s="78" t="str">
        <f>IFERROR(VLOOKUP($H423,TEV[],3,FALSE),"NA")</f>
        <v>NA</v>
      </c>
      <c r="T423" s="78">
        <f>SUM(TbAlquiler[[#This Row],[GENERAL]:[ELEVADOR]])</f>
        <v>0</v>
      </c>
      <c r="U423" s="295">
        <f>IF(VLOOKUP(TbAlquiler[[#This Row],[ITEM]],TbPiezas[],5,FALSE)="NA",0,VLOOKUP(TbAlquiler[[#This Row],[ITEM]],TbPiezas[],5,FALSE))</f>
        <v>0</v>
      </c>
      <c r="V423" s="295">
        <f>+TbAlquiler[[#This Row],[TOTAL]]*TbAlquiler[[#This Row],[P.U. (1)]]</f>
        <v>0</v>
      </c>
      <c r="W423" s="84">
        <f>+VLOOKUP(TbAlquiler[[#This Row],[ITEM]],TbPiezas[],6,FALSE)</f>
        <v>0</v>
      </c>
      <c r="X423" s="296">
        <f>+TbAlquiler[[#This Row],[TOTAL]]*TbAlquiler[[#This Row],[P.U. (2)]]</f>
        <v>0</v>
      </c>
      <c r="Y423" s="84">
        <f>+VLOOKUP(TbAlquiler[[#This Row],[ITEM]],TbPiezas[],7,FALSE)</f>
        <v>0</v>
      </c>
      <c r="Z423" s="296">
        <f>+TbAlquiler[[#This Row],[TOTAL]]*TbAlquiler[[#This Row],[P.U. (3)]]</f>
        <v>0</v>
      </c>
    </row>
    <row r="424" spans="1:26" s="4" customFormat="1" x14ac:dyDescent="0.3">
      <c r="A424" s="2"/>
      <c r="B424" s="85">
        <v>392</v>
      </c>
      <c r="C424" s="71" t="s">
        <v>782</v>
      </c>
      <c r="D424" s="72" t="s">
        <v>783</v>
      </c>
      <c r="E424" s="73"/>
      <c r="F424" s="74">
        <f>+VLOOKUP(C424,TbAlquiler[],13,FALSE)</f>
        <v>1</v>
      </c>
      <c r="G424" s="2"/>
      <c r="H424" s="75" t="str">
        <f t="shared" si="12"/>
        <v>EV.2200</v>
      </c>
      <c r="I424" s="59" t="str">
        <f t="shared" si="13"/>
        <v>ok</v>
      </c>
      <c r="J424" s="77">
        <f>IFERROR(VLOOKUP($H424,TG[],3,FALSE),"NA")</f>
        <v>0</v>
      </c>
      <c r="K424" s="77" t="str">
        <f>IFERROR(VLOOKUP($H424,TF[],3,FALSE),"NA")</f>
        <v>NA</v>
      </c>
      <c r="L424" s="77" t="str">
        <f>IFERROR(VLOOKUP($H424,TT[],3,FALSE),"NA")</f>
        <v>NA</v>
      </c>
      <c r="M424" s="77" t="str">
        <f>IFERROR(VLOOKUP($H424,TES[],3,FALSE),"NA")</f>
        <v>NA</v>
      </c>
      <c r="N424" s="77" t="str">
        <f>IFERROR(VLOOKUP($H424,TEC[],3,FALSE),"NA")</f>
        <v>NA</v>
      </c>
      <c r="O424" s="77" t="str">
        <f>IFERROR(VLOOKUP($H424,TP[],3,FALSE),"NA")</f>
        <v>NA</v>
      </c>
      <c r="P424" s="77" t="str">
        <f>IFERROR(VLOOKUP($H424,TEN[],3,FALSE),"NA")</f>
        <v>NA</v>
      </c>
      <c r="Q424" s="77" t="str">
        <f>IFERROR(VLOOKUP($H424,TD[],3,FALSE),"NA")</f>
        <v>NA</v>
      </c>
      <c r="R424" s="77" t="str">
        <f>IFERROR(VLOOKUP($H424,TC[],3,FALSE),"NA")</f>
        <v>NA</v>
      </c>
      <c r="S424" s="77">
        <f>IFERROR(VLOOKUP($H424,TEV[],3,FALSE),"NA")</f>
        <v>1</v>
      </c>
      <c r="T424" s="79">
        <f>SUM(TbAlquiler[[#This Row],[GENERAL]:[ELEVADOR]])</f>
        <v>1</v>
      </c>
      <c r="U424" s="80">
        <f>IF(VLOOKUP(TbAlquiler[[#This Row],[ITEM]],TbPiezas[],5,FALSE)="NA",0,VLOOKUP(TbAlquiler[[#This Row],[ITEM]],TbPiezas[],5,FALSE))</f>
        <v>400</v>
      </c>
      <c r="V424" s="81">
        <f>+TbAlquiler[[#This Row],[TOTAL]]*TbAlquiler[[#This Row],[P.U. (1)]]</f>
        <v>400</v>
      </c>
      <c r="W424" s="82">
        <f>+VLOOKUP(TbAlquiler[[#This Row],[ITEM]],TbPiezas[],6,FALSE)</f>
        <v>2413.9499999999998</v>
      </c>
      <c r="X424" s="83">
        <f>+TbAlquiler[[#This Row],[TOTAL]]*TbAlquiler[[#This Row],[P.U. (2)]]</f>
        <v>2413.9499999999998</v>
      </c>
      <c r="Y424" s="82">
        <f>+VLOOKUP(TbAlquiler[[#This Row],[ITEM]],TbPiezas[],7,FALSE)</f>
        <v>120.69749999999999</v>
      </c>
      <c r="Z424" s="84">
        <f>+TbAlquiler[[#This Row],[TOTAL]]*TbAlquiler[[#This Row],[P.U. (3)]]</f>
        <v>120.69749999999999</v>
      </c>
    </row>
    <row r="425" spans="1:26" s="4" customFormat="1" x14ac:dyDescent="0.3">
      <c r="A425" s="2"/>
      <c r="B425" s="85">
        <v>393</v>
      </c>
      <c r="C425" s="71" t="s">
        <v>784</v>
      </c>
      <c r="D425" s="72" t="s">
        <v>785</v>
      </c>
      <c r="E425" s="73"/>
      <c r="F425" s="74">
        <f>+VLOOKUP(C425,TbAlquiler[],13,FALSE)</f>
        <v>1</v>
      </c>
      <c r="G425" s="2"/>
      <c r="H425" s="75" t="str">
        <f t="shared" si="12"/>
        <v>EV.2300</v>
      </c>
      <c r="I425" s="59" t="str">
        <f t="shared" si="13"/>
        <v>ok</v>
      </c>
      <c r="J425" s="77">
        <f>IFERROR(VLOOKUP($H425,TG[],3,FALSE),"NA")</f>
        <v>0</v>
      </c>
      <c r="K425" s="77" t="str">
        <f>IFERROR(VLOOKUP($H425,TF[],3,FALSE),"NA")</f>
        <v>NA</v>
      </c>
      <c r="L425" s="77" t="str">
        <f>IFERROR(VLOOKUP($H425,TT[],3,FALSE),"NA")</f>
        <v>NA</v>
      </c>
      <c r="M425" s="77" t="str">
        <f>IFERROR(VLOOKUP($H425,TES[],3,FALSE),"NA")</f>
        <v>NA</v>
      </c>
      <c r="N425" s="77" t="str">
        <f>IFERROR(VLOOKUP($H425,TEC[],3,FALSE),"NA")</f>
        <v>NA</v>
      </c>
      <c r="O425" s="77" t="str">
        <f>IFERROR(VLOOKUP($H425,TP[],3,FALSE),"NA")</f>
        <v>NA</v>
      </c>
      <c r="P425" s="77" t="str">
        <f>IFERROR(VLOOKUP($H425,TEN[],3,FALSE),"NA")</f>
        <v>NA</v>
      </c>
      <c r="Q425" s="77" t="str">
        <f>IFERROR(VLOOKUP($H425,TD[],3,FALSE),"NA")</f>
        <v>NA</v>
      </c>
      <c r="R425" s="77" t="str">
        <f>IFERROR(VLOOKUP($H425,TC[],3,FALSE),"NA")</f>
        <v>NA</v>
      </c>
      <c r="S425" s="77">
        <f>IFERROR(VLOOKUP($H425,TEV[],3,FALSE),"NA")</f>
        <v>1</v>
      </c>
      <c r="T425" s="79">
        <f>SUM(TbAlquiler[[#This Row],[GENERAL]:[ELEVADOR]])</f>
        <v>1</v>
      </c>
      <c r="U425" s="80">
        <f>IF(VLOOKUP(TbAlquiler[[#This Row],[ITEM]],TbPiezas[],5,FALSE)="NA",0,VLOOKUP(TbAlquiler[[#This Row],[ITEM]],TbPiezas[],5,FALSE))</f>
        <v>17.8</v>
      </c>
      <c r="V425" s="81">
        <f>+TbAlquiler[[#This Row],[TOTAL]]*TbAlquiler[[#This Row],[P.U. (1)]]</f>
        <v>17.8</v>
      </c>
      <c r="W425" s="82">
        <f>+VLOOKUP(TbAlquiler[[#This Row],[ITEM]],TbPiezas[],6,FALSE)</f>
        <v>3176.25</v>
      </c>
      <c r="X425" s="83">
        <f>+TbAlquiler[[#This Row],[TOTAL]]*TbAlquiler[[#This Row],[P.U. (2)]]</f>
        <v>3176.25</v>
      </c>
      <c r="Y425" s="82">
        <f>+VLOOKUP(TbAlquiler[[#This Row],[ITEM]],TbPiezas[],7,FALSE)</f>
        <v>158.8125</v>
      </c>
      <c r="Z425" s="84">
        <f>+TbAlquiler[[#This Row],[TOTAL]]*TbAlquiler[[#This Row],[P.U. (3)]]</f>
        <v>158.8125</v>
      </c>
    </row>
    <row r="426" spans="1:26" s="4" customFormat="1" x14ac:dyDescent="0.3">
      <c r="A426" s="2"/>
      <c r="B426" s="85"/>
      <c r="C426" s="71" t="s">
        <v>1434</v>
      </c>
      <c r="D426" s="72" t="s">
        <v>1433</v>
      </c>
      <c r="E426" s="73"/>
      <c r="F426" s="74"/>
      <c r="G426" s="2"/>
      <c r="H426" s="75" t="str">
        <f t="shared" si="12"/>
        <v>EV.2310</v>
      </c>
      <c r="I426" s="59" t="str">
        <f t="shared" si="13"/>
        <v>ok</v>
      </c>
      <c r="J426" s="77">
        <f>IFERROR(VLOOKUP($H426,TG[],3,FALSE),"NA")</f>
        <v>0</v>
      </c>
      <c r="K426" s="86" t="str">
        <f>IFERROR(VLOOKUP($H426,TF[],3,FALSE),"NA")</f>
        <v>NA</v>
      </c>
      <c r="L426" s="408" t="str">
        <f>IFERROR(VLOOKUP($H426,TT[],3,FALSE),"NA")</f>
        <v>NA</v>
      </c>
      <c r="M426" s="77" t="str">
        <f>IFERROR(VLOOKUP($H426,TES[],3,FALSE),"NA")</f>
        <v>NA</v>
      </c>
      <c r="N426" s="139" t="str">
        <f>IFERROR(VLOOKUP($H426,TEC[],3,FALSE),"NA")</f>
        <v>NA</v>
      </c>
      <c r="O426" s="77" t="str">
        <f>IFERROR(VLOOKUP($H426,TP[],3,FALSE),"NA")</f>
        <v>NA</v>
      </c>
      <c r="P426" s="77" t="str">
        <f>IFERROR(VLOOKUP($H426,TEN[],3,FALSE),"NA")</f>
        <v>NA</v>
      </c>
      <c r="Q426" s="77" t="str">
        <f>IFERROR(VLOOKUP($H426,TD[],3,FALSE),"NA")</f>
        <v>NA</v>
      </c>
      <c r="R426" s="139" t="str">
        <f>IFERROR(VLOOKUP($H426,TC[],3,FALSE),"NA")</f>
        <v>NA</v>
      </c>
      <c r="S426" s="78" t="str">
        <f>IFERROR(VLOOKUP($H426,TEV[],3,FALSE),"NA")</f>
        <v>NA</v>
      </c>
      <c r="T426" s="78">
        <f>SUM(TbAlquiler[[#This Row],[GENERAL]:[ELEVADOR]])</f>
        <v>0</v>
      </c>
      <c r="U426" s="295">
        <f>IF(VLOOKUP(TbAlquiler[[#This Row],[ITEM]],TbPiezas[],5,FALSE)="NA",0,VLOOKUP(TbAlquiler[[#This Row],[ITEM]],TbPiezas[],5,FALSE))</f>
        <v>0</v>
      </c>
      <c r="V426" s="295">
        <f>+TbAlquiler[[#This Row],[TOTAL]]*TbAlquiler[[#This Row],[P.U. (1)]]</f>
        <v>0</v>
      </c>
      <c r="W426" s="84">
        <f>+VLOOKUP(TbAlquiler[[#This Row],[ITEM]],TbPiezas[],6,FALSE)</f>
        <v>0</v>
      </c>
      <c r="X426" s="296">
        <f>+TbAlquiler[[#This Row],[TOTAL]]*TbAlquiler[[#This Row],[P.U. (2)]]</f>
        <v>0</v>
      </c>
      <c r="Y426" s="84">
        <f>+VLOOKUP(TbAlquiler[[#This Row],[ITEM]],TbPiezas[],7,FALSE)</f>
        <v>0</v>
      </c>
      <c r="Z426" s="296">
        <f>+TbAlquiler[[#This Row],[TOTAL]]*TbAlquiler[[#This Row],[P.U. (3)]]</f>
        <v>0</v>
      </c>
    </row>
    <row r="427" spans="1:26" s="4" customFormat="1" x14ac:dyDescent="0.3">
      <c r="A427" s="2"/>
      <c r="B427" s="85">
        <v>394</v>
      </c>
      <c r="C427" s="71" t="s">
        <v>786</v>
      </c>
      <c r="D427" s="72" t="s">
        <v>787</v>
      </c>
      <c r="E427" s="73"/>
      <c r="F427" s="74">
        <f>+VLOOKUP(C427,TbAlquiler[],13,FALSE)</f>
        <v>2</v>
      </c>
      <c r="G427" s="2"/>
      <c r="H427" s="75" t="str">
        <f t="shared" si="12"/>
        <v>EV.2400</v>
      </c>
      <c r="I427" s="59" t="str">
        <f t="shared" si="13"/>
        <v>ok</v>
      </c>
      <c r="J427" s="77">
        <f>IFERROR(VLOOKUP($H427,TG[],3,FALSE),"NA")</f>
        <v>0</v>
      </c>
      <c r="K427" s="77" t="str">
        <f>IFERROR(VLOOKUP($H427,TF[],3,FALSE),"NA")</f>
        <v>NA</v>
      </c>
      <c r="L427" s="77" t="str">
        <f>IFERROR(VLOOKUP($H427,TT[],3,FALSE),"NA")</f>
        <v>NA</v>
      </c>
      <c r="M427" s="77" t="str">
        <f>IFERROR(VLOOKUP($H427,TES[],3,FALSE),"NA")</f>
        <v>NA</v>
      </c>
      <c r="N427" s="77" t="str">
        <f>IFERROR(VLOOKUP($H427,TEC[],3,FALSE),"NA")</f>
        <v>NA</v>
      </c>
      <c r="O427" s="77" t="str">
        <f>IFERROR(VLOOKUP($H427,TP[],3,FALSE),"NA")</f>
        <v>NA</v>
      </c>
      <c r="P427" s="77" t="str">
        <f>IFERROR(VLOOKUP($H427,TEN[],3,FALSE),"NA")</f>
        <v>NA</v>
      </c>
      <c r="Q427" s="77" t="str">
        <f>IFERROR(VLOOKUP($H427,TD[],3,FALSE),"NA")</f>
        <v>NA</v>
      </c>
      <c r="R427" s="77" t="str">
        <f>IFERROR(VLOOKUP($H427,TC[],3,FALSE),"NA")</f>
        <v>NA</v>
      </c>
      <c r="S427" s="77">
        <f>IFERROR(VLOOKUP($H427,TEV[],3,FALSE),"NA")</f>
        <v>2</v>
      </c>
      <c r="T427" s="79">
        <f>SUM(TbAlquiler[[#This Row],[GENERAL]:[ELEVADOR]])</f>
        <v>2</v>
      </c>
      <c r="U427" s="80">
        <f>IF(VLOOKUP(TbAlquiler[[#This Row],[ITEM]],TbPiezas[],5,FALSE)="NA",0,VLOOKUP(TbAlquiler[[#This Row],[ITEM]],TbPiezas[],5,FALSE))</f>
        <v>0.1</v>
      </c>
      <c r="V427" s="81">
        <f>+TbAlquiler[[#This Row],[TOTAL]]*TbAlquiler[[#This Row],[P.U. (1)]]</f>
        <v>0.2</v>
      </c>
      <c r="W427" s="82">
        <f>+VLOOKUP(TbAlquiler[[#This Row],[ITEM]],TbPiezas[],6,FALSE)</f>
        <v>190.58</v>
      </c>
      <c r="X427" s="83">
        <f>+TbAlquiler[[#This Row],[TOTAL]]*TbAlquiler[[#This Row],[P.U. (2)]]</f>
        <v>381.16</v>
      </c>
      <c r="Y427" s="82">
        <f>+VLOOKUP(TbAlquiler[[#This Row],[ITEM]],TbPiezas[],7,FALSE)</f>
        <v>9.5290000000000017</v>
      </c>
      <c r="Z427" s="84">
        <f>+TbAlquiler[[#This Row],[TOTAL]]*TbAlquiler[[#This Row],[P.U. (3)]]</f>
        <v>19.058000000000003</v>
      </c>
    </row>
    <row r="428" spans="1:26" s="4" customFormat="1" x14ac:dyDescent="0.3">
      <c r="A428" s="2"/>
      <c r="B428" s="85">
        <v>395</v>
      </c>
      <c r="C428" s="71" t="s">
        <v>788</v>
      </c>
      <c r="D428" s="72" t="s">
        <v>1435</v>
      </c>
      <c r="E428" s="73"/>
      <c r="F428" s="74">
        <f>+VLOOKUP(C428,TbAlquiler[],13,FALSE)</f>
        <v>0</v>
      </c>
      <c r="G428" s="2"/>
      <c r="H428" s="75" t="str">
        <f t="shared" si="12"/>
        <v>EV.2500</v>
      </c>
      <c r="I428" s="59" t="str">
        <f t="shared" si="13"/>
        <v>ok</v>
      </c>
      <c r="J428" s="77">
        <f>IFERROR(VLOOKUP($H428,TG[],3,FALSE),"NA")</f>
        <v>0</v>
      </c>
      <c r="K428" s="77" t="str">
        <f>IFERROR(VLOOKUP($H428,TF[],3,FALSE),"NA")</f>
        <v>NA</v>
      </c>
      <c r="L428" s="77" t="str">
        <f>IFERROR(VLOOKUP($H428,TT[],3,FALSE),"NA")</f>
        <v>NA</v>
      </c>
      <c r="M428" s="77" t="str">
        <f>IFERROR(VLOOKUP($H428,TES[],3,FALSE),"NA")</f>
        <v>NA</v>
      </c>
      <c r="N428" s="77" t="str">
        <f>IFERROR(VLOOKUP($H428,TEC[],3,FALSE),"NA")</f>
        <v>NA</v>
      </c>
      <c r="O428" s="77" t="str">
        <f>IFERROR(VLOOKUP($H428,TP[],3,FALSE),"NA")</f>
        <v>NA</v>
      </c>
      <c r="P428" s="77" t="str">
        <f>IFERROR(VLOOKUP($H428,TEN[],3,FALSE),"NA")</f>
        <v>NA</v>
      </c>
      <c r="Q428" s="77" t="str">
        <f>IFERROR(VLOOKUP($H428,TD[],3,FALSE),"NA")</f>
        <v>NA</v>
      </c>
      <c r="R428" s="77" t="str">
        <f>IFERROR(VLOOKUP($H428,TC[],3,FALSE),"NA")</f>
        <v>NA</v>
      </c>
      <c r="S428" s="77" t="str">
        <f>IFERROR(VLOOKUP($H428,TEV[],3,FALSE),"NA")</f>
        <v>NA</v>
      </c>
      <c r="T428" s="79">
        <f>SUM(TbAlquiler[[#This Row],[GENERAL]:[ELEVADOR]])</f>
        <v>0</v>
      </c>
      <c r="U428" s="80">
        <f>IF(VLOOKUP(TbAlquiler[[#This Row],[ITEM]],TbPiezas[],5,FALSE)="NA",0,VLOOKUP(TbAlquiler[[#This Row],[ITEM]],TbPiezas[],5,FALSE))</f>
        <v>146</v>
      </c>
      <c r="V428" s="81">
        <f>+TbAlquiler[[#This Row],[TOTAL]]*TbAlquiler[[#This Row],[P.U. (1)]]</f>
        <v>0</v>
      </c>
      <c r="W428" s="82">
        <f>+VLOOKUP(TbAlquiler[[#This Row],[ITEM]],TbPiezas[],6,FALSE)</f>
        <v>6327.09</v>
      </c>
      <c r="X428" s="83">
        <f>+TbAlquiler[[#This Row],[TOTAL]]*TbAlquiler[[#This Row],[P.U. (2)]]</f>
        <v>0</v>
      </c>
      <c r="Y428" s="82">
        <f>+VLOOKUP(TbAlquiler[[#This Row],[ITEM]],TbPiezas[],7,FALSE)</f>
        <v>316.35450000000003</v>
      </c>
      <c r="Z428" s="84">
        <f>+TbAlquiler[[#This Row],[TOTAL]]*TbAlquiler[[#This Row],[P.U. (3)]]</f>
        <v>0</v>
      </c>
    </row>
    <row r="429" spans="1:26" s="4" customFormat="1" x14ac:dyDescent="0.3">
      <c r="A429" s="2"/>
      <c r="B429" s="85"/>
      <c r="C429" s="71" t="s">
        <v>1437</v>
      </c>
      <c r="D429" s="72" t="s">
        <v>1436</v>
      </c>
      <c r="E429" s="73"/>
      <c r="F429" s="74"/>
      <c r="G429" s="2"/>
      <c r="H429" s="75" t="str">
        <f t="shared" si="12"/>
        <v>EV.2510</v>
      </c>
      <c r="I429" s="59" t="str">
        <f t="shared" si="13"/>
        <v>ok</v>
      </c>
      <c r="J429" s="77">
        <f>IFERROR(VLOOKUP($H429,TG[],3,FALSE),"NA")</f>
        <v>0</v>
      </c>
      <c r="K429" s="86" t="str">
        <f>IFERROR(VLOOKUP($H429,TF[],3,FALSE),"NA")</f>
        <v>NA</v>
      </c>
      <c r="L429" s="408" t="str">
        <f>IFERROR(VLOOKUP($H429,TT[],3,FALSE),"NA")</f>
        <v>NA</v>
      </c>
      <c r="M429" s="77" t="str">
        <f>IFERROR(VLOOKUP($H429,TES[],3,FALSE),"NA")</f>
        <v>NA</v>
      </c>
      <c r="N429" s="139" t="str">
        <f>IFERROR(VLOOKUP($H429,TEC[],3,FALSE),"NA")</f>
        <v>NA</v>
      </c>
      <c r="O429" s="77" t="str">
        <f>IFERROR(VLOOKUP($H429,TP[],3,FALSE),"NA")</f>
        <v>NA</v>
      </c>
      <c r="P429" s="77" t="str">
        <f>IFERROR(VLOOKUP($H429,TEN[],3,FALSE),"NA")</f>
        <v>NA</v>
      </c>
      <c r="Q429" s="77" t="str">
        <f>IFERROR(VLOOKUP($H429,TD[],3,FALSE),"NA")</f>
        <v>NA</v>
      </c>
      <c r="R429" s="139" t="str">
        <f>IFERROR(VLOOKUP($H429,TC[],3,FALSE),"NA")</f>
        <v>NA</v>
      </c>
      <c r="S429" s="78">
        <f>IFERROR(VLOOKUP($H429,TEV[],3,FALSE),"NA")</f>
        <v>1</v>
      </c>
      <c r="T429" s="78">
        <f>SUM(TbAlquiler[[#This Row],[GENERAL]:[ELEVADOR]])</f>
        <v>1</v>
      </c>
      <c r="U429" s="295">
        <f>IF(VLOOKUP(TbAlquiler[[#This Row],[ITEM]],TbPiezas[],5,FALSE)="NA",0,VLOOKUP(TbAlquiler[[#This Row],[ITEM]],TbPiezas[],5,FALSE))</f>
        <v>0</v>
      </c>
      <c r="V429" s="295">
        <f>+TbAlquiler[[#This Row],[TOTAL]]*TbAlquiler[[#This Row],[P.U. (1)]]</f>
        <v>0</v>
      </c>
      <c r="W429" s="84">
        <f>+VLOOKUP(TbAlquiler[[#This Row],[ITEM]],TbPiezas[],6,FALSE)</f>
        <v>0</v>
      </c>
      <c r="X429" s="296">
        <f>+TbAlquiler[[#This Row],[TOTAL]]*TbAlquiler[[#This Row],[P.U. (2)]]</f>
        <v>0</v>
      </c>
      <c r="Y429" s="84">
        <f>+VLOOKUP(TbAlquiler[[#This Row],[ITEM]],TbPiezas[],7,FALSE)</f>
        <v>0</v>
      </c>
      <c r="Z429" s="296">
        <f>+TbAlquiler[[#This Row],[TOTAL]]*TbAlquiler[[#This Row],[P.U. (3)]]</f>
        <v>0</v>
      </c>
    </row>
    <row r="430" spans="1:26" s="4" customFormat="1" x14ac:dyDescent="0.3">
      <c r="A430" s="2"/>
      <c r="B430" s="85">
        <v>396</v>
      </c>
      <c r="C430" s="71" t="s">
        <v>789</v>
      </c>
      <c r="D430" s="72" t="s">
        <v>790</v>
      </c>
      <c r="E430" s="73"/>
      <c r="F430" s="74">
        <f>+VLOOKUP(C430,TbAlquiler[],13,FALSE)</f>
        <v>1</v>
      </c>
      <c r="G430" s="2"/>
      <c r="H430" s="75" t="str">
        <f t="shared" si="12"/>
        <v>EV.2600</v>
      </c>
      <c r="I430" s="59" t="str">
        <f t="shared" si="13"/>
        <v>ok</v>
      </c>
      <c r="J430" s="77">
        <f>IFERROR(VLOOKUP($H430,TG[],3,FALSE),"NA")</f>
        <v>0</v>
      </c>
      <c r="K430" s="77" t="str">
        <f>IFERROR(VLOOKUP($H430,TF[],3,FALSE),"NA")</f>
        <v>NA</v>
      </c>
      <c r="L430" s="77" t="str">
        <f>IFERROR(VLOOKUP($H430,TT[],3,FALSE),"NA")</f>
        <v>NA</v>
      </c>
      <c r="M430" s="77" t="str">
        <f>IFERROR(VLOOKUP($H430,TES[],3,FALSE),"NA")</f>
        <v>NA</v>
      </c>
      <c r="N430" s="77" t="str">
        <f>IFERROR(VLOOKUP($H430,TEC[],3,FALSE),"NA")</f>
        <v>NA</v>
      </c>
      <c r="O430" s="77" t="str">
        <f>IFERROR(VLOOKUP($H430,TP[],3,FALSE),"NA")</f>
        <v>NA</v>
      </c>
      <c r="P430" s="77" t="str">
        <f>IFERROR(VLOOKUP($H430,TEN[],3,FALSE),"NA")</f>
        <v>NA</v>
      </c>
      <c r="Q430" s="77" t="str">
        <f>IFERROR(VLOOKUP($H430,TD[],3,FALSE),"NA")</f>
        <v>NA</v>
      </c>
      <c r="R430" s="77" t="str">
        <f>IFERROR(VLOOKUP($H430,TC[],3,FALSE),"NA")</f>
        <v>NA</v>
      </c>
      <c r="S430" s="77">
        <f>IFERROR(VLOOKUP($H430,TEV[],3,FALSE),"NA")</f>
        <v>1</v>
      </c>
      <c r="T430" s="79">
        <f>SUM(TbAlquiler[[#This Row],[GENERAL]:[ELEVADOR]])</f>
        <v>1</v>
      </c>
      <c r="U430" s="80">
        <f>IF(VLOOKUP(TbAlquiler[[#This Row],[ITEM]],TbPiezas[],5,FALSE)="NA",0,VLOOKUP(TbAlquiler[[#This Row],[ITEM]],TbPiezas[],5,FALSE))</f>
        <v>18.3</v>
      </c>
      <c r="V430" s="81">
        <f>+TbAlquiler[[#This Row],[TOTAL]]*TbAlquiler[[#This Row],[P.U. (1)]]</f>
        <v>18.3</v>
      </c>
      <c r="W430" s="82">
        <f>+VLOOKUP(TbAlquiler[[#This Row],[ITEM]],TbPiezas[],6,FALSE)</f>
        <v>8258.25</v>
      </c>
      <c r="X430" s="83">
        <f>+TbAlquiler[[#This Row],[TOTAL]]*TbAlquiler[[#This Row],[P.U. (2)]]</f>
        <v>8258.25</v>
      </c>
      <c r="Y430" s="82">
        <f>+VLOOKUP(TbAlquiler[[#This Row],[ITEM]],TbPiezas[],7,FALSE)</f>
        <v>412.91250000000002</v>
      </c>
      <c r="Z430" s="84">
        <f>+TbAlquiler[[#This Row],[TOTAL]]*TbAlquiler[[#This Row],[P.U. (3)]]</f>
        <v>412.91250000000002</v>
      </c>
    </row>
    <row r="431" spans="1:26" s="4" customFormat="1" x14ac:dyDescent="0.3">
      <c r="A431" s="2"/>
      <c r="B431" s="85">
        <v>397</v>
      </c>
      <c r="C431" s="71" t="s">
        <v>791</v>
      </c>
      <c r="D431" s="72" t="s">
        <v>792</v>
      </c>
      <c r="E431" s="73"/>
      <c r="F431" s="74">
        <f>+VLOOKUP(C431,TbAlquiler[],13,FALSE)</f>
        <v>1</v>
      </c>
      <c r="G431" s="2"/>
      <c r="H431" s="75" t="str">
        <f t="shared" si="12"/>
        <v>EV.2700</v>
      </c>
      <c r="I431" s="59" t="str">
        <f t="shared" si="13"/>
        <v>ok</v>
      </c>
      <c r="J431" s="77">
        <f>IFERROR(VLOOKUP($H431,TG[],3,FALSE),"NA")</f>
        <v>0</v>
      </c>
      <c r="K431" s="77" t="str">
        <f>IFERROR(VLOOKUP($H431,TF[],3,FALSE),"NA")</f>
        <v>NA</v>
      </c>
      <c r="L431" s="77" t="str">
        <f>IFERROR(VLOOKUP($H431,TT[],3,FALSE),"NA")</f>
        <v>NA</v>
      </c>
      <c r="M431" s="77" t="str">
        <f>IFERROR(VLOOKUP($H431,TES[],3,FALSE),"NA")</f>
        <v>NA</v>
      </c>
      <c r="N431" s="77" t="str">
        <f>IFERROR(VLOOKUP($H431,TEC[],3,FALSE),"NA")</f>
        <v>NA</v>
      </c>
      <c r="O431" s="77" t="str">
        <f>IFERROR(VLOOKUP($H431,TP[],3,FALSE),"NA")</f>
        <v>NA</v>
      </c>
      <c r="P431" s="77" t="str">
        <f>IFERROR(VLOOKUP($H431,TEN[],3,FALSE),"NA")</f>
        <v>NA</v>
      </c>
      <c r="Q431" s="77" t="str">
        <f>IFERROR(VLOOKUP($H431,TD[],3,FALSE),"NA")</f>
        <v>NA</v>
      </c>
      <c r="R431" s="77" t="str">
        <f>IFERROR(VLOOKUP($H431,TC[],3,FALSE),"NA")</f>
        <v>NA</v>
      </c>
      <c r="S431" s="77">
        <f>IFERROR(VLOOKUP($H431,TEV[],3,FALSE),"NA")</f>
        <v>1</v>
      </c>
      <c r="T431" s="79">
        <f>SUM(TbAlquiler[[#This Row],[GENERAL]:[ELEVADOR]])</f>
        <v>1</v>
      </c>
      <c r="U431" s="80">
        <f>IF(VLOOKUP(TbAlquiler[[#This Row],[ITEM]],TbPiezas[],5,FALSE)="NA",0,VLOOKUP(TbAlquiler[[#This Row],[ITEM]],TbPiezas[],5,FALSE))</f>
        <v>29.7</v>
      </c>
      <c r="V431" s="81">
        <f>+TbAlquiler[[#This Row],[TOTAL]]*TbAlquiler[[#This Row],[P.U. (1)]]</f>
        <v>29.7</v>
      </c>
      <c r="W431" s="82">
        <f>+VLOOKUP(TbAlquiler[[#This Row],[ITEM]],TbPiezas[],6,FALSE)</f>
        <v>1206.98</v>
      </c>
      <c r="X431" s="83">
        <f>+TbAlquiler[[#This Row],[TOTAL]]*TbAlquiler[[#This Row],[P.U. (2)]]</f>
        <v>1206.98</v>
      </c>
      <c r="Y431" s="82">
        <f>+VLOOKUP(TbAlquiler[[#This Row],[ITEM]],TbPiezas[],7,FALSE)</f>
        <v>60.349000000000004</v>
      </c>
      <c r="Z431" s="84">
        <f>+TbAlquiler[[#This Row],[TOTAL]]*TbAlquiler[[#This Row],[P.U. (3)]]</f>
        <v>60.349000000000004</v>
      </c>
    </row>
    <row r="432" spans="1:26" s="4" customFormat="1" x14ac:dyDescent="0.3">
      <c r="A432" s="2"/>
      <c r="B432" s="85">
        <v>398</v>
      </c>
      <c r="C432" s="71" t="s">
        <v>793</v>
      </c>
      <c r="D432" s="72" t="s">
        <v>794</v>
      </c>
      <c r="E432" s="73"/>
      <c r="F432" s="74">
        <f>+VLOOKUP(C432,TbAlquiler[],13,FALSE)</f>
        <v>1</v>
      </c>
      <c r="G432" s="2"/>
      <c r="H432" s="75" t="str">
        <f t="shared" si="12"/>
        <v>EV.2800</v>
      </c>
      <c r="I432" s="59" t="str">
        <f t="shared" si="13"/>
        <v>ok</v>
      </c>
      <c r="J432" s="77">
        <f>IFERROR(VLOOKUP($H432,TG[],3,FALSE),"NA")</f>
        <v>0</v>
      </c>
      <c r="K432" s="77" t="str">
        <f>IFERROR(VLOOKUP($H432,TF[],3,FALSE),"NA")</f>
        <v>NA</v>
      </c>
      <c r="L432" s="77" t="str">
        <f>IFERROR(VLOOKUP($H432,TT[],3,FALSE),"NA")</f>
        <v>NA</v>
      </c>
      <c r="M432" s="77" t="str">
        <f>IFERROR(VLOOKUP($H432,TES[],3,FALSE),"NA")</f>
        <v>NA</v>
      </c>
      <c r="N432" s="77" t="str">
        <f>IFERROR(VLOOKUP($H432,TEC[],3,FALSE),"NA")</f>
        <v>NA</v>
      </c>
      <c r="O432" s="77" t="str">
        <f>IFERROR(VLOOKUP($H432,TP[],3,FALSE),"NA")</f>
        <v>NA</v>
      </c>
      <c r="P432" s="77" t="str">
        <f>IFERROR(VLOOKUP($H432,TEN[],3,FALSE),"NA")</f>
        <v>NA</v>
      </c>
      <c r="Q432" s="77" t="str">
        <f>IFERROR(VLOOKUP($H432,TD[],3,FALSE),"NA")</f>
        <v>NA</v>
      </c>
      <c r="R432" s="77" t="str">
        <f>IFERROR(VLOOKUP($H432,TC[],3,FALSE),"NA")</f>
        <v>NA</v>
      </c>
      <c r="S432" s="77">
        <f>IFERROR(VLOOKUP($H432,TEV[],3,FALSE),"NA")</f>
        <v>1</v>
      </c>
      <c r="T432" s="79">
        <f>SUM(TbAlquiler[[#This Row],[GENERAL]:[ELEVADOR]])</f>
        <v>1</v>
      </c>
      <c r="U432" s="80">
        <f>IF(VLOOKUP(TbAlquiler[[#This Row],[ITEM]],TbPiezas[],5,FALSE)="NA",0,VLOOKUP(TbAlquiler[[#This Row],[ITEM]],TbPiezas[],5,FALSE))</f>
        <v>0.7</v>
      </c>
      <c r="V432" s="81">
        <f>+TbAlquiler[[#This Row],[TOTAL]]*TbAlquiler[[#This Row],[P.U. (1)]]</f>
        <v>0.7</v>
      </c>
      <c r="W432" s="82">
        <f>+VLOOKUP(TbAlquiler[[#This Row],[ITEM]],TbPiezas[],6,FALSE)</f>
        <v>444.68</v>
      </c>
      <c r="X432" s="83">
        <f>+TbAlquiler[[#This Row],[TOTAL]]*TbAlquiler[[#This Row],[P.U. (2)]]</f>
        <v>444.68</v>
      </c>
      <c r="Y432" s="82">
        <f>+VLOOKUP(TbAlquiler[[#This Row],[ITEM]],TbPiezas[],7,FALSE)</f>
        <v>22.234000000000002</v>
      </c>
      <c r="Z432" s="84">
        <f>+TbAlquiler[[#This Row],[TOTAL]]*TbAlquiler[[#This Row],[P.U. (3)]]</f>
        <v>22.234000000000002</v>
      </c>
    </row>
    <row r="433" spans="1:26" s="4" customFormat="1" x14ac:dyDescent="0.3">
      <c r="A433" s="2"/>
      <c r="B433" s="85">
        <v>399</v>
      </c>
      <c r="C433" s="71" t="s">
        <v>795</v>
      </c>
      <c r="D433" s="72" t="s">
        <v>796</v>
      </c>
      <c r="E433" s="73"/>
      <c r="F433" s="74">
        <f>+VLOOKUP(C433,TbAlquiler[],13,FALSE)</f>
        <v>1</v>
      </c>
      <c r="G433" s="2"/>
      <c r="H433" s="75" t="str">
        <f t="shared" si="12"/>
        <v>EV.2900</v>
      </c>
      <c r="I433" s="59" t="str">
        <f t="shared" si="13"/>
        <v>ok</v>
      </c>
      <c r="J433" s="77">
        <f>IFERROR(VLOOKUP($H433,TG[],3,FALSE),"NA")</f>
        <v>0</v>
      </c>
      <c r="K433" s="77" t="str">
        <f>IFERROR(VLOOKUP($H433,TF[],3,FALSE),"NA")</f>
        <v>NA</v>
      </c>
      <c r="L433" s="77" t="str">
        <f>IFERROR(VLOOKUP($H433,TT[],3,FALSE),"NA")</f>
        <v>NA</v>
      </c>
      <c r="M433" s="77" t="str">
        <f>IFERROR(VLOOKUP($H433,TES[],3,FALSE),"NA")</f>
        <v>NA</v>
      </c>
      <c r="N433" s="77" t="str">
        <f>IFERROR(VLOOKUP($H433,TEC[],3,FALSE),"NA")</f>
        <v>NA</v>
      </c>
      <c r="O433" s="77" t="str">
        <f>IFERROR(VLOOKUP($H433,TP[],3,FALSE),"NA")</f>
        <v>NA</v>
      </c>
      <c r="P433" s="77" t="str">
        <f>IFERROR(VLOOKUP($H433,TEN[],3,FALSE),"NA")</f>
        <v>NA</v>
      </c>
      <c r="Q433" s="77" t="str">
        <f>IFERROR(VLOOKUP($H433,TD[],3,FALSE),"NA")</f>
        <v>NA</v>
      </c>
      <c r="R433" s="77" t="str">
        <f>IFERROR(VLOOKUP($H433,TC[],3,FALSE),"NA")</f>
        <v>NA</v>
      </c>
      <c r="S433" s="77">
        <f>IFERROR(VLOOKUP($H433,TEV[],3,FALSE),"NA")</f>
        <v>1</v>
      </c>
      <c r="T433" s="79">
        <f>SUM(TbAlquiler[[#This Row],[GENERAL]:[ELEVADOR]])</f>
        <v>1</v>
      </c>
      <c r="U433" s="80">
        <f>IF(VLOOKUP(TbAlquiler[[#This Row],[ITEM]],TbPiezas[],5,FALSE)="NA",0,VLOOKUP(TbAlquiler[[#This Row],[ITEM]],TbPiezas[],5,FALSE))</f>
        <v>0</v>
      </c>
      <c r="V433" s="81">
        <f>+TbAlquiler[[#This Row],[TOTAL]]*TbAlquiler[[#This Row],[P.U. (1)]]</f>
        <v>0</v>
      </c>
      <c r="W433" s="82">
        <f>+VLOOKUP(TbAlquiler[[#This Row],[ITEM]],TbPiezas[],6,FALSE)</f>
        <v>190.58</v>
      </c>
      <c r="X433" s="83">
        <f>+TbAlquiler[[#This Row],[TOTAL]]*TbAlquiler[[#This Row],[P.U. (2)]]</f>
        <v>190.58</v>
      </c>
      <c r="Y433" s="82">
        <f>+VLOOKUP(TbAlquiler[[#This Row],[ITEM]],TbPiezas[],7,FALSE)</f>
        <v>9.5290000000000017</v>
      </c>
      <c r="Z433" s="84">
        <f>+TbAlquiler[[#This Row],[TOTAL]]*TbAlquiler[[#This Row],[P.U. (3)]]</f>
        <v>9.5290000000000017</v>
      </c>
    </row>
    <row r="434" spans="1:26" s="4" customFormat="1" x14ac:dyDescent="0.3">
      <c r="A434" s="2"/>
      <c r="B434" s="85"/>
      <c r="C434" s="71" t="s">
        <v>1441</v>
      </c>
      <c r="D434" s="72" t="s">
        <v>1438</v>
      </c>
      <c r="E434" s="73"/>
      <c r="F434" s="74"/>
      <c r="G434" s="2"/>
      <c r="H434" s="75" t="str">
        <f t="shared" si="12"/>
        <v>EV.2910</v>
      </c>
      <c r="I434" s="59" t="str">
        <f t="shared" si="13"/>
        <v>ok</v>
      </c>
      <c r="J434" s="77">
        <f>IFERROR(VLOOKUP($H434,TG[],3,FALSE),"NA")</f>
        <v>0</v>
      </c>
      <c r="K434" s="86" t="str">
        <f>IFERROR(VLOOKUP($H434,TF[],3,FALSE),"NA")</f>
        <v>NA</v>
      </c>
      <c r="L434" s="408" t="str">
        <f>IFERROR(VLOOKUP($H434,TT[],3,FALSE),"NA")</f>
        <v>NA</v>
      </c>
      <c r="M434" s="77" t="str">
        <f>IFERROR(VLOOKUP($H434,TES[],3,FALSE),"NA")</f>
        <v>NA</v>
      </c>
      <c r="N434" s="139" t="str">
        <f>IFERROR(VLOOKUP($H434,TEC[],3,FALSE),"NA")</f>
        <v>NA</v>
      </c>
      <c r="O434" s="77" t="str">
        <f>IFERROR(VLOOKUP($H434,TP[],3,FALSE),"NA")</f>
        <v>NA</v>
      </c>
      <c r="P434" s="77" t="str">
        <f>IFERROR(VLOOKUP($H434,TEN[],3,FALSE),"NA")</f>
        <v>NA</v>
      </c>
      <c r="Q434" s="77" t="str">
        <f>IFERROR(VLOOKUP($H434,TD[],3,FALSE),"NA")</f>
        <v>NA</v>
      </c>
      <c r="R434" s="139" t="str">
        <f>IFERROR(VLOOKUP($H434,TC[],3,FALSE),"NA")</f>
        <v>NA</v>
      </c>
      <c r="S434" s="78" t="str">
        <f>IFERROR(VLOOKUP($H434,TEV[],3,FALSE),"NA")</f>
        <v>NA</v>
      </c>
      <c r="T434" s="78">
        <f>SUM(TbAlquiler[[#This Row],[GENERAL]:[ELEVADOR]])</f>
        <v>0</v>
      </c>
      <c r="U434" s="295">
        <f>IF(VLOOKUP(TbAlquiler[[#This Row],[ITEM]],TbPiezas[],5,FALSE)="NA",0,VLOOKUP(TbAlquiler[[#This Row],[ITEM]],TbPiezas[],5,FALSE))</f>
        <v>0</v>
      </c>
      <c r="V434" s="295">
        <f>+TbAlquiler[[#This Row],[TOTAL]]*TbAlquiler[[#This Row],[P.U. (1)]]</f>
        <v>0</v>
      </c>
      <c r="W434" s="84">
        <f>+VLOOKUP(TbAlquiler[[#This Row],[ITEM]],TbPiezas[],6,FALSE)</f>
        <v>0</v>
      </c>
      <c r="X434" s="296">
        <f>+TbAlquiler[[#This Row],[TOTAL]]*TbAlquiler[[#This Row],[P.U. (2)]]</f>
        <v>0</v>
      </c>
      <c r="Y434" s="84">
        <f>+VLOOKUP(TbAlquiler[[#This Row],[ITEM]],TbPiezas[],7,FALSE)</f>
        <v>0</v>
      </c>
      <c r="Z434" s="296">
        <f>+TbAlquiler[[#This Row],[TOTAL]]*TbAlquiler[[#This Row],[P.U. (3)]]</f>
        <v>0</v>
      </c>
    </row>
    <row r="435" spans="1:26" s="4" customFormat="1" x14ac:dyDescent="0.3">
      <c r="A435" s="2"/>
      <c r="B435" s="85"/>
      <c r="C435" s="71" t="s">
        <v>1441</v>
      </c>
      <c r="D435" s="72" t="s">
        <v>1439</v>
      </c>
      <c r="E435" s="73"/>
      <c r="F435" s="74"/>
      <c r="G435" s="2"/>
      <c r="H435" s="75" t="str">
        <f t="shared" si="12"/>
        <v>EV.2910</v>
      </c>
      <c r="I435" s="59" t="str">
        <f t="shared" si="13"/>
        <v>ok</v>
      </c>
      <c r="J435" s="77">
        <f>IFERROR(VLOOKUP($H435,TG[],3,FALSE),"NA")</f>
        <v>0</v>
      </c>
      <c r="K435" s="86" t="str">
        <f>IFERROR(VLOOKUP($H435,TF[],3,FALSE),"NA")</f>
        <v>NA</v>
      </c>
      <c r="L435" s="408" t="str">
        <f>IFERROR(VLOOKUP($H435,TT[],3,FALSE),"NA")</f>
        <v>NA</v>
      </c>
      <c r="M435" s="77" t="str">
        <f>IFERROR(VLOOKUP($H435,TES[],3,FALSE),"NA")</f>
        <v>NA</v>
      </c>
      <c r="N435" s="139" t="str">
        <f>IFERROR(VLOOKUP($H435,TEC[],3,FALSE),"NA")</f>
        <v>NA</v>
      </c>
      <c r="O435" s="77" t="str">
        <f>IFERROR(VLOOKUP($H435,TP[],3,FALSE),"NA")</f>
        <v>NA</v>
      </c>
      <c r="P435" s="77" t="str">
        <f>IFERROR(VLOOKUP($H435,TEN[],3,FALSE),"NA")</f>
        <v>NA</v>
      </c>
      <c r="Q435" s="77" t="str">
        <f>IFERROR(VLOOKUP($H435,TD[],3,FALSE),"NA")</f>
        <v>NA</v>
      </c>
      <c r="R435" s="139" t="str">
        <f>IFERROR(VLOOKUP($H435,TC[],3,FALSE),"NA")</f>
        <v>NA</v>
      </c>
      <c r="S435" s="78" t="str">
        <f>IFERROR(VLOOKUP($H435,TEV[],3,FALSE),"NA")</f>
        <v>NA</v>
      </c>
      <c r="T435" s="78">
        <f>SUM(TbAlquiler[[#This Row],[GENERAL]:[ELEVADOR]])</f>
        <v>0</v>
      </c>
      <c r="U435" s="295">
        <f>IF(VLOOKUP(TbAlquiler[[#This Row],[ITEM]],TbPiezas[],5,FALSE)="NA",0,VLOOKUP(TbAlquiler[[#This Row],[ITEM]],TbPiezas[],5,FALSE))</f>
        <v>0</v>
      </c>
      <c r="V435" s="295">
        <f>+TbAlquiler[[#This Row],[TOTAL]]*TbAlquiler[[#This Row],[P.U. (1)]]</f>
        <v>0</v>
      </c>
      <c r="W435" s="84">
        <f>+VLOOKUP(TbAlquiler[[#This Row],[ITEM]],TbPiezas[],6,FALSE)</f>
        <v>0</v>
      </c>
      <c r="X435" s="296">
        <f>+TbAlquiler[[#This Row],[TOTAL]]*TbAlquiler[[#This Row],[P.U. (2)]]</f>
        <v>0</v>
      </c>
      <c r="Y435" s="84">
        <f>+VLOOKUP(TbAlquiler[[#This Row],[ITEM]],TbPiezas[],7,FALSE)</f>
        <v>0</v>
      </c>
      <c r="Z435" s="296">
        <f>+TbAlquiler[[#This Row],[TOTAL]]*TbAlquiler[[#This Row],[P.U. (3)]]</f>
        <v>0</v>
      </c>
    </row>
    <row r="436" spans="1:26" s="4" customFormat="1" x14ac:dyDescent="0.3">
      <c r="A436" s="2"/>
      <c r="B436" s="85"/>
      <c r="C436" s="71" t="s">
        <v>1442</v>
      </c>
      <c r="D436" s="72" t="s">
        <v>1440</v>
      </c>
      <c r="E436" s="73"/>
      <c r="F436" s="74"/>
      <c r="G436" s="2"/>
      <c r="H436" s="75" t="str">
        <f t="shared" si="12"/>
        <v>EV.2911</v>
      </c>
      <c r="I436" s="59" t="str">
        <f t="shared" si="13"/>
        <v>ok</v>
      </c>
      <c r="J436" s="77">
        <f>IFERROR(VLOOKUP($H436,TG[],3,FALSE),"NA")</f>
        <v>0</v>
      </c>
      <c r="K436" s="86" t="str">
        <f>IFERROR(VLOOKUP($H436,TF[],3,FALSE),"NA")</f>
        <v>NA</v>
      </c>
      <c r="L436" s="408" t="str">
        <f>IFERROR(VLOOKUP($H436,TT[],3,FALSE),"NA")</f>
        <v>NA</v>
      </c>
      <c r="M436" s="77" t="str">
        <f>IFERROR(VLOOKUP($H436,TES[],3,FALSE),"NA")</f>
        <v>NA</v>
      </c>
      <c r="N436" s="139" t="str">
        <f>IFERROR(VLOOKUP($H436,TEC[],3,FALSE),"NA")</f>
        <v>NA</v>
      </c>
      <c r="O436" s="77" t="str">
        <f>IFERROR(VLOOKUP($H436,TP[],3,FALSE),"NA")</f>
        <v>NA</v>
      </c>
      <c r="P436" s="77" t="str">
        <f>IFERROR(VLOOKUP($H436,TEN[],3,FALSE),"NA")</f>
        <v>NA</v>
      </c>
      <c r="Q436" s="77" t="str">
        <f>IFERROR(VLOOKUP($H436,TD[],3,FALSE),"NA")</f>
        <v>NA</v>
      </c>
      <c r="R436" s="139" t="str">
        <f>IFERROR(VLOOKUP($H436,TC[],3,FALSE),"NA")</f>
        <v>NA</v>
      </c>
      <c r="S436" s="78" t="str">
        <f>IFERROR(VLOOKUP($H436,TEV[],3,FALSE),"NA")</f>
        <v>NA</v>
      </c>
      <c r="T436" s="78">
        <f>SUM(TbAlquiler[[#This Row],[GENERAL]:[ELEVADOR]])</f>
        <v>0</v>
      </c>
      <c r="U436" s="295">
        <f>IF(VLOOKUP(TbAlquiler[[#This Row],[ITEM]],TbPiezas[],5,FALSE)="NA",0,VLOOKUP(TbAlquiler[[#This Row],[ITEM]],TbPiezas[],5,FALSE))</f>
        <v>0</v>
      </c>
      <c r="V436" s="295">
        <f>+TbAlquiler[[#This Row],[TOTAL]]*TbAlquiler[[#This Row],[P.U. (1)]]</f>
        <v>0</v>
      </c>
      <c r="W436" s="84">
        <f>+VLOOKUP(TbAlquiler[[#This Row],[ITEM]],TbPiezas[],6,FALSE)</f>
        <v>0</v>
      </c>
      <c r="X436" s="296">
        <f>+TbAlquiler[[#This Row],[TOTAL]]*TbAlquiler[[#This Row],[P.U. (2)]]</f>
        <v>0</v>
      </c>
      <c r="Y436" s="84">
        <f>+VLOOKUP(TbAlquiler[[#This Row],[ITEM]],TbPiezas[],7,FALSE)</f>
        <v>0</v>
      </c>
      <c r="Z436" s="296">
        <f>+TbAlquiler[[#This Row],[TOTAL]]*TbAlquiler[[#This Row],[P.U. (3)]]</f>
        <v>0</v>
      </c>
    </row>
    <row r="437" spans="1:26" s="4" customFormat="1" x14ac:dyDescent="0.3">
      <c r="A437" s="2"/>
      <c r="B437" s="85">
        <v>400</v>
      </c>
      <c r="C437" s="71" t="s">
        <v>797</v>
      </c>
      <c r="D437" s="72" t="s">
        <v>798</v>
      </c>
      <c r="E437" s="73"/>
      <c r="F437" s="74">
        <f>+VLOOKUP(C437,TbAlquiler[],13,FALSE)</f>
        <v>0</v>
      </c>
      <c r="G437" s="2"/>
      <c r="H437" s="75" t="str">
        <f t="shared" si="12"/>
        <v>EV.3000</v>
      </c>
      <c r="I437" s="59" t="str">
        <f t="shared" si="13"/>
        <v>ok</v>
      </c>
      <c r="J437" s="77">
        <f>IFERROR(VLOOKUP($H437,TG[],3,FALSE),"NA")</f>
        <v>0</v>
      </c>
      <c r="K437" s="77" t="str">
        <f>IFERROR(VLOOKUP($H437,TF[],3,FALSE),"NA")</f>
        <v>NA</v>
      </c>
      <c r="L437" s="77" t="str">
        <f>IFERROR(VLOOKUP($H437,TT[],3,FALSE),"NA")</f>
        <v>NA</v>
      </c>
      <c r="M437" s="77" t="str">
        <f>IFERROR(VLOOKUP($H437,TES[],3,FALSE),"NA")</f>
        <v>NA</v>
      </c>
      <c r="N437" s="77" t="str">
        <f>IFERROR(VLOOKUP($H437,TEC[],3,FALSE),"NA")</f>
        <v>NA</v>
      </c>
      <c r="O437" s="77" t="str">
        <f>IFERROR(VLOOKUP($H437,TP[],3,FALSE),"NA")</f>
        <v>NA</v>
      </c>
      <c r="P437" s="77" t="str">
        <f>IFERROR(VLOOKUP($H437,TEN[],3,FALSE),"NA")</f>
        <v>NA</v>
      </c>
      <c r="Q437" s="77" t="str">
        <f>IFERROR(VLOOKUP($H437,TD[],3,FALSE),"NA")</f>
        <v>NA</v>
      </c>
      <c r="R437" s="77" t="str">
        <f>IFERROR(VLOOKUP($H437,TC[],3,FALSE),"NA")</f>
        <v>NA</v>
      </c>
      <c r="S437" s="77">
        <f>IFERROR(VLOOKUP($H437,TEV[],3,FALSE),"NA")</f>
        <v>0</v>
      </c>
      <c r="T437" s="79">
        <f>SUM(TbAlquiler[[#This Row],[GENERAL]:[ELEVADOR]])</f>
        <v>0</v>
      </c>
      <c r="U437" s="80">
        <f>IF(VLOOKUP(TbAlquiler[[#This Row],[ITEM]],TbPiezas[],5,FALSE)="NA",0,VLOOKUP(TbAlquiler[[#This Row],[ITEM]],TbPiezas[],5,FALSE))</f>
        <v>123</v>
      </c>
      <c r="V437" s="81">
        <f>+TbAlquiler[[#This Row],[TOTAL]]*TbAlquiler[[#This Row],[P.U. (1)]]</f>
        <v>0</v>
      </c>
      <c r="W437" s="82">
        <f>+VLOOKUP(TbAlquiler[[#This Row],[ITEM]],TbPiezas[],6,FALSE)</f>
        <v>2096.33</v>
      </c>
      <c r="X437" s="83">
        <f>+TbAlquiler[[#This Row],[TOTAL]]*TbAlquiler[[#This Row],[P.U. (2)]]</f>
        <v>0</v>
      </c>
      <c r="Y437" s="82">
        <f>+VLOOKUP(TbAlquiler[[#This Row],[ITEM]],TbPiezas[],7,FALSE)</f>
        <v>104.8165</v>
      </c>
      <c r="Z437" s="84">
        <f>+TbAlquiler[[#This Row],[TOTAL]]*TbAlquiler[[#This Row],[P.U. (3)]]</f>
        <v>0</v>
      </c>
    </row>
    <row r="438" spans="1:26" s="4" customFormat="1" x14ac:dyDescent="0.3">
      <c r="A438" s="2"/>
      <c r="B438" s="85"/>
      <c r="C438" s="71" t="s">
        <v>1447</v>
      </c>
      <c r="D438" s="72" t="s">
        <v>1443</v>
      </c>
      <c r="E438" s="73"/>
      <c r="F438" s="74"/>
      <c r="G438" s="2"/>
      <c r="H438" s="75" t="str">
        <f t="shared" si="12"/>
        <v>EV.3010</v>
      </c>
      <c r="I438" s="59" t="str">
        <f t="shared" si="13"/>
        <v>ok</v>
      </c>
      <c r="J438" s="77">
        <f>IFERROR(VLOOKUP($H438,TG[],3,FALSE),"NA")</f>
        <v>0</v>
      </c>
      <c r="K438" s="86" t="str">
        <f>IFERROR(VLOOKUP($H438,TF[],3,FALSE),"NA")</f>
        <v>NA</v>
      </c>
      <c r="L438" s="408" t="str">
        <f>IFERROR(VLOOKUP($H438,TT[],3,FALSE),"NA")</f>
        <v>NA</v>
      </c>
      <c r="M438" s="77" t="str">
        <f>IFERROR(VLOOKUP($H438,TES[],3,FALSE),"NA")</f>
        <v>NA</v>
      </c>
      <c r="N438" s="139" t="str">
        <f>IFERROR(VLOOKUP($H438,TEC[],3,FALSE),"NA")</f>
        <v>NA</v>
      </c>
      <c r="O438" s="77" t="str">
        <f>IFERROR(VLOOKUP($H438,TP[],3,FALSE),"NA")</f>
        <v>NA</v>
      </c>
      <c r="P438" s="77" t="str">
        <f>IFERROR(VLOOKUP($H438,TEN[],3,FALSE),"NA")</f>
        <v>NA</v>
      </c>
      <c r="Q438" s="77" t="str">
        <f>IFERROR(VLOOKUP($H438,TD[],3,FALSE),"NA")</f>
        <v>NA</v>
      </c>
      <c r="R438" s="139" t="str">
        <f>IFERROR(VLOOKUP($H438,TC[],3,FALSE),"NA")</f>
        <v>NA</v>
      </c>
      <c r="S438" s="78" t="str">
        <f>IFERROR(VLOOKUP($H438,TEV[],3,FALSE),"NA")</f>
        <v>NA</v>
      </c>
      <c r="T438" s="78">
        <f>SUM(TbAlquiler[[#This Row],[GENERAL]:[ELEVADOR]])</f>
        <v>0</v>
      </c>
      <c r="U438" s="295">
        <f>IF(VLOOKUP(TbAlquiler[[#This Row],[ITEM]],TbPiezas[],5,FALSE)="NA",0,VLOOKUP(TbAlquiler[[#This Row],[ITEM]],TbPiezas[],5,FALSE))</f>
        <v>0</v>
      </c>
      <c r="V438" s="295">
        <f>+TbAlquiler[[#This Row],[TOTAL]]*TbAlquiler[[#This Row],[P.U. (1)]]</f>
        <v>0</v>
      </c>
      <c r="W438" s="84">
        <f>+VLOOKUP(TbAlquiler[[#This Row],[ITEM]],TbPiezas[],6,FALSE)</f>
        <v>0</v>
      </c>
      <c r="X438" s="296">
        <f>+TbAlquiler[[#This Row],[TOTAL]]*TbAlquiler[[#This Row],[P.U. (2)]]</f>
        <v>0</v>
      </c>
      <c r="Y438" s="84">
        <f>+VLOOKUP(TbAlquiler[[#This Row],[ITEM]],TbPiezas[],7,FALSE)</f>
        <v>0</v>
      </c>
      <c r="Z438" s="296">
        <f>+TbAlquiler[[#This Row],[TOTAL]]*TbAlquiler[[#This Row],[P.U. (3)]]</f>
        <v>0</v>
      </c>
    </row>
    <row r="439" spans="1:26" s="4" customFormat="1" x14ac:dyDescent="0.3">
      <c r="A439" s="2"/>
      <c r="B439" s="85"/>
      <c r="C439" s="71" t="s">
        <v>1448</v>
      </c>
      <c r="D439" s="72" t="s">
        <v>1444</v>
      </c>
      <c r="E439" s="73"/>
      <c r="F439" s="74"/>
      <c r="G439" s="2"/>
      <c r="H439" s="75" t="str">
        <f t="shared" si="12"/>
        <v>EV.3020</v>
      </c>
      <c r="I439" s="59" t="str">
        <f t="shared" si="13"/>
        <v>ok</v>
      </c>
      <c r="J439" s="77">
        <f>IFERROR(VLOOKUP($H439,TG[],3,FALSE),"NA")</f>
        <v>0</v>
      </c>
      <c r="K439" s="86" t="str">
        <f>IFERROR(VLOOKUP($H439,TF[],3,FALSE),"NA")</f>
        <v>NA</v>
      </c>
      <c r="L439" s="408" t="str">
        <f>IFERROR(VLOOKUP($H439,TT[],3,FALSE),"NA")</f>
        <v>NA</v>
      </c>
      <c r="M439" s="77" t="str">
        <f>IFERROR(VLOOKUP($H439,TES[],3,FALSE),"NA")</f>
        <v>NA</v>
      </c>
      <c r="N439" s="139" t="str">
        <f>IFERROR(VLOOKUP($H439,TEC[],3,FALSE),"NA")</f>
        <v>NA</v>
      </c>
      <c r="O439" s="77" t="str">
        <f>IFERROR(VLOOKUP($H439,TP[],3,FALSE),"NA")</f>
        <v>NA</v>
      </c>
      <c r="P439" s="77" t="str">
        <f>IFERROR(VLOOKUP($H439,TEN[],3,FALSE),"NA")</f>
        <v>NA</v>
      </c>
      <c r="Q439" s="77" t="str">
        <f>IFERROR(VLOOKUP($H439,TD[],3,FALSE),"NA")</f>
        <v>NA</v>
      </c>
      <c r="R439" s="139" t="str">
        <f>IFERROR(VLOOKUP($H439,TC[],3,FALSE),"NA")</f>
        <v>NA</v>
      </c>
      <c r="S439" s="78" t="str">
        <f>IFERROR(VLOOKUP($H439,TEV[],3,FALSE),"NA")</f>
        <v>NA</v>
      </c>
      <c r="T439" s="78">
        <f>SUM(TbAlquiler[[#This Row],[GENERAL]:[ELEVADOR]])</f>
        <v>0</v>
      </c>
      <c r="U439" s="295">
        <f>IF(VLOOKUP(TbAlquiler[[#This Row],[ITEM]],TbPiezas[],5,FALSE)="NA",0,VLOOKUP(TbAlquiler[[#This Row],[ITEM]],TbPiezas[],5,FALSE))</f>
        <v>0</v>
      </c>
      <c r="V439" s="295">
        <f>+TbAlquiler[[#This Row],[TOTAL]]*TbAlquiler[[#This Row],[P.U. (1)]]</f>
        <v>0</v>
      </c>
      <c r="W439" s="84">
        <f>+VLOOKUP(TbAlquiler[[#This Row],[ITEM]],TbPiezas[],6,FALSE)</f>
        <v>0</v>
      </c>
      <c r="X439" s="296">
        <f>+TbAlquiler[[#This Row],[TOTAL]]*TbAlquiler[[#This Row],[P.U. (2)]]</f>
        <v>0</v>
      </c>
      <c r="Y439" s="84">
        <f>+VLOOKUP(TbAlquiler[[#This Row],[ITEM]],TbPiezas[],7,FALSE)</f>
        <v>0</v>
      </c>
      <c r="Z439" s="296">
        <f>+TbAlquiler[[#This Row],[TOTAL]]*TbAlquiler[[#This Row],[P.U. (3)]]</f>
        <v>0</v>
      </c>
    </row>
    <row r="440" spans="1:26" s="4" customFormat="1" x14ac:dyDescent="0.3">
      <c r="A440" s="2"/>
      <c r="B440" s="85"/>
      <c r="C440" s="71" t="s">
        <v>1449</v>
      </c>
      <c r="D440" s="72" t="s">
        <v>1445</v>
      </c>
      <c r="E440" s="73"/>
      <c r="F440" s="74"/>
      <c r="G440" s="2"/>
      <c r="H440" s="75" t="str">
        <f t="shared" si="12"/>
        <v>EV.3030</v>
      </c>
      <c r="I440" s="59" t="str">
        <f t="shared" si="13"/>
        <v>ok</v>
      </c>
      <c r="J440" s="77">
        <f>IFERROR(VLOOKUP($H440,TG[],3,FALSE),"NA")</f>
        <v>0</v>
      </c>
      <c r="K440" s="86" t="str">
        <f>IFERROR(VLOOKUP($H440,TF[],3,FALSE),"NA")</f>
        <v>NA</v>
      </c>
      <c r="L440" s="408" t="str">
        <f>IFERROR(VLOOKUP($H440,TT[],3,FALSE),"NA")</f>
        <v>NA</v>
      </c>
      <c r="M440" s="77" t="str">
        <f>IFERROR(VLOOKUP($H440,TES[],3,FALSE),"NA")</f>
        <v>NA</v>
      </c>
      <c r="N440" s="139" t="str">
        <f>IFERROR(VLOOKUP($H440,TEC[],3,FALSE),"NA")</f>
        <v>NA</v>
      </c>
      <c r="O440" s="77" t="str">
        <f>IFERROR(VLOOKUP($H440,TP[],3,FALSE),"NA")</f>
        <v>NA</v>
      </c>
      <c r="P440" s="77" t="str">
        <f>IFERROR(VLOOKUP($H440,TEN[],3,FALSE),"NA")</f>
        <v>NA</v>
      </c>
      <c r="Q440" s="77" t="str">
        <f>IFERROR(VLOOKUP($H440,TD[],3,FALSE),"NA")</f>
        <v>NA</v>
      </c>
      <c r="R440" s="139" t="str">
        <f>IFERROR(VLOOKUP($H440,TC[],3,FALSE),"NA")</f>
        <v>NA</v>
      </c>
      <c r="S440" s="78" t="str">
        <f>IFERROR(VLOOKUP($H440,TEV[],3,FALSE),"NA")</f>
        <v>NA</v>
      </c>
      <c r="T440" s="78">
        <f>SUM(TbAlquiler[[#This Row],[GENERAL]:[ELEVADOR]])</f>
        <v>0</v>
      </c>
      <c r="U440" s="295">
        <f>IF(VLOOKUP(TbAlquiler[[#This Row],[ITEM]],TbPiezas[],5,FALSE)="NA",0,VLOOKUP(TbAlquiler[[#This Row],[ITEM]],TbPiezas[],5,FALSE))</f>
        <v>0</v>
      </c>
      <c r="V440" s="295">
        <f>+TbAlquiler[[#This Row],[TOTAL]]*TbAlquiler[[#This Row],[P.U. (1)]]</f>
        <v>0</v>
      </c>
      <c r="W440" s="84">
        <f>+VLOOKUP(TbAlquiler[[#This Row],[ITEM]],TbPiezas[],6,FALSE)</f>
        <v>0</v>
      </c>
      <c r="X440" s="296">
        <f>+TbAlquiler[[#This Row],[TOTAL]]*TbAlquiler[[#This Row],[P.U. (2)]]</f>
        <v>0</v>
      </c>
      <c r="Y440" s="84">
        <f>+VLOOKUP(TbAlquiler[[#This Row],[ITEM]],TbPiezas[],7,FALSE)</f>
        <v>0</v>
      </c>
      <c r="Z440" s="296">
        <f>+TbAlquiler[[#This Row],[TOTAL]]*TbAlquiler[[#This Row],[P.U. (3)]]</f>
        <v>0</v>
      </c>
    </row>
    <row r="441" spans="1:26" s="4" customFormat="1" x14ac:dyDescent="0.3">
      <c r="A441" s="2"/>
      <c r="B441" s="85"/>
      <c r="C441" s="71" t="s">
        <v>1450</v>
      </c>
      <c r="D441" s="72" t="s">
        <v>1446</v>
      </c>
      <c r="E441" s="73"/>
      <c r="F441" s="74"/>
      <c r="G441" s="2"/>
      <c r="H441" s="75" t="str">
        <f t="shared" si="12"/>
        <v>EV.3040</v>
      </c>
      <c r="I441" s="59" t="str">
        <f t="shared" si="13"/>
        <v>ok</v>
      </c>
      <c r="J441" s="77">
        <f>IFERROR(VLOOKUP($H441,TG[],3,FALSE),"NA")</f>
        <v>0</v>
      </c>
      <c r="K441" s="86" t="str">
        <f>IFERROR(VLOOKUP($H441,TF[],3,FALSE),"NA")</f>
        <v>NA</v>
      </c>
      <c r="L441" s="408" t="str">
        <f>IFERROR(VLOOKUP($H441,TT[],3,FALSE),"NA")</f>
        <v>NA</v>
      </c>
      <c r="M441" s="77" t="str">
        <f>IFERROR(VLOOKUP($H441,TES[],3,FALSE),"NA")</f>
        <v>NA</v>
      </c>
      <c r="N441" s="139" t="str">
        <f>IFERROR(VLOOKUP($H441,TEC[],3,FALSE),"NA")</f>
        <v>NA</v>
      </c>
      <c r="O441" s="77" t="str">
        <f>IFERROR(VLOOKUP($H441,TP[],3,FALSE),"NA")</f>
        <v>NA</v>
      </c>
      <c r="P441" s="77" t="str">
        <f>IFERROR(VLOOKUP($H441,TEN[],3,FALSE),"NA")</f>
        <v>NA</v>
      </c>
      <c r="Q441" s="77" t="str">
        <f>IFERROR(VLOOKUP($H441,TD[],3,FALSE),"NA")</f>
        <v>NA</v>
      </c>
      <c r="R441" s="139" t="str">
        <f>IFERROR(VLOOKUP($H441,TC[],3,FALSE),"NA")</f>
        <v>NA</v>
      </c>
      <c r="S441" s="78" t="str">
        <f>IFERROR(VLOOKUP($H441,TEV[],3,FALSE),"NA")</f>
        <v>NA</v>
      </c>
      <c r="T441" s="78">
        <f>SUM(TbAlquiler[[#This Row],[GENERAL]:[ELEVADOR]])</f>
        <v>0</v>
      </c>
      <c r="U441" s="295">
        <f>IF(VLOOKUP(TbAlquiler[[#This Row],[ITEM]],TbPiezas[],5,FALSE)="NA",0,VLOOKUP(TbAlquiler[[#This Row],[ITEM]],TbPiezas[],5,FALSE))</f>
        <v>0</v>
      </c>
      <c r="V441" s="295">
        <f>+TbAlquiler[[#This Row],[TOTAL]]*TbAlquiler[[#This Row],[P.U. (1)]]</f>
        <v>0</v>
      </c>
      <c r="W441" s="84">
        <f>+VLOOKUP(TbAlquiler[[#This Row],[ITEM]],TbPiezas[],6,FALSE)</f>
        <v>0</v>
      </c>
      <c r="X441" s="296">
        <f>+TbAlquiler[[#This Row],[TOTAL]]*TbAlquiler[[#This Row],[P.U. (2)]]</f>
        <v>0</v>
      </c>
      <c r="Y441" s="84">
        <f>+VLOOKUP(TbAlquiler[[#This Row],[ITEM]],TbPiezas[],7,FALSE)</f>
        <v>0</v>
      </c>
      <c r="Z441" s="296">
        <f>+TbAlquiler[[#This Row],[TOTAL]]*TbAlquiler[[#This Row],[P.U. (3)]]</f>
        <v>0</v>
      </c>
    </row>
    <row r="442" spans="1:26" s="4" customFormat="1" x14ac:dyDescent="0.3">
      <c r="A442" s="2"/>
      <c r="B442" s="85">
        <v>401</v>
      </c>
      <c r="C442" s="71" t="s">
        <v>799</v>
      </c>
      <c r="D442" s="72" t="s">
        <v>800</v>
      </c>
      <c r="E442" s="73"/>
      <c r="F442" s="74">
        <f>+VLOOKUP(C442,TbAlquiler[],13,FALSE)</f>
        <v>1</v>
      </c>
      <c r="G442" s="2"/>
      <c r="H442" s="75" t="str">
        <f t="shared" si="12"/>
        <v>EV.3100</v>
      </c>
      <c r="I442" s="59" t="str">
        <f t="shared" si="13"/>
        <v>ok</v>
      </c>
      <c r="J442" s="77">
        <f>IFERROR(VLOOKUP($H442,TG[],3,FALSE),"NA")</f>
        <v>0</v>
      </c>
      <c r="K442" s="77" t="str">
        <f>IFERROR(VLOOKUP($H442,TF[],3,FALSE),"NA")</f>
        <v>NA</v>
      </c>
      <c r="L442" s="77" t="str">
        <f>IFERROR(VLOOKUP($H442,TT[],3,FALSE),"NA")</f>
        <v>NA</v>
      </c>
      <c r="M442" s="77" t="str">
        <f>IFERROR(VLOOKUP($H442,TES[],3,FALSE),"NA")</f>
        <v>NA</v>
      </c>
      <c r="N442" s="77" t="str">
        <f>IFERROR(VLOOKUP($H442,TEC[],3,FALSE),"NA")</f>
        <v>NA</v>
      </c>
      <c r="O442" s="77" t="str">
        <f>IFERROR(VLOOKUP($H442,TP[],3,FALSE),"NA")</f>
        <v>NA</v>
      </c>
      <c r="P442" s="77" t="str">
        <f>IFERROR(VLOOKUP($H442,TEN[],3,FALSE),"NA")</f>
        <v>NA</v>
      </c>
      <c r="Q442" s="77" t="str">
        <f>IFERROR(VLOOKUP($H442,TD[],3,FALSE),"NA")</f>
        <v>NA</v>
      </c>
      <c r="R442" s="77" t="str">
        <f>IFERROR(VLOOKUP($H442,TC[],3,FALSE),"NA")</f>
        <v>NA</v>
      </c>
      <c r="S442" s="77">
        <f>IFERROR(VLOOKUP($H442,TEV[],3,FALSE),"NA")</f>
        <v>1</v>
      </c>
      <c r="T442" s="79">
        <f>SUM(TbAlquiler[[#This Row],[GENERAL]:[ELEVADOR]])</f>
        <v>1</v>
      </c>
      <c r="U442" s="80">
        <f>IF(VLOOKUP(TbAlquiler[[#This Row],[ITEM]],TbPiezas[],5,FALSE)="NA",0,VLOOKUP(TbAlquiler[[#This Row],[ITEM]],TbPiezas[],5,FALSE))</f>
        <v>56.4</v>
      </c>
      <c r="V442" s="81">
        <f>+TbAlquiler[[#This Row],[TOTAL]]*TbAlquiler[[#This Row],[P.U. (1)]]</f>
        <v>56.4</v>
      </c>
      <c r="W442" s="82">
        <f>+VLOOKUP(TbAlquiler[[#This Row],[ITEM]],TbPiezas[],6,FALSE)</f>
        <v>2032.8</v>
      </c>
      <c r="X442" s="83">
        <f>+TbAlquiler[[#This Row],[TOTAL]]*TbAlquiler[[#This Row],[P.U. (2)]]</f>
        <v>2032.8</v>
      </c>
      <c r="Y442" s="82">
        <f>+VLOOKUP(TbAlquiler[[#This Row],[ITEM]],TbPiezas[],7,FALSE)</f>
        <v>101.64</v>
      </c>
      <c r="Z442" s="84">
        <f>+TbAlquiler[[#This Row],[TOTAL]]*TbAlquiler[[#This Row],[P.U. (3)]]</f>
        <v>101.64</v>
      </c>
    </row>
    <row r="443" spans="1:26" s="4" customFormat="1" x14ac:dyDescent="0.3">
      <c r="A443" s="2"/>
      <c r="B443" s="85">
        <v>402</v>
      </c>
      <c r="C443" s="71" t="s">
        <v>801</v>
      </c>
      <c r="D443" s="72" t="s">
        <v>802</v>
      </c>
      <c r="E443" s="73"/>
      <c r="F443" s="74">
        <f>+VLOOKUP(C443,TbAlquiler[],13,FALSE)</f>
        <v>2</v>
      </c>
      <c r="G443" s="2"/>
      <c r="H443" s="75" t="str">
        <f t="shared" si="12"/>
        <v>EV.3200</v>
      </c>
      <c r="I443" s="59" t="str">
        <f t="shared" si="13"/>
        <v>ok</v>
      </c>
      <c r="J443" s="77">
        <f>IFERROR(VLOOKUP($H443,TG[],3,FALSE),"NA")</f>
        <v>0</v>
      </c>
      <c r="K443" s="77" t="str">
        <f>IFERROR(VLOOKUP($H443,TF[],3,FALSE),"NA")</f>
        <v>NA</v>
      </c>
      <c r="L443" s="77" t="str">
        <f>IFERROR(VLOOKUP($H443,TT[],3,FALSE),"NA")</f>
        <v>NA</v>
      </c>
      <c r="M443" s="77" t="str">
        <f>IFERROR(VLOOKUP($H443,TES[],3,FALSE),"NA")</f>
        <v>NA</v>
      </c>
      <c r="N443" s="77" t="str">
        <f>IFERROR(VLOOKUP($H443,TEC[],3,FALSE),"NA")</f>
        <v>NA</v>
      </c>
      <c r="O443" s="77" t="str">
        <f>IFERROR(VLOOKUP($H443,TP[],3,FALSE),"NA")</f>
        <v>NA</v>
      </c>
      <c r="P443" s="77" t="str">
        <f>IFERROR(VLOOKUP($H443,TEN[],3,FALSE),"NA")</f>
        <v>NA</v>
      </c>
      <c r="Q443" s="77" t="str">
        <f>IFERROR(VLOOKUP($H443,TD[],3,FALSE),"NA")</f>
        <v>NA</v>
      </c>
      <c r="R443" s="77" t="str">
        <f>IFERROR(VLOOKUP($H443,TC[],3,FALSE),"NA")</f>
        <v>NA</v>
      </c>
      <c r="S443" s="77">
        <f>IFERROR(VLOOKUP($H443,TEV[],3,FALSE),"NA")</f>
        <v>2</v>
      </c>
      <c r="T443" s="79">
        <f>SUM(TbAlquiler[[#This Row],[GENERAL]:[ELEVADOR]])</f>
        <v>2</v>
      </c>
      <c r="U443" s="80">
        <f>IF(VLOOKUP(TbAlquiler[[#This Row],[ITEM]],TbPiezas[],5,FALSE)="NA",0,VLOOKUP(TbAlquiler[[#This Row],[ITEM]],TbPiezas[],5,FALSE))</f>
        <v>26.8</v>
      </c>
      <c r="V443" s="81">
        <f>+TbAlquiler[[#This Row],[TOTAL]]*TbAlquiler[[#This Row],[P.U. (1)]]</f>
        <v>53.6</v>
      </c>
      <c r="W443" s="82">
        <f>+VLOOKUP(TbAlquiler[[#This Row],[ITEM]],TbPiezas[],6,FALSE)</f>
        <v>1887.84</v>
      </c>
      <c r="X443" s="83">
        <f>+TbAlquiler[[#This Row],[TOTAL]]*TbAlquiler[[#This Row],[P.U. (2)]]</f>
        <v>3775.68</v>
      </c>
      <c r="Y443" s="82">
        <f>+VLOOKUP(TbAlquiler[[#This Row],[ITEM]],TbPiezas[],7,FALSE)</f>
        <v>94.391999999999996</v>
      </c>
      <c r="Z443" s="84">
        <f>+TbAlquiler[[#This Row],[TOTAL]]*TbAlquiler[[#This Row],[P.U. (3)]]</f>
        <v>188.78399999999999</v>
      </c>
    </row>
    <row r="444" spans="1:26" s="4" customFormat="1" x14ac:dyDescent="0.3">
      <c r="A444" s="2"/>
      <c r="B444" s="85"/>
      <c r="C444" s="71" t="s">
        <v>1453</v>
      </c>
      <c r="D444" s="72" t="s">
        <v>1451</v>
      </c>
      <c r="E444" s="73"/>
      <c r="F444" s="74"/>
      <c r="G444" s="2"/>
      <c r="H444" s="75" t="str">
        <f t="shared" si="12"/>
        <v>EV.3210</v>
      </c>
      <c r="I444" s="59" t="str">
        <f t="shared" si="13"/>
        <v>ok</v>
      </c>
      <c r="J444" s="77">
        <f>IFERROR(VLOOKUP($H444,TG[],3,FALSE),"NA")</f>
        <v>0</v>
      </c>
      <c r="K444" s="86" t="str">
        <f>IFERROR(VLOOKUP($H444,TF[],3,FALSE),"NA")</f>
        <v>NA</v>
      </c>
      <c r="L444" s="408" t="str">
        <f>IFERROR(VLOOKUP($H444,TT[],3,FALSE),"NA")</f>
        <v>NA</v>
      </c>
      <c r="M444" s="77" t="str">
        <f>IFERROR(VLOOKUP($H444,TES[],3,FALSE),"NA")</f>
        <v>NA</v>
      </c>
      <c r="N444" s="139" t="str">
        <f>IFERROR(VLOOKUP($H444,TEC[],3,FALSE),"NA")</f>
        <v>NA</v>
      </c>
      <c r="O444" s="77" t="str">
        <f>IFERROR(VLOOKUP($H444,TP[],3,FALSE),"NA")</f>
        <v>NA</v>
      </c>
      <c r="P444" s="77" t="str">
        <f>IFERROR(VLOOKUP($H444,TEN[],3,FALSE),"NA")</f>
        <v>NA</v>
      </c>
      <c r="Q444" s="77" t="str">
        <f>IFERROR(VLOOKUP($H444,TD[],3,FALSE),"NA")</f>
        <v>NA</v>
      </c>
      <c r="R444" s="139" t="str">
        <f>IFERROR(VLOOKUP($H444,TC[],3,FALSE),"NA")</f>
        <v>NA</v>
      </c>
      <c r="S444" s="78" t="str">
        <f>IFERROR(VLOOKUP($H444,TEV[],3,FALSE),"NA")</f>
        <v>NA</v>
      </c>
      <c r="T444" s="78">
        <f>SUM(TbAlquiler[[#This Row],[GENERAL]:[ELEVADOR]])</f>
        <v>0</v>
      </c>
      <c r="U444" s="295">
        <f>IF(VLOOKUP(TbAlquiler[[#This Row],[ITEM]],TbPiezas[],5,FALSE)="NA",0,VLOOKUP(TbAlquiler[[#This Row],[ITEM]],TbPiezas[],5,FALSE))</f>
        <v>0</v>
      </c>
      <c r="V444" s="295">
        <f>+TbAlquiler[[#This Row],[TOTAL]]*TbAlquiler[[#This Row],[P.U. (1)]]</f>
        <v>0</v>
      </c>
      <c r="W444" s="84">
        <f>+VLOOKUP(TbAlquiler[[#This Row],[ITEM]],TbPiezas[],6,FALSE)</f>
        <v>0</v>
      </c>
      <c r="X444" s="296">
        <f>+TbAlquiler[[#This Row],[TOTAL]]*TbAlquiler[[#This Row],[P.U. (2)]]</f>
        <v>0</v>
      </c>
      <c r="Y444" s="84">
        <f>+VLOOKUP(TbAlquiler[[#This Row],[ITEM]],TbPiezas[],7,FALSE)</f>
        <v>0</v>
      </c>
      <c r="Z444" s="296">
        <f>+TbAlquiler[[#This Row],[TOTAL]]*TbAlquiler[[#This Row],[P.U. (3)]]</f>
        <v>0</v>
      </c>
    </row>
    <row r="445" spans="1:26" s="4" customFormat="1" x14ac:dyDescent="0.3">
      <c r="A445" s="2"/>
      <c r="B445" s="85"/>
      <c r="C445" s="71" t="s">
        <v>1454</v>
      </c>
      <c r="D445" s="72" t="s">
        <v>1452</v>
      </c>
      <c r="E445" s="73"/>
      <c r="F445" s="74"/>
      <c r="G445" s="2"/>
      <c r="H445" s="75" t="str">
        <f t="shared" si="12"/>
        <v>EV.3220</v>
      </c>
      <c r="I445" s="59" t="str">
        <f t="shared" si="13"/>
        <v>ok</v>
      </c>
      <c r="J445" s="77">
        <f>IFERROR(VLOOKUP($H445,TG[],3,FALSE),"NA")</f>
        <v>0</v>
      </c>
      <c r="K445" s="86" t="str">
        <f>IFERROR(VLOOKUP($H445,TF[],3,FALSE),"NA")</f>
        <v>NA</v>
      </c>
      <c r="L445" s="408" t="str">
        <f>IFERROR(VLOOKUP($H445,TT[],3,FALSE),"NA")</f>
        <v>NA</v>
      </c>
      <c r="M445" s="77" t="str">
        <f>IFERROR(VLOOKUP($H445,TES[],3,FALSE),"NA")</f>
        <v>NA</v>
      </c>
      <c r="N445" s="139" t="str">
        <f>IFERROR(VLOOKUP($H445,TEC[],3,FALSE),"NA")</f>
        <v>NA</v>
      </c>
      <c r="O445" s="77" t="str">
        <f>IFERROR(VLOOKUP($H445,TP[],3,FALSE),"NA")</f>
        <v>NA</v>
      </c>
      <c r="P445" s="77" t="str">
        <f>IFERROR(VLOOKUP($H445,TEN[],3,FALSE),"NA")</f>
        <v>NA</v>
      </c>
      <c r="Q445" s="77" t="str">
        <f>IFERROR(VLOOKUP($H445,TD[],3,FALSE),"NA")</f>
        <v>NA</v>
      </c>
      <c r="R445" s="139" t="str">
        <f>IFERROR(VLOOKUP($H445,TC[],3,FALSE),"NA")</f>
        <v>NA</v>
      </c>
      <c r="S445" s="78" t="str">
        <f>IFERROR(VLOOKUP($H445,TEV[],3,FALSE),"NA")</f>
        <v>NA</v>
      </c>
      <c r="T445" s="78">
        <f>SUM(TbAlquiler[[#This Row],[GENERAL]:[ELEVADOR]])</f>
        <v>0</v>
      </c>
      <c r="U445" s="295">
        <f>IF(VLOOKUP(TbAlquiler[[#This Row],[ITEM]],TbPiezas[],5,FALSE)="NA",0,VLOOKUP(TbAlquiler[[#This Row],[ITEM]],TbPiezas[],5,FALSE))</f>
        <v>0</v>
      </c>
      <c r="V445" s="295">
        <f>+TbAlquiler[[#This Row],[TOTAL]]*TbAlquiler[[#This Row],[P.U. (1)]]</f>
        <v>0</v>
      </c>
      <c r="W445" s="84">
        <f>+VLOOKUP(TbAlquiler[[#This Row],[ITEM]],TbPiezas[],6,FALSE)</f>
        <v>0</v>
      </c>
      <c r="X445" s="296">
        <f>+TbAlquiler[[#This Row],[TOTAL]]*TbAlquiler[[#This Row],[P.U. (2)]]</f>
        <v>0</v>
      </c>
      <c r="Y445" s="84">
        <f>+VLOOKUP(TbAlquiler[[#This Row],[ITEM]],TbPiezas[],7,FALSE)</f>
        <v>0</v>
      </c>
      <c r="Z445" s="296">
        <f>+TbAlquiler[[#This Row],[TOTAL]]*TbAlquiler[[#This Row],[P.U. (3)]]</f>
        <v>0</v>
      </c>
    </row>
    <row r="446" spans="1:26" s="4" customFormat="1" x14ac:dyDescent="0.3">
      <c r="A446" s="2"/>
      <c r="B446" s="85">
        <v>403</v>
      </c>
      <c r="C446" s="71" t="s">
        <v>803</v>
      </c>
      <c r="D446" s="72" t="s">
        <v>804</v>
      </c>
      <c r="E446" s="73"/>
      <c r="F446" s="74">
        <f>+VLOOKUP(C446,TbAlquiler[],13,FALSE)</f>
        <v>2</v>
      </c>
      <c r="G446" s="2"/>
      <c r="H446" s="75" t="str">
        <f t="shared" si="12"/>
        <v>EV.3300</v>
      </c>
      <c r="I446" s="59" t="str">
        <f t="shared" si="13"/>
        <v>ok</v>
      </c>
      <c r="J446" s="77">
        <f>IFERROR(VLOOKUP($H446,TG[],3,FALSE),"NA")</f>
        <v>0</v>
      </c>
      <c r="K446" s="77" t="str">
        <f>IFERROR(VLOOKUP($H446,TF[],3,FALSE),"NA")</f>
        <v>NA</v>
      </c>
      <c r="L446" s="77" t="str">
        <f>IFERROR(VLOOKUP($H446,TT[],3,FALSE),"NA")</f>
        <v>NA</v>
      </c>
      <c r="M446" s="77" t="str">
        <f>IFERROR(VLOOKUP($H446,TES[],3,FALSE),"NA")</f>
        <v>NA</v>
      </c>
      <c r="N446" s="77" t="str">
        <f>IFERROR(VLOOKUP($H446,TEC[],3,FALSE),"NA")</f>
        <v>NA</v>
      </c>
      <c r="O446" s="77" t="str">
        <f>IFERROR(VLOOKUP($H446,TP[],3,FALSE),"NA")</f>
        <v>NA</v>
      </c>
      <c r="P446" s="77" t="str">
        <f>IFERROR(VLOOKUP($H446,TEN[],3,FALSE),"NA")</f>
        <v>NA</v>
      </c>
      <c r="Q446" s="77" t="str">
        <f>IFERROR(VLOOKUP($H446,TD[],3,FALSE),"NA")</f>
        <v>NA</v>
      </c>
      <c r="R446" s="77" t="str">
        <f>IFERROR(VLOOKUP($H446,TC[],3,FALSE),"NA")</f>
        <v>NA</v>
      </c>
      <c r="S446" s="77">
        <f>IFERROR(VLOOKUP($H446,TEV[],3,FALSE),"NA")</f>
        <v>2</v>
      </c>
      <c r="T446" s="79">
        <f>SUM(TbAlquiler[[#This Row],[GENERAL]:[ELEVADOR]])</f>
        <v>2</v>
      </c>
      <c r="U446" s="80">
        <f>IF(VLOOKUP(TbAlquiler[[#This Row],[ITEM]],TbPiezas[],5,FALSE)="NA",0,VLOOKUP(TbAlquiler[[#This Row],[ITEM]],TbPiezas[],5,FALSE))</f>
        <v>10.9</v>
      </c>
      <c r="V446" s="81">
        <f>+TbAlquiler[[#This Row],[TOTAL]]*TbAlquiler[[#This Row],[P.U. (1)]]</f>
        <v>21.8</v>
      </c>
      <c r="W446" s="82">
        <f>+VLOOKUP(TbAlquiler[[#This Row],[ITEM]],TbPiezas[],6,FALSE)</f>
        <v>679.72</v>
      </c>
      <c r="X446" s="83">
        <f>+TbAlquiler[[#This Row],[TOTAL]]*TbAlquiler[[#This Row],[P.U. (2)]]</f>
        <v>1359.44</v>
      </c>
      <c r="Y446" s="82">
        <f>+VLOOKUP(TbAlquiler[[#This Row],[ITEM]],TbPiezas[],7,FALSE)</f>
        <v>33.986000000000004</v>
      </c>
      <c r="Z446" s="84">
        <f>+TbAlquiler[[#This Row],[TOTAL]]*TbAlquiler[[#This Row],[P.U. (3)]]</f>
        <v>67.972000000000008</v>
      </c>
    </row>
    <row r="447" spans="1:26" s="4" customFormat="1" x14ac:dyDescent="0.3">
      <c r="A447" s="2"/>
      <c r="B447" s="85">
        <v>404</v>
      </c>
      <c r="C447" s="71" t="s">
        <v>805</v>
      </c>
      <c r="D447" s="72" t="s">
        <v>806</v>
      </c>
      <c r="E447" s="73"/>
      <c r="F447" s="74">
        <f>+VLOOKUP(C447,TbAlquiler[],13,FALSE)</f>
        <v>2</v>
      </c>
      <c r="G447" s="2"/>
      <c r="H447" s="75" t="str">
        <f t="shared" si="12"/>
        <v>EV.3400</v>
      </c>
      <c r="I447" s="59" t="str">
        <f t="shared" si="13"/>
        <v>ok</v>
      </c>
      <c r="J447" s="77">
        <f>IFERROR(VLOOKUP($H447,TG[],3,FALSE),"NA")</f>
        <v>0</v>
      </c>
      <c r="K447" s="77" t="str">
        <f>IFERROR(VLOOKUP($H447,TF[],3,FALSE),"NA")</f>
        <v>NA</v>
      </c>
      <c r="L447" s="77" t="str">
        <f>IFERROR(VLOOKUP($H447,TT[],3,FALSE),"NA")</f>
        <v>NA</v>
      </c>
      <c r="M447" s="77" t="str">
        <f>IFERROR(VLOOKUP($H447,TES[],3,FALSE),"NA")</f>
        <v>NA</v>
      </c>
      <c r="N447" s="77" t="str">
        <f>IFERROR(VLOOKUP($H447,TEC[],3,FALSE),"NA")</f>
        <v>NA</v>
      </c>
      <c r="O447" s="77" t="str">
        <f>IFERROR(VLOOKUP($H447,TP[],3,FALSE),"NA")</f>
        <v>NA</v>
      </c>
      <c r="P447" s="77" t="str">
        <f>IFERROR(VLOOKUP($H447,TEN[],3,FALSE),"NA")</f>
        <v>NA</v>
      </c>
      <c r="Q447" s="77" t="str">
        <f>IFERROR(VLOOKUP($H447,TD[],3,FALSE),"NA")</f>
        <v>NA</v>
      </c>
      <c r="R447" s="77" t="str">
        <f>IFERROR(VLOOKUP($H447,TC[],3,FALSE),"NA")</f>
        <v>NA</v>
      </c>
      <c r="S447" s="77">
        <f>IFERROR(VLOOKUP($H447,TEV[],3,FALSE),"NA")</f>
        <v>2</v>
      </c>
      <c r="T447" s="79">
        <f>SUM(TbAlquiler[[#This Row],[GENERAL]:[ELEVADOR]])</f>
        <v>2</v>
      </c>
      <c r="U447" s="80">
        <f>IF(VLOOKUP(TbAlquiler[[#This Row],[ITEM]],TbPiezas[],5,FALSE)="NA",0,VLOOKUP(TbAlquiler[[#This Row],[ITEM]],TbPiezas[],5,FALSE))</f>
        <v>13</v>
      </c>
      <c r="V447" s="81">
        <f>+TbAlquiler[[#This Row],[TOTAL]]*TbAlquiler[[#This Row],[P.U. (1)]]</f>
        <v>26</v>
      </c>
      <c r="W447" s="82">
        <f>+VLOOKUP(TbAlquiler[[#This Row],[ITEM]],TbPiezas[],6,FALSE)</f>
        <v>3176.25</v>
      </c>
      <c r="X447" s="83">
        <f>+TbAlquiler[[#This Row],[TOTAL]]*TbAlquiler[[#This Row],[P.U. (2)]]</f>
        <v>6352.5</v>
      </c>
      <c r="Y447" s="82">
        <f>+VLOOKUP(TbAlquiler[[#This Row],[ITEM]],TbPiezas[],7,FALSE)</f>
        <v>158.8125</v>
      </c>
      <c r="Z447" s="84">
        <f>+TbAlquiler[[#This Row],[TOTAL]]*TbAlquiler[[#This Row],[P.U. (3)]]</f>
        <v>317.625</v>
      </c>
    </row>
    <row r="448" spans="1:26" s="4" customFormat="1" x14ac:dyDescent="0.3">
      <c r="A448" s="2"/>
      <c r="B448" s="85">
        <v>405</v>
      </c>
      <c r="C448" s="71" t="s">
        <v>807</v>
      </c>
      <c r="D448" s="72" t="s">
        <v>808</v>
      </c>
      <c r="E448" s="73"/>
      <c r="F448" s="74">
        <f>+VLOOKUP(C448,TbAlquiler[],13,FALSE)</f>
        <v>1</v>
      </c>
      <c r="G448" s="2"/>
      <c r="H448" s="75" t="str">
        <f t="shared" si="12"/>
        <v>EV.3500</v>
      </c>
      <c r="I448" s="59" t="str">
        <f t="shared" si="13"/>
        <v>ok</v>
      </c>
      <c r="J448" s="77">
        <f>IFERROR(VLOOKUP($H448,TG[],3,FALSE),"NA")</f>
        <v>0</v>
      </c>
      <c r="K448" s="77" t="str">
        <f>IFERROR(VLOOKUP($H448,TF[],3,FALSE),"NA")</f>
        <v>NA</v>
      </c>
      <c r="L448" s="77" t="str">
        <f>IFERROR(VLOOKUP($H448,TT[],3,FALSE),"NA")</f>
        <v>NA</v>
      </c>
      <c r="M448" s="77" t="str">
        <f>IFERROR(VLOOKUP($H448,TES[],3,FALSE),"NA")</f>
        <v>NA</v>
      </c>
      <c r="N448" s="77" t="str">
        <f>IFERROR(VLOOKUP($H448,TEC[],3,FALSE),"NA")</f>
        <v>NA</v>
      </c>
      <c r="O448" s="77" t="str">
        <f>IFERROR(VLOOKUP($H448,TP[],3,FALSE),"NA")</f>
        <v>NA</v>
      </c>
      <c r="P448" s="77" t="str">
        <f>IFERROR(VLOOKUP($H448,TEN[],3,FALSE),"NA")</f>
        <v>NA</v>
      </c>
      <c r="Q448" s="77" t="str">
        <f>IFERROR(VLOOKUP($H448,TD[],3,FALSE),"NA")</f>
        <v>NA</v>
      </c>
      <c r="R448" s="77" t="str">
        <f>IFERROR(VLOOKUP($H448,TC[],3,FALSE),"NA")</f>
        <v>NA</v>
      </c>
      <c r="S448" s="77">
        <f>IFERROR(VLOOKUP($H448,TEV[],3,FALSE),"NA")</f>
        <v>1</v>
      </c>
      <c r="T448" s="79">
        <f>SUM(TbAlquiler[[#This Row],[GENERAL]:[ELEVADOR]])</f>
        <v>1</v>
      </c>
      <c r="U448" s="80">
        <f>IF(VLOOKUP(TbAlquiler[[#This Row],[ITEM]],TbPiezas[],5,FALSE)="NA",0,VLOOKUP(TbAlquiler[[#This Row],[ITEM]],TbPiezas[],5,FALSE))</f>
        <v>20.5</v>
      </c>
      <c r="V448" s="81">
        <f>+TbAlquiler[[#This Row],[TOTAL]]*TbAlquiler[[#This Row],[P.U. (1)]]</f>
        <v>20.5</v>
      </c>
      <c r="W448" s="82">
        <f>+VLOOKUP(TbAlquiler[[#This Row],[ITEM]],TbPiezas[],6,FALSE)</f>
        <v>5717.25</v>
      </c>
      <c r="X448" s="83">
        <f>+TbAlquiler[[#This Row],[TOTAL]]*TbAlquiler[[#This Row],[P.U. (2)]]</f>
        <v>5717.25</v>
      </c>
      <c r="Y448" s="82">
        <f>+VLOOKUP(TbAlquiler[[#This Row],[ITEM]],TbPiezas[],7,FALSE)</f>
        <v>285.86250000000001</v>
      </c>
      <c r="Z448" s="84">
        <f>+TbAlquiler[[#This Row],[TOTAL]]*TbAlquiler[[#This Row],[P.U. (3)]]</f>
        <v>285.86250000000001</v>
      </c>
    </row>
    <row r="449" spans="1:26" s="4" customFormat="1" x14ac:dyDescent="0.3">
      <c r="A449" s="2"/>
      <c r="B449" s="85">
        <v>406</v>
      </c>
      <c r="C449" s="71" t="s">
        <v>809</v>
      </c>
      <c r="D449" s="72" t="s">
        <v>810</v>
      </c>
      <c r="E449" s="73"/>
      <c r="F449" s="74">
        <f>+VLOOKUP(C449,TbAlquiler[],13,FALSE)</f>
        <v>1</v>
      </c>
      <c r="G449" s="2"/>
      <c r="H449" s="75" t="str">
        <f t="shared" si="12"/>
        <v>EV.3600</v>
      </c>
      <c r="I449" s="59" t="str">
        <f t="shared" si="13"/>
        <v>ok</v>
      </c>
      <c r="J449" s="77">
        <f>IFERROR(VLOOKUP($H449,TG[],3,FALSE),"NA")</f>
        <v>0</v>
      </c>
      <c r="K449" s="77" t="str">
        <f>IFERROR(VLOOKUP($H449,TF[],3,FALSE),"NA")</f>
        <v>NA</v>
      </c>
      <c r="L449" s="77" t="str">
        <f>IFERROR(VLOOKUP($H449,TT[],3,FALSE),"NA")</f>
        <v>NA</v>
      </c>
      <c r="M449" s="77" t="str">
        <f>IFERROR(VLOOKUP($H449,TES[],3,FALSE),"NA")</f>
        <v>NA</v>
      </c>
      <c r="N449" s="77" t="str">
        <f>IFERROR(VLOOKUP($H449,TEC[],3,FALSE),"NA")</f>
        <v>NA</v>
      </c>
      <c r="O449" s="77" t="str">
        <f>IFERROR(VLOOKUP($H449,TP[],3,FALSE),"NA")</f>
        <v>NA</v>
      </c>
      <c r="P449" s="77" t="str">
        <f>IFERROR(VLOOKUP($H449,TEN[],3,FALSE),"NA")</f>
        <v>NA</v>
      </c>
      <c r="Q449" s="77" t="str">
        <f>IFERROR(VLOOKUP($H449,TD[],3,FALSE),"NA")</f>
        <v>NA</v>
      </c>
      <c r="R449" s="77" t="str">
        <f>IFERROR(VLOOKUP($H449,TC[],3,FALSE),"NA")</f>
        <v>NA</v>
      </c>
      <c r="S449" s="77">
        <f>IFERROR(VLOOKUP($H449,TEV[],3,FALSE),"NA")</f>
        <v>1</v>
      </c>
      <c r="T449" s="79">
        <f>SUM(TbAlquiler[[#This Row],[GENERAL]:[ELEVADOR]])</f>
        <v>1</v>
      </c>
      <c r="U449" s="80">
        <f>IF(VLOOKUP(TbAlquiler[[#This Row],[ITEM]],TbPiezas[],5,FALSE)="NA",0,VLOOKUP(TbAlquiler[[#This Row],[ITEM]],TbPiezas[],5,FALSE))</f>
        <v>15.2</v>
      </c>
      <c r="V449" s="81">
        <f>+TbAlquiler[[#This Row],[TOTAL]]*TbAlquiler[[#This Row],[P.U. (1)]]</f>
        <v>15.2</v>
      </c>
      <c r="W449" s="82">
        <f>+VLOOKUP(TbAlquiler[[#This Row],[ITEM]],TbPiezas[],6,FALSE)</f>
        <v>1041.81</v>
      </c>
      <c r="X449" s="83">
        <f>+TbAlquiler[[#This Row],[TOTAL]]*TbAlquiler[[#This Row],[P.U. (2)]]</f>
        <v>1041.81</v>
      </c>
      <c r="Y449" s="82">
        <f>+VLOOKUP(TbAlquiler[[#This Row],[ITEM]],TbPiezas[],7,FALSE)</f>
        <v>52.090499999999999</v>
      </c>
      <c r="Z449" s="84">
        <f>+TbAlquiler[[#This Row],[TOTAL]]*TbAlquiler[[#This Row],[P.U. (3)]]</f>
        <v>52.090499999999999</v>
      </c>
    </row>
    <row r="450" spans="1:26" s="4" customFormat="1" x14ac:dyDescent="0.3">
      <c r="A450" s="2"/>
      <c r="B450" s="85">
        <v>407</v>
      </c>
      <c r="C450" s="71" t="s">
        <v>811</v>
      </c>
      <c r="D450" s="72" t="s">
        <v>812</v>
      </c>
      <c r="E450" s="73"/>
      <c r="F450" s="74">
        <f>+VLOOKUP(C450,TbAlquiler[],13,FALSE)</f>
        <v>1</v>
      </c>
      <c r="G450" s="2"/>
      <c r="H450" s="75" t="str">
        <f t="shared" si="12"/>
        <v>EV.3700</v>
      </c>
      <c r="I450" s="59" t="str">
        <f t="shared" si="13"/>
        <v>ok</v>
      </c>
      <c r="J450" s="77">
        <f>IFERROR(VLOOKUP($H450,TG[],3,FALSE),"NA")</f>
        <v>0</v>
      </c>
      <c r="K450" s="77" t="str">
        <f>IFERROR(VLOOKUP($H450,TF[],3,FALSE),"NA")</f>
        <v>NA</v>
      </c>
      <c r="L450" s="77" t="str">
        <f>IFERROR(VLOOKUP($H450,TT[],3,FALSE),"NA")</f>
        <v>NA</v>
      </c>
      <c r="M450" s="77" t="str">
        <f>IFERROR(VLOOKUP($H450,TES[],3,FALSE),"NA")</f>
        <v>NA</v>
      </c>
      <c r="N450" s="77" t="str">
        <f>IFERROR(VLOOKUP($H450,TEC[],3,FALSE),"NA")</f>
        <v>NA</v>
      </c>
      <c r="O450" s="77" t="str">
        <f>IFERROR(VLOOKUP($H450,TP[],3,FALSE),"NA")</f>
        <v>NA</v>
      </c>
      <c r="P450" s="77" t="str">
        <f>IFERROR(VLOOKUP($H450,TEN[],3,FALSE),"NA")</f>
        <v>NA</v>
      </c>
      <c r="Q450" s="77" t="str">
        <f>IFERROR(VLOOKUP($H450,TD[],3,FALSE),"NA")</f>
        <v>NA</v>
      </c>
      <c r="R450" s="77" t="str">
        <f>IFERROR(VLOOKUP($H450,TC[],3,FALSE),"NA")</f>
        <v>NA</v>
      </c>
      <c r="S450" s="77">
        <f>IFERROR(VLOOKUP($H450,TEV[],3,FALSE),"NA")</f>
        <v>1</v>
      </c>
      <c r="T450" s="79">
        <f>SUM(TbAlquiler[[#This Row],[GENERAL]:[ELEVADOR]])</f>
        <v>1</v>
      </c>
      <c r="U450" s="80">
        <f>IF(VLOOKUP(TbAlquiler[[#This Row],[ITEM]],TbPiezas[],5,FALSE)="NA",0,VLOOKUP(TbAlquiler[[#This Row],[ITEM]],TbPiezas[],5,FALSE))</f>
        <v>9.8000000000000007</v>
      </c>
      <c r="V450" s="81">
        <f>+TbAlquiler[[#This Row],[TOTAL]]*TbAlquiler[[#This Row],[P.U. (1)]]</f>
        <v>9.8000000000000007</v>
      </c>
      <c r="W450" s="82">
        <f>+VLOOKUP(TbAlquiler[[#This Row],[ITEM]],TbPiezas[],6,FALSE)</f>
        <v>813.12</v>
      </c>
      <c r="X450" s="83">
        <f>+TbAlquiler[[#This Row],[TOTAL]]*TbAlquiler[[#This Row],[P.U. (2)]]</f>
        <v>813.12</v>
      </c>
      <c r="Y450" s="82">
        <f>+VLOOKUP(TbAlquiler[[#This Row],[ITEM]],TbPiezas[],7,FALSE)</f>
        <v>40.656000000000006</v>
      </c>
      <c r="Z450" s="84">
        <f>+TbAlquiler[[#This Row],[TOTAL]]*TbAlquiler[[#This Row],[P.U. (3)]]</f>
        <v>40.656000000000006</v>
      </c>
    </row>
    <row r="451" spans="1:26" s="4" customFormat="1" x14ac:dyDescent="0.3">
      <c r="A451" s="2"/>
      <c r="B451" s="85"/>
      <c r="C451" s="71" t="s">
        <v>1457</v>
      </c>
      <c r="D451" s="240" t="s">
        <v>1455</v>
      </c>
      <c r="E451" s="73"/>
      <c r="F451" s="74"/>
      <c r="G451" s="2"/>
      <c r="H451" s="75" t="str">
        <f t="shared" si="12"/>
        <v>EV.3710</v>
      </c>
      <c r="I451" s="59" t="str">
        <f t="shared" si="13"/>
        <v>ok</v>
      </c>
      <c r="J451" s="77">
        <f>IFERROR(VLOOKUP($H451,TG[],3,FALSE),"NA")</f>
        <v>0</v>
      </c>
      <c r="K451" s="86" t="str">
        <f>IFERROR(VLOOKUP($H451,TF[],3,FALSE),"NA")</f>
        <v>NA</v>
      </c>
      <c r="L451" s="408" t="str">
        <f>IFERROR(VLOOKUP($H451,TT[],3,FALSE),"NA")</f>
        <v>NA</v>
      </c>
      <c r="M451" s="77" t="str">
        <f>IFERROR(VLOOKUP($H451,TES[],3,FALSE),"NA")</f>
        <v>NA</v>
      </c>
      <c r="N451" s="139" t="str">
        <f>IFERROR(VLOOKUP($H451,TEC[],3,FALSE),"NA")</f>
        <v>NA</v>
      </c>
      <c r="O451" s="77" t="str">
        <f>IFERROR(VLOOKUP($H451,TP[],3,FALSE),"NA")</f>
        <v>NA</v>
      </c>
      <c r="P451" s="77" t="str">
        <f>IFERROR(VLOOKUP($H451,TEN[],3,FALSE),"NA")</f>
        <v>NA</v>
      </c>
      <c r="Q451" s="77" t="str">
        <f>IFERROR(VLOOKUP($H451,TD[],3,FALSE),"NA")</f>
        <v>NA</v>
      </c>
      <c r="R451" s="139" t="str">
        <f>IFERROR(VLOOKUP($H451,TC[],3,FALSE),"NA")</f>
        <v>NA</v>
      </c>
      <c r="S451" s="78" t="str">
        <f>IFERROR(VLOOKUP($H451,TEV[],3,FALSE),"NA")</f>
        <v>NA</v>
      </c>
      <c r="T451" s="78">
        <f>SUM(TbAlquiler[[#This Row],[GENERAL]:[ELEVADOR]])</f>
        <v>0</v>
      </c>
      <c r="U451" s="295">
        <f>IF(VLOOKUP(TbAlquiler[[#This Row],[ITEM]],TbPiezas[],5,FALSE)="NA",0,VLOOKUP(TbAlquiler[[#This Row],[ITEM]],TbPiezas[],5,FALSE))</f>
        <v>0</v>
      </c>
      <c r="V451" s="295">
        <f>+TbAlquiler[[#This Row],[TOTAL]]*TbAlquiler[[#This Row],[P.U. (1)]]</f>
        <v>0</v>
      </c>
      <c r="W451" s="84">
        <f>+VLOOKUP(TbAlquiler[[#This Row],[ITEM]],TbPiezas[],6,FALSE)</f>
        <v>0</v>
      </c>
      <c r="X451" s="296">
        <f>+TbAlquiler[[#This Row],[TOTAL]]*TbAlquiler[[#This Row],[P.U. (2)]]</f>
        <v>0</v>
      </c>
      <c r="Y451" s="84">
        <f>+VLOOKUP(TbAlquiler[[#This Row],[ITEM]],TbPiezas[],7,FALSE)</f>
        <v>0</v>
      </c>
      <c r="Z451" s="296">
        <f>+TbAlquiler[[#This Row],[TOTAL]]*TbAlquiler[[#This Row],[P.U. (3)]]</f>
        <v>0</v>
      </c>
    </row>
    <row r="452" spans="1:26" s="4" customFormat="1" x14ac:dyDescent="0.3">
      <c r="A452" s="2"/>
      <c r="B452" s="85"/>
      <c r="C452" s="71" t="s">
        <v>1458</v>
      </c>
      <c r="D452" s="240" t="s">
        <v>1456</v>
      </c>
      <c r="E452" s="73"/>
      <c r="F452" s="74"/>
      <c r="G452" s="2"/>
      <c r="H452" s="75" t="str">
        <f t="shared" si="12"/>
        <v>EV.3720</v>
      </c>
      <c r="I452" s="59" t="str">
        <f t="shared" si="13"/>
        <v>ok</v>
      </c>
      <c r="J452" s="77">
        <f>IFERROR(VLOOKUP($H452,TG[],3,FALSE),"NA")</f>
        <v>0</v>
      </c>
      <c r="K452" s="86" t="str">
        <f>IFERROR(VLOOKUP($H452,TF[],3,FALSE),"NA")</f>
        <v>NA</v>
      </c>
      <c r="L452" s="408" t="str">
        <f>IFERROR(VLOOKUP($H452,TT[],3,FALSE),"NA")</f>
        <v>NA</v>
      </c>
      <c r="M452" s="77" t="str">
        <f>IFERROR(VLOOKUP($H452,TES[],3,FALSE),"NA")</f>
        <v>NA</v>
      </c>
      <c r="N452" s="139" t="str">
        <f>IFERROR(VLOOKUP($H452,TEC[],3,FALSE),"NA")</f>
        <v>NA</v>
      </c>
      <c r="O452" s="77" t="str">
        <f>IFERROR(VLOOKUP($H452,TP[],3,FALSE),"NA")</f>
        <v>NA</v>
      </c>
      <c r="P452" s="77" t="str">
        <f>IFERROR(VLOOKUP($H452,TEN[],3,FALSE),"NA")</f>
        <v>NA</v>
      </c>
      <c r="Q452" s="77" t="str">
        <f>IFERROR(VLOOKUP($H452,TD[],3,FALSE),"NA")</f>
        <v>NA</v>
      </c>
      <c r="R452" s="139" t="str">
        <f>IFERROR(VLOOKUP($H452,TC[],3,FALSE),"NA")</f>
        <v>NA</v>
      </c>
      <c r="S452" s="78" t="str">
        <f>IFERROR(VLOOKUP($H452,TEV[],3,FALSE),"NA")</f>
        <v>NA</v>
      </c>
      <c r="T452" s="78">
        <f>SUM(TbAlquiler[[#This Row],[GENERAL]:[ELEVADOR]])</f>
        <v>0</v>
      </c>
      <c r="U452" s="295">
        <f>IF(VLOOKUP(TbAlquiler[[#This Row],[ITEM]],TbPiezas[],5,FALSE)="NA",0,VLOOKUP(TbAlquiler[[#This Row],[ITEM]],TbPiezas[],5,FALSE))</f>
        <v>0</v>
      </c>
      <c r="V452" s="295">
        <f>+TbAlquiler[[#This Row],[TOTAL]]*TbAlquiler[[#This Row],[P.U. (1)]]</f>
        <v>0</v>
      </c>
      <c r="W452" s="84">
        <f>+VLOOKUP(TbAlquiler[[#This Row],[ITEM]],TbPiezas[],6,FALSE)</f>
        <v>0</v>
      </c>
      <c r="X452" s="296">
        <f>+TbAlquiler[[#This Row],[TOTAL]]*TbAlquiler[[#This Row],[P.U. (2)]]</f>
        <v>0</v>
      </c>
      <c r="Y452" s="84">
        <f>+VLOOKUP(TbAlquiler[[#This Row],[ITEM]],TbPiezas[],7,FALSE)</f>
        <v>0</v>
      </c>
      <c r="Z452" s="296">
        <f>+TbAlquiler[[#This Row],[TOTAL]]*TbAlquiler[[#This Row],[P.U. (3)]]</f>
        <v>0</v>
      </c>
    </row>
    <row r="453" spans="1:26" s="4" customFormat="1" x14ac:dyDescent="0.3">
      <c r="A453" s="2"/>
      <c r="B453" s="85">
        <v>408</v>
      </c>
      <c r="C453" s="71" t="s">
        <v>813</v>
      </c>
      <c r="D453" s="72" t="s">
        <v>814</v>
      </c>
      <c r="E453" s="73"/>
      <c r="F453" s="74">
        <f>+VLOOKUP(C453,TbAlquiler[],13,FALSE)</f>
        <v>1</v>
      </c>
      <c r="G453" s="2"/>
      <c r="H453" s="75" t="str">
        <f t="shared" si="12"/>
        <v>EV.3800</v>
      </c>
      <c r="I453" s="59" t="str">
        <f t="shared" si="13"/>
        <v>ok</v>
      </c>
      <c r="J453" s="77">
        <f>IFERROR(VLOOKUP($H453,TG[],3,FALSE),"NA")</f>
        <v>0</v>
      </c>
      <c r="K453" s="77" t="str">
        <f>IFERROR(VLOOKUP($H453,TF[],3,FALSE),"NA")</f>
        <v>NA</v>
      </c>
      <c r="L453" s="77" t="str">
        <f>IFERROR(VLOOKUP($H453,TT[],3,FALSE),"NA")</f>
        <v>NA</v>
      </c>
      <c r="M453" s="77" t="str">
        <f>IFERROR(VLOOKUP($H453,TES[],3,FALSE),"NA")</f>
        <v>NA</v>
      </c>
      <c r="N453" s="77" t="str">
        <f>IFERROR(VLOOKUP($H453,TEC[],3,FALSE),"NA")</f>
        <v>NA</v>
      </c>
      <c r="O453" s="77" t="str">
        <f>IFERROR(VLOOKUP($H453,TP[],3,FALSE),"NA")</f>
        <v>NA</v>
      </c>
      <c r="P453" s="77" t="str">
        <f>IFERROR(VLOOKUP($H453,TEN[],3,FALSE),"NA")</f>
        <v>NA</v>
      </c>
      <c r="Q453" s="77" t="str">
        <f>IFERROR(VLOOKUP($H453,TD[],3,FALSE),"NA")</f>
        <v>NA</v>
      </c>
      <c r="R453" s="77" t="str">
        <f>IFERROR(VLOOKUP($H453,TC[],3,FALSE),"NA")</f>
        <v>NA</v>
      </c>
      <c r="S453" s="77">
        <f>IFERROR(VLOOKUP($H453,TEV[],3,FALSE),"NA")</f>
        <v>1</v>
      </c>
      <c r="T453" s="79">
        <f>SUM(TbAlquiler[[#This Row],[GENERAL]:[ELEVADOR]])</f>
        <v>1</v>
      </c>
      <c r="U453" s="80">
        <f>IF(VLOOKUP(TbAlquiler[[#This Row],[ITEM]],TbPiezas[],5,FALSE)="NA",0,VLOOKUP(TbAlquiler[[#This Row],[ITEM]],TbPiezas[],5,FALSE))</f>
        <v>9.8000000000000007</v>
      </c>
      <c r="V453" s="81">
        <f>+TbAlquiler[[#This Row],[TOTAL]]*TbAlquiler[[#This Row],[P.U. (1)]]</f>
        <v>9.8000000000000007</v>
      </c>
      <c r="W453" s="82">
        <f>+VLOOKUP(TbAlquiler[[#This Row],[ITEM]],TbPiezas[],6,FALSE)</f>
        <v>1041.81</v>
      </c>
      <c r="X453" s="83">
        <f>+TbAlquiler[[#This Row],[TOTAL]]*TbAlquiler[[#This Row],[P.U. (2)]]</f>
        <v>1041.81</v>
      </c>
      <c r="Y453" s="82">
        <f>+VLOOKUP(TbAlquiler[[#This Row],[ITEM]],TbPiezas[],7,FALSE)</f>
        <v>52.090499999999999</v>
      </c>
      <c r="Z453" s="84">
        <f>+TbAlquiler[[#This Row],[TOTAL]]*TbAlquiler[[#This Row],[P.U. (3)]]</f>
        <v>52.090499999999999</v>
      </c>
    </row>
    <row r="454" spans="1:26" s="4" customFormat="1" x14ac:dyDescent="0.3">
      <c r="A454" s="2"/>
      <c r="B454" s="85">
        <v>409</v>
      </c>
      <c r="C454" s="71" t="s">
        <v>815</v>
      </c>
      <c r="D454" s="72" t="s">
        <v>816</v>
      </c>
      <c r="E454" s="73"/>
      <c r="F454" s="74">
        <f>+VLOOKUP(C454,TbAlquiler[],13,FALSE)</f>
        <v>1</v>
      </c>
      <c r="G454" s="2"/>
      <c r="H454" s="75" t="str">
        <f t="shared" si="12"/>
        <v>EV.3900</v>
      </c>
      <c r="I454" s="59" t="str">
        <f t="shared" si="13"/>
        <v>ok</v>
      </c>
      <c r="J454" s="77">
        <f>IFERROR(VLOOKUP($H454,TG[],3,FALSE),"NA")</f>
        <v>0</v>
      </c>
      <c r="K454" s="77" t="str">
        <f>IFERROR(VLOOKUP($H454,TF[],3,FALSE),"NA")</f>
        <v>NA</v>
      </c>
      <c r="L454" s="77" t="str">
        <f>IFERROR(VLOOKUP($H454,TT[],3,FALSE),"NA")</f>
        <v>NA</v>
      </c>
      <c r="M454" s="77" t="str">
        <f>IFERROR(VLOOKUP($H454,TES[],3,FALSE),"NA")</f>
        <v>NA</v>
      </c>
      <c r="N454" s="77" t="str">
        <f>IFERROR(VLOOKUP($H454,TEC[],3,FALSE),"NA")</f>
        <v>NA</v>
      </c>
      <c r="O454" s="77" t="str">
        <f>IFERROR(VLOOKUP($H454,TP[],3,FALSE),"NA")</f>
        <v>NA</v>
      </c>
      <c r="P454" s="77" t="str">
        <f>IFERROR(VLOOKUP($H454,TEN[],3,FALSE),"NA")</f>
        <v>NA</v>
      </c>
      <c r="Q454" s="77" t="str">
        <f>IFERROR(VLOOKUP($H454,TD[],3,FALSE),"NA")</f>
        <v>NA</v>
      </c>
      <c r="R454" s="77" t="str">
        <f>IFERROR(VLOOKUP($H454,TC[],3,FALSE),"NA")</f>
        <v>NA</v>
      </c>
      <c r="S454" s="77">
        <f>IFERROR(VLOOKUP($H454,TEV[],3,FALSE),"NA")</f>
        <v>1</v>
      </c>
      <c r="T454" s="79">
        <f>SUM(TbAlquiler[[#This Row],[GENERAL]:[ELEVADOR]])</f>
        <v>1</v>
      </c>
      <c r="U454" s="80">
        <f>IF(VLOOKUP(TbAlquiler[[#This Row],[ITEM]],TbPiezas[],5,FALSE)="NA",0,VLOOKUP(TbAlquiler[[#This Row],[ITEM]],TbPiezas[],5,FALSE))</f>
        <v>9.8000000000000007</v>
      </c>
      <c r="V454" s="81">
        <f>+TbAlquiler[[#This Row],[TOTAL]]*TbAlquiler[[#This Row],[P.U. (1)]]</f>
        <v>9.8000000000000007</v>
      </c>
      <c r="W454" s="82">
        <f>+VLOOKUP(TbAlquiler[[#This Row],[ITEM]],TbPiezas[],6,FALSE)</f>
        <v>813.12</v>
      </c>
      <c r="X454" s="83">
        <f>+TbAlquiler[[#This Row],[TOTAL]]*TbAlquiler[[#This Row],[P.U. (2)]]</f>
        <v>813.12</v>
      </c>
      <c r="Y454" s="82">
        <f>+VLOOKUP(TbAlquiler[[#This Row],[ITEM]],TbPiezas[],7,FALSE)</f>
        <v>40.656000000000006</v>
      </c>
      <c r="Z454" s="84">
        <f>+TbAlquiler[[#This Row],[TOTAL]]*TbAlquiler[[#This Row],[P.U. (3)]]</f>
        <v>40.656000000000006</v>
      </c>
    </row>
    <row r="455" spans="1:26" s="4" customFormat="1" x14ac:dyDescent="0.3">
      <c r="A455" s="2"/>
      <c r="B455" s="85">
        <v>410</v>
      </c>
      <c r="C455" s="71" t="s">
        <v>817</v>
      </c>
      <c r="D455" s="72" t="s">
        <v>818</v>
      </c>
      <c r="E455" s="73"/>
      <c r="F455" s="74">
        <f>+VLOOKUP(C455,TbAlquiler[],13,FALSE)</f>
        <v>2</v>
      </c>
      <c r="G455" s="2"/>
      <c r="H455" s="75" t="str">
        <f t="shared" si="12"/>
        <v>EV.4000</v>
      </c>
      <c r="I455" s="59" t="str">
        <f t="shared" si="13"/>
        <v>ok</v>
      </c>
      <c r="J455" s="77">
        <f>IFERROR(VLOOKUP($H455,TG[],3,FALSE),"NA")</f>
        <v>0</v>
      </c>
      <c r="K455" s="77" t="str">
        <f>IFERROR(VLOOKUP($H455,TF[],3,FALSE),"NA")</f>
        <v>NA</v>
      </c>
      <c r="L455" s="77" t="str">
        <f>IFERROR(VLOOKUP($H455,TT[],3,FALSE),"NA")</f>
        <v>NA</v>
      </c>
      <c r="M455" s="77" t="str">
        <f>IFERROR(VLOOKUP($H455,TES[],3,FALSE),"NA")</f>
        <v>NA</v>
      </c>
      <c r="N455" s="77" t="str">
        <f>IFERROR(VLOOKUP($H455,TEC[],3,FALSE),"NA")</f>
        <v>NA</v>
      </c>
      <c r="O455" s="77" t="str">
        <f>IFERROR(VLOOKUP($H455,TP[],3,FALSE),"NA")</f>
        <v>NA</v>
      </c>
      <c r="P455" s="77" t="str">
        <f>IFERROR(VLOOKUP($H455,TEN[],3,FALSE),"NA")</f>
        <v>NA</v>
      </c>
      <c r="Q455" s="77" t="str">
        <f>IFERROR(VLOOKUP($H455,TD[],3,FALSE),"NA")</f>
        <v>NA</v>
      </c>
      <c r="R455" s="77" t="str">
        <f>IFERROR(VLOOKUP($H455,TC[],3,FALSE),"NA")</f>
        <v>NA</v>
      </c>
      <c r="S455" s="77">
        <f>IFERROR(VLOOKUP($H455,TEV[],3,FALSE),"NA")</f>
        <v>2</v>
      </c>
      <c r="T455" s="79">
        <f>SUM(TbAlquiler[[#This Row],[GENERAL]:[ELEVADOR]])</f>
        <v>2</v>
      </c>
      <c r="U455" s="80">
        <f>IF(VLOOKUP(TbAlquiler[[#This Row],[ITEM]],TbPiezas[],5,FALSE)="NA",0,VLOOKUP(TbAlquiler[[#This Row],[ITEM]],TbPiezas[],5,FALSE))</f>
        <v>11.7</v>
      </c>
      <c r="V455" s="81">
        <f>+TbAlquiler[[#This Row],[TOTAL]]*TbAlquiler[[#This Row],[P.U. (1)]]</f>
        <v>23.4</v>
      </c>
      <c r="W455" s="82">
        <f>+VLOOKUP(TbAlquiler[[#This Row],[ITEM]],TbPiezas[],6,FALSE)</f>
        <v>1003.7</v>
      </c>
      <c r="X455" s="83">
        <f>+TbAlquiler[[#This Row],[TOTAL]]*TbAlquiler[[#This Row],[P.U. (2)]]</f>
        <v>2007.4</v>
      </c>
      <c r="Y455" s="82">
        <f>+VLOOKUP(TbAlquiler[[#This Row],[ITEM]],TbPiezas[],7,FALSE)</f>
        <v>50.185000000000002</v>
      </c>
      <c r="Z455" s="84">
        <f>+TbAlquiler[[#This Row],[TOTAL]]*TbAlquiler[[#This Row],[P.U. (3)]]</f>
        <v>100.37</v>
      </c>
    </row>
    <row r="456" spans="1:26" s="4" customFormat="1" x14ac:dyDescent="0.3">
      <c r="A456" s="2"/>
      <c r="B456" s="85"/>
      <c r="C456" s="71" t="s">
        <v>1460</v>
      </c>
      <c r="D456" s="240" t="s">
        <v>1459</v>
      </c>
      <c r="E456" s="73"/>
      <c r="F456" s="74"/>
      <c r="G456" s="2"/>
      <c r="H456" s="75" t="str">
        <f t="shared" si="12"/>
        <v>EV.4010</v>
      </c>
      <c r="I456" s="59" t="str">
        <f t="shared" si="13"/>
        <v>ok</v>
      </c>
      <c r="J456" s="77">
        <f>IFERROR(VLOOKUP($H456,TG[],3,FALSE),"NA")</f>
        <v>0</v>
      </c>
      <c r="K456" s="86" t="str">
        <f>IFERROR(VLOOKUP($H456,TF[],3,FALSE),"NA")</f>
        <v>NA</v>
      </c>
      <c r="L456" s="408" t="str">
        <f>IFERROR(VLOOKUP($H456,TT[],3,FALSE),"NA")</f>
        <v>NA</v>
      </c>
      <c r="M456" s="77" t="str">
        <f>IFERROR(VLOOKUP($H456,TES[],3,FALSE),"NA")</f>
        <v>NA</v>
      </c>
      <c r="N456" s="139" t="str">
        <f>IFERROR(VLOOKUP($H456,TEC[],3,FALSE),"NA")</f>
        <v>NA</v>
      </c>
      <c r="O456" s="77" t="str">
        <f>IFERROR(VLOOKUP($H456,TP[],3,FALSE),"NA")</f>
        <v>NA</v>
      </c>
      <c r="P456" s="77" t="str">
        <f>IFERROR(VLOOKUP($H456,TEN[],3,FALSE),"NA")</f>
        <v>NA</v>
      </c>
      <c r="Q456" s="77" t="str">
        <f>IFERROR(VLOOKUP($H456,TD[],3,FALSE),"NA")</f>
        <v>NA</v>
      </c>
      <c r="R456" s="139" t="str">
        <f>IFERROR(VLOOKUP($H456,TC[],3,FALSE),"NA")</f>
        <v>NA</v>
      </c>
      <c r="S456" s="78" t="str">
        <f>IFERROR(VLOOKUP($H456,TEV[],3,FALSE),"NA")</f>
        <v>NA</v>
      </c>
      <c r="T456" s="78">
        <f>SUM(TbAlquiler[[#This Row],[GENERAL]:[ELEVADOR]])</f>
        <v>0</v>
      </c>
      <c r="U456" s="295">
        <f>IF(VLOOKUP(TbAlquiler[[#This Row],[ITEM]],TbPiezas[],5,FALSE)="NA",0,VLOOKUP(TbAlquiler[[#This Row],[ITEM]],TbPiezas[],5,FALSE))</f>
        <v>0</v>
      </c>
      <c r="V456" s="295">
        <f>+TbAlquiler[[#This Row],[TOTAL]]*TbAlquiler[[#This Row],[P.U. (1)]]</f>
        <v>0</v>
      </c>
      <c r="W456" s="84">
        <f>+VLOOKUP(TbAlquiler[[#This Row],[ITEM]],TbPiezas[],6,FALSE)</f>
        <v>0</v>
      </c>
      <c r="X456" s="296">
        <f>+TbAlquiler[[#This Row],[TOTAL]]*TbAlquiler[[#This Row],[P.U. (2)]]</f>
        <v>0</v>
      </c>
      <c r="Y456" s="84">
        <f>+VLOOKUP(TbAlquiler[[#This Row],[ITEM]],TbPiezas[],7,FALSE)</f>
        <v>0</v>
      </c>
      <c r="Z456" s="296">
        <f>+TbAlquiler[[#This Row],[TOTAL]]*TbAlquiler[[#This Row],[P.U. (3)]]</f>
        <v>0</v>
      </c>
    </row>
    <row r="457" spans="1:26" s="4" customFormat="1" x14ac:dyDescent="0.3">
      <c r="A457" s="2"/>
      <c r="B457" s="85">
        <v>411</v>
      </c>
      <c r="C457" s="71" t="s">
        <v>819</v>
      </c>
      <c r="D457" s="72" t="s">
        <v>820</v>
      </c>
      <c r="E457" s="73"/>
      <c r="F457" s="74">
        <f>+VLOOKUP(C457,TbAlquiler[],13,FALSE)</f>
        <v>2</v>
      </c>
      <c r="G457" s="2"/>
      <c r="H457" s="75" t="str">
        <f t="shared" si="12"/>
        <v>EV.4100</v>
      </c>
      <c r="I457" s="59" t="str">
        <f t="shared" si="13"/>
        <v>ok</v>
      </c>
      <c r="J457" s="77">
        <f>IFERROR(VLOOKUP($H457,TG[],3,FALSE),"NA")</f>
        <v>0</v>
      </c>
      <c r="K457" s="77" t="str">
        <f>IFERROR(VLOOKUP($H457,TF[],3,FALSE),"NA")</f>
        <v>NA</v>
      </c>
      <c r="L457" s="77" t="str">
        <f>IFERROR(VLOOKUP($H457,TT[],3,FALSE),"NA")</f>
        <v>NA</v>
      </c>
      <c r="M457" s="77" t="str">
        <f>IFERROR(VLOOKUP($H457,TES[],3,FALSE),"NA")</f>
        <v>NA</v>
      </c>
      <c r="N457" s="77" t="str">
        <f>IFERROR(VLOOKUP($H457,TEC[],3,FALSE),"NA")</f>
        <v>NA</v>
      </c>
      <c r="O457" s="77" t="str">
        <f>IFERROR(VLOOKUP($H457,TP[],3,FALSE),"NA")</f>
        <v>NA</v>
      </c>
      <c r="P457" s="77" t="str">
        <f>IFERROR(VLOOKUP($H457,TEN[],3,FALSE),"NA")</f>
        <v>NA</v>
      </c>
      <c r="Q457" s="77" t="str">
        <f>IFERROR(VLOOKUP($H457,TD[],3,FALSE),"NA")</f>
        <v>NA</v>
      </c>
      <c r="R457" s="77" t="str">
        <f>IFERROR(VLOOKUP($H457,TC[],3,FALSE),"NA")</f>
        <v>NA</v>
      </c>
      <c r="S457" s="77">
        <f>IFERROR(VLOOKUP($H457,TEV[],3,FALSE),"NA")</f>
        <v>2</v>
      </c>
      <c r="T457" s="79">
        <f>SUM(TbAlquiler[[#This Row],[GENERAL]:[ELEVADOR]])</f>
        <v>2</v>
      </c>
      <c r="U457" s="80">
        <f>IF(VLOOKUP(TbAlquiler[[#This Row],[ITEM]],TbPiezas[],5,FALSE)="NA",0,VLOOKUP(TbAlquiler[[#This Row],[ITEM]],TbPiezas[],5,FALSE))</f>
        <v>30</v>
      </c>
      <c r="V457" s="81">
        <f>+TbAlquiler[[#This Row],[TOTAL]]*TbAlquiler[[#This Row],[P.U. (1)]]</f>
        <v>60</v>
      </c>
      <c r="W457" s="82">
        <f>+VLOOKUP(TbAlquiler[[#This Row],[ITEM]],TbPiezas[],6,FALSE)</f>
        <v>6352.5</v>
      </c>
      <c r="X457" s="83">
        <f>+TbAlquiler[[#This Row],[TOTAL]]*TbAlquiler[[#This Row],[P.U. (2)]]</f>
        <v>12705</v>
      </c>
      <c r="Y457" s="82">
        <f>+VLOOKUP(TbAlquiler[[#This Row],[ITEM]],TbPiezas[],7,FALSE)</f>
        <v>317.625</v>
      </c>
      <c r="Z457" s="84">
        <f>+TbAlquiler[[#This Row],[TOTAL]]*TbAlquiler[[#This Row],[P.U. (3)]]</f>
        <v>635.25</v>
      </c>
    </row>
    <row r="458" spans="1:26" s="4" customFormat="1" x14ac:dyDescent="0.3">
      <c r="A458" s="2"/>
      <c r="B458" s="85">
        <v>412</v>
      </c>
      <c r="C458" s="71" t="s">
        <v>1464</v>
      </c>
      <c r="D458" s="72" t="s">
        <v>822</v>
      </c>
      <c r="E458" s="73"/>
      <c r="F458" s="74">
        <f>+VLOOKUP(C458,TbAlquiler[],13,FALSE)</f>
        <v>0</v>
      </c>
      <c r="G458" s="2"/>
      <c r="H458" s="75" t="str">
        <f t="shared" si="12"/>
        <v>EV.4110</v>
      </c>
      <c r="I458" s="59" t="str">
        <f t="shared" si="13"/>
        <v>ok</v>
      </c>
      <c r="J458" s="77">
        <f>IFERROR(VLOOKUP($H458,TG[],3,FALSE),"NA")</f>
        <v>0</v>
      </c>
      <c r="K458" s="77" t="str">
        <f>IFERROR(VLOOKUP($H458,TF[],3,FALSE),"NA")</f>
        <v>NA</v>
      </c>
      <c r="L458" s="77" t="str">
        <f>IFERROR(VLOOKUP($H458,TT[],3,FALSE),"NA")</f>
        <v>NA</v>
      </c>
      <c r="M458" s="77" t="str">
        <f>IFERROR(VLOOKUP($H458,TES[],3,FALSE),"NA")</f>
        <v>NA</v>
      </c>
      <c r="N458" s="77" t="str">
        <f>IFERROR(VLOOKUP($H458,TEC[],3,FALSE),"NA")</f>
        <v>NA</v>
      </c>
      <c r="O458" s="77" t="str">
        <f>IFERROR(VLOOKUP($H458,TP[],3,FALSE),"NA")</f>
        <v>NA</v>
      </c>
      <c r="P458" s="77" t="str">
        <f>IFERROR(VLOOKUP($H458,TEN[],3,FALSE),"NA")</f>
        <v>NA</v>
      </c>
      <c r="Q458" s="77" t="str">
        <f>IFERROR(VLOOKUP($H458,TD[],3,FALSE),"NA")</f>
        <v>NA</v>
      </c>
      <c r="R458" s="77" t="str">
        <f>IFERROR(VLOOKUP($H458,TC[],3,FALSE),"NA")</f>
        <v>NA</v>
      </c>
      <c r="S458" s="77" t="str">
        <f>IFERROR(VLOOKUP($H458,TEV[],3,FALSE),"NA")</f>
        <v>NA</v>
      </c>
      <c r="T458" s="79">
        <f>SUM(TbAlquiler[[#This Row],[GENERAL]:[ELEVADOR]])</f>
        <v>0</v>
      </c>
      <c r="U458" s="80">
        <f>IF(VLOOKUP(TbAlquiler[[#This Row],[ITEM]],TbPiezas[],5,FALSE)="NA",0,VLOOKUP(TbAlquiler[[#This Row],[ITEM]],TbPiezas[],5,FALSE))</f>
        <v>0</v>
      </c>
      <c r="V458" s="81">
        <f>+TbAlquiler[[#This Row],[TOTAL]]*TbAlquiler[[#This Row],[P.U. (1)]]</f>
        <v>0</v>
      </c>
      <c r="W458" s="82">
        <f>+VLOOKUP(TbAlquiler[[#This Row],[ITEM]],TbPiezas[],6,FALSE)</f>
        <v>0</v>
      </c>
      <c r="X458" s="83">
        <f>+TbAlquiler[[#This Row],[TOTAL]]*TbAlquiler[[#This Row],[P.U. (2)]]</f>
        <v>0</v>
      </c>
      <c r="Y458" s="82">
        <f>+VLOOKUP(TbAlquiler[[#This Row],[ITEM]],TbPiezas[],7,FALSE)</f>
        <v>0</v>
      </c>
      <c r="Z458" s="84">
        <f>+TbAlquiler[[#This Row],[TOTAL]]*TbAlquiler[[#This Row],[P.U. (3)]]</f>
        <v>0</v>
      </c>
    </row>
    <row r="459" spans="1:26" s="4" customFormat="1" x14ac:dyDescent="0.3">
      <c r="A459" s="2"/>
      <c r="B459" s="85">
        <v>413</v>
      </c>
      <c r="C459" s="71" t="s">
        <v>1465</v>
      </c>
      <c r="D459" s="72" t="s">
        <v>824</v>
      </c>
      <c r="E459" s="73"/>
      <c r="F459" s="74">
        <f>+VLOOKUP(C459,TbAlquiler[],13,FALSE)</f>
        <v>0</v>
      </c>
      <c r="G459" s="2"/>
      <c r="H459" s="75" t="str">
        <f t="shared" si="12"/>
        <v>EV.4120</v>
      </c>
      <c r="I459" s="59" t="str">
        <f t="shared" si="13"/>
        <v>ok</v>
      </c>
      <c r="J459" s="77">
        <f>IFERROR(VLOOKUP($H459,TG[],3,FALSE),"NA")</f>
        <v>0</v>
      </c>
      <c r="K459" s="77" t="str">
        <f>IFERROR(VLOOKUP($H459,TF[],3,FALSE),"NA")</f>
        <v>NA</v>
      </c>
      <c r="L459" s="77" t="str">
        <f>IFERROR(VLOOKUP($H459,TT[],3,FALSE),"NA")</f>
        <v>NA</v>
      </c>
      <c r="M459" s="77" t="str">
        <f>IFERROR(VLOOKUP($H459,TES[],3,FALSE),"NA")</f>
        <v>NA</v>
      </c>
      <c r="N459" s="77" t="str">
        <f>IFERROR(VLOOKUP($H459,TEC[],3,FALSE),"NA")</f>
        <v>NA</v>
      </c>
      <c r="O459" s="77" t="str">
        <f>IFERROR(VLOOKUP($H459,TP[],3,FALSE),"NA")</f>
        <v>NA</v>
      </c>
      <c r="P459" s="77" t="str">
        <f>IFERROR(VLOOKUP($H459,TEN[],3,FALSE),"NA")</f>
        <v>NA</v>
      </c>
      <c r="Q459" s="77" t="str">
        <f>IFERROR(VLOOKUP($H459,TD[],3,FALSE),"NA")</f>
        <v>NA</v>
      </c>
      <c r="R459" s="77" t="str">
        <f>IFERROR(VLOOKUP($H459,TC[],3,FALSE),"NA")</f>
        <v>NA</v>
      </c>
      <c r="S459" s="77" t="str">
        <f>IFERROR(VLOOKUP($H459,TEV[],3,FALSE),"NA")</f>
        <v>NA</v>
      </c>
      <c r="T459" s="79">
        <f>SUM(TbAlquiler[[#This Row],[GENERAL]:[ELEVADOR]])</f>
        <v>0</v>
      </c>
      <c r="U459" s="80">
        <f>IF(VLOOKUP(TbAlquiler[[#This Row],[ITEM]],TbPiezas[],5,FALSE)="NA",0,VLOOKUP(TbAlquiler[[#This Row],[ITEM]],TbPiezas[],5,FALSE))</f>
        <v>0</v>
      </c>
      <c r="V459" s="81">
        <f>+TbAlquiler[[#This Row],[TOTAL]]*TbAlquiler[[#This Row],[P.U. (1)]]</f>
        <v>0</v>
      </c>
      <c r="W459" s="82">
        <f>+VLOOKUP(TbAlquiler[[#This Row],[ITEM]],TbPiezas[],6,FALSE)</f>
        <v>0</v>
      </c>
      <c r="X459" s="83">
        <f>+TbAlquiler[[#This Row],[TOTAL]]*TbAlquiler[[#This Row],[P.U. (2)]]</f>
        <v>0</v>
      </c>
      <c r="Y459" s="82">
        <f>+VLOOKUP(TbAlquiler[[#This Row],[ITEM]],TbPiezas[],7,FALSE)</f>
        <v>0</v>
      </c>
      <c r="Z459" s="84">
        <f>+TbAlquiler[[#This Row],[TOTAL]]*TbAlquiler[[#This Row],[P.U. (3)]]</f>
        <v>0</v>
      </c>
    </row>
    <row r="460" spans="1:26" s="4" customFormat="1" x14ac:dyDescent="0.3">
      <c r="A460" s="2"/>
      <c r="B460" s="85"/>
      <c r="C460" s="71" t="s">
        <v>1466</v>
      </c>
      <c r="D460" s="240" t="s">
        <v>1463</v>
      </c>
      <c r="E460" s="73"/>
      <c r="F460" s="74"/>
      <c r="G460" s="2"/>
      <c r="H460" s="75" t="str">
        <f t="shared" si="12"/>
        <v>EV.4130</v>
      </c>
      <c r="I460" s="59" t="str">
        <f t="shared" si="13"/>
        <v>ok</v>
      </c>
      <c r="J460" s="77">
        <f>IFERROR(VLOOKUP($H460,TG[],3,FALSE),"NA")</f>
        <v>0</v>
      </c>
      <c r="K460" s="86" t="str">
        <f>IFERROR(VLOOKUP($H460,TF[],3,FALSE),"NA")</f>
        <v>NA</v>
      </c>
      <c r="L460" s="408" t="str">
        <f>IFERROR(VLOOKUP($H460,TT[],3,FALSE),"NA")</f>
        <v>NA</v>
      </c>
      <c r="M460" s="77" t="str">
        <f>IFERROR(VLOOKUP($H460,TES[],3,FALSE),"NA")</f>
        <v>NA</v>
      </c>
      <c r="N460" s="139" t="str">
        <f>IFERROR(VLOOKUP($H460,TEC[],3,FALSE),"NA")</f>
        <v>NA</v>
      </c>
      <c r="O460" s="77" t="str">
        <f>IFERROR(VLOOKUP($H460,TP[],3,FALSE),"NA")</f>
        <v>NA</v>
      </c>
      <c r="P460" s="77" t="str">
        <f>IFERROR(VLOOKUP($H460,TEN[],3,FALSE),"NA")</f>
        <v>NA</v>
      </c>
      <c r="Q460" s="77" t="str">
        <f>IFERROR(VLOOKUP($H460,TD[],3,FALSE),"NA")</f>
        <v>NA</v>
      </c>
      <c r="R460" s="139" t="str">
        <f>IFERROR(VLOOKUP($H460,TC[],3,FALSE),"NA")</f>
        <v>NA</v>
      </c>
      <c r="S460" s="78" t="str">
        <f>IFERROR(VLOOKUP($H460,TEV[],3,FALSE),"NA")</f>
        <v>NA</v>
      </c>
      <c r="T460" s="78">
        <f>SUM(TbAlquiler[[#This Row],[GENERAL]:[ELEVADOR]])</f>
        <v>0</v>
      </c>
      <c r="U460" s="295">
        <f>IF(VLOOKUP(TbAlquiler[[#This Row],[ITEM]],TbPiezas[],5,FALSE)="NA",0,VLOOKUP(TbAlquiler[[#This Row],[ITEM]],TbPiezas[],5,FALSE))</f>
        <v>0</v>
      </c>
      <c r="V460" s="295">
        <f>+TbAlquiler[[#This Row],[TOTAL]]*TbAlquiler[[#This Row],[P.U. (1)]]</f>
        <v>0</v>
      </c>
      <c r="W460" s="84">
        <f>+VLOOKUP(TbAlquiler[[#This Row],[ITEM]],TbPiezas[],6,FALSE)</f>
        <v>0</v>
      </c>
      <c r="X460" s="296">
        <f>+TbAlquiler[[#This Row],[TOTAL]]*TbAlquiler[[#This Row],[P.U. (2)]]</f>
        <v>0</v>
      </c>
      <c r="Y460" s="84">
        <f>+VLOOKUP(TbAlquiler[[#This Row],[ITEM]],TbPiezas[],7,FALSE)</f>
        <v>0</v>
      </c>
      <c r="Z460" s="296">
        <f>+TbAlquiler[[#This Row],[TOTAL]]*TbAlquiler[[#This Row],[P.U. (3)]]</f>
        <v>0</v>
      </c>
    </row>
    <row r="461" spans="1:26" s="4" customFormat="1" x14ac:dyDescent="0.3">
      <c r="A461" s="2"/>
      <c r="B461" s="85"/>
      <c r="C461" s="71" t="s">
        <v>1467</v>
      </c>
      <c r="D461" s="240" t="s">
        <v>1463</v>
      </c>
      <c r="E461" s="73"/>
      <c r="F461" s="74"/>
      <c r="G461" s="2"/>
      <c r="H461" s="75" t="str">
        <f t="shared" si="12"/>
        <v>EV.4140</v>
      </c>
      <c r="I461" s="59" t="str">
        <f t="shared" si="13"/>
        <v>ok</v>
      </c>
      <c r="J461" s="77">
        <f>IFERROR(VLOOKUP($H461,TG[],3,FALSE),"NA")</f>
        <v>0</v>
      </c>
      <c r="K461" s="86" t="str">
        <f>IFERROR(VLOOKUP($H461,TF[],3,FALSE),"NA")</f>
        <v>NA</v>
      </c>
      <c r="L461" s="408" t="str">
        <f>IFERROR(VLOOKUP($H461,TT[],3,FALSE),"NA")</f>
        <v>NA</v>
      </c>
      <c r="M461" s="77" t="str">
        <f>IFERROR(VLOOKUP($H461,TES[],3,FALSE),"NA")</f>
        <v>NA</v>
      </c>
      <c r="N461" s="139" t="str">
        <f>IFERROR(VLOOKUP($H461,TEC[],3,FALSE),"NA")</f>
        <v>NA</v>
      </c>
      <c r="O461" s="77" t="str">
        <f>IFERROR(VLOOKUP($H461,TP[],3,FALSE),"NA")</f>
        <v>NA</v>
      </c>
      <c r="P461" s="77" t="str">
        <f>IFERROR(VLOOKUP($H461,TEN[],3,FALSE),"NA")</f>
        <v>NA</v>
      </c>
      <c r="Q461" s="77" t="str">
        <f>IFERROR(VLOOKUP($H461,TD[],3,FALSE),"NA")</f>
        <v>NA</v>
      </c>
      <c r="R461" s="139" t="str">
        <f>IFERROR(VLOOKUP($H461,TC[],3,FALSE),"NA")</f>
        <v>NA</v>
      </c>
      <c r="S461" s="78" t="str">
        <f>IFERROR(VLOOKUP($H461,TEV[],3,FALSE),"NA")</f>
        <v>NA</v>
      </c>
      <c r="T461" s="78">
        <f>SUM(TbAlquiler[[#This Row],[GENERAL]:[ELEVADOR]])</f>
        <v>0</v>
      </c>
      <c r="U461" s="295">
        <f>IF(VLOOKUP(TbAlquiler[[#This Row],[ITEM]],TbPiezas[],5,FALSE)="NA",0,VLOOKUP(TbAlquiler[[#This Row],[ITEM]],TbPiezas[],5,FALSE))</f>
        <v>0</v>
      </c>
      <c r="V461" s="295">
        <f>+TbAlquiler[[#This Row],[TOTAL]]*TbAlquiler[[#This Row],[P.U. (1)]]</f>
        <v>0</v>
      </c>
      <c r="W461" s="84">
        <f>+VLOOKUP(TbAlquiler[[#This Row],[ITEM]],TbPiezas[],6,FALSE)</f>
        <v>0</v>
      </c>
      <c r="X461" s="296">
        <f>+TbAlquiler[[#This Row],[TOTAL]]*TbAlquiler[[#This Row],[P.U. (2)]]</f>
        <v>0</v>
      </c>
      <c r="Y461" s="84">
        <f>+VLOOKUP(TbAlquiler[[#This Row],[ITEM]],TbPiezas[],7,FALSE)</f>
        <v>0</v>
      </c>
      <c r="Z461" s="296">
        <f>+TbAlquiler[[#This Row],[TOTAL]]*TbAlquiler[[#This Row],[P.U. (3)]]</f>
        <v>0</v>
      </c>
    </row>
    <row r="462" spans="1:26" s="4" customFormat="1" x14ac:dyDescent="0.3">
      <c r="A462" s="2"/>
      <c r="B462" s="85"/>
      <c r="C462" s="71" t="s">
        <v>821</v>
      </c>
      <c r="D462" s="240" t="s">
        <v>822</v>
      </c>
      <c r="E462" s="73"/>
      <c r="F462" s="74"/>
      <c r="G462" s="2"/>
      <c r="H462" s="75" t="str">
        <f t="shared" si="12"/>
        <v>EV.4200</v>
      </c>
      <c r="I462" s="59" t="str">
        <f t="shared" si="13"/>
        <v>ok</v>
      </c>
      <c r="J462" s="77">
        <f>IFERROR(VLOOKUP($H462,TG[],3,FALSE),"NA")</f>
        <v>0</v>
      </c>
      <c r="K462" s="86" t="str">
        <f>IFERROR(VLOOKUP($H462,TF[],3,FALSE),"NA")</f>
        <v>NA</v>
      </c>
      <c r="L462" s="408" t="str">
        <f>IFERROR(VLOOKUP($H462,TT[],3,FALSE),"NA")</f>
        <v>NA</v>
      </c>
      <c r="M462" s="77" t="str">
        <f>IFERROR(VLOOKUP($H462,TES[],3,FALSE),"NA")</f>
        <v>NA</v>
      </c>
      <c r="N462" s="139" t="str">
        <f>IFERROR(VLOOKUP($H462,TEC[],3,FALSE),"NA")</f>
        <v>NA</v>
      </c>
      <c r="O462" s="77" t="str">
        <f>IFERROR(VLOOKUP($H462,TP[],3,FALSE),"NA")</f>
        <v>NA</v>
      </c>
      <c r="P462" s="77" t="str">
        <f>IFERROR(VLOOKUP($H462,TEN[],3,FALSE),"NA")</f>
        <v>NA</v>
      </c>
      <c r="Q462" s="77" t="str">
        <f>IFERROR(VLOOKUP($H462,TD[],3,FALSE),"NA")</f>
        <v>NA</v>
      </c>
      <c r="R462" s="139" t="str">
        <f>IFERROR(VLOOKUP($H462,TC[],3,FALSE),"NA")</f>
        <v>NA</v>
      </c>
      <c r="S462" s="78">
        <f>IFERROR(VLOOKUP($H462,TEV[],3,FALSE),"NA")</f>
        <v>0</v>
      </c>
      <c r="T462" s="78">
        <f>SUM(TbAlquiler[[#This Row],[GENERAL]:[ELEVADOR]])</f>
        <v>0</v>
      </c>
      <c r="U462" s="295">
        <f>IF(VLOOKUP(TbAlquiler[[#This Row],[ITEM]],TbPiezas[],5,FALSE)="NA",0,VLOOKUP(TbAlquiler[[#This Row],[ITEM]],TbPiezas[],5,FALSE))</f>
        <v>29.3</v>
      </c>
      <c r="V462" s="295">
        <f>+TbAlquiler[[#This Row],[TOTAL]]*TbAlquiler[[#This Row],[P.U. (1)]]</f>
        <v>0</v>
      </c>
      <c r="W462" s="84">
        <f>+VLOOKUP(TbAlquiler[[#This Row],[ITEM]],TbPiezas[],6,FALSE)</f>
        <v>6352.5</v>
      </c>
      <c r="X462" s="296">
        <f>+TbAlquiler[[#This Row],[TOTAL]]*TbAlquiler[[#This Row],[P.U. (2)]]</f>
        <v>0</v>
      </c>
      <c r="Y462" s="84">
        <f>+VLOOKUP(TbAlquiler[[#This Row],[ITEM]],TbPiezas[],7,FALSE)</f>
        <v>317.625</v>
      </c>
      <c r="Z462" s="296">
        <f>+TbAlquiler[[#This Row],[TOTAL]]*TbAlquiler[[#This Row],[P.U. (3)]]</f>
        <v>0</v>
      </c>
    </row>
    <row r="463" spans="1:26" s="4" customFormat="1" x14ac:dyDescent="0.3">
      <c r="A463" s="2"/>
      <c r="B463" s="85"/>
      <c r="C463" s="71" t="s">
        <v>823</v>
      </c>
      <c r="D463" s="240" t="s">
        <v>824</v>
      </c>
      <c r="E463" s="73"/>
      <c r="F463" s="74"/>
      <c r="G463" s="2"/>
      <c r="H463" s="75" t="str">
        <f t="shared" si="12"/>
        <v>EV.4300</v>
      </c>
      <c r="I463" s="59" t="str">
        <f t="shared" si="13"/>
        <v>ok</v>
      </c>
      <c r="J463" s="77">
        <f>IFERROR(VLOOKUP($H463,TG[],3,FALSE),"NA")</f>
        <v>0</v>
      </c>
      <c r="K463" s="86" t="str">
        <f>IFERROR(VLOOKUP($H463,TF[],3,FALSE),"NA")</f>
        <v>NA</v>
      </c>
      <c r="L463" s="408" t="str">
        <f>IFERROR(VLOOKUP($H463,TT[],3,FALSE),"NA")</f>
        <v>NA</v>
      </c>
      <c r="M463" s="77" t="str">
        <f>IFERROR(VLOOKUP($H463,TES[],3,FALSE),"NA")</f>
        <v>NA</v>
      </c>
      <c r="N463" s="139" t="str">
        <f>IFERROR(VLOOKUP($H463,TEC[],3,FALSE),"NA")</f>
        <v>NA</v>
      </c>
      <c r="O463" s="77" t="str">
        <f>IFERROR(VLOOKUP($H463,TP[],3,FALSE),"NA")</f>
        <v>NA</v>
      </c>
      <c r="P463" s="77" t="str">
        <f>IFERROR(VLOOKUP($H463,TEN[],3,FALSE),"NA")</f>
        <v>NA</v>
      </c>
      <c r="Q463" s="77" t="str">
        <f>IFERROR(VLOOKUP($H463,TD[],3,FALSE),"NA")</f>
        <v>NA</v>
      </c>
      <c r="R463" s="139" t="str">
        <f>IFERROR(VLOOKUP($H463,TC[],3,FALSE),"NA")</f>
        <v>NA</v>
      </c>
      <c r="S463" s="78">
        <f>IFERROR(VLOOKUP($H463,TEV[],3,FALSE),"NA")</f>
        <v>1</v>
      </c>
      <c r="T463" s="78">
        <f>SUM(TbAlquiler[[#This Row],[GENERAL]:[ELEVADOR]])</f>
        <v>1</v>
      </c>
      <c r="U463" s="295">
        <f>IF(VLOOKUP(TbAlquiler[[#This Row],[ITEM]],TbPiezas[],5,FALSE)="NA",0,VLOOKUP(TbAlquiler[[#This Row],[ITEM]],TbPiezas[],5,FALSE))</f>
        <v>42</v>
      </c>
      <c r="V463" s="295">
        <f>+TbAlquiler[[#This Row],[TOTAL]]*TbAlquiler[[#This Row],[P.U. (1)]]</f>
        <v>42</v>
      </c>
      <c r="W463" s="84">
        <f>+VLOOKUP(TbAlquiler[[#This Row],[ITEM]],TbPiezas[],6,FALSE)</f>
        <v>6352.5</v>
      </c>
      <c r="X463" s="296">
        <f>+TbAlquiler[[#This Row],[TOTAL]]*TbAlquiler[[#This Row],[P.U. (2)]]</f>
        <v>6352.5</v>
      </c>
      <c r="Y463" s="84">
        <f>+VLOOKUP(TbAlquiler[[#This Row],[ITEM]],TbPiezas[],7,FALSE)</f>
        <v>317.625</v>
      </c>
      <c r="Z463" s="296">
        <f>+TbAlquiler[[#This Row],[TOTAL]]*TbAlquiler[[#This Row],[P.U. (3)]]</f>
        <v>317.625</v>
      </c>
    </row>
    <row r="464" spans="1:26" s="4" customFormat="1" x14ac:dyDescent="0.3">
      <c r="A464" s="2"/>
      <c r="B464" s="85"/>
      <c r="C464" s="71" t="s">
        <v>1472</v>
      </c>
      <c r="D464" s="240" t="s">
        <v>1468</v>
      </c>
      <c r="E464" s="73"/>
      <c r="F464" s="74"/>
      <c r="G464" s="2"/>
      <c r="H464" s="75" t="str">
        <f t="shared" si="12"/>
        <v>EV.4310</v>
      </c>
      <c r="I464" s="59" t="str">
        <f t="shared" si="13"/>
        <v>ok</v>
      </c>
      <c r="J464" s="77">
        <f>IFERROR(VLOOKUP($H464,TG[],3,FALSE),"NA")</f>
        <v>0</v>
      </c>
      <c r="K464" s="86" t="str">
        <f>IFERROR(VLOOKUP($H464,TF[],3,FALSE),"NA")</f>
        <v>NA</v>
      </c>
      <c r="L464" s="408" t="str">
        <f>IFERROR(VLOOKUP($H464,TT[],3,FALSE),"NA")</f>
        <v>NA</v>
      </c>
      <c r="M464" s="77" t="str">
        <f>IFERROR(VLOOKUP($H464,TES[],3,FALSE),"NA")</f>
        <v>NA</v>
      </c>
      <c r="N464" s="139" t="str">
        <f>IFERROR(VLOOKUP($H464,TEC[],3,FALSE),"NA")</f>
        <v>NA</v>
      </c>
      <c r="O464" s="77" t="str">
        <f>IFERROR(VLOOKUP($H464,TP[],3,FALSE),"NA")</f>
        <v>NA</v>
      </c>
      <c r="P464" s="77" t="str">
        <f>IFERROR(VLOOKUP($H464,TEN[],3,FALSE),"NA")</f>
        <v>NA</v>
      </c>
      <c r="Q464" s="77" t="str">
        <f>IFERROR(VLOOKUP($H464,TD[],3,FALSE),"NA")</f>
        <v>NA</v>
      </c>
      <c r="R464" s="139" t="str">
        <f>IFERROR(VLOOKUP($H464,TC[],3,FALSE),"NA")</f>
        <v>NA</v>
      </c>
      <c r="S464" s="78" t="str">
        <f>IFERROR(VLOOKUP($H464,TEV[],3,FALSE),"NA")</f>
        <v>NA</v>
      </c>
      <c r="T464" s="78">
        <f>SUM(TbAlquiler[[#This Row],[GENERAL]:[ELEVADOR]])</f>
        <v>0</v>
      </c>
      <c r="U464" s="295">
        <f>IF(VLOOKUP(TbAlquiler[[#This Row],[ITEM]],TbPiezas[],5,FALSE)="NA",0,VLOOKUP(TbAlquiler[[#This Row],[ITEM]],TbPiezas[],5,FALSE))</f>
        <v>0</v>
      </c>
      <c r="V464" s="295">
        <f>+TbAlquiler[[#This Row],[TOTAL]]*TbAlquiler[[#This Row],[P.U. (1)]]</f>
        <v>0</v>
      </c>
      <c r="W464" s="84">
        <f>+VLOOKUP(TbAlquiler[[#This Row],[ITEM]],TbPiezas[],6,FALSE)</f>
        <v>0</v>
      </c>
      <c r="X464" s="296">
        <f>+TbAlquiler[[#This Row],[TOTAL]]*TbAlquiler[[#This Row],[P.U. (2)]]</f>
        <v>0</v>
      </c>
      <c r="Y464" s="84">
        <f>+VLOOKUP(TbAlquiler[[#This Row],[ITEM]],TbPiezas[],7,FALSE)</f>
        <v>0</v>
      </c>
      <c r="Z464" s="296">
        <f>+TbAlquiler[[#This Row],[TOTAL]]*TbAlquiler[[#This Row],[P.U. (3)]]</f>
        <v>0</v>
      </c>
    </row>
    <row r="465" spans="1:26" s="4" customFormat="1" x14ac:dyDescent="0.3">
      <c r="A465" s="2"/>
      <c r="B465" s="85"/>
      <c r="C465" s="71" t="s">
        <v>1473</v>
      </c>
      <c r="D465" s="240" t="s">
        <v>1469</v>
      </c>
      <c r="E465" s="73"/>
      <c r="F465" s="74"/>
      <c r="G465" s="2"/>
      <c r="H465" s="75" t="str">
        <f t="shared" si="12"/>
        <v>EV.4320</v>
      </c>
      <c r="I465" s="59" t="str">
        <f t="shared" si="13"/>
        <v>ok</v>
      </c>
      <c r="J465" s="77">
        <f>IFERROR(VLOOKUP($H465,TG[],3,FALSE),"NA")</f>
        <v>0</v>
      </c>
      <c r="K465" s="86" t="str">
        <f>IFERROR(VLOOKUP($H465,TF[],3,FALSE),"NA")</f>
        <v>NA</v>
      </c>
      <c r="L465" s="408" t="str">
        <f>IFERROR(VLOOKUP($H465,TT[],3,FALSE),"NA")</f>
        <v>NA</v>
      </c>
      <c r="M465" s="77" t="str">
        <f>IFERROR(VLOOKUP($H465,TES[],3,FALSE),"NA")</f>
        <v>NA</v>
      </c>
      <c r="N465" s="139" t="str">
        <f>IFERROR(VLOOKUP($H465,TEC[],3,FALSE),"NA")</f>
        <v>NA</v>
      </c>
      <c r="O465" s="77" t="str">
        <f>IFERROR(VLOOKUP($H465,TP[],3,FALSE),"NA")</f>
        <v>NA</v>
      </c>
      <c r="P465" s="77" t="str">
        <f>IFERROR(VLOOKUP($H465,TEN[],3,FALSE),"NA")</f>
        <v>NA</v>
      </c>
      <c r="Q465" s="77" t="str">
        <f>IFERROR(VLOOKUP($H465,TD[],3,FALSE),"NA")</f>
        <v>NA</v>
      </c>
      <c r="R465" s="139" t="str">
        <f>IFERROR(VLOOKUP($H465,TC[],3,FALSE),"NA")</f>
        <v>NA</v>
      </c>
      <c r="S465" s="78" t="str">
        <f>IFERROR(VLOOKUP($H465,TEV[],3,FALSE),"NA")</f>
        <v>NA</v>
      </c>
      <c r="T465" s="78">
        <f>SUM(TbAlquiler[[#This Row],[GENERAL]:[ELEVADOR]])</f>
        <v>0</v>
      </c>
      <c r="U465" s="295">
        <f>IF(VLOOKUP(TbAlquiler[[#This Row],[ITEM]],TbPiezas[],5,FALSE)="NA",0,VLOOKUP(TbAlquiler[[#This Row],[ITEM]],TbPiezas[],5,FALSE))</f>
        <v>0</v>
      </c>
      <c r="V465" s="295">
        <f>+TbAlquiler[[#This Row],[TOTAL]]*TbAlquiler[[#This Row],[P.U. (1)]]</f>
        <v>0</v>
      </c>
      <c r="W465" s="84">
        <f>+VLOOKUP(TbAlquiler[[#This Row],[ITEM]],TbPiezas[],6,FALSE)</f>
        <v>0</v>
      </c>
      <c r="X465" s="296">
        <f>+TbAlquiler[[#This Row],[TOTAL]]*TbAlquiler[[#This Row],[P.U. (2)]]</f>
        <v>0</v>
      </c>
      <c r="Y465" s="84">
        <f>+VLOOKUP(TbAlquiler[[#This Row],[ITEM]],TbPiezas[],7,FALSE)</f>
        <v>0</v>
      </c>
      <c r="Z465" s="296">
        <f>+TbAlquiler[[#This Row],[TOTAL]]*TbAlquiler[[#This Row],[P.U. (3)]]</f>
        <v>0</v>
      </c>
    </row>
    <row r="466" spans="1:26" s="4" customFormat="1" x14ac:dyDescent="0.3">
      <c r="A466" s="2"/>
      <c r="B466" s="85"/>
      <c r="C466" s="71" t="s">
        <v>1472</v>
      </c>
      <c r="D466" s="240" t="s">
        <v>1470</v>
      </c>
      <c r="E466" s="73"/>
      <c r="F466" s="74"/>
      <c r="G466" s="2"/>
      <c r="H466" s="75" t="str">
        <f t="shared" ref="H466:H529" si="14">+C466</f>
        <v>EV.4310</v>
      </c>
      <c r="I466" s="59" t="str">
        <f t="shared" ref="I466:I529" si="15">+IF(C466=H466,"ok","mal")</f>
        <v>ok</v>
      </c>
      <c r="J466" s="77">
        <f>IFERROR(VLOOKUP($H466,TG[],3,FALSE),"NA")</f>
        <v>0</v>
      </c>
      <c r="K466" s="86" t="str">
        <f>IFERROR(VLOOKUP($H466,TF[],3,FALSE),"NA")</f>
        <v>NA</v>
      </c>
      <c r="L466" s="408" t="str">
        <f>IFERROR(VLOOKUP($H466,TT[],3,FALSE),"NA")</f>
        <v>NA</v>
      </c>
      <c r="M466" s="77" t="str">
        <f>IFERROR(VLOOKUP($H466,TES[],3,FALSE),"NA")</f>
        <v>NA</v>
      </c>
      <c r="N466" s="139" t="str">
        <f>IFERROR(VLOOKUP($H466,TEC[],3,FALSE),"NA")</f>
        <v>NA</v>
      </c>
      <c r="O466" s="77" t="str">
        <f>IFERROR(VLOOKUP($H466,TP[],3,FALSE),"NA")</f>
        <v>NA</v>
      </c>
      <c r="P466" s="77" t="str">
        <f>IFERROR(VLOOKUP($H466,TEN[],3,FALSE),"NA")</f>
        <v>NA</v>
      </c>
      <c r="Q466" s="77" t="str">
        <f>IFERROR(VLOOKUP($H466,TD[],3,FALSE),"NA")</f>
        <v>NA</v>
      </c>
      <c r="R466" s="139" t="str">
        <f>IFERROR(VLOOKUP($H466,TC[],3,FALSE),"NA")</f>
        <v>NA</v>
      </c>
      <c r="S466" s="78" t="str">
        <f>IFERROR(VLOOKUP($H466,TEV[],3,FALSE),"NA")</f>
        <v>NA</v>
      </c>
      <c r="T466" s="78">
        <f>SUM(TbAlquiler[[#This Row],[GENERAL]:[ELEVADOR]])</f>
        <v>0</v>
      </c>
      <c r="U466" s="295">
        <f>IF(VLOOKUP(TbAlquiler[[#This Row],[ITEM]],TbPiezas[],5,FALSE)="NA",0,VLOOKUP(TbAlquiler[[#This Row],[ITEM]],TbPiezas[],5,FALSE))</f>
        <v>0</v>
      </c>
      <c r="V466" s="295">
        <f>+TbAlquiler[[#This Row],[TOTAL]]*TbAlquiler[[#This Row],[P.U. (1)]]</f>
        <v>0</v>
      </c>
      <c r="W466" s="84">
        <f>+VLOOKUP(TbAlquiler[[#This Row],[ITEM]],TbPiezas[],6,FALSE)</f>
        <v>0</v>
      </c>
      <c r="X466" s="296">
        <f>+TbAlquiler[[#This Row],[TOTAL]]*TbAlquiler[[#This Row],[P.U. (2)]]</f>
        <v>0</v>
      </c>
      <c r="Y466" s="84">
        <f>+VLOOKUP(TbAlquiler[[#This Row],[ITEM]],TbPiezas[],7,FALSE)</f>
        <v>0</v>
      </c>
      <c r="Z466" s="296">
        <f>+TbAlquiler[[#This Row],[TOTAL]]*TbAlquiler[[#This Row],[P.U. (3)]]</f>
        <v>0</v>
      </c>
    </row>
    <row r="467" spans="1:26" s="4" customFormat="1" x14ac:dyDescent="0.3">
      <c r="A467" s="2"/>
      <c r="B467" s="85"/>
      <c r="C467" s="71" t="s">
        <v>1473</v>
      </c>
      <c r="D467" s="240" t="s">
        <v>1471</v>
      </c>
      <c r="E467" s="73"/>
      <c r="F467" s="74"/>
      <c r="G467" s="2"/>
      <c r="H467" s="75" t="str">
        <f t="shared" si="14"/>
        <v>EV.4320</v>
      </c>
      <c r="I467" s="59" t="str">
        <f t="shared" si="15"/>
        <v>ok</v>
      </c>
      <c r="J467" s="77">
        <f>IFERROR(VLOOKUP($H467,TG[],3,FALSE),"NA")</f>
        <v>0</v>
      </c>
      <c r="K467" s="86" t="str">
        <f>IFERROR(VLOOKUP($H467,TF[],3,FALSE),"NA")</f>
        <v>NA</v>
      </c>
      <c r="L467" s="408" t="str">
        <f>IFERROR(VLOOKUP($H467,TT[],3,FALSE),"NA")</f>
        <v>NA</v>
      </c>
      <c r="M467" s="77" t="str">
        <f>IFERROR(VLOOKUP($H467,TES[],3,FALSE),"NA")</f>
        <v>NA</v>
      </c>
      <c r="N467" s="139" t="str">
        <f>IFERROR(VLOOKUP($H467,TEC[],3,FALSE),"NA")</f>
        <v>NA</v>
      </c>
      <c r="O467" s="77" t="str">
        <f>IFERROR(VLOOKUP($H467,TP[],3,FALSE),"NA")</f>
        <v>NA</v>
      </c>
      <c r="P467" s="77" t="str">
        <f>IFERROR(VLOOKUP($H467,TEN[],3,FALSE),"NA")</f>
        <v>NA</v>
      </c>
      <c r="Q467" s="77" t="str">
        <f>IFERROR(VLOOKUP($H467,TD[],3,FALSE),"NA")</f>
        <v>NA</v>
      </c>
      <c r="R467" s="139" t="str">
        <f>IFERROR(VLOOKUP($H467,TC[],3,FALSE),"NA")</f>
        <v>NA</v>
      </c>
      <c r="S467" s="78" t="str">
        <f>IFERROR(VLOOKUP($H467,TEV[],3,FALSE),"NA")</f>
        <v>NA</v>
      </c>
      <c r="T467" s="78">
        <f>SUM(TbAlquiler[[#This Row],[GENERAL]:[ELEVADOR]])</f>
        <v>0</v>
      </c>
      <c r="U467" s="295">
        <f>IF(VLOOKUP(TbAlquiler[[#This Row],[ITEM]],TbPiezas[],5,FALSE)="NA",0,VLOOKUP(TbAlquiler[[#This Row],[ITEM]],TbPiezas[],5,FALSE))</f>
        <v>0</v>
      </c>
      <c r="V467" s="295">
        <f>+TbAlquiler[[#This Row],[TOTAL]]*TbAlquiler[[#This Row],[P.U. (1)]]</f>
        <v>0</v>
      </c>
      <c r="W467" s="84">
        <f>+VLOOKUP(TbAlquiler[[#This Row],[ITEM]],TbPiezas[],6,FALSE)</f>
        <v>0</v>
      </c>
      <c r="X467" s="296">
        <f>+TbAlquiler[[#This Row],[TOTAL]]*TbAlquiler[[#This Row],[P.U. (2)]]</f>
        <v>0</v>
      </c>
      <c r="Y467" s="84">
        <f>+VLOOKUP(TbAlquiler[[#This Row],[ITEM]],TbPiezas[],7,FALSE)</f>
        <v>0</v>
      </c>
      <c r="Z467" s="296">
        <f>+TbAlquiler[[#This Row],[TOTAL]]*TbAlquiler[[#This Row],[P.U. (3)]]</f>
        <v>0</v>
      </c>
    </row>
    <row r="468" spans="1:26" s="4" customFormat="1" x14ac:dyDescent="0.3">
      <c r="A468" s="2"/>
      <c r="B468" s="85">
        <v>414</v>
      </c>
      <c r="C468" s="71" t="s">
        <v>825</v>
      </c>
      <c r="D468" s="72" t="s">
        <v>826</v>
      </c>
      <c r="E468" s="73"/>
      <c r="F468" s="74">
        <f>+VLOOKUP(C468,TbAlquiler[],13,FALSE)</f>
        <v>3</v>
      </c>
      <c r="G468" s="2"/>
      <c r="H468" s="75" t="str">
        <f t="shared" si="14"/>
        <v>EV.4400</v>
      </c>
      <c r="I468" s="59" t="str">
        <f t="shared" si="15"/>
        <v>ok</v>
      </c>
      <c r="J468" s="77">
        <f>IFERROR(VLOOKUP($H468,TG[],3,FALSE),"NA")</f>
        <v>0</v>
      </c>
      <c r="K468" s="77" t="str">
        <f>IFERROR(VLOOKUP($H468,TF[],3,FALSE),"NA")</f>
        <v>NA</v>
      </c>
      <c r="L468" s="77" t="str">
        <f>IFERROR(VLOOKUP($H468,TT[],3,FALSE),"NA")</f>
        <v>NA</v>
      </c>
      <c r="M468" s="77" t="str">
        <f>IFERROR(VLOOKUP($H468,TES[],3,FALSE),"NA")</f>
        <v>NA</v>
      </c>
      <c r="N468" s="77" t="str">
        <f>IFERROR(VLOOKUP($H468,TEC[],3,FALSE),"NA")</f>
        <v>NA</v>
      </c>
      <c r="O468" s="77" t="str">
        <f>IFERROR(VLOOKUP($H468,TP[],3,FALSE),"NA")</f>
        <v>NA</v>
      </c>
      <c r="P468" s="77" t="str">
        <f>IFERROR(VLOOKUP($H468,TEN[],3,FALSE),"NA")</f>
        <v>NA</v>
      </c>
      <c r="Q468" s="77" t="str">
        <f>IFERROR(VLOOKUP($H468,TD[],3,FALSE),"NA")</f>
        <v>NA</v>
      </c>
      <c r="R468" s="77" t="str">
        <f>IFERROR(VLOOKUP($H468,TC[],3,FALSE),"NA")</f>
        <v>NA</v>
      </c>
      <c r="S468" s="77">
        <f>IFERROR(VLOOKUP($H468,TEV[],3,FALSE),"NA")</f>
        <v>3</v>
      </c>
      <c r="T468" s="79">
        <f>SUM(TbAlquiler[[#This Row],[GENERAL]:[ELEVADOR]])</f>
        <v>3</v>
      </c>
      <c r="U468" s="80">
        <f>IF(VLOOKUP(TbAlquiler[[#This Row],[ITEM]],TbPiezas[],5,FALSE)="NA",0,VLOOKUP(TbAlquiler[[#This Row],[ITEM]],TbPiezas[],5,FALSE))</f>
        <v>42</v>
      </c>
      <c r="V468" s="81">
        <f>+TbAlquiler[[#This Row],[TOTAL]]*TbAlquiler[[#This Row],[P.U. (1)]]</f>
        <v>126</v>
      </c>
      <c r="W468" s="82">
        <f>+VLOOKUP(TbAlquiler[[#This Row],[ITEM]],TbPiezas[],6,FALSE)</f>
        <v>6352.5</v>
      </c>
      <c r="X468" s="83">
        <f>+TbAlquiler[[#This Row],[TOTAL]]*TbAlquiler[[#This Row],[P.U. (2)]]</f>
        <v>19057.5</v>
      </c>
      <c r="Y468" s="82">
        <f>+VLOOKUP(TbAlquiler[[#This Row],[ITEM]],TbPiezas[],7,FALSE)</f>
        <v>317.625</v>
      </c>
      <c r="Z468" s="84">
        <f>+TbAlquiler[[#This Row],[TOTAL]]*TbAlquiler[[#This Row],[P.U. (3)]]</f>
        <v>952.875</v>
      </c>
    </row>
    <row r="469" spans="1:26" s="4" customFormat="1" x14ac:dyDescent="0.3">
      <c r="A469" s="2"/>
      <c r="B469" s="85">
        <v>415</v>
      </c>
      <c r="C469" s="71" t="s">
        <v>827</v>
      </c>
      <c r="D469" s="72" t="s">
        <v>828</v>
      </c>
      <c r="E469" s="73"/>
      <c r="F469" s="74">
        <f>+VLOOKUP(C469,TbAlquiler[],13,FALSE)</f>
        <v>0</v>
      </c>
      <c r="G469" s="2"/>
      <c r="H469" s="75" t="str">
        <f t="shared" si="14"/>
        <v>EV.4500</v>
      </c>
      <c r="I469" s="59" t="str">
        <f t="shared" si="15"/>
        <v>ok</v>
      </c>
      <c r="J469" s="77">
        <f>IFERROR(VLOOKUP($H469,TG[],3,FALSE),"NA")</f>
        <v>0</v>
      </c>
      <c r="K469" s="77" t="str">
        <f>IFERROR(VLOOKUP($H469,TF[],3,FALSE),"NA")</f>
        <v>NA</v>
      </c>
      <c r="L469" s="77" t="str">
        <f>IFERROR(VLOOKUP($H469,TT[],3,FALSE),"NA")</f>
        <v>NA</v>
      </c>
      <c r="M469" s="77" t="str">
        <f>IFERROR(VLOOKUP($H469,TES[],3,FALSE),"NA")</f>
        <v>NA</v>
      </c>
      <c r="N469" s="77" t="str">
        <f>IFERROR(VLOOKUP($H469,TEC[],3,FALSE),"NA")</f>
        <v>NA</v>
      </c>
      <c r="O469" s="77" t="str">
        <f>IFERROR(VLOOKUP($H469,TP[],3,FALSE),"NA")</f>
        <v>NA</v>
      </c>
      <c r="P469" s="77" t="str">
        <f>IFERROR(VLOOKUP($H469,TEN[],3,FALSE),"NA")</f>
        <v>NA</v>
      </c>
      <c r="Q469" s="77" t="str">
        <f>IFERROR(VLOOKUP($H469,TD[],3,FALSE),"NA")</f>
        <v>NA</v>
      </c>
      <c r="R469" s="77" t="str">
        <f>IFERROR(VLOOKUP($H469,TC[],3,FALSE),"NA")</f>
        <v>NA</v>
      </c>
      <c r="S469" s="77">
        <f>IFERROR(VLOOKUP($H469,TEV[],3,FALSE),"NA")</f>
        <v>0</v>
      </c>
      <c r="T469" s="79">
        <f>SUM(TbAlquiler[[#This Row],[GENERAL]:[ELEVADOR]])</f>
        <v>0</v>
      </c>
      <c r="U469" s="80">
        <f>IF(VLOOKUP(TbAlquiler[[#This Row],[ITEM]],TbPiezas[],5,FALSE)="NA",0,VLOOKUP(TbAlquiler[[#This Row],[ITEM]],TbPiezas[],5,FALSE))</f>
        <v>28.7</v>
      </c>
      <c r="V469" s="81">
        <f>+TbAlquiler[[#This Row],[TOTAL]]*TbAlquiler[[#This Row],[P.U. (1)]]</f>
        <v>0</v>
      </c>
      <c r="W469" s="82">
        <f>+VLOOKUP(TbAlquiler[[#This Row],[ITEM]],TbPiezas[],6,FALSE)</f>
        <v>6352.5</v>
      </c>
      <c r="X469" s="83">
        <f>+TbAlquiler[[#This Row],[TOTAL]]*TbAlquiler[[#This Row],[P.U. (2)]]</f>
        <v>0</v>
      </c>
      <c r="Y469" s="82">
        <f>+VLOOKUP(TbAlquiler[[#This Row],[ITEM]],TbPiezas[],7,FALSE)</f>
        <v>317.625</v>
      </c>
      <c r="Z469" s="84">
        <f>+TbAlquiler[[#This Row],[TOTAL]]*TbAlquiler[[#This Row],[P.U. (3)]]</f>
        <v>0</v>
      </c>
    </row>
    <row r="470" spans="1:26" s="4" customFormat="1" x14ac:dyDescent="0.3">
      <c r="A470" s="2"/>
      <c r="B470" s="85">
        <v>416</v>
      </c>
      <c r="C470" s="71" t="s">
        <v>829</v>
      </c>
      <c r="D470" s="72" t="s">
        <v>830</v>
      </c>
      <c r="E470" s="73"/>
      <c r="F470" s="74">
        <f>+VLOOKUP(C470,TbAlquiler[],13,FALSE)</f>
        <v>1</v>
      </c>
      <c r="G470" s="2"/>
      <c r="H470" s="75" t="str">
        <f t="shared" si="14"/>
        <v>EV.4600</v>
      </c>
      <c r="I470" s="59" t="str">
        <f t="shared" si="15"/>
        <v>ok</v>
      </c>
      <c r="J470" s="77">
        <f>IFERROR(VLOOKUP($H470,TG[],3,FALSE),"NA")</f>
        <v>0</v>
      </c>
      <c r="K470" s="77" t="str">
        <f>IFERROR(VLOOKUP($H470,TF[],3,FALSE),"NA")</f>
        <v>NA</v>
      </c>
      <c r="L470" s="77" t="str">
        <f>IFERROR(VLOOKUP($H470,TT[],3,FALSE),"NA")</f>
        <v>NA</v>
      </c>
      <c r="M470" s="77" t="str">
        <f>IFERROR(VLOOKUP($H470,TES[],3,FALSE),"NA")</f>
        <v>NA</v>
      </c>
      <c r="N470" s="77" t="str">
        <f>IFERROR(VLOOKUP($H470,TEC[],3,FALSE),"NA")</f>
        <v>NA</v>
      </c>
      <c r="O470" s="77" t="str">
        <f>IFERROR(VLOOKUP($H470,TP[],3,FALSE),"NA")</f>
        <v>NA</v>
      </c>
      <c r="P470" s="77" t="str">
        <f>IFERROR(VLOOKUP($H470,TEN[],3,FALSE),"NA")</f>
        <v>NA</v>
      </c>
      <c r="Q470" s="77" t="str">
        <f>IFERROR(VLOOKUP($H470,TD[],3,FALSE),"NA")</f>
        <v>NA</v>
      </c>
      <c r="R470" s="77" t="str">
        <f>IFERROR(VLOOKUP($H470,TC[],3,FALSE),"NA")</f>
        <v>NA</v>
      </c>
      <c r="S470" s="77">
        <f>IFERROR(VLOOKUP($H470,TEV[],3,FALSE),"NA")</f>
        <v>1</v>
      </c>
      <c r="T470" s="79">
        <f>SUM(TbAlquiler[[#This Row],[GENERAL]:[ELEVADOR]])</f>
        <v>1</v>
      </c>
      <c r="U470" s="80">
        <f>IF(VLOOKUP(TbAlquiler[[#This Row],[ITEM]],TbPiezas[],5,FALSE)="NA",0,VLOOKUP(TbAlquiler[[#This Row],[ITEM]],TbPiezas[],5,FALSE))</f>
        <v>28.7</v>
      </c>
      <c r="V470" s="81">
        <f>+TbAlquiler[[#This Row],[TOTAL]]*TbAlquiler[[#This Row],[P.U. (1)]]</f>
        <v>28.7</v>
      </c>
      <c r="W470" s="82">
        <f>+VLOOKUP(TbAlquiler[[#This Row],[ITEM]],TbPiezas[],6,FALSE)</f>
        <v>6352.5</v>
      </c>
      <c r="X470" s="83">
        <f>+TbAlquiler[[#This Row],[TOTAL]]*TbAlquiler[[#This Row],[P.U. (2)]]</f>
        <v>6352.5</v>
      </c>
      <c r="Y470" s="82">
        <f>+VLOOKUP(TbAlquiler[[#This Row],[ITEM]],TbPiezas[],7,FALSE)</f>
        <v>317.625</v>
      </c>
      <c r="Z470" s="84">
        <f>+TbAlquiler[[#This Row],[TOTAL]]*TbAlquiler[[#This Row],[P.U. (3)]]</f>
        <v>317.625</v>
      </c>
    </row>
    <row r="471" spans="1:26" s="4" customFormat="1" x14ac:dyDescent="0.3">
      <c r="A471" s="2"/>
      <c r="B471" s="85">
        <v>417</v>
      </c>
      <c r="C471" s="71" t="s">
        <v>831</v>
      </c>
      <c r="D471" s="72" t="s">
        <v>832</v>
      </c>
      <c r="E471" s="73"/>
      <c r="F471" s="74">
        <f>+VLOOKUP(C471,TbAlquiler[],13,FALSE)</f>
        <v>0</v>
      </c>
      <c r="G471" s="2"/>
      <c r="H471" s="75" t="str">
        <f t="shared" si="14"/>
        <v>EV.4700</v>
      </c>
      <c r="I471" s="59" t="str">
        <f t="shared" si="15"/>
        <v>ok</v>
      </c>
      <c r="J471" s="77">
        <f>IFERROR(VLOOKUP($H471,TG[],3,FALSE),"NA")</f>
        <v>0</v>
      </c>
      <c r="K471" s="77" t="str">
        <f>IFERROR(VLOOKUP($H471,TF[],3,FALSE),"NA")</f>
        <v>NA</v>
      </c>
      <c r="L471" s="77" t="str">
        <f>IFERROR(VLOOKUP($H471,TT[],3,FALSE),"NA")</f>
        <v>NA</v>
      </c>
      <c r="M471" s="77" t="str">
        <f>IFERROR(VLOOKUP($H471,TES[],3,FALSE),"NA")</f>
        <v>NA</v>
      </c>
      <c r="N471" s="77" t="str">
        <f>IFERROR(VLOOKUP($H471,TEC[],3,FALSE),"NA")</f>
        <v>NA</v>
      </c>
      <c r="O471" s="77" t="str">
        <f>IFERROR(VLOOKUP($H471,TP[],3,FALSE),"NA")</f>
        <v>NA</v>
      </c>
      <c r="P471" s="77" t="str">
        <f>IFERROR(VLOOKUP($H471,TEN[],3,FALSE),"NA")</f>
        <v>NA</v>
      </c>
      <c r="Q471" s="77" t="str">
        <f>IFERROR(VLOOKUP($H471,TD[],3,FALSE),"NA")</f>
        <v>NA</v>
      </c>
      <c r="R471" s="77" t="str">
        <f>IFERROR(VLOOKUP($H471,TC[],3,FALSE),"NA")</f>
        <v>NA</v>
      </c>
      <c r="S471" s="77">
        <f>IFERROR(VLOOKUP($H471,TEV[],3,FALSE),"NA")</f>
        <v>0</v>
      </c>
      <c r="T471" s="79">
        <f>SUM(TbAlquiler[[#This Row],[GENERAL]:[ELEVADOR]])</f>
        <v>0</v>
      </c>
      <c r="U471" s="80">
        <f>IF(VLOOKUP(TbAlquiler[[#This Row],[ITEM]],TbPiezas[],5,FALSE)="NA",0,VLOOKUP(TbAlquiler[[#This Row],[ITEM]],TbPiezas[],5,FALSE))</f>
        <v>148</v>
      </c>
      <c r="V471" s="81">
        <f>+TbAlquiler[[#This Row],[TOTAL]]*TbAlquiler[[#This Row],[P.U. (1)]]</f>
        <v>0</v>
      </c>
      <c r="W471" s="82">
        <f>+VLOOKUP(TbAlquiler[[#This Row],[ITEM]],TbPiezas[],6,FALSE)</f>
        <v>8258.25</v>
      </c>
      <c r="X471" s="83">
        <f>+TbAlquiler[[#This Row],[TOTAL]]*TbAlquiler[[#This Row],[P.U. (2)]]</f>
        <v>0</v>
      </c>
      <c r="Y471" s="82">
        <f>+VLOOKUP(TbAlquiler[[#This Row],[ITEM]],TbPiezas[],7,FALSE)</f>
        <v>412.91250000000002</v>
      </c>
      <c r="Z471" s="84">
        <f>+TbAlquiler[[#This Row],[TOTAL]]*TbAlquiler[[#This Row],[P.U. (3)]]</f>
        <v>0</v>
      </c>
    </row>
    <row r="472" spans="1:26" s="4" customFormat="1" x14ac:dyDescent="0.3">
      <c r="A472" s="2"/>
      <c r="B472" s="85">
        <v>418</v>
      </c>
      <c r="C472" s="71" t="s">
        <v>833</v>
      </c>
      <c r="D472" s="72" t="s">
        <v>834</v>
      </c>
      <c r="E472" s="73"/>
      <c r="F472" s="74">
        <f>+VLOOKUP(C472,TbAlquiler[],13,FALSE)</f>
        <v>1</v>
      </c>
      <c r="G472" s="2"/>
      <c r="H472" s="75" t="str">
        <f t="shared" si="14"/>
        <v>EV.4800</v>
      </c>
      <c r="I472" s="59" t="str">
        <f t="shared" si="15"/>
        <v>ok</v>
      </c>
      <c r="J472" s="77">
        <f>IFERROR(VLOOKUP($H472,TG[],3,FALSE),"NA")</f>
        <v>0</v>
      </c>
      <c r="K472" s="77" t="str">
        <f>IFERROR(VLOOKUP($H472,TF[],3,FALSE),"NA")</f>
        <v>NA</v>
      </c>
      <c r="L472" s="77" t="str">
        <f>IFERROR(VLOOKUP($H472,TT[],3,FALSE),"NA")</f>
        <v>NA</v>
      </c>
      <c r="M472" s="77" t="str">
        <f>IFERROR(VLOOKUP($H472,TES[],3,FALSE),"NA")</f>
        <v>NA</v>
      </c>
      <c r="N472" s="77" t="str">
        <f>IFERROR(VLOOKUP($H472,TEC[],3,FALSE),"NA")</f>
        <v>NA</v>
      </c>
      <c r="O472" s="77" t="str">
        <f>IFERROR(VLOOKUP($H472,TP[],3,FALSE),"NA")</f>
        <v>NA</v>
      </c>
      <c r="P472" s="77" t="str">
        <f>IFERROR(VLOOKUP($H472,TEN[],3,FALSE),"NA")</f>
        <v>NA</v>
      </c>
      <c r="Q472" s="77" t="str">
        <f>IFERROR(VLOOKUP($H472,TD[],3,FALSE),"NA")</f>
        <v>NA</v>
      </c>
      <c r="R472" s="77" t="str">
        <f>IFERROR(VLOOKUP($H472,TC[],3,FALSE),"NA")</f>
        <v>NA</v>
      </c>
      <c r="S472" s="77">
        <f>IFERROR(VLOOKUP($H472,TEV[],3,FALSE),"NA")</f>
        <v>1</v>
      </c>
      <c r="T472" s="79">
        <f>SUM(TbAlquiler[[#This Row],[GENERAL]:[ELEVADOR]])</f>
        <v>1</v>
      </c>
      <c r="U472" s="80">
        <f>IF(VLOOKUP(TbAlquiler[[#This Row],[ITEM]],TbPiezas[],5,FALSE)="NA",0,VLOOKUP(TbAlquiler[[#This Row],[ITEM]],TbPiezas[],5,FALSE))</f>
        <v>148</v>
      </c>
      <c r="V472" s="81">
        <f>+TbAlquiler[[#This Row],[TOTAL]]*TbAlquiler[[#This Row],[P.U. (1)]]</f>
        <v>148</v>
      </c>
      <c r="W472" s="82">
        <f>+VLOOKUP(TbAlquiler[[#This Row],[ITEM]],TbPiezas[],6,FALSE)</f>
        <v>8258.25</v>
      </c>
      <c r="X472" s="83">
        <f>+TbAlquiler[[#This Row],[TOTAL]]*TbAlquiler[[#This Row],[P.U. (2)]]</f>
        <v>8258.25</v>
      </c>
      <c r="Y472" s="82">
        <f>+VLOOKUP(TbAlquiler[[#This Row],[ITEM]],TbPiezas[],7,FALSE)</f>
        <v>412.91250000000002</v>
      </c>
      <c r="Z472" s="84">
        <f>+TbAlquiler[[#This Row],[TOTAL]]*TbAlquiler[[#This Row],[P.U. (3)]]</f>
        <v>412.91250000000002</v>
      </c>
    </row>
    <row r="473" spans="1:26" s="4" customFormat="1" x14ac:dyDescent="0.3">
      <c r="A473" s="2"/>
      <c r="B473" s="85">
        <v>419</v>
      </c>
      <c r="C473" s="71" t="s">
        <v>835</v>
      </c>
      <c r="D473" s="72" t="s">
        <v>836</v>
      </c>
      <c r="E473" s="73"/>
      <c r="F473" s="74">
        <f>+VLOOKUP(C473,TbAlquiler[],13,FALSE)</f>
        <v>0</v>
      </c>
      <c r="G473" s="2"/>
      <c r="H473" s="75" t="str">
        <f t="shared" si="14"/>
        <v>EV.4900</v>
      </c>
      <c r="I473" s="59" t="str">
        <f t="shared" si="15"/>
        <v>ok</v>
      </c>
      <c r="J473" s="77">
        <f>IFERROR(VLOOKUP($H473,TG[],3,FALSE),"NA")</f>
        <v>0</v>
      </c>
      <c r="K473" s="77" t="str">
        <f>IFERROR(VLOOKUP($H473,TF[],3,FALSE),"NA")</f>
        <v>NA</v>
      </c>
      <c r="L473" s="77" t="str">
        <f>IFERROR(VLOOKUP($H473,TT[],3,FALSE),"NA")</f>
        <v>NA</v>
      </c>
      <c r="M473" s="77" t="str">
        <f>IFERROR(VLOOKUP($H473,TES[],3,FALSE),"NA")</f>
        <v>NA</v>
      </c>
      <c r="N473" s="77" t="str">
        <f>IFERROR(VLOOKUP($H473,TEC[],3,FALSE),"NA")</f>
        <v>NA</v>
      </c>
      <c r="O473" s="77" t="str">
        <f>IFERROR(VLOOKUP($H473,TP[],3,FALSE),"NA")</f>
        <v>NA</v>
      </c>
      <c r="P473" s="77" t="str">
        <f>IFERROR(VLOOKUP($H473,TEN[],3,FALSE),"NA")</f>
        <v>NA</v>
      </c>
      <c r="Q473" s="77" t="str">
        <f>IFERROR(VLOOKUP($H473,TD[],3,FALSE),"NA")</f>
        <v>NA</v>
      </c>
      <c r="R473" s="77" t="str">
        <f>IFERROR(VLOOKUP($H473,TC[],3,FALSE),"NA")</f>
        <v>NA</v>
      </c>
      <c r="S473" s="77">
        <f>IFERROR(VLOOKUP($H473,TEV[],3,FALSE),"NA")</f>
        <v>0</v>
      </c>
      <c r="T473" s="79">
        <f>SUM(TbAlquiler[[#This Row],[GENERAL]:[ELEVADOR]])</f>
        <v>0</v>
      </c>
      <c r="U473" s="80">
        <f>IF(VLOOKUP(TbAlquiler[[#This Row],[ITEM]],TbPiezas[],5,FALSE)="NA",0,VLOOKUP(TbAlquiler[[#This Row],[ITEM]],TbPiezas[],5,FALSE))</f>
        <v>35.9</v>
      </c>
      <c r="V473" s="81">
        <f>+TbAlquiler[[#This Row],[TOTAL]]*TbAlquiler[[#This Row],[P.U. (1)]]</f>
        <v>0</v>
      </c>
      <c r="W473" s="82">
        <f>+VLOOKUP(TbAlquiler[[#This Row],[ITEM]],TbPiezas[],6,FALSE)</f>
        <v>3049.2</v>
      </c>
      <c r="X473" s="83">
        <f>+TbAlquiler[[#This Row],[TOTAL]]*TbAlquiler[[#This Row],[P.U. (2)]]</f>
        <v>0</v>
      </c>
      <c r="Y473" s="82">
        <f>+VLOOKUP(TbAlquiler[[#This Row],[ITEM]],TbPiezas[],7,FALSE)</f>
        <v>152.46</v>
      </c>
      <c r="Z473" s="84">
        <f>+TbAlquiler[[#This Row],[TOTAL]]*TbAlquiler[[#This Row],[P.U. (3)]]</f>
        <v>0</v>
      </c>
    </row>
    <row r="474" spans="1:26" s="4" customFormat="1" x14ac:dyDescent="0.3">
      <c r="A474" s="2"/>
      <c r="B474" s="85">
        <v>420</v>
      </c>
      <c r="C474" s="71" t="s">
        <v>837</v>
      </c>
      <c r="D474" s="72" t="s">
        <v>838</v>
      </c>
      <c r="E474" s="73"/>
      <c r="F474" s="74">
        <f>+VLOOKUP(C474,TbAlquiler[],13,FALSE)</f>
        <v>1</v>
      </c>
      <c r="G474" s="2"/>
      <c r="H474" s="75" t="str">
        <f t="shared" si="14"/>
        <v>EV.5000</v>
      </c>
      <c r="I474" s="59" t="str">
        <f t="shared" si="15"/>
        <v>ok</v>
      </c>
      <c r="J474" s="77">
        <f>IFERROR(VLOOKUP($H474,TG[],3,FALSE),"NA")</f>
        <v>0</v>
      </c>
      <c r="K474" s="77" t="str">
        <f>IFERROR(VLOOKUP($H474,TF[],3,FALSE),"NA")</f>
        <v>NA</v>
      </c>
      <c r="L474" s="77" t="str">
        <f>IFERROR(VLOOKUP($H474,TT[],3,FALSE),"NA")</f>
        <v>NA</v>
      </c>
      <c r="M474" s="77" t="str">
        <f>IFERROR(VLOOKUP($H474,TES[],3,FALSE),"NA")</f>
        <v>NA</v>
      </c>
      <c r="N474" s="77" t="str">
        <f>IFERROR(VLOOKUP($H474,TEC[],3,FALSE),"NA")</f>
        <v>NA</v>
      </c>
      <c r="O474" s="77" t="str">
        <f>IFERROR(VLOOKUP($H474,TP[],3,FALSE),"NA")</f>
        <v>NA</v>
      </c>
      <c r="P474" s="77" t="str">
        <f>IFERROR(VLOOKUP($H474,TEN[],3,FALSE),"NA")</f>
        <v>NA</v>
      </c>
      <c r="Q474" s="77" t="str">
        <f>IFERROR(VLOOKUP($H474,TD[],3,FALSE),"NA")</f>
        <v>NA</v>
      </c>
      <c r="R474" s="77" t="str">
        <f>IFERROR(VLOOKUP($H474,TC[],3,FALSE),"NA")</f>
        <v>NA</v>
      </c>
      <c r="S474" s="77">
        <f>IFERROR(VLOOKUP($H474,TEV[],3,FALSE),"NA")</f>
        <v>1</v>
      </c>
      <c r="T474" s="79">
        <f>SUM(TbAlquiler[[#This Row],[GENERAL]:[ELEVADOR]])</f>
        <v>1</v>
      </c>
      <c r="U474" s="80">
        <f>IF(VLOOKUP(TbAlquiler[[#This Row],[ITEM]],TbPiezas[],5,FALSE)="NA",0,VLOOKUP(TbAlquiler[[#This Row],[ITEM]],TbPiezas[],5,FALSE))</f>
        <v>35.9</v>
      </c>
      <c r="V474" s="81">
        <f>+TbAlquiler[[#This Row],[TOTAL]]*TbAlquiler[[#This Row],[P.U. (1)]]</f>
        <v>35.9</v>
      </c>
      <c r="W474" s="82">
        <f>+VLOOKUP(TbAlquiler[[#This Row],[ITEM]],TbPiezas[],6,FALSE)</f>
        <v>3049.2</v>
      </c>
      <c r="X474" s="83">
        <f>+TbAlquiler[[#This Row],[TOTAL]]*TbAlquiler[[#This Row],[P.U. (2)]]</f>
        <v>3049.2</v>
      </c>
      <c r="Y474" s="82">
        <f>+VLOOKUP(TbAlquiler[[#This Row],[ITEM]],TbPiezas[],7,FALSE)</f>
        <v>152.46</v>
      </c>
      <c r="Z474" s="84">
        <f>+TbAlquiler[[#This Row],[TOTAL]]*TbAlquiler[[#This Row],[P.U. (3)]]</f>
        <v>152.46</v>
      </c>
    </row>
    <row r="475" spans="1:26" s="4" customFormat="1" x14ac:dyDescent="0.3">
      <c r="A475" s="2"/>
      <c r="B475" s="85">
        <v>421</v>
      </c>
      <c r="C475" s="71" t="s">
        <v>839</v>
      </c>
      <c r="D475" s="72" t="s">
        <v>840</v>
      </c>
      <c r="E475" s="73"/>
      <c r="F475" s="74">
        <f>+VLOOKUP(C475,TbAlquiler[],13,FALSE)</f>
        <v>0</v>
      </c>
      <c r="G475" s="2"/>
      <c r="H475" s="75" t="str">
        <f t="shared" si="14"/>
        <v>EV.5100</v>
      </c>
      <c r="I475" s="59" t="str">
        <f t="shared" si="15"/>
        <v>ok</v>
      </c>
      <c r="J475" s="77">
        <f>IFERROR(VLOOKUP($H475,TG[],3,FALSE),"NA")</f>
        <v>0</v>
      </c>
      <c r="K475" s="77" t="str">
        <f>IFERROR(VLOOKUP($H475,TF[],3,FALSE),"NA")</f>
        <v>NA</v>
      </c>
      <c r="L475" s="77" t="str">
        <f>IFERROR(VLOOKUP($H475,TT[],3,FALSE),"NA")</f>
        <v>NA</v>
      </c>
      <c r="M475" s="77" t="str">
        <f>IFERROR(VLOOKUP($H475,TES[],3,FALSE),"NA")</f>
        <v>NA</v>
      </c>
      <c r="N475" s="77" t="str">
        <f>IFERROR(VLOOKUP($H475,TEC[],3,FALSE),"NA")</f>
        <v>NA</v>
      </c>
      <c r="O475" s="77" t="str">
        <f>IFERROR(VLOOKUP($H475,TP[],3,FALSE),"NA")</f>
        <v>NA</v>
      </c>
      <c r="P475" s="77" t="str">
        <f>IFERROR(VLOOKUP($H475,TEN[],3,FALSE),"NA")</f>
        <v>NA</v>
      </c>
      <c r="Q475" s="77" t="str">
        <f>IFERROR(VLOOKUP($H475,TD[],3,FALSE),"NA")</f>
        <v>NA</v>
      </c>
      <c r="R475" s="77" t="str">
        <f>IFERROR(VLOOKUP($H475,TC[],3,FALSE),"NA")</f>
        <v>NA</v>
      </c>
      <c r="S475" s="77">
        <f>IFERROR(VLOOKUP($H475,TEV[],3,FALSE),"NA")</f>
        <v>0</v>
      </c>
      <c r="T475" s="79">
        <f>SUM(TbAlquiler[[#This Row],[GENERAL]:[ELEVADOR]])</f>
        <v>0</v>
      </c>
      <c r="U475" s="80">
        <f>IF(VLOOKUP(TbAlquiler[[#This Row],[ITEM]],TbPiezas[],5,FALSE)="NA",0,VLOOKUP(TbAlquiler[[#This Row],[ITEM]],TbPiezas[],5,FALSE))</f>
        <v>26.6</v>
      </c>
      <c r="V475" s="81">
        <f>+TbAlquiler[[#This Row],[TOTAL]]*TbAlquiler[[#This Row],[P.U. (1)]]</f>
        <v>0</v>
      </c>
      <c r="W475" s="82">
        <f>+VLOOKUP(TbAlquiler[[#This Row],[ITEM]],TbPiezas[],6,FALSE)</f>
        <v>4446.75</v>
      </c>
      <c r="X475" s="83">
        <f>+TbAlquiler[[#This Row],[TOTAL]]*TbAlquiler[[#This Row],[P.U. (2)]]</f>
        <v>0</v>
      </c>
      <c r="Y475" s="82">
        <f>+VLOOKUP(TbAlquiler[[#This Row],[ITEM]],TbPiezas[],7,FALSE)</f>
        <v>222.33750000000001</v>
      </c>
      <c r="Z475" s="84">
        <f>+TbAlquiler[[#This Row],[TOTAL]]*TbAlquiler[[#This Row],[P.U. (3)]]</f>
        <v>0</v>
      </c>
    </row>
    <row r="476" spans="1:26" s="4" customFormat="1" x14ac:dyDescent="0.3">
      <c r="A476" s="2"/>
      <c r="B476" s="85">
        <v>422</v>
      </c>
      <c r="C476" s="71" t="s">
        <v>841</v>
      </c>
      <c r="D476" s="72" t="s">
        <v>842</v>
      </c>
      <c r="E476" s="73"/>
      <c r="F476" s="74">
        <f>+VLOOKUP(C476,TbAlquiler[],13,FALSE)</f>
        <v>1</v>
      </c>
      <c r="G476" s="2"/>
      <c r="H476" s="75" t="str">
        <f t="shared" si="14"/>
        <v>EV.5200</v>
      </c>
      <c r="I476" s="59" t="str">
        <f t="shared" si="15"/>
        <v>ok</v>
      </c>
      <c r="J476" s="77">
        <f>IFERROR(VLOOKUP($H476,TG[],3,FALSE),"NA")</f>
        <v>0</v>
      </c>
      <c r="K476" s="77" t="str">
        <f>IFERROR(VLOOKUP($H476,TF[],3,FALSE),"NA")</f>
        <v>NA</v>
      </c>
      <c r="L476" s="77" t="str">
        <f>IFERROR(VLOOKUP($H476,TT[],3,FALSE),"NA")</f>
        <v>NA</v>
      </c>
      <c r="M476" s="77" t="str">
        <f>IFERROR(VLOOKUP($H476,TES[],3,FALSE),"NA")</f>
        <v>NA</v>
      </c>
      <c r="N476" s="77" t="str">
        <f>IFERROR(VLOOKUP($H476,TEC[],3,FALSE),"NA")</f>
        <v>NA</v>
      </c>
      <c r="O476" s="77" t="str">
        <f>IFERROR(VLOOKUP($H476,TP[],3,FALSE),"NA")</f>
        <v>NA</v>
      </c>
      <c r="P476" s="77" t="str">
        <f>IFERROR(VLOOKUP($H476,TEN[],3,FALSE),"NA")</f>
        <v>NA</v>
      </c>
      <c r="Q476" s="77" t="str">
        <f>IFERROR(VLOOKUP($H476,TD[],3,FALSE),"NA")</f>
        <v>NA</v>
      </c>
      <c r="R476" s="77" t="str">
        <f>IFERROR(VLOOKUP($H476,TC[],3,FALSE),"NA")</f>
        <v>NA</v>
      </c>
      <c r="S476" s="77">
        <f>IFERROR(VLOOKUP($H476,TEV[],3,FALSE),"NA")</f>
        <v>1</v>
      </c>
      <c r="T476" s="79">
        <f>SUM(TbAlquiler[[#This Row],[GENERAL]:[ELEVADOR]])</f>
        <v>1</v>
      </c>
      <c r="U476" s="80">
        <f>IF(VLOOKUP(TbAlquiler[[#This Row],[ITEM]],TbPiezas[],5,FALSE)="NA",0,VLOOKUP(TbAlquiler[[#This Row],[ITEM]],TbPiezas[],5,FALSE))</f>
        <v>20.2</v>
      </c>
      <c r="V476" s="81">
        <f>+TbAlquiler[[#This Row],[TOTAL]]*TbAlquiler[[#This Row],[P.U. (1)]]</f>
        <v>20.2</v>
      </c>
      <c r="W476" s="82">
        <f>+VLOOKUP(TbAlquiler[[#This Row],[ITEM]],TbPiezas[],6,FALSE)</f>
        <v>4446.75</v>
      </c>
      <c r="X476" s="83">
        <f>+TbAlquiler[[#This Row],[TOTAL]]*TbAlquiler[[#This Row],[P.U. (2)]]</f>
        <v>4446.75</v>
      </c>
      <c r="Y476" s="82">
        <f>+VLOOKUP(TbAlquiler[[#This Row],[ITEM]],TbPiezas[],7,FALSE)</f>
        <v>222.33750000000001</v>
      </c>
      <c r="Z476" s="84">
        <f>+TbAlquiler[[#This Row],[TOTAL]]*TbAlquiler[[#This Row],[P.U. (3)]]</f>
        <v>222.33750000000001</v>
      </c>
    </row>
    <row r="477" spans="1:26" s="4" customFormat="1" x14ac:dyDescent="0.3">
      <c r="A477" s="2"/>
      <c r="B477" s="85">
        <v>423</v>
      </c>
      <c r="C477" s="71" t="s">
        <v>843</v>
      </c>
      <c r="D477" s="72" t="s">
        <v>844</v>
      </c>
      <c r="E477" s="73"/>
      <c r="F477" s="74">
        <f>+VLOOKUP(C477,TbAlquiler[],13,FALSE)</f>
        <v>0</v>
      </c>
      <c r="G477" s="2"/>
      <c r="H477" s="75" t="str">
        <f t="shared" si="14"/>
        <v>EV.5300</v>
      </c>
      <c r="I477" s="59" t="str">
        <f t="shared" si="15"/>
        <v>ok</v>
      </c>
      <c r="J477" s="77">
        <f>IFERROR(VLOOKUP($H477,TG[],3,FALSE),"NA")</f>
        <v>0</v>
      </c>
      <c r="K477" s="77" t="str">
        <f>IFERROR(VLOOKUP($H477,TF[],3,FALSE),"NA")</f>
        <v>NA</v>
      </c>
      <c r="L477" s="77" t="str">
        <f>IFERROR(VLOOKUP($H477,TT[],3,FALSE),"NA")</f>
        <v>NA</v>
      </c>
      <c r="M477" s="77" t="str">
        <f>IFERROR(VLOOKUP($H477,TES[],3,FALSE),"NA")</f>
        <v>NA</v>
      </c>
      <c r="N477" s="77" t="str">
        <f>IFERROR(VLOOKUP($H477,TEC[],3,FALSE),"NA")</f>
        <v>NA</v>
      </c>
      <c r="O477" s="77" t="str">
        <f>IFERROR(VLOOKUP($H477,TP[],3,FALSE),"NA")</f>
        <v>NA</v>
      </c>
      <c r="P477" s="77" t="str">
        <f>IFERROR(VLOOKUP($H477,TEN[],3,FALSE),"NA")</f>
        <v>NA</v>
      </c>
      <c r="Q477" s="77" t="str">
        <f>IFERROR(VLOOKUP($H477,TD[],3,FALSE),"NA")</f>
        <v>NA</v>
      </c>
      <c r="R477" s="77" t="str">
        <f>IFERROR(VLOOKUP($H477,TC[],3,FALSE),"NA")</f>
        <v>NA</v>
      </c>
      <c r="S477" s="77">
        <f>IFERROR(VLOOKUP($H477,TEV[],3,FALSE),"NA")</f>
        <v>0</v>
      </c>
      <c r="T477" s="79">
        <f>SUM(TbAlquiler[[#This Row],[GENERAL]:[ELEVADOR]])</f>
        <v>0</v>
      </c>
      <c r="U477" s="80">
        <f>IF(VLOOKUP(TbAlquiler[[#This Row],[ITEM]],TbPiezas[],5,FALSE)="NA",0,VLOOKUP(TbAlquiler[[#This Row],[ITEM]],TbPiezas[],5,FALSE))</f>
        <v>26.6</v>
      </c>
      <c r="V477" s="81">
        <f>+TbAlquiler[[#This Row],[TOTAL]]*TbAlquiler[[#This Row],[P.U. (1)]]</f>
        <v>0</v>
      </c>
      <c r="W477" s="82">
        <f>+VLOOKUP(TbAlquiler[[#This Row],[ITEM]],TbPiezas[],6,FALSE)</f>
        <v>4446.75</v>
      </c>
      <c r="X477" s="83">
        <f>+TbAlquiler[[#This Row],[TOTAL]]*TbAlquiler[[#This Row],[P.U. (2)]]</f>
        <v>0</v>
      </c>
      <c r="Y477" s="82">
        <f>+VLOOKUP(TbAlquiler[[#This Row],[ITEM]],TbPiezas[],7,FALSE)</f>
        <v>222.33750000000001</v>
      </c>
      <c r="Z477" s="84">
        <f>+TbAlquiler[[#This Row],[TOTAL]]*TbAlquiler[[#This Row],[P.U. (3)]]</f>
        <v>0</v>
      </c>
    </row>
    <row r="478" spans="1:26" s="4" customFormat="1" x14ac:dyDescent="0.3">
      <c r="A478" s="2"/>
      <c r="B478" s="85">
        <v>424</v>
      </c>
      <c r="C478" s="71" t="s">
        <v>845</v>
      </c>
      <c r="D478" s="72" t="s">
        <v>846</v>
      </c>
      <c r="E478" s="73"/>
      <c r="F478" s="74">
        <f>+VLOOKUP(C478,TbAlquiler[],13,FALSE)</f>
        <v>1</v>
      </c>
      <c r="G478" s="2"/>
      <c r="H478" s="75" t="str">
        <f t="shared" si="14"/>
        <v>EV.5400</v>
      </c>
      <c r="I478" s="59" t="str">
        <f t="shared" si="15"/>
        <v>ok</v>
      </c>
      <c r="J478" s="77">
        <f>IFERROR(VLOOKUP($H478,TG[],3,FALSE),"NA")</f>
        <v>0</v>
      </c>
      <c r="K478" s="77" t="str">
        <f>IFERROR(VLOOKUP($H478,TF[],3,FALSE),"NA")</f>
        <v>NA</v>
      </c>
      <c r="L478" s="77" t="str">
        <f>IFERROR(VLOOKUP($H478,TT[],3,FALSE),"NA")</f>
        <v>NA</v>
      </c>
      <c r="M478" s="77" t="str">
        <f>IFERROR(VLOOKUP($H478,TES[],3,FALSE),"NA")</f>
        <v>NA</v>
      </c>
      <c r="N478" s="77" t="str">
        <f>IFERROR(VLOOKUP($H478,TEC[],3,FALSE),"NA")</f>
        <v>NA</v>
      </c>
      <c r="O478" s="77" t="str">
        <f>IFERROR(VLOOKUP($H478,TP[],3,FALSE),"NA")</f>
        <v>NA</v>
      </c>
      <c r="P478" s="77" t="str">
        <f>IFERROR(VLOOKUP($H478,TEN[],3,FALSE),"NA")</f>
        <v>NA</v>
      </c>
      <c r="Q478" s="77" t="str">
        <f>IFERROR(VLOOKUP($H478,TD[],3,FALSE),"NA")</f>
        <v>NA</v>
      </c>
      <c r="R478" s="77" t="str">
        <f>IFERROR(VLOOKUP($H478,TC[],3,FALSE),"NA")</f>
        <v>NA</v>
      </c>
      <c r="S478" s="77">
        <f>IFERROR(VLOOKUP($H478,TEV[],3,FALSE),"NA")</f>
        <v>1</v>
      </c>
      <c r="T478" s="79">
        <f>SUM(TbAlquiler[[#This Row],[GENERAL]:[ELEVADOR]])</f>
        <v>1</v>
      </c>
      <c r="U478" s="80">
        <f>IF(VLOOKUP(TbAlquiler[[#This Row],[ITEM]],TbPiezas[],5,FALSE)="NA",0,VLOOKUP(TbAlquiler[[#This Row],[ITEM]],TbPiezas[],5,FALSE))</f>
        <v>20.2</v>
      </c>
      <c r="V478" s="81">
        <f>+TbAlquiler[[#This Row],[TOTAL]]*TbAlquiler[[#This Row],[P.U. (1)]]</f>
        <v>20.2</v>
      </c>
      <c r="W478" s="82">
        <f>+VLOOKUP(TbAlquiler[[#This Row],[ITEM]],TbPiezas[],6,FALSE)</f>
        <v>4446.75</v>
      </c>
      <c r="X478" s="83">
        <f>+TbAlquiler[[#This Row],[TOTAL]]*TbAlquiler[[#This Row],[P.U. (2)]]</f>
        <v>4446.75</v>
      </c>
      <c r="Y478" s="82">
        <f>+VLOOKUP(TbAlquiler[[#This Row],[ITEM]],TbPiezas[],7,FALSE)</f>
        <v>222.33750000000001</v>
      </c>
      <c r="Z478" s="84">
        <f>+TbAlquiler[[#This Row],[TOTAL]]*TbAlquiler[[#This Row],[P.U. (3)]]</f>
        <v>222.33750000000001</v>
      </c>
    </row>
    <row r="479" spans="1:26" s="4" customFormat="1" x14ac:dyDescent="0.3">
      <c r="A479" s="2"/>
      <c r="B479" s="85"/>
      <c r="C479" s="71" t="s">
        <v>1480</v>
      </c>
      <c r="D479" s="240" t="s">
        <v>1474</v>
      </c>
      <c r="E479" s="73"/>
      <c r="F479" s="74"/>
      <c r="G479" s="2"/>
      <c r="H479" s="75" t="str">
        <f t="shared" si="14"/>
        <v>EV.5410</v>
      </c>
      <c r="I479" s="59" t="str">
        <f t="shared" si="15"/>
        <v>ok</v>
      </c>
      <c r="J479" s="77">
        <f>IFERROR(VLOOKUP($H479,TG[],3,FALSE),"NA")</f>
        <v>0</v>
      </c>
      <c r="K479" s="86" t="str">
        <f>IFERROR(VLOOKUP($H479,TF[],3,FALSE),"NA")</f>
        <v>NA</v>
      </c>
      <c r="L479" s="408" t="str">
        <f>IFERROR(VLOOKUP($H479,TT[],3,FALSE),"NA")</f>
        <v>NA</v>
      </c>
      <c r="M479" s="77" t="str">
        <f>IFERROR(VLOOKUP($H479,TES[],3,FALSE),"NA")</f>
        <v>NA</v>
      </c>
      <c r="N479" s="139" t="str">
        <f>IFERROR(VLOOKUP($H479,TEC[],3,FALSE),"NA")</f>
        <v>NA</v>
      </c>
      <c r="O479" s="77" t="str">
        <f>IFERROR(VLOOKUP($H479,TP[],3,FALSE),"NA")</f>
        <v>NA</v>
      </c>
      <c r="P479" s="77" t="str">
        <f>IFERROR(VLOOKUP($H479,TEN[],3,FALSE),"NA")</f>
        <v>NA</v>
      </c>
      <c r="Q479" s="77" t="str">
        <f>IFERROR(VLOOKUP($H479,TD[],3,FALSE),"NA")</f>
        <v>NA</v>
      </c>
      <c r="R479" s="139" t="str">
        <f>IFERROR(VLOOKUP($H479,TC[],3,FALSE),"NA")</f>
        <v>NA</v>
      </c>
      <c r="S479" s="78" t="str">
        <f>IFERROR(VLOOKUP($H479,TEV[],3,FALSE),"NA")</f>
        <v>NA</v>
      </c>
      <c r="T479" s="78">
        <f>SUM(TbAlquiler[[#This Row],[GENERAL]:[ELEVADOR]])</f>
        <v>0</v>
      </c>
      <c r="U479" s="295">
        <f>IF(VLOOKUP(TbAlquiler[[#This Row],[ITEM]],TbPiezas[],5,FALSE)="NA",0,VLOOKUP(TbAlquiler[[#This Row],[ITEM]],TbPiezas[],5,FALSE))</f>
        <v>0</v>
      </c>
      <c r="V479" s="295">
        <f>+TbAlquiler[[#This Row],[TOTAL]]*TbAlquiler[[#This Row],[P.U. (1)]]</f>
        <v>0</v>
      </c>
      <c r="W479" s="84">
        <f>+VLOOKUP(TbAlquiler[[#This Row],[ITEM]],TbPiezas[],6,FALSE)</f>
        <v>0</v>
      </c>
      <c r="X479" s="296">
        <f>+TbAlquiler[[#This Row],[TOTAL]]*TbAlquiler[[#This Row],[P.U. (2)]]</f>
        <v>0</v>
      </c>
      <c r="Y479" s="84">
        <f>+VLOOKUP(TbAlquiler[[#This Row],[ITEM]],TbPiezas[],7,FALSE)</f>
        <v>0</v>
      </c>
      <c r="Z479" s="296">
        <f>+TbAlquiler[[#This Row],[TOTAL]]*TbAlquiler[[#This Row],[P.U. (3)]]</f>
        <v>0</v>
      </c>
    </row>
    <row r="480" spans="1:26" s="4" customFormat="1" x14ac:dyDescent="0.3">
      <c r="A480" s="2"/>
      <c r="B480" s="85"/>
      <c r="C480" s="71" t="s">
        <v>1481</v>
      </c>
      <c r="D480" s="240" t="s">
        <v>1475</v>
      </c>
      <c r="E480" s="73"/>
      <c r="F480" s="74"/>
      <c r="G480" s="2"/>
      <c r="H480" s="75" t="str">
        <f t="shared" si="14"/>
        <v>EV.5420</v>
      </c>
      <c r="I480" s="59" t="str">
        <f t="shared" si="15"/>
        <v>ok</v>
      </c>
      <c r="J480" s="77">
        <f>IFERROR(VLOOKUP($H480,TG[],3,FALSE),"NA")</f>
        <v>0</v>
      </c>
      <c r="K480" s="86" t="str">
        <f>IFERROR(VLOOKUP($H480,TF[],3,FALSE),"NA")</f>
        <v>NA</v>
      </c>
      <c r="L480" s="408" t="str">
        <f>IFERROR(VLOOKUP($H480,TT[],3,FALSE),"NA")</f>
        <v>NA</v>
      </c>
      <c r="M480" s="77" t="str">
        <f>IFERROR(VLOOKUP($H480,TES[],3,FALSE),"NA")</f>
        <v>NA</v>
      </c>
      <c r="N480" s="139" t="str">
        <f>IFERROR(VLOOKUP($H480,TEC[],3,FALSE),"NA")</f>
        <v>NA</v>
      </c>
      <c r="O480" s="77" t="str">
        <f>IFERROR(VLOOKUP($H480,TP[],3,FALSE),"NA")</f>
        <v>NA</v>
      </c>
      <c r="P480" s="77" t="str">
        <f>IFERROR(VLOOKUP($H480,TEN[],3,FALSE),"NA")</f>
        <v>NA</v>
      </c>
      <c r="Q480" s="77" t="str">
        <f>IFERROR(VLOOKUP($H480,TD[],3,FALSE),"NA")</f>
        <v>NA</v>
      </c>
      <c r="R480" s="139" t="str">
        <f>IFERROR(VLOOKUP($H480,TC[],3,FALSE),"NA")</f>
        <v>NA</v>
      </c>
      <c r="S480" s="78" t="str">
        <f>IFERROR(VLOOKUP($H480,TEV[],3,FALSE),"NA")</f>
        <v>NA</v>
      </c>
      <c r="T480" s="78">
        <f>SUM(TbAlquiler[[#This Row],[GENERAL]:[ELEVADOR]])</f>
        <v>0</v>
      </c>
      <c r="U480" s="295">
        <f>IF(VLOOKUP(TbAlquiler[[#This Row],[ITEM]],TbPiezas[],5,FALSE)="NA",0,VLOOKUP(TbAlquiler[[#This Row],[ITEM]],TbPiezas[],5,FALSE))</f>
        <v>0</v>
      </c>
      <c r="V480" s="295">
        <f>+TbAlquiler[[#This Row],[TOTAL]]*TbAlquiler[[#This Row],[P.U. (1)]]</f>
        <v>0</v>
      </c>
      <c r="W480" s="84">
        <f>+VLOOKUP(TbAlquiler[[#This Row],[ITEM]],TbPiezas[],6,FALSE)</f>
        <v>0</v>
      </c>
      <c r="X480" s="296">
        <f>+TbAlquiler[[#This Row],[TOTAL]]*TbAlquiler[[#This Row],[P.U. (2)]]</f>
        <v>0</v>
      </c>
      <c r="Y480" s="84">
        <f>+VLOOKUP(TbAlquiler[[#This Row],[ITEM]],TbPiezas[],7,FALSE)</f>
        <v>0</v>
      </c>
      <c r="Z480" s="296">
        <f>+TbAlquiler[[#This Row],[TOTAL]]*TbAlquiler[[#This Row],[P.U. (3)]]</f>
        <v>0</v>
      </c>
    </row>
    <row r="481" spans="1:26" s="4" customFormat="1" x14ac:dyDescent="0.3">
      <c r="A481" s="2"/>
      <c r="B481" s="85"/>
      <c r="C481" s="71" t="s">
        <v>1482</v>
      </c>
      <c r="D481" s="240" t="s">
        <v>1476</v>
      </c>
      <c r="E481" s="73"/>
      <c r="F481" s="74"/>
      <c r="G481" s="2"/>
      <c r="H481" s="75" t="str">
        <f t="shared" si="14"/>
        <v>EV.5430</v>
      </c>
      <c r="I481" s="59" t="str">
        <f t="shared" si="15"/>
        <v>ok</v>
      </c>
      <c r="J481" s="77">
        <f>IFERROR(VLOOKUP($H481,TG[],3,FALSE),"NA")</f>
        <v>0</v>
      </c>
      <c r="K481" s="86" t="str">
        <f>IFERROR(VLOOKUP($H481,TF[],3,FALSE),"NA")</f>
        <v>NA</v>
      </c>
      <c r="L481" s="408" t="str">
        <f>IFERROR(VLOOKUP($H481,TT[],3,FALSE),"NA")</f>
        <v>NA</v>
      </c>
      <c r="M481" s="77" t="str">
        <f>IFERROR(VLOOKUP($H481,TES[],3,FALSE),"NA")</f>
        <v>NA</v>
      </c>
      <c r="N481" s="139" t="str">
        <f>IFERROR(VLOOKUP($H481,TEC[],3,FALSE),"NA")</f>
        <v>NA</v>
      </c>
      <c r="O481" s="77" t="str">
        <f>IFERROR(VLOOKUP($H481,TP[],3,FALSE),"NA")</f>
        <v>NA</v>
      </c>
      <c r="P481" s="77" t="str">
        <f>IFERROR(VLOOKUP($H481,TEN[],3,FALSE),"NA")</f>
        <v>NA</v>
      </c>
      <c r="Q481" s="77" t="str">
        <f>IFERROR(VLOOKUP($H481,TD[],3,FALSE),"NA")</f>
        <v>NA</v>
      </c>
      <c r="R481" s="139" t="str">
        <f>IFERROR(VLOOKUP($H481,TC[],3,FALSE),"NA")</f>
        <v>NA</v>
      </c>
      <c r="S481" s="78" t="str">
        <f>IFERROR(VLOOKUP($H481,TEV[],3,FALSE),"NA")</f>
        <v>NA</v>
      </c>
      <c r="T481" s="78">
        <f>SUM(TbAlquiler[[#This Row],[GENERAL]:[ELEVADOR]])</f>
        <v>0</v>
      </c>
      <c r="U481" s="295">
        <f>IF(VLOOKUP(TbAlquiler[[#This Row],[ITEM]],TbPiezas[],5,FALSE)="NA",0,VLOOKUP(TbAlquiler[[#This Row],[ITEM]],TbPiezas[],5,FALSE))</f>
        <v>0</v>
      </c>
      <c r="V481" s="295">
        <f>+TbAlquiler[[#This Row],[TOTAL]]*TbAlquiler[[#This Row],[P.U. (1)]]</f>
        <v>0</v>
      </c>
      <c r="W481" s="84">
        <f>+VLOOKUP(TbAlquiler[[#This Row],[ITEM]],TbPiezas[],6,FALSE)</f>
        <v>0</v>
      </c>
      <c r="X481" s="296">
        <f>+TbAlquiler[[#This Row],[TOTAL]]*TbAlquiler[[#This Row],[P.U. (2)]]</f>
        <v>0</v>
      </c>
      <c r="Y481" s="84">
        <f>+VLOOKUP(TbAlquiler[[#This Row],[ITEM]],TbPiezas[],7,FALSE)</f>
        <v>0</v>
      </c>
      <c r="Z481" s="296">
        <f>+TbAlquiler[[#This Row],[TOTAL]]*TbAlquiler[[#This Row],[P.U. (3)]]</f>
        <v>0</v>
      </c>
    </row>
    <row r="482" spans="1:26" s="4" customFormat="1" x14ac:dyDescent="0.3">
      <c r="A482" s="2"/>
      <c r="B482" s="85"/>
      <c r="C482" s="71" t="s">
        <v>1483</v>
      </c>
      <c r="D482" s="240" t="s">
        <v>1477</v>
      </c>
      <c r="E482" s="73"/>
      <c r="F482" s="74"/>
      <c r="G482" s="2"/>
      <c r="H482" s="75" t="str">
        <f t="shared" si="14"/>
        <v>EV.5440</v>
      </c>
      <c r="I482" s="59" t="str">
        <f t="shared" si="15"/>
        <v>ok</v>
      </c>
      <c r="J482" s="77">
        <f>IFERROR(VLOOKUP($H482,TG[],3,FALSE),"NA")</f>
        <v>0</v>
      </c>
      <c r="K482" s="86" t="str">
        <f>IFERROR(VLOOKUP($H482,TF[],3,FALSE),"NA")</f>
        <v>NA</v>
      </c>
      <c r="L482" s="408" t="str">
        <f>IFERROR(VLOOKUP($H482,TT[],3,FALSE),"NA")</f>
        <v>NA</v>
      </c>
      <c r="M482" s="77" t="str">
        <f>IFERROR(VLOOKUP($H482,TES[],3,FALSE),"NA")</f>
        <v>NA</v>
      </c>
      <c r="N482" s="139" t="str">
        <f>IFERROR(VLOOKUP($H482,TEC[],3,FALSE),"NA")</f>
        <v>NA</v>
      </c>
      <c r="O482" s="77" t="str">
        <f>IFERROR(VLOOKUP($H482,TP[],3,FALSE),"NA")</f>
        <v>NA</v>
      </c>
      <c r="P482" s="77" t="str">
        <f>IFERROR(VLOOKUP($H482,TEN[],3,FALSE),"NA")</f>
        <v>NA</v>
      </c>
      <c r="Q482" s="77" t="str">
        <f>IFERROR(VLOOKUP($H482,TD[],3,FALSE),"NA")</f>
        <v>NA</v>
      </c>
      <c r="R482" s="139" t="str">
        <f>IFERROR(VLOOKUP($H482,TC[],3,FALSE),"NA")</f>
        <v>NA</v>
      </c>
      <c r="S482" s="78" t="str">
        <f>IFERROR(VLOOKUP($H482,TEV[],3,FALSE),"NA")</f>
        <v>NA</v>
      </c>
      <c r="T482" s="78">
        <f>SUM(TbAlquiler[[#This Row],[GENERAL]:[ELEVADOR]])</f>
        <v>0</v>
      </c>
      <c r="U482" s="295">
        <f>IF(VLOOKUP(TbAlquiler[[#This Row],[ITEM]],TbPiezas[],5,FALSE)="NA",0,VLOOKUP(TbAlquiler[[#This Row],[ITEM]],TbPiezas[],5,FALSE))</f>
        <v>0</v>
      </c>
      <c r="V482" s="295">
        <f>+TbAlquiler[[#This Row],[TOTAL]]*TbAlquiler[[#This Row],[P.U. (1)]]</f>
        <v>0</v>
      </c>
      <c r="W482" s="84">
        <f>+VLOOKUP(TbAlquiler[[#This Row],[ITEM]],TbPiezas[],6,FALSE)</f>
        <v>0</v>
      </c>
      <c r="X482" s="296">
        <f>+TbAlquiler[[#This Row],[TOTAL]]*TbAlquiler[[#This Row],[P.U. (2)]]</f>
        <v>0</v>
      </c>
      <c r="Y482" s="84">
        <f>+VLOOKUP(TbAlquiler[[#This Row],[ITEM]],TbPiezas[],7,FALSE)</f>
        <v>0</v>
      </c>
      <c r="Z482" s="296">
        <f>+TbAlquiler[[#This Row],[TOTAL]]*TbAlquiler[[#This Row],[P.U. (3)]]</f>
        <v>0</v>
      </c>
    </row>
    <row r="483" spans="1:26" s="4" customFormat="1" x14ac:dyDescent="0.3">
      <c r="A483" s="2"/>
      <c r="B483" s="85"/>
      <c r="C483" s="71" t="s">
        <v>1484</v>
      </c>
      <c r="D483" s="240" t="s">
        <v>1478</v>
      </c>
      <c r="E483" s="73"/>
      <c r="F483" s="74"/>
      <c r="G483" s="2"/>
      <c r="H483" s="75" t="str">
        <f t="shared" si="14"/>
        <v>EV.5450</v>
      </c>
      <c r="I483" s="59" t="str">
        <f t="shared" si="15"/>
        <v>ok</v>
      </c>
      <c r="J483" s="77">
        <f>IFERROR(VLOOKUP($H483,TG[],3,FALSE),"NA")</f>
        <v>0</v>
      </c>
      <c r="K483" s="86" t="str">
        <f>IFERROR(VLOOKUP($H483,TF[],3,FALSE),"NA")</f>
        <v>NA</v>
      </c>
      <c r="L483" s="408" t="str">
        <f>IFERROR(VLOOKUP($H483,TT[],3,FALSE),"NA")</f>
        <v>NA</v>
      </c>
      <c r="M483" s="77" t="str">
        <f>IFERROR(VLOOKUP($H483,TES[],3,FALSE),"NA")</f>
        <v>NA</v>
      </c>
      <c r="N483" s="139" t="str">
        <f>IFERROR(VLOOKUP($H483,TEC[],3,FALSE),"NA")</f>
        <v>NA</v>
      </c>
      <c r="O483" s="77" t="str">
        <f>IFERROR(VLOOKUP($H483,TP[],3,FALSE),"NA")</f>
        <v>NA</v>
      </c>
      <c r="P483" s="77" t="str">
        <f>IFERROR(VLOOKUP($H483,TEN[],3,FALSE),"NA")</f>
        <v>NA</v>
      </c>
      <c r="Q483" s="77" t="str">
        <f>IFERROR(VLOOKUP($H483,TD[],3,FALSE),"NA")</f>
        <v>NA</v>
      </c>
      <c r="R483" s="139" t="str">
        <f>IFERROR(VLOOKUP($H483,TC[],3,FALSE),"NA")</f>
        <v>NA</v>
      </c>
      <c r="S483" s="78" t="str">
        <f>IFERROR(VLOOKUP($H483,TEV[],3,FALSE),"NA")</f>
        <v>NA</v>
      </c>
      <c r="T483" s="78">
        <f>SUM(TbAlquiler[[#This Row],[GENERAL]:[ELEVADOR]])</f>
        <v>0</v>
      </c>
      <c r="U483" s="295">
        <f>IF(VLOOKUP(TbAlquiler[[#This Row],[ITEM]],TbPiezas[],5,FALSE)="NA",0,VLOOKUP(TbAlquiler[[#This Row],[ITEM]],TbPiezas[],5,FALSE))</f>
        <v>0</v>
      </c>
      <c r="V483" s="295">
        <f>+TbAlquiler[[#This Row],[TOTAL]]*TbAlquiler[[#This Row],[P.U. (1)]]</f>
        <v>0</v>
      </c>
      <c r="W483" s="84">
        <f>+VLOOKUP(TbAlquiler[[#This Row],[ITEM]],TbPiezas[],6,FALSE)</f>
        <v>0</v>
      </c>
      <c r="X483" s="296">
        <f>+TbAlquiler[[#This Row],[TOTAL]]*TbAlquiler[[#This Row],[P.U. (2)]]</f>
        <v>0</v>
      </c>
      <c r="Y483" s="84">
        <f>+VLOOKUP(TbAlquiler[[#This Row],[ITEM]],TbPiezas[],7,FALSE)</f>
        <v>0</v>
      </c>
      <c r="Z483" s="296">
        <f>+TbAlquiler[[#This Row],[TOTAL]]*TbAlquiler[[#This Row],[P.U. (3)]]</f>
        <v>0</v>
      </c>
    </row>
    <row r="484" spans="1:26" s="4" customFormat="1" x14ac:dyDescent="0.3">
      <c r="A484" s="2"/>
      <c r="B484" s="85"/>
      <c r="C484" s="71" t="s">
        <v>1485</v>
      </c>
      <c r="D484" s="240" t="s">
        <v>1479</v>
      </c>
      <c r="E484" s="73"/>
      <c r="F484" s="74"/>
      <c r="G484" s="2"/>
      <c r="H484" s="75" t="str">
        <f t="shared" si="14"/>
        <v>EV.5460</v>
      </c>
      <c r="I484" s="59" t="str">
        <f t="shared" si="15"/>
        <v>ok</v>
      </c>
      <c r="J484" s="77">
        <f>IFERROR(VLOOKUP($H484,TG[],3,FALSE),"NA")</f>
        <v>0</v>
      </c>
      <c r="K484" s="86" t="str">
        <f>IFERROR(VLOOKUP($H484,TF[],3,FALSE),"NA")</f>
        <v>NA</v>
      </c>
      <c r="L484" s="408" t="str">
        <f>IFERROR(VLOOKUP($H484,TT[],3,FALSE),"NA")</f>
        <v>NA</v>
      </c>
      <c r="M484" s="77" t="str">
        <f>IFERROR(VLOOKUP($H484,TES[],3,FALSE),"NA")</f>
        <v>NA</v>
      </c>
      <c r="N484" s="139" t="str">
        <f>IFERROR(VLOOKUP($H484,TEC[],3,FALSE),"NA")</f>
        <v>NA</v>
      </c>
      <c r="O484" s="77" t="str">
        <f>IFERROR(VLOOKUP($H484,TP[],3,FALSE),"NA")</f>
        <v>NA</v>
      </c>
      <c r="P484" s="77" t="str">
        <f>IFERROR(VLOOKUP($H484,TEN[],3,FALSE),"NA")</f>
        <v>NA</v>
      </c>
      <c r="Q484" s="77" t="str">
        <f>IFERROR(VLOOKUP($H484,TD[],3,FALSE),"NA")</f>
        <v>NA</v>
      </c>
      <c r="R484" s="139" t="str">
        <f>IFERROR(VLOOKUP($H484,TC[],3,FALSE),"NA")</f>
        <v>NA</v>
      </c>
      <c r="S484" s="78" t="str">
        <f>IFERROR(VLOOKUP($H484,TEV[],3,FALSE),"NA")</f>
        <v>NA</v>
      </c>
      <c r="T484" s="78">
        <f>SUM(TbAlquiler[[#This Row],[GENERAL]:[ELEVADOR]])</f>
        <v>0</v>
      </c>
      <c r="U484" s="295">
        <f>IF(VLOOKUP(TbAlquiler[[#This Row],[ITEM]],TbPiezas[],5,FALSE)="NA",0,VLOOKUP(TbAlquiler[[#This Row],[ITEM]],TbPiezas[],5,FALSE))</f>
        <v>0</v>
      </c>
      <c r="V484" s="295">
        <f>+TbAlquiler[[#This Row],[TOTAL]]*TbAlquiler[[#This Row],[P.U. (1)]]</f>
        <v>0</v>
      </c>
      <c r="W484" s="84">
        <f>+VLOOKUP(TbAlquiler[[#This Row],[ITEM]],TbPiezas[],6,FALSE)</f>
        <v>0</v>
      </c>
      <c r="X484" s="296">
        <f>+TbAlquiler[[#This Row],[TOTAL]]*TbAlquiler[[#This Row],[P.U. (2)]]</f>
        <v>0</v>
      </c>
      <c r="Y484" s="84">
        <f>+VLOOKUP(TbAlquiler[[#This Row],[ITEM]],TbPiezas[],7,FALSE)</f>
        <v>0</v>
      </c>
      <c r="Z484" s="296">
        <f>+TbAlquiler[[#This Row],[TOTAL]]*TbAlquiler[[#This Row],[P.U. (3)]]</f>
        <v>0</v>
      </c>
    </row>
    <row r="485" spans="1:26" s="4" customFormat="1" x14ac:dyDescent="0.3">
      <c r="A485" s="2"/>
      <c r="B485" s="85">
        <v>425</v>
      </c>
      <c r="C485" s="71" t="s">
        <v>847</v>
      </c>
      <c r="D485" s="72" t="s">
        <v>848</v>
      </c>
      <c r="E485" s="73"/>
      <c r="F485" s="74">
        <f>+VLOOKUP(C485,TbAlquiler[],13,FALSE)</f>
        <v>1</v>
      </c>
      <c r="G485" s="2"/>
      <c r="H485" s="75" t="str">
        <f t="shared" si="14"/>
        <v>EV.5500</v>
      </c>
      <c r="I485" s="59" t="str">
        <f t="shared" si="15"/>
        <v>ok</v>
      </c>
      <c r="J485" s="77">
        <f>IFERROR(VLOOKUP($H485,TG[],3,FALSE),"NA")</f>
        <v>0</v>
      </c>
      <c r="K485" s="77" t="str">
        <f>IFERROR(VLOOKUP($H485,TF[],3,FALSE),"NA")</f>
        <v>NA</v>
      </c>
      <c r="L485" s="77" t="str">
        <f>IFERROR(VLOOKUP($H485,TT[],3,FALSE),"NA")</f>
        <v>NA</v>
      </c>
      <c r="M485" s="77" t="str">
        <f>IFERROR(VLOOKUP($H485,TES[],3,FALSE),"NA")</f>
        <v>NA</v>
      </c>
      <c r="N485" s="77" t="str">
        <f>IFERROR(VLOOKUP($H485,TEC[],3,FALSE),"NA")</f>
        <v>NA</v>
      </c>
      <c r="O485" s="77" t="str">
        <f>IFERROR(VLOOKUP($H485,TP[],3,FALSE),"NA")</f>
        <v>NA</v>
      </c>
      <c r="P485" s="77" t="str">
        <f>IFERROR(VLOOKUP($H485,TEN[],3,FALSE),"NA")</f>
        <v>NA</v>
      </c>
      <c r="Q485" s="77" t="str">
        <f>IFERROR(VLOOKUP($H485,TD[],3,FALSE),"NA")</f>
        <v>NA</v>
      </c>
      <c r="R485" s="77" t="str">
        <f>IFERROR(VLOOKUP($H485,TC[],3,FALSE),"NA")</f>
        <v>NA</v>
      </c>
      <c r="S485" s="77">
        <f>IFERROR(VLOOKUP($H485,TEV[],3,FALSE),"NA")</f>
        <v>1</v>
      </c>
      <c r="T485" s="79">
        <f>SUM(TbAlquiler[[#This Row],[GENERAL]:[ELEVADOR]])</f>
        <v>1</v>
      </c>
      <c r="U485" s="80">
        <f>IF(VLOOKUP(TbAlquiler[[#This Row],[ITEM]],TbPiezas[],5,FALSE)="NA",0,VLOOKUP(TbAlquiler[[#This Row],[ITEM]],TbPiezas[],5,FALSE))</f>
        <v>0.7</v>
      </c>
      <c r="V485" s="81">
        <f>+TbAlquiler[[#This Row],[TOTAL]]*TbAlquiler[[#This Row],[P.U. (1)]]</f>
        <v>0.7</v>
      </c>
      <c r="W485" s="82">
        <f>+VLOOKUP(TbAlquiler[[#This Row],[ITEM]],TbPiezas[],6,FALSE)</f>
        <v>2032.8</v>
      </c>
      <c r="X485" s="83">
        <f>+TbAlquiler[[#This Row],[TOTAL]]*TbAlquiler[[#This Row],[P.U. (2)]]</f>
        <v>2032.8</v>
      </c>
      <c r="Y485" s="82">
        <f>+VLOOKUP(TbAlquiler[[#This Row],[ITEM]],TbPiezas[],7,FALSE)</f>
        <v>101.64</v>
      </c>
      <c r="Z485" s="84">
        <f>+TbAlquiler[[#This Row],[TOTAL]]*TbAlquiler[[#This Row],[P.U. (3)]]</f>
        <v>101.64</v>
      </c>
    </row>
    <row r="486" spans="1:26" s="4" customFormat="1" x14ac:dyDescent="0.3">
      <c r="A486" s="2"/>
      <c r="B486" s="85"/>
      <c r="C486" s="71" t="s">
        <v>849</v>
      </c>
      <c r="D486" s="240" t="s">
        <v>1486</v>
      </c>
      <c r="E486" s="73"/>
      <c r="F486" s="74"/>
      <c r="G486" s="2"/>
      <c r="H486" s="75" t="str">
        <f t="shared" si="14"/>
        <v>EV.5600</v>
      </c>
      <c r="I486" s="59" t="str">
        <f t="shared" si="15"/>
        <v>ok</v>
      </c>
      <c r="J486" s="77">
        <f>IFERROR(VLOOKUP($H486,TG[],3,FALSE),"NA")</f>
        <v>0</v>
      </c>
      <c r="K486" s="86" t="str">
        <f>IFERROR(VLOOKUP($H486,TF[],3,FALSE),"NA")</f>
        <v>NA</v>
      </c>
      <c r="L486" s="408" t="str">
        <f>IFERROR(VLOOKUP($H486,TT[],3,FALSE),"NA")</f>
        <v>NA</v>
      </c>
      <c r="M486" s="77" t="str">
        <f>IFERROR(VLOOKUP($H486,TES[],3,FALSE),"NA")</f>
        <v>NA</v>
      </c>
      <c r="N486" s="139" t="str">
        <f>IFERROR(VLOOKUP($H486,TEC[],3,FALSE),"NA")</f>
        <v>NA</v>
      </c>
      <c r="O486" s="77" t="str">
        <f>IFERROR(VLOOKUP($H486,TP[],3,FALSE),"NA")</f>
        <v>NA</v>
      </c>
      <c r="P486" s="77" t="str">
        <f>IFERROR(VLOOKUP($H486,TEN[],3,FALSE),"NA")</f>
        <v>NA</v>
      </c>
      <c r="Q486" s="77" t="str">
        <f>IFERROR(VLOOKUP($H486,TD[],3,FALSE),"NA")</f>
        <v>NA</v>
      </c>
      <c r="R486" s="139" t="str">
        <f>IFERROR(VLOOKUP($H486,TC[],3,FALSE),"NA")</f>
        <v>NA</v>
      </c>
      <c r="S486" s="78">
        <f>IFERROR(VLOOKUP($H486,TEV[],3,FALSE),"NA")</f>
        <v>2</v>
      </c>
      <c r="T486" s="78">
        <f>SUM(TbAlquiler[[#This Row],[GENERAL]:[ELEVADOR]])</f>
        <v>2</v>
      </c>
      <c r="U486" s="295">
        <f>IF(VLOOKUP(TbAlquiler[[#This Row],[ITEM]],TbPiezas[],5,FALSE)="NA",0,VLOOKUP(TbAlquiler[[#This Row],[ITEM]],TbPiezas[],5,FALSE))</f>
        <v>8.1999999999999993</v>
      </c>
      <c r="V486" s="295">
        <f>+TbAlquiler[[#This Row],[TOTAL]]*TbAlquiler[[#This Row],[P.U. (1)]]</f>
        <v>16.399999999999999</v>
      </c>
      <c r="W486" s="84">
        <f>+VLOOKUP(TbAlquiler[[#This Row],[ITEM]],TbPiezas[],6,FALSE)</f>
        <v>1079.93</v>
      </c>
      <c r="X486" s="296">
        <f>+TbAlquiler[[#This Row],[TOTAL]]*TbAlquiler[[#This Row],[P.U. (2)]]</f>
        <v>2159.86</v>
      </c>
      <c r="Y486" s="84">
        <f>+VLOOKUP(TbAlquiler[[#This Row],[ITEM]],TbPiezas[],7,FALSE)</f>
        <v>53.996500000000005</v>
      </c>
      <c r="Z486" s="296">
        <f>+TbAlquiler[[#This Row],[TOTAL]]*TbAlquiler[[#This Row],[P.U. (3)]]</f>
        <v>107.99300000000001</v>
      </c>
    </row>
    <row r="487" spans="1:26" s="4" customFormat="1" x14ac:dyDescent="0.3">
      <c r="A487" s="2"/>
      <c r="B487" s="85">
        <v>426</v>
      </c>
      <c r="C487" s="71" t="s">
        <v>1488</v>
      </c>
      <c r="D487" s="240" t="s">
        <v>1487</v>
      </c>
      <c r="E487" s="73"/>
      <c r="F487" s="74">
        <f>+VLOOKUP(C487,TbAlquiler[],13,FALSE)</f>
        <v>0</v>
      </c>
      <c r="G487" s="2"/>
      <c r="H487" s="75" t="str">
        <f t="shared" si="14"/>
        <v>EV.5610</v>
      </c>
      <c r="I487" s="59" t="str">
        <f t="shared" si="15"/>
        <v>ok</v>
      </c>
      <c r="J487" s="77">
        <f>IFERROR(VLOOKUP($H487,TG[],3,FALSE),"NA")</f>
        <v>0</v>
      </c>
      <c r="K487" s="77" t="str">
        <f>IFERROR(VLOOKUP($H487,TF[],3,FALSE),"NA")</f>
        <v>NA</v>
      </c>
      <c r="L487" s="77" t="str">
        <f>IFERROR(VLOOKUP($H487,TT[],3,FALSE),"NA")</f>
        <v>NA</v>
      </c>
      <c r="M487" s="77" t="str">
        <f>IFERROR(VLOOKUP($H487,TES[],3,FALSE),"NA")</f>
        <v>NA</v>
      </c>
      <c r="N487" s="77" t="str">
        <f>IFERROR(VLOOKUP($H487,TEC[],3,FALSE),"NA")</f>
        <v>NA</v>
      </c>
      <c r="O487" s="77" t="str">
        <f>IFERROR(VLOOKUP($H487,TP[],3,FALSE),"NA")</f>
        <v>NA</v>
      </c>
      <c r="P487" s="77" t="str">
        <f>IFERROR(VLOOKUP($H487,TEN[],3,FALSE),"NA")</f>
        <v>NA</v>
      </c>
      <c r="Q487" s="77" t="str">
        <f>IFERROR(VLOOKUP($H487,TD[],3,FALSE),"NA")</f>
        <v>NA</v>
      </c>
      <c r="R487" s="77" t="str">
        <f>IFERROR(VLOOKUP($H487,TC[],3,FALSE),"NA")</f>
        <v>NA</v>
      </c>
      <c r="S487" s="77" t="str">
        <f>IFERROR(VLOOKUP($H487,TEV[],3,FALSE),"NA")</f>
        <v>NA</v>
      </c>
      <c r="T487" s="79">
        <f>SUM(TbAlquiler[[#This Row],[GENERAL]:[ELEVADOR]])</f>
        <v>0</v>
      </c>
      <c r="U487" s="80">
        <f>IF(VLOOKUP(TbAlquiler[[#This Row],[ITEM]],TbPiezas[],5,FALSE)="NA",0,VLOOKUP(TbAlquiler[[#This Row],[ITEM]],TbPiezas[],5,FALSE))</f>
        <v>0</v>
      </c>
      <c r="V487" s="81">
        <f>+TbAlquiler[[#This Row],[TOTAL]]*TbAlquiler[[#This Row],[P.U. (1)]]</f>
        <v>0</v>
      </c>
      <c r="W487" s="82">
        <f>+VLOOKUP(TbAlquiler[[#This Row],[ITEM]],TbPiezas[],6,FALSE)</f>
        <v>0</v>
      </c>
      <c r="X487" s="83">
        <f>+TbAlquiler[[#This Row],[TOTAL]]*TbAlquiler[[#This Row],[P.U. (2)]]</f>
        <v>0</v>
      </c>
      <c r="Y487" s="82">
        <f>+VLOOKUP(TbAlquiler[[#This Row],[ITEM]],TbPiezas[],7,FALSE)</f>
        <v>0</v>
      </c>
      <c r="Z487" s="84">
        <f>+TbAlquiler[[#This Row],[TOTAL]]*TbAlquiler[[#This Row],[P.U. (3)]]</f>
        <v>0</v>
      </c>
    </row>
    <row r="488" spans="1:26" s="4" customFormat="1" x14ac:dyDescent="0.3">
      <c r="A488" s="2"/>
      <c r="B488" s="85">
        <v>427</v>
      </c>
      <c r="C488" s="71" t="s">
        <v>850</v>
      </c>
      <c r="D488" s="240" t="s">
        <v>1489</v>
      </c>
      <c r="E488" s="73"/>
      <c r="F488" s="74">
        <f>+VLOOKUP(C488,TbAlquiler[],13,FALSE)</f>
        <v>2</v>
      </c>
      <c r="G488" s="2"/>
      <c r="H488" s="75" t="str">
        <f t="shared" si="14"/>
        <v>EV.5700</v>
      </c>
      <c r="I488" s="59" t="str">
        <f t="shared" si="15"/>
        <v>ok</v>
      </c>
      <c r="J488" s="77">
        <f>IFERROR(VLOOKUP($H488,TG[],3,FALSE),"NA")</f>
        <v>0</v>
      </c>
      <c r="K488" s="77" t="str">
        <f>IFERROR(VLOOKUP($H488,TF[],3,FALSE),"NA")</f>
        <v>NA</v>
      </c>
      <c r="L488" s="77" t="str">
        <f>IFERROR(VLOOKUP($H488,TT[],3,FALSE),"NA")</f>
        <v>NA</v>
      </c>
      <c r="M488" s="77" t="str">
        <f>IFERROR(VLOOKUP($H488,TES[],3,FALSE),"NA")</f>
        <v>NA</v>
      </c>
      <c r="N488" s="77" t="str">
        <f>IFERROR(VLOOKUP($H488,TEC[],3,FALSE),"NA")</f>
        <v>NA</v>
      </c>
      <c r="O488" s="77" t="str">
        <f>IFERROR(VLOOKUP($H488,TP[],3,FALSE),"NA")</f>
        <v>NA</v>
      </c>
      <c r="P488" s="77" t="str">
        <f>IFERROR(VLOOKUP($H488,TEN[],3,FALSE),"NA")</f>
        <v>NA</v>
      </c>
      <c r="Q488" s="77" t="str">
        <f>IFERROR(VLOOKUP($H488,TD[],3,FALSE),"NA")</f>
        <v>NA</v>
      </c>
      <c r="R488" s="77" t="str">
        <f>IFERROR(VLOOKUP($H488,TC[],3,FALSE),"NA")</f>
        <v>NA</v>
      </c>
      <c r="S488" s="77">
        <f>IFERROR(VLOOKUP($H488,TEV[],3,FALSE),"NA")</f>
        <v>2</v>
      </c>
      <c r="T488" s="79">
        <f>SUM(TbAlquiler[[#This Row],[GENERAL]:[ELEVADOR]])</f>
        <v>2</v>
      </c>
      <c r="U488" s="80">
        <f>IF(VLOOKUP(TbAlquiler[[#This Row],[ITEM]],TbPiezas[],5,FALSE)="NA",0,VLOOKUP(TbAlquiler[[#This Row],[ITEM]],TbPiezas[],5,FALSE))</f>
        <v>20</v>
      </c>
      <c r="V488" s="81">
        <f>+TbAlquiler[[#This Row],[TOTAL]]*TbAlquiler[[#This Row],[P.U. (1)]]</f>
        <v>40</v>
      </c>
      <c r="W488" s="82">
        <f>+VLOOKUP(TbAlquiler[[#This Row],[ITEM]],TbPiezas[],6,FALSE)</f>
        <v>571.73</v>
      </c>
      <c r="X488" s="83">
        <f>+TbAlquiler[[#This Row],[TOTAL]]*TbAlquiler[[#This Row],[P.U. (2)]]</f>
        <v>1143.46</v>
      </c>
      <c r="Y488" s="82">
        <f>+VLOOKUP(TbAlquiler[[#This Row],[ITEM]],TbPiezas[],7,FALSE)</f>
        <v>28.586500000000001</v>
      </c>
      <c r="Z488" s="84">
        <f>+TbAlquiler[[#This Row],[TOTAL]]*TbAlquiler[[#This Row],[P.U. (3)]]</f>
        <v>57.173000000000002</v>
      </c>
    </row>
    <row r="489" spans="1:26" s="4" customFormat="1" x14ac:dyDescent="0.3">
      <c r="A489" s="2"/>
      <c r="B489" s="85"/>
      <c r="C489" s="71" t="s">
        <v>1490</v>
      </c>
      <c r="D489" s="240" t="s">
        <v>1511</v>
      </c>
      <c r="E489" s="73"/>
      <c r="F489" s="74"/>
      <c r="G489" s="2"/>
      <c r="H489" s="75" t="str">
        <f t="shared" si="14"/>
        <v>EV.5710</v>
      </c>
      <c r="I489" s="59" t="str">
        <f t="shared" si="15"/>
        <v>ok</v>
      </c>
      <c r="J489" s="77">
        <f>IFERROR(VLOOKUP($H489,TG[],3,FALSE),"NA")</f>
        <v>0</v>
      </c>
      <c r="K489" s="86" t="str">
        <f>IFERROR(VLOOKUP($H489,TF[],3,FALSE),"NA")</f>
        <v>NA</v>
      </c>
      <c r="L489" s="408" t="str">
        <f>IFERROR(VLOOKUP($H489,TT[],3,FALSE),"NA")</f>
        <v>NA</v>
      </c>
      <c r="M489" s="77" t="str">
        <f>IFERROR(VLOOKUP($H489,TES[],3,FALSE),"NA")</f>
        <v>NA</v>
      </c>
      <c r="N489" s="139" t="str">
        <f>IFERROR(VLOOKUP($H489,TEC[],3,FALSE),"NA")</f>
        <v>NA</v>
      </c>
      <c r="O489" s="77" t="str">
        <f>IFERROR(VLOOKUP($H489,TP[],3,FALSE),"NA")</f>
        <v>NA</v>
      </c>
      <c r="P489" s="77" t="str">
        <f>IFERROR(VLOOKUP($H489,TEN[],3,FALSE),"NA")</f>
        <v>NA</v>
      </c>
      <c r="Q489" s="77" t="str">
        <f>IFERROR(VLOOKUP($H489,TD[],3,FALSE),"NA")</f>
        <v>NA</v>
      </c>
      <c r="R489" s="139" t="str">
        <f>IFERROR(VLOOKUP($H489,TC[],3,FALSE),"NA")</f>
        <v>NA</v>
      </c>
      <c r="S489" s="78" t="str">
        <f>IFERROR(VLOOKUP($H489,TEV[],3,FALSE),"NA")</f>
        <v>NA</v>
      </c>
      <c r="T489" s="78">
        <f>SUM(TbAlquiler[[#This Row],[GENERAL]:[ELEVADOR]])</f>
        <v>0</v>
      </c>
      <c r="U489" s="295">
        <f>IF(VLOOKUP(TbAlquiler[[#This Row],[ITEM]],TbPiezas[],5,FALSE)="NA",0,VLOOKUP(TbAlquiler[[#This Row],[ITEM]],TbPiezas[],5,FALSE))</f>
        <v>0</v>
      </c>
      <c r="V489" s="295">
        <f>+TbAlquiler[[#This Row],[TOTAL]]*TbAlquiler[[#This Row],[P.U. (1)]]</f>
        <v>0</v>
      </c>
      <c r="W489" s="84">
        <f>+VLOOKUP(TbAlquiler[[#This Row],[ITEM]],TbPiezas[],6,FALSE)</f>
        <v>0</v>
      </c>
      <c r="X489" s="296">
        <f>+TbAlquiler[[#This Row],[TOTAL]]*TbAlquiler[[#This Row],[P.U. (2)]]</f>
        <v>0</v>
      </c>
      <c r="Y489" s="84">
        <f>+VLOOKUP(TbAlquiler[[#This Row],[ITEM]],TbPiezas[],7,FALSE)</f>
        <v>0</v>
      </c>
      <c r="Z489" s="296">
        <f>+TbAlquiler[[#This Row],[TOTAL]]*TbAlquiler[[#This Row],[P.U. (3)]]</f>
        <v>0</v>
      </c>
    </row>
    <row r="490" spans="1:26" s="4" customFormat="1" x14ac:dyDescent="0.3">
      <c r="A490" s="2"/>
      <c r="B490" s="85">
        <v>428</v>
      </c>
      <c r="C490" s="71" t="s">
        <v>851</v>
      </c>
      <c r="D490" s="240" t="s">
        <v>1491</v>
      </c>
      <c r="E490" s="73"/>
      <c r="F490" s="74">
        <f>+VLOOKUP(C490,TbAlquiler[],13,FALSE)</f>
        <v>0</v>
      </c>
      <c r="G490" s="2"/>
      <c r="H490" s="75" t="str">
        <f t="shared" si="14"/>
        <v>EV.5800</v>
      </c>
      <c r="I490" s="59" t="str">
        <f t="shared" si="15"/>
        <v>ok</v>
      </c>
      <c r="J490" s="77">
        <f>IFERROR(VLOOKUP($H490,TG[],3,FALSE),"NA")</f>
        <v>0</v>
      </c>
      <c r="K490" s="77" t="str">
        <f>IFERROR(VLOOKUP($H490,TF[],3,FALSE),"NA")</f>
        <v>NA</v>
      </c>
      <c r="L490" s="77" t="str">
        <f>IFERROR(VLOOKUP($H490,TT[],3,FALSE),"NA")</f>
        <v>NA</v>
      </c>
      <c r="M490" s="77" t="str">
        <f>IFERROR(VLOOKUP($H490,TES[],3,FALSE),"NA")</f>
        <v>NA</v>
      </c>
      <c r="N490" s="77" t="str">
        <f>IFERROR(VLOOKUP($H490,TEC[],3,FALSE),"NA")</f>
        <v>NA</v>
      </c>
      <c r="O490" s="77" t="str">
        <f>IFERROR(VLOOKUP($H490,TP[],3,FALSE),"NA")</f>
        <v>NA</v>
      </c>
      <c r="P490" s="77" t="str">
        <f>IFERROR(VLOOKUP($H490,TEN[],3,FALSE),"NA")</f>
        <v>NA</v>
      </c>
      <c r="Q490" s="77" t="str">
        <f>IFERROR(VLOOKUP($H490,TD[],3,FALSE),"NA")</f>
        <v>NA</v>
      </c>
      <c r="R490" s="77" t="str">
        <f>IFERROR(VLOOKUP($H490,TC[],3,FALSE),"NA")</f>
        <v>NA</v>
      </c>
      <c r="S490" s="77">
        <f>IFERROR(VLOOKUP($H490,TEV[],3,FALSE),"NA")</f>
        <v>0</v>
      </c>
      <c r="T490" s="79">
        <f>SUM(TbAlquiler[[#This Row],[GENERAL]:[ELEVADOR]])</f>
        <v>0</v>
      </c>
      <c r="U490" s="80">
        <f>IF(VLOOKUP(TbAlquiler[[#This Row],[ITEM]],TbPiezas[],5,FALSE)="NA",0,VLOOKUP(TbAlquiler[[#This Row],[ITEM]],TbPiezas[],5,FALSE))</f>
        <v>3.3</v>
      </c>
      <c r="V490" s="81">
        <f>+TbAlquiler[[#This Row],[TOTAL]]*TbAlquiler[[#This Row],[P.U. (1)]]</f>
        <v>0</v>
      </c>
      <c r="W490" s="82">
        <f>+VLOOKUP(TbAlquiler[[#This Row],[ITEM]],TbPiezas[],6,FALSE)</f>
        <v>228.69</v>
      </c>
      <c r="X490" s="83">
        <f>+TbAlquiler[[#This Row],[TOTAL]]*TbAlquiler[[#This Row],[P.U. (2)]]</f>
        <v>0</v>
      </c>
      <c r="Y490" s="82">
        <f>+VLOOKUP(TbAlquiler[[#This Row],[ITEM]],TbPiezas[],7,FALSE)</f>
        <v>11.4345</v>
      </c>
      <c r="Z490" s="84">
        <f>+TbAlquiler[[#This Row],[TOTAL]]*TbAlquiler[[#This Row],[P.U. (3)]]</f>
        <v>0</v>
      </c>
    </row>
    <row r="491" spans="1:26" s="4" customFormat="1" x14ac:dyDescent="0.3">
      <c r="A491" s="2"/>
      <c r="B491" s="85">
        <v>429</v>
      </c>
      <c r="C491" s="71" t="s">
        <v>852</v>
      </c>
      <c r="D491" s="240" t="s">
        <v>1492</v>
      </c>
      <c r="E491" s="73"/>
      <c r="F491" s="74">
        <f>+VLOOKUP(C491,TbAlquiler[],13,FALSE)</f>
        <v>1</v>
      </c>
      <c r="G491" s="2"/>
      <c r="H491" s="75" t="str">
        <f t="shared" si="14"/>
        <v>EV.5900</v>
      </c>
      <c r="I491" s="59" t="str">
        <f t="shared" si="15"/>
        <v>ok</v>
      </c>
      <c r="J491" s="77">
        <f>IFERROR(VLOOKUP($H491,TG[],3,FALSE),"NA")</f>
        <v>0</v>
      </c>
      <c r="K491" s="77" t="str">
        <f>IFERROR(VLOOKUP($H491,TF[],3,FALSE),"NA")</f>
        <v>NA</v>
      </c>
      <c r="L491" s="77" t="str">
        <f>IFERROR(VLOOKUP($H491,TT[],3,FALSE),"NA")</f>
        <v>NA</v>
      </c>
      <c r="M491" s="77" t="str">
        <f>IFERROR(VLOOKUP($H491,TES[],3,FALSE),"NA")</f>
        <v>NA</v>
      </c>
      <c r="N491" s="77" t="str">
        <f>IFERROR(VLOOKUP($H491,TEC[],3,FALSE),"NA")</f>
        <v>NA</v>
      </c>
      <c r="O491" s="77" t="str">
        <f>IFERROR(VLOOKUP($H491,TP[],3,FALSE),"NA")</f>
        <v>NA</v>
      </c>
      <c r="P491" s="77" t="str">
        <f>IFERROR(VLOOKUP($H491,TEN[],3,FALSE),"NA")</f>
        <v>NA</v>
      </c>
      <c r="Q491" s="77" t="str">
        <f>IFERROR(VLOOKUP($H491,TD[],3,FALSE),"NA")</f>
        <v>NA</v>
      </c>
      <c r="R491" s="77" t="str">
        <f>IFERROR(VLOOKUP($H491,TC[],3,FALSE),"NA")</f>
        <v>NA</v>
      </c>
      <c r="S491" s="77">
        <f>IFERROR(VLOOKUP($H491,TEV[],3,FALSE),"NA")</f>
        <v>1</v>
      </c>
      <c r="T491" s="79">
        <f>SUM(TbAlquiler[[#This Row],[GENERAL]:[ELEVADOR]])</f>
        <v>1</v>
      </c>
      <c r="U491" s="80">
        <f>IF(VLOOKUP(TbAlquiler[[#This Row],[ITEM]],TbPiezas[],5,FALSE)="NA",0,VLOOKUP(TbAlquiler[[#This Row],[ITEM]],TbPiezas[],5,FALSE))</f>
        <v>3.3</v>
      </c>
      <c r="V491" s="81">
        <f>+TbAlquiler[[#This Row],[TOTAL]]*TbAlquiler[[#This Row],[P.U. (1)]]</f>
        <v>3.3</v>
      </c>
      <c r="W491" s="82">
        <f>+VLOOKUP(TbAlquiler[[#This Row],[ITEM]],TbPiezas[],6,FALSE)</f>
        <v>228.69</v>
      </c>
      <c r="X491" s="83">
        <f>+TbAlquiler[[#This Row],[TOTAL]]*TbAlquiler[[#This Row],[P.U. (2)]]</f>
        <v>228.69</v>
      </c>
      <c r="Y491" s="82">
        <f>+VLOOKUP(TbAlquiler[[#This Row],[ITEM]],TbPiezas[],7,FALSE)</f>
        <v>11.4345</v>
      </c>
      <c r="Z491" s="84">
        <f>+TbAlquiler[[#This Row],[TOTAL]]*TbAlquiler[[#This Row],[P.U. (3)]]</f>
        <v>11.4345</v>
      </c>
    </row>
    <row r="492" spans="1:26" s="4" customFormat="1" x14ac:dyDescent="0.3">
      <c r="A492" s="2"/>
      <c r="B492" s="85">
        <v>430</v>
      </c>
      <c r="C492" s="71" t="s">
        <v>853</v>
      </c>
      <c r="D492" s="72" t="s">
        <v>854</v>
      </c>
      <c r="E492" s="73"/>
      <c r="F492" s="74">
        <f>+VLOOKUP(C492,TbAlquiler[],13,FALSE)</f>
        <v>0</v>
      </c>
      <c r="G492" s="2"/>
      <c r="H492" s="75" t="str">
        <f t="shared" si="14"/>
        <v>EV.6000</v>
      </c>
      <c r="I492" s="59" t="str">
        <f t="shared" si="15"/>
        <v>ok</v>
      </c>
      <c r="J492" s="77">
        <f>IFERROR(VLOOKUP($H492,TG[],3,FALSE),"NA")</f>
        <v>0</v>
      </c>
      <c r="K492" s="77" t="str">
        <f>IFERROR(VLOOKUP($H492,TF[],3,FALSE),"NA")</f>
        <v>NA</v>
      </c>
      <c r="L492" s="77" t="str">
        <f>IFERROR(VLOOKUP($H492,TT[],3,FALSE),"NA")</f>
        <v>NA</v>
      </c>
      <c r="M492" s="77" t="str">
        <f>IFERROR(VLOOKUP($H492,TES[],3,FALSE),"NA")</f>
        <v>NA</v>
      </c>
      <c r="N492" s="77" t="str">
        <f>IFERROR(VLOOKUP($H492,TEC[],3,FALSE),"NA")</f>
        <v>NA</v>
      </c>
      <c r="O492" s="77" t="str">
        <f>IFERROR(VLOOKUP($H492,TP[],3,FALSE),"NA")</f>
        <v>NA</v>
      </c>
      <c r="P492" s="77" t="str">
        <f>IFERROR(VLOOKUP($H492,TEN[],3,FALSE),"NA")</f>
        <v>NA</v>
      </c>
      <c r="Q492" s="77" t="str">
        <f>IFERROR(VLOOKUP($H492,TD[],3,FALSE),"NA")</f>
        <v>NA</v>
      </c>
      <c r="R492" s="77" t="str">
        <f>IFERROR(VLOOKUP($H492,TC[],3,FALSE),"NA")</f>
        <v>NA</v>
      </c>
      <c r="S492" s="77">
        <f>IFERROR(VLOOKUP($H492,TEV[],3,FALSE),"NA")</f>
        <v>0</v>
      </c>
      <c r="T492" s="79">
        <f>SUM(TbAlquiler[[#This Row],[GENERAL]:[ELEVADOR]])</f>
        <v>0</v>
      </c>
      <c r="U492" s="80">
        <f>IF(VLOOKUP(TbAlquiler[[#This Row],[ITEM]],TbPiezas[],5,FALSE)="NA",0,VLOOKUP(TbAlquiler[[#This Row],[ITEM]],TbPiezas[],5,FALSE))</f>
        <v>0.2</v>
      </c>
      <c r="V492" s="81">
        <f>+TbAlquiler[[#This Row],[TOTAL]]*TbAlquiler[[#This Row],[P.U. (1)]]</f>
        <v>0</v>
      </c>
      <c r="W492" s="82">
        <f>+VLOOKUP(TbAlquiler[[#This Row],[ITEM]],TbPiezas[],6,FALSE)</f>
        <v>228.69</v>
      </c>
      <c r="X492" s="83">
        <f>+TbAlquiler[[#This Row],[TOTAL]]*TbAlquiler[[#This Row],[P.U. (2)]]</f>
        <v>0</v>
      </c>
      <c r="Y492" s="82">
        <f>+VLOOKUP(TbAlquiler[[#This Row],[ITEM]],TbPiezas[],7,FALSE)</f>
        <v>11.4345</v>
      </c>
      <c r="Z492" s="84">
        <f>+TbAlquiler[[#This Row],[TOTAL]]*TbAlquiler[[#This Row],[P.U. (3)]]</f>
        <v>0</v>
      </c>
    </row>
    <row r="493" spans="1:26" s="4" customFormat="1" x14ac:dyDescent="0.3">
      <c r="A493" s="2"/>
      <c r="B493" s="85">
        <v>431</v>
      </c>
      <c r="C493" s="71" t="s">
        <v>855</v>
      </c>
      <c r="D493" s="72" t="s">
        <v>856</v>
      </c>
      <c r="E493" s="73"/>
      <c r="F493" s="74">
        <f>+VLOOKUP(C493,TbAlquiler[],13,FALSE)</f>
        <v>1</v>
      </c>
      <c r="G493" s="2"/>
      <c r="H493" s="75" t="str">
        <f t="shared" si="14"/>
        <v>EV.6100</v>
      </c>
      <c r="I493" s="59" t="str">
        <f t="shared" si="15"/>
        <v>ok</v>
      </c>
      <c r="J493" s="77">
        <f>IFERROR(VLOOKUP($H493,TG[],3,FALSE),"NA")</f>
        <v>0</v>
      </c>
      <c r="K493" s="77" t="str">
        <f>IFERROR(VLOOKUP($H493,TF[],3,FALSE),"NA")</f>
        <v>NA</v>
      </c>
      <c r="L493" s="77" t="str">
        <f>IFERROR(VLOOKUP($H493,TT[],3,FALSE),"NA")</f>
        <v>NA</v>
      </c>
      <c r="M493" s="77" t="str">
        <f>IFERROR(VLOOKUP($H493,TES[],3,FALSE),"NA")</f>
        <v>NA</v>
      </c>
      <c r="N493" s="77" t="str">
        <f>IFERROR(VLOOKUP($H493,TEC[],3,FALSE),"NA")</f>
        <v>NA</v>
      </c>
      <c r="O493" s="77" t="str">
        <f>IFERROR(VLOOKUP($H493,TP[],3,FALSE),"NA")</f>
        <v>NA</v>
      </c>
      <c r="P493" s="77" t="str">
        <f>IFERROR(VLOOKUP($H493,TEN[],3,FALSE),"NA")</f>
        <v>NA</v>
      </c>
      <c r="Q493" s="77" t="str">
        <f>IFERROR(VLOOKUP($H493,TD[],3,FALSE),"NA")</f>
        <v>NA</v>
      </c>
      <c r="R493" s="77" t="str">
        <f>IFERROR(VLOOKUP($H493,TC[],3,FALSE),"NA")</f>
        <v>NA</v>
      </c>
      <c r="S493" s="77">
        <f>IFERROR(VLOOKUP($H493,TEV[],3,FALSE),"NA")</f>
        <v>1</v>
      </c>
      <c r="T493" s="79">
        <f>SUM(TbAlquiler[[#This Row],[GENERAL]:[ELEVADOR]])</f>
        <v>1</v>
      </c>
      <c r="U493" s="80">
        <f>IF(VLOOKUP(TbAlquiler[[#This Row],[ITEM]],TbPiezas[],5,FALSE)="NA",0,VLOOKUP(TbAlquiler[[#This Row],[ITEM]],TbPiezas[],5,FALSE))</f>
        <v>3</v>
      </c>
      <c r="V493" s="81">
        <f>+TbAlquiler[[#This Row],[TOTAL]]*TbAlquiler[[#This Row],[P.U. (1)]]</f>
        <v>3</v>
      </c>
      <c r="W493" s="82">
        <f>+VLOOKUP(TbAlquiler[[#This Row],[ITEM]],TbPiezas[],6,FALSE)</f>
        <v>228.69</v>
      </c>
      <c r="X493" s="83">
        <f>+TbAlquiler[[#This Row],[TOTAL]]*TbAlquiler[[#This Row],[P.U. (2)]]</f>
        <v>228.69</v>
      </c>
      <c r="Y493" s="82">
        <f>+VLOOKUP(TbAlquiler[[#This Row],[ITEM]],TbPiezas[],7,FALSE)</f>
        <v>11.4345</v>
      </c>
      <c r="Z493" s="84">
        <f>+TbAlquiler[[#This Row],[TOTAL]]*TbAlquiler[[#This Row],[P.U. (3)]]</f>
        <v>11.4345</v>
      </c>
    </row>
    <row r="494" spans="1:26" s="4" customFormat="1" x14ac:dyDescent="0.3">
      <c r="A494" s="2"/>
      <c r="B494" s="85">
        <v>432</v>
      </c>
      <c r="C494" s="71" t="s">
        <v>857</v>
      </c>
      <c r="D494" s="72" t="s">
        <v>858</v>
      </c>
      <c r="E494" s="73"/>
      <c r="F494" s="74">
        <f>+VLOOKUP(C494,TbAlquiler[],13,FALSE)</f>
        <v>2</v>
      </c>
      <c r="G494" s="2"/>
      <c r="H494" s="75" t="str">
        <f t="shared" si="14"/>
        <v>EV.6200</v>
      </c>
      <c r="I494" s="59" t="str">
        <f t="shared" si="15"/>
        <v>ok</v>
      </c>
      <c r="J494" s="77">
        <f>IFERROR(VLOOKUP($H494,TG[],3,FALSE),"NA")</f>
        <v>0</v>
      </c>
      <c r="K494" s="77" t="str">
        <f>IFERROR(VLOOKUP($H494,TF[],3,FALSE),"NA")</f>
        <v>NA</v>
      </c>
      <c r="L494" s="77" t="str">
        <f>IFERROR(VLOOKUP($H494,TT[],3,FALSE),"NA")</f>
        <v>NA</v>
      </c>
      <c r="M494" s="77" t="str">
        <f>IFERROR(VLOOKUP($H494,TES[],3,FALSE),"NA")</f>
        <v>NA</v>
      </c>
      <c r="N494" s="77" t="str">
        <f>IFERROR(VLOOKUP($H494,TEC[],3,FALSE),"NA")</f>
        <v>NA</v>
      </c>
      <c r="O494" s="77" t="str">
        <f>IFERROR(VLOOKUP($H494,TP[],3,FALSE),"NA")</f>
        <v>NA</v>
      </c>
      <c r="P494" s="77" t="str">
        <f>IFERROR(VLOOKUP($H494,TEN[],3,FALSE),"NA")</f>
        <v>NA</v>
      </c>
      <c r="Q494" s="77" t="str">
        <f>IFERROR(VLOOKUP($H494,TD[],3,FALSE),"NA")</f>
        <v>NA</v>
      </c>
      <c r="R494" s="77" t="str">
        <f>IFERROR(VLOOKUP($H494,TC[],3,FALSE),"NA")</f>
        <v>NA</v>
      </c>
      <c r="S494" s="77">
        <f>IFERROR(VLOOKUP($H494,TEV[],3,FALSE),"NA")</f>
        <v>2</v>
      </c>
      <c r="T494" s="79">
        <f>SUM(TbAlquiler[[#This Row],[GENERAL]:[ELEVADOR]])</f>
        <v>2</v>
      </c>
      <c r="U494" s="80">
        <f>IF(VLOOKUP(TbAlquiler[[#This Row],[ITEM]],TbPiezas[],5,FALSE)="NA",0,VLOOKUP(TbAlquiler[[#This Row],[ITEM]],TbPiezas[],5,FALSE))</f>
        <v>3</v>
      </c>
      <c r="V494" s="81">
        <f>+TbAlquiler[[#This Row],[TOTAL]]*TbAlquiler[[#This Row],[P.U. (1)]]</f>
        <v>6</v>
      </c>
      <c r="W494" s="82">
        <f>+VLOOKUP(TbAlquiler[[#This Row],[ITEM]],TbPiezas[],6,FALSE)</f>
        <v>228.69</v>
      </c>
      <c r="X494" s="83">
        <f>+TbAlquiler[[#This Row],[TOTAL]]*TbAlquiler[[#This Row],[P.U. (2)]]</f>
        <v>457.38</v>
      </c>
      <c r="Y494" s="82">
        <f>+VLOOKUP(TbAlquiler[[#This Row],[ITEM]],TbPiezas[],7,FALSE)</f>
        <v>11.4345</v>
      </c>
      <c r="Z494" s="84">
        <f>+TbAlquiler[[#This Row],[TOTAL]]*TbAlquiler[[#This Row],[P.U. (3)]]</f>
        <v>22.869</v>
      </c>
    </row>
    <row r="495" spans="1:26" s="4" customFormat="1" x14ac:dyDescent="0.3">
      <c r="A495" s="2"/>
      <c r="B495" s="85">
        <v>433</v>
      </c>
      <c r="C495" s="71" t="s">
        <v>859</v>
      </c>
      <c r="D495" s="72" t="s">
        <v>860</v>
      </c>
      <c r="E495" s="73"/>
      <c r="F495" s="74">
        <f>+VLOOKUP(C495,TbAlquiler[],13,FALSE)</f>
        <v>18</v>
      </c>
      <c r="G495" s="2"/>
      <c r="H495" s="75" t="str">
        <f t="shared" si="14"/>
        <v>EV.6300</v>
      </c>
      <c r="I495" s="59" t="str">
        <f t="shared" si="15"/>
        <v>ok</v>
      </c>
      <c r="J495" s="77">
        <f>IFERROR(VLOOKUP($H495,TG[],3,FALSE),"NA")</f>
        <v>0</v>
      </c>
      <c r="K495" s="77" t="str">
        <f>IFERROR(VLOOKUP($H495,TF[],3,FALSE),"NA")</f>
        <v>NA</v>
      </c>
      <c r="L495" s="77" t="str">
        <f>IFERROR(VLOOKUP($H495,TT[],3,FALSE),"NA")</f>
        <v>NA</v>
      </c>
      <c r="M495" s="77" t="str">
        <f>IFERROR(VLOOKUP($H495,TES[],3,FALSE),"NA")</f>
        <v>NA</v>
      </c>
      <c r="N495" s="77" t="str">
        <f>IFERROR(VLOOKUP($H495,TEC[],3,FALSE),"NA")</f>
        <v>NA</v>
      </c>
      <c r="O495" s="77" t="str">
        <f>IFERROR(VLOOKUP($H495,TP[],3,FALSE),"NA")</f>
        <v>NA</v>
      </c>
      <c r="P495" s="77" t="str">
        <f>IFERROR(VLOOKUP($H495,TEN[],3,FALSE),"NA")</f>
        <v>NA</v>
      </c>
      <c r="Q495" s="77" t="str">
        <f>IFERROR(VLOOKUP($H495,TD[],3,FALSE),"NA")</f>
        <v>NA</v>
      </c>
      <c r="R495" s="77" t="str">
        <f>IFERROR(VLOOKUP($H495,TC[],3,FALSE),"NA")</f>
        <v>NA</v>
      </c>
      <c r="S495" s="77">
        <f>IFERROR(VLOOKUP($H495,TEV[],3,FALSE),"NA")</f>
        <v>18</v>
      </c>
      <c r="T495" s="79">
        <f>SUM(TbAlquiler[[#This Row],[GENERAL]:[ELEVADOR]])</f>
        <v>18</v>
      </c>
      <c r="U495" s="80">
        <f>IF(VLOOKUP(TbAlquiler[[#This Row],[ITEM]],TbPiezas[],5,FALSE)="NA",0,VLOOKUP(TbAlquiler[[#This Row],[ITEM]],TbPiezas[],5,FALSE))</f>
        <v>4.5999999999999996</v>
      </c>
      <c r="V495" s="81">
        <f>+TbAlquiler[[#This Row],[TOTAL]]*TbAlquiler[[#This Row],[P.U. (1)]]</f>
        <v>82.8</v>
      </c>
      <c r="W495" s="82">
        <f>+VLOOKUP(TbAlquiler[[#This Row],[ITEM]],TbPiezas[],6,FALSE)</f>
        <v>571.73</v>
      </c>
      <c r="X495" s="83">
        <f>+TbAlquiler[[#This Row],[TOTAL]]*TbAlquiler[[#This Row],[P.U. (2)]]</f>
        <v>10291.14</v>
      </c>
      <c r="Y495" s="82">
        <f>+VLOOKUP(TbAlquiler[[#This Row],[ITEM]],TbPiezas[],7,FALSE)</f>
        <v>28.586500000000001</v>
      </c>
      <c r="Z495" s="84">
        <f>+TbAlquiler[[#This Row],[TOTAL]]*TbAlquiler[[#This Row],[P.U. (3)]]</f>
        <v>514.55700000000002</v>
      </c>
    </row>
    <row r="496" spans="1:26" s="4" customFormat="1" x14ac:dyDescent="0.3">
      <c r="A496" s="2"/>
      <c r="B496" s="85">
        <v>434</v>
      </c>
      <c r="C496" s="71" t="s">
        <v>861</v>
      </c>
      <c r="D496" s="72" t="s">
        <v>862</v>
      </c>
      <c r="E496" s="73"/>
      <c r="F496" s="74">
        <f>+VLOOKUP(C496,TbAlquiler[],13,FALSE)</f>
        <v>2</v>
      </c>
      <c r="G496" s="2"/>
      <c r="H496" s="75" t="str">
        <f t="shared" si="14"/>
        <v>EV.6400</v>
      </c>
      <c r="I496" s="59" t="str">
        <f t="shared" si="15"/>
        <v>ok</v>
      </c>
      <c r="J496" s="77">
        <f>IFERROR(VLOOKUP($H496,TG[],3,FALSE),"NA")</f>
        <v>0</v>
      </c>
      <c r="K496" s="77" t="str">
        <f>IFERROR(VLOOKUP($H496,TF[],3,FALSE),"NA")</f>
        <v>NA</v>
      </c>
      <c r="L496" s="77" t="str">
        <f>IFERROR(VLOOKUP($H496,TT[],3,FALSE),"NA")</f>
        <v>NA</v>
      </c>
      <c r="M496" s="77" t="str">
        <f>IFERROR(VLOOKUP($H496,TES[],3,FALSE),"NA")</f>
        <v>NA</v>
      </c>
      <c r="N496" s="77" t="str">
        <f>IFERROR(VLOOKUP($H496,TEC[],3,FALSE),"NA")</f>
        <v>NA</v>
      </c>
      <c r="O496" s="77" t="str">
        <f>IFERROR(VLOOKUP($H496,TP[],3,FALSE),"NA")</f>
        <v>NA</v>
      </c>
      <c r="P496" s="77" t="str">
        <f>IFERROR(VLOOKUP($H496,TEN[],3,FALSE),"NA")</f>
        <v>NA</v>
      </c>
      <c r="Q496" s="77" t="str">
        <f>IFERROR(VLOOKUP($H496,TD[],3,FALSE),"NA")</f>
        <v>NA</v>
      </c>
      <c r="R496" s="77" t="str">
        <f>IFERROR(VLOOKUP($H496,TC[],3,FALSE),"NA")</f>
        <v>NA</v>
      </c>
      <c r="S496" s="77">
        <f>IFERROR(VLOOKUP($H496,TEV[],3,FALSE),"NA")</f>
        <v>2</v>
      </c>
      <c r="T496" s="79">
        <f>SUM(TbAlquiler[[#This Row],[GENERAL]:[ELEVADOR]])</f>
        <v>2</v>
      </c>
      <c r="U496" s="80">
        <f>IF(VLOOKUP(TbAlquiler[[#This Row],[ITEM]],TbPiezas[],5,FALSE)="NA",0,VLOOKUP(TbAlquiler[[#This Row],[ITEM]],TbPiezas[],5,FALSE))</f>
        <v>1.2</v>
      </c>
      <c r="V496" s="81">
        <f>+TbAlquiler[[#This Row],[TOTAL]]*TbAlquiler[[#This Row],[P.U. (1)]]</f>
        <v>2.4</v>
      </c>
      <c r="W496" s="82">
        <f>+VLOOKUP(TbAlquiler[[#This Row],[ITEM]],TbPiezas[],6,FALSE)</f>
        <v>228.69</v>
      </c>
      <c r="X496" s="83">
        <f>+TbAlquiler[[#This Row],[TOTAL]]*TbAlquiler[[#This Row],[P.U. (2)]]</f>
        <v>457.38</v>
      </c>
      <c r="Y496" s="82">
        <f>+VLOOKUP(TbAlquiler[[#This Row],[ITEM]],TbPiezas[],7,FALSE)</f>
        <v>11.4345</v>
      </c>
      <c r="Z496" s="84">
        <f>+TbAlquiler[[#This Row],[TOTAL]]*TbAlquiler[[#This Row],[P.U. (3)]]</f>
        <v>22.869</v>
      </c>
    </row>
    <row r="497" spans="1:26" s="4" customFormat="1" x14ac:dyDescent="0.3">
      <c r="A497" s="2"/>
      <c r="B497" s="85">
        <v>435</v>
      </c>
      <c r="C497" s="71" t="s">
        <v>863</v>
      </c>
      <c r="D497" s="72" t="s">
        <v>864</v>
      </c>
      <c r="E497" s="73"/>
      <c r="F497" s="74">
        <f>+VLOOKUP(C497,TbAlquiler[],13,FALSE)</f>
        <v>1</v>
      </c>
      <c r="G497" s="2"/>
      <c r="H497" s="75" t="str">
        <f t="shared" si="14"/>
        <v>EV.6500</v>
      </c>
      <c r="I497" s="59" t="str">
        <f t="shared" si="15"/>
        <v>ok</v>
      </c>
      <c r="J497" s="77">
        <f>IFERROR(VLOOKUP($H497,TG[],3,FALSE),"NA")</f>
        <v>0</v>
      </c>
      <c r="K497" s="77" t="str">
        <f>IFERROR(VLOOKUP($H497,TF[],3,FALSE),"NA")</f>
        <v>NA</v>
      </c>
      <c r="L497" s="77" t="str">
        <f>IFERROR(VLOOKUP($H497,TT[],3,FALSE),"NA")</f>
        <v>NA</v>
      </c>
      <c r="M497" s="77" t="str">
        <f>IFERROR(VLOOKUP($H497,TES[],3,FALSE),"NA")</f>
        <v>NA</v>
      </c>
      <c r="N497" s="77" t="str">
        <f>IFERROR(VLOOKUP($H497,TEC[],3,FALSE),"NA")</f>
        <v>NA</v>
      </c>
      <c r="O497" s="77" t="str">
        <f>IFERROR(VLOOKUP($H497,TP[],3,FALSE),"NA")</f>
        <v>NA</v>
      </c>
      <c r="P497" s="77" t="str">
        <f>IFERROR(VLOOKUP($H497,TEN[],3,FALSE),"NA")</f>
        <v>NA</v>
      </c>
      <c r="Q497" s="77" t="str">
        <f>IFERROR(VLOOKUP($H497,TD[],3,FALSE),"NA")</f>
        <v>NA</v>
      </c>
      <c r="R497" s="77" t="str">
        <f>IFERROR(VLOOKUP($H497,TC[],3,FALSE),"NA")</f>
        <v>NA</v>
      </c>
      <c r="S497" s="77">
        <f>IFERROR(VLOOKUP($H497,TEV[],3,FALSE),"NA")</f>
        <v>1</v>
      </c>
      <c r="T497" s="79">
        <f>SUM(TbAlquiler[[#This Row],[GENERAL]:[ELEVADOR]])</f>
        <v>1</v>
      </c>
      <c r="U497" s="80">
        <f>IF(VLOOKUP(TbAlquiler[[#This Row],[ITEM]],TbPiezas[],5,FALSE)="NA",0,VLOOKUP(TbAlquiler[[#This Row],[ITEM]],TbPiezas[],5,FALSE))</f>
        <v>39</v>
      </c>
      <c r="V497" s="81">
        <f>+TbAlquiler[[#This Row],[TOTAL]]*TbAlquiler[[#This Row],[P.U. (1)]]</f>
        <v>39</v>
      </c>
      <c r="W497" s="82">
        <f>+VLOOKUP(TbAlquiler[[#This Row],[ITEM]],TbPiezas[],6,FALSE)</f>
        <v>2032.8</v>
      </c>
      <c r="X497" s="83">
        <f>+TbAlquiler[[#This Row],[TOTAL]]*TbAlquiler[[#This Row],[P.U. (2)]]</f>
        <v>2032.8</v>
      </c>
      <c r="Y497" s="82">
        <f>+VLOOKUP(TbAlquiler[[#This Row],[ITEM]],TbPiezas[],7,FALSE)</f>
        <v>101.64</v>
      </c>
      <c r="Z497" s="84">
        <f>+TbAlquiler[[#This Row],[TOTAL]]*TbAlquiler[[#This Row],[P.U. (3)]]</f>
        <v>101.64</v>
      </c>
    </row>
    <row r="498" spans="1:26" s="4" customFormat="1" x14ac:dyDescent="0.3">
      <c r="A498" s="2"/>
      <c r="B498" s="85">
        <v>436</v>
      </c>
      <c r="C498" s="71" t="s">
        <v>865</v>
      </c>
      <c r="D498" s="72" t="s">
        <v>866</v>
      </c>
      <c r="E498" s="73"/>
      <c r="F498" s="74">
        <f>+VLOOKUP(C498,TbAlquiler[],13,FALSE)</f>
        <v>1</v>
      </c>
      <c r="G498" s="2"/>
      <c r="H498" s="75" t="str">
        <f t="shared" si="14"/>
        <v>EV.6600</v>
      </c>
      <c r="I498" s="59" t="str">
        <f t="shared" si="15"/>
        <v>ok</v>
      </c>
      <c r="J498" s="77">
        <f>IFERROR(VLOOKUP($H498,TG[],3,FALSE),"NA")</f>
        <v>0</v>
      </c>
      <c r="K498" s="77" t="str">
        <f>IFERROR(VLOOKUP($H498,TF[],3,FALSE),"NA")</f>
        <v>NA</v>
      </c>
      <c r="L498" s="77" t="str">
        <f>IFERROR(VLOOKUP($H498,TT[],3,FALSE),"NA")</f>
        <v>NA</v>
      </c>
      <c r="M498" s="77" t="str">
        <f>IFERROR(VLOOKUP($H498,TES[],3,FALSE),"NA")</f>
        <v>NA</v>
      </c>
      <c r="N498" s="77" t="str">
        <f>IFERROR(VLOOKUP($H498,TEC[],3,FALSE),"NA")</f>
        <v>NA</v>
      </c>
      <c r="O498" s="77" t="str">
        <f>IFERROR(VLOOKUP($H498,TP[],3,FALSE),"NA")</f>
        <v>NA</v>
      </c>
      <c r="P498" s="77" t="str">
        <f>IFERROR(VLOOKUP($H498,TEN[],3,FALSE),"NA")</f>
        <v>NA</v>
      </c>
      <c r="Q498" s="77" t="str">
        <f>IFERROR(VLOOKUP($H498,TD[],3,FALSE),"NA")</f>
        <v>NA</v>
      </c>
      <c r="R498" s="77" t="str">
        <f>IFERROR(VLOOKUP($H498,TC[],3,FALSE),"NA")</f>
        <v>NA</v>
      </c>
      <c r="S498" s="77">
        <f>IFERROR(VLOOKUP($H498,TEV[],3,FALSE),"NA")</f>
        <v>1</v>
      </c>
      <c r="T498" s="79">
        <f>SUM(TbAlquiler[[#This Row],[GENERAL]:[ELEVADOR]])</f>
        <v>1</v>
      </c>
      <c r="U498" s="80">
        <f>IF(VLOOKUP(TbAlquiler[[#This Row],[ITEM]],TbPiezas[],5,FALSE)="NA",0,VLOOKUP(TbAlquiler[[#This Row],[ITEM]],TbPiezas[],5,FALSE))</f>
        <v>104</v>
      </c>
      <c r="V498" s="81">
        <f>+TbAlquiler[[#This Row],[TOTAL]]*TbAlquiler[[#This Row],[P.U. (1)]]</f>
        <v>104</v>
      </c>
      <c r="W498" s="82">
        <f>+VLOOKUP(TbAlquiler[[#This Row],[ITEM]],TbPiezas[],6,FALSE)</f>
        <v>4446.75</v>
      </c>
      <c r="X498" s="83">
        <f>+TbAlquiler[[#This Row],[TOTAL]]*TbAlquiler[[#This Row],[P.U. (2)]]</f>
        <v>4446.75</v>
      </c>
      <c r="Y498" s="82">
        <f>+VLOOKUP(TbAlquiler[[#This Row],[ITEM]],TbPiezas[],7,FALSE)</f>
        <v>222.33750000000001</v>
      </c>
      <c r="Z498" s="84">
        <f>+TbAlquiler[[#This Row],[TOTAL]]*TbAlquiler[[#This Row],[P.U. (3)]]</f>
        <v>222.33750000000001</v>
      </c>
    </row>
    <row r="499" spans="1:26" s="4" customFormat="1" x14ac:dyDescent="0.3">
      <c r="A499" s="2"/>
      <c r="B499" s="85">
        <v>437</v>
      </c>
      <c r="C499" s="71" t="s">
        <v>867</v>
      </c>
      <c r="D499" s="72" t="s">
        <v>868</v>
      </c>
      <c r="E499" s="73"/>
      <c r="F499" s="74">
        <f>+VLOOKUP(C499,TbAlquiler[],13,FALSE)</f>
        <v>50</v>
      </c>
      <c r="G499" s="2"/>
      <c r="H499" s="75" t="str">
        <f t="shared" si="14"/>
        <v>EV.6700</v>
      </c>
      <c r="I499" s="59" t="str">
        <f t="shared" si="15"/>
        <v>ok</v>
      </c>
      <c r="J499" s="77">
        <f>IFERROR(VLOOKUP($H499,TG[],3,FALSE),"NA")</f>
        <v>0</v>
      </c>
      <c r="K499" s="77" t="str">
        <f>IFERROR(VLOOKUP($H499,TF[],3,FALSE),"NA")</f>
        <v>NA</v>
      </c>
      <c r="L499" s="77" t="str">
        <f>IFERROR(VLOOKUP($H499,TT[],3,FALSE),"NA")</f>
        <v>NA</v>
      </c>
      <c r="M499" s="77" t="str">
        <f>IFERROR(VLOOKUP($H499,TES[],3,FALSE),"NA")</f>
        <v>NA</v>
      </c>
      <c r="N499" s="77" t="str">
        <f>IFERROR(VLOOKUP($H499,TEC[],3,FALSE),"NA")</f>
        <v>NA</v>
      </c>
      <c r="O499" s="77" t="str">
        <f>IFERROR(VLOOKUP($H499,TP[],3,FALSE),"NA")</f>
        <v>NA</v>
      </c>
      <c r="P499" s="77" t="str">
        <f>IFERROR(VLOOKUP($H499,TEN[],3,FALSE),"NA")</f>
        <v>NA</v>
      </c>
      <c r="Q499" s="77" t="str">
        <f>IFERROR(VLOOKUP($H499,TD[],3,FALSE),"NA")</f>
        <v>NA</v>
      </c>
      <c r="R499" s="77" t="str">
        <f>IFERROR(VLOOKUP($H499,TC[],3,FALSE),"NA")</f>
        <v>NA</v>
      </c>
      <c r="S499" s="77">
        <f>IFERROR(VLOOKUP($H499,TEV[],3,FALSE),"NA")</f>
        <v>50</v>
      </c>
      <c r="T499" s="79">
        <f>SUM(TbAlquiler[[#This Row],[GENERAL]:[ELEVADOR]])</f>
        <v>50</v>
      </c>
      <c r="U499" s="80">
        <f>IF(VLOOKUP(TbAlquiler[[#This Row],[ITEM]],TbPiezas[],5,FALSE)="NA",0,VLOOKUP(TbAlquiler[[#This Row],[ITEM]],TbPiezas[],5,FALSE))</f>
        <v>154</v>
      </c>
      <c r="V499" s="81">
        <f>+TbAlquiler[[#This Row],[TOTAL]]*TbAlquiler[[#This Row],[P.U. (1)]]</f>
        <v>7700</v>
      </c>
      <c r="W499" s="82">
        <f>+VLOOKUP(TbAlquiler[[#This Row],[ITEM]],TbPiezas[],6,FALSE)</f>
        <v>4954.95</v>
      </c>
      <c r="X499" s="83">
        <f>+TbAlquiler[[#This Row],[TOTAL]]*TbAlquiler[[#This Row],[P.U. (2)]]</f>
        <v>247747.5</v>
      </c>
      <c r="Y499" s="82">
        <f>+VLOOKUP(TbAlquiler[[#This Row],[ITEM]],TbPiezas[],7,FALSE)</f>
        <v>247.7475</v>
      </c>
      <c r="Z499" s="84">
        <f>+TbAlquiler[[#This Row],[TOTAL]]*TbAlquiler[[#This Row],[P.U. (3)]]</f>
        <v>12387.375</v>
      </c>
    </row>
    <row r="500" spans="1:26" s="4" customFormat="1" x14ac:dyDescent="0.3">
      <c r="A500" s="2"/>
      <c r="B500" s="85">
        <v>438</v>
      </c>
      <c r="C500" s="71" t="s">
        <v>869</v>
      </c>
      <c r="D500" s="72" t="s">
        <v>870</v>
      </c>
      <c r="E500" s="73"/>
      <c r="F500" s="74">
        <f>+VLOOKUP(C500,TbAlquiler[],13,FALSE)</f>
        <v>1</v>
      </c>
      <c r="G500" s="2"/>
      <c r="H500" s="75" t="str">
        <f t="shared" si="14"/>
        <v>EV.6800</v>
      </c>
      <c r="I500" s="59" t="str">
        <f t="shared" si="15"/>
        <v>ok</v>
      </c>
      <c r="J500" s="77">
        <f>IFERROR(VLOOKUP($H500,TG[],3,FALSE),"NA")</f>
        <v>0</v>
      </c>
      <c r="K500" s="77" t="str">
        <f>IFERROR(VLOOKUP($H500,TF[],3,FALSE),"NA")</f>
        <v>NA</v>
      </c>
      <c r="L500" s="77" t="str">
        <f>IFERROR(VLOOKUP($H500,TT[],3,FALSE),"NA")</f>
        <v>NA</v>
      </c>
      <c r="M500" s="77" t="str">
        <f>IFERROR(VLOOKUP($H500,TES[],3,FALSE),"NA")</f>
        <v>NA</v>
      </c>
      <c r="N500" s="77" t="str">
        <f>IFERROR(VLOOKUP($H500,TEC[],3,FALSE),"NA")</f>
        <v>NA</v>
      </c>
      <c r="O500" s="77" t="str">
        <f>IFERROR(VLOOKUP($H500,TP[],3,FALSE),"NA")</f>
        <v>NA</v>
      </c>
      <c r="P500" s="77" t="str">
        <f>IFERROR(VLOOKUP($H500,TEN[],3,FALSE),"NA")</f>
        <v>NA</v>
      </c>
      <c r="Q500" s="77" t="str">
        <f>IFERROR(VLOOKUP($H500,TD[],3,FALSE),"NA")</f>
        <v>NA</v>
      </c>
      <c r="R500" s="77" t="str">
        <f>IFERROR(VLOOKUP($H500,TC[],3,FALSE),"NA")</f>
        <v>NA</v>
      </c>
      <c r="S500" s="77">
        <f>IFERROR(VLOOKUP($H500,TEV[],3,FALSE),"NA")</f>
        <v>1</v>
      </c>
      <c r="T500" s="79">
        <f>SUM(TbAlquiler[[#This Row],[GENERAL]:[ELEVADOR]])</f>
        <v>1</v>
      </c>
      <c r="U500" s="80">
        <f>IF(VLOOKUP(TbAlquiler[[#This Row],[ITEM]],TbPiezas[],5,FALSE)="NA",0,VLOOKUP(TbAlquiler[[#This Row],[ITEM]],TbPiezas[],5,FALSE))</f>
        <v>104</v>
      </c>
      <c r="V500" s="81">
        <f>+TbAlquiler[[#This Row],[TOTAL]]*TbAlquiler[[#This Row],[P.U. (1)]]</f>
        <v>104</v>
      </c>
      <c r="W500" s="82">
        <f>+VLOOKUP(TbAlquiler[[#This Row],[ITEM]],TbPiezas[],6,FALSE)</f>
        <v>4446.75</v>
      </c>
      <c r="X500" s="83">
        <f>+TbAlquiler[[#This Row],[TOTAL]]*TbAlquiler[[#This Row],[P.U. (2)]]</f>
        <v>4446.75</v>
      </c>
      <c r="Y500" s="82">
        <f>+VLOOKUP(TbAlquiler[[#This Row],[ITEM]],TbPiezas[],7,FALSE)</f>
        <v>222.33750000000001</v>
      </c>
      <c r="Z500" s="84">
        <f>+TbAlquiler[[#This Row],[TOTAL]]*TbAlquiler[[#This Row],[P.U. (3)]]</f>
        <v>222.33750000000001</v>
      </c>
    </row>
    <row r="501" spans="1:26" s="4" customFormat="1" x14ac:dyDescent="0.3">
      <c r="A501" s="2"/>
      <c r="B501" s="85">
        <v>439</v>
      </c>
      <c r="C501" s="71" t="s">
        <v>871</v>
      </c>
      <c r="D501" s="72" t="s">
        <v>872</v>
      </c>
      <c r="E501" s="73"/>
      <c r="F501" s="74">
        <f>+VLOOKUP(C501,TbAlquiler[],13,FALSE)</f>
        <v>0</v>
      </c>
      <c r="G501" s="2"/>
      <c r="H501" s="75" t="str">
        <f t="shared" si="14"/>
        <v>EV.6850</v>
      </c>
      <c r="I501" s="59" t="str">
        <f t="shared" si="15"/>
        <v>ok</v>
      </c>
      <c r="J501" s="77">
        <f>IFERROR(VLOOKUP($H501,TG[],3,FALSE),"NA")</f>
        <v>0</v>
      </c>
      <c r="K501" s="77" t="str">
        <f>IFERROR(VLOOKUP($H501,TF[],3,FALSE),"NA")</f>
        <v>NA</v>
      </c>
      <c r="L501" s="77" t="str">
        <f>IFERROR(VLOOKUP($H501,TT[],3,FALSE),"NA")</f>
        <v>NA</v>
      </c>
      <c r="M501" s="77" t="str">
        <f>IFERROR(VLOOKUP($H501,TES[],3,FALSE),"NA")</f>
        <v>NA</v>
      </c>
      <c r="N501" s="77" t="str">
        <f>IFERROR(VLOOKUP($H501,TEC[],3,FALSE),"NA")</f>
        <v>NA</v>
      </c>
      <c r="O501" s="77" t="str">
        <f>IFERROR(VLOOKUP($H501,TP[],3,FALSE),"NA")</f>
        <v>NA</v>
      </c>
      <c r="P501" s="77" t="str">
        <f>IFERROR(VLOOKUP($H501,TEN[],3,FALSE),"NA")</f>
        <v>NA</v>
      </c>
      <c r="Q501" s="77" t="str">
        <f>IFERROR(VLOOKUP($H501,TD[],3,FALSE),"NA")</f>
        <v>NA</v>
      </c>
      <c r="R501" s="77" t="str">
        <f>IFERROR(VLOOKUP($H501,TC[],3,FALSE),"NA")</f>
        <v>NA</v>
      </c>
      <c r="S501" s="77">
        <f>IFERROR(VLOOKUP($H501,TEV[],3,FALSE),"NA")</f>
        <v>0</v>
      </c>
      <c r="T501" s="79">
        <f>SUM(TbAlquiler[[#This Row],[GENERAL]:[ELEVADOR]])</f>
        <v>0</v>
      </c>
      <c r="U501" s="80">
        <f>IF(VLOOKUP(TbAlquiler[[#This Row],[ITEM]],TbPiezas[],5,FALSE)="NA",0,VLOOKUP(TbAlquiler[[#This Row],[ITEM]],TbPiezas[],5,FALSE))</f>
        <v>31.8</v>
      </c>
      <c r="V501" s="81">
        <f>+TbAlquiler[[#This Row],[TOTAL]]*TbAlquiler[[#This Row],[P.U. (1)]]</f>
        <v>0</v>
      </c>
      <c r="W501" s="82">
        <f>+VLOOKUP(TbAlquiler[[#This Row],[ITEM]],TbPiezas[],6,FALSE)</f>
        <v>1626.24</v>
      </c>
      <c r="X501" s="83">
        <f>+TbAlquiler[[#This Row],[TOTAL]]*TbAlquiler[[#This Row],[P.U. (2)]]</f>
        <v>0</v>
      </c>
      <c r="Y501" s="82">
        <f>+VLOOKUP(TbAlquiler[[#This Row],[ITEM]],TbPiezas[],7,FALSE)</f>
        <v>81.312000000000012</v>
      </c>
      <c r="Z501" s="84">
        <f>+TbAlquiler[[#This Row],[TOTAL]]*TbAlquiler[[#This Row],[P.U. (3)]]</f>
        <v>0</v>
      </c>
    </row>
    <row r="502" spans="1:26" s="4" customFormat="1" x14ac:dyDescent="0.3">
      <c r="A502" s="2"/>
      <c r="B502" s="85">
        <v>440</v>
      </c>
      <c r="C502" s="71" t="s">
        <v>873</v>
      </c>
      <c r="D502" s="72" t="s">
        <v>874</v>
      </c>
      <c r="E502" s="73"/>
      <c r="F502" s="74">
        <f>+VLOOKUP(C502,TbAlquiler[],13,FALSE)</f>
        <v>9</v>
      </c>
      <c r="G502" s="2"/>
      <c r="H502" s="75" t="str">
        <f t="shared" si="14"/>
        <v>EV.6900</v>
      </c>
      <c r="I502" s="59" t="str">
        <f t="shared" si="15"/>
        <v>ok</v>
      </c>
      <c r="J502" s="77">
        <f>IFERROR(VLOOKUP($H502,TG[],3,FALSE),"NA")</f>
        <v>0</v>
      </c>
      <c r="K502" s="77" t="str">
        <f>IFERROR(VLOOKUP($H502,TF[],3,FALSE),"NA")</f>
        <v>NA</v>
      </c>
      <c r="L502" s="77" t="str">
        <f>IFERROR(VLOOKUP($H502,TT[],3,FALSE),"NA")</f>
        <v>NA</v>
      </c>
      <c r="M502" s="77" t="str">
        <f>IFERROR(VLOOKUP($H502,TES[],3,FALSE),"NA")</f>
        <v>NA</v>
      </c>
      <c r="N502" s="77" t="str">
        <f>IFERROR(VLOOKUP($H502,TEC[],3,FALSE),"NA")</f>
        <v>NA</v>
      </c>
      <c r="O502" s="77" t="str">
        <f>IFERROR(VLOOKUP($H502,TP[],3,FALSE),"NA")</f>
        <v>NA</v>
      </c>
      <c r="P502" s="77" t="str">
        <f>IFERROR(VLOOKUP($H502,TEN[],3,FALSE),"NA")</f>
        <v>NA</v>
      </c>
      <c r="Q502" s="77" t="str">
        <f>IFERROR(VLOOKUP($H502,TD[],3,FALSE),"NA")</f>
        <v>NA</v>
      </c>
      <c r="R502" s="77" t="str">
        <f>IFERROR(VLOOKUP($H502,TC[],3,FALSE),"NA")</f>
        <v>NA</v>
      </c>
      <c r="S502" s="77">
        <f>IFERROR(VLOOKUP($H502,TEV[],3,FALSE),"NA")</f>
        <v>9</v>
      </c>
      <c r="T502" s="79">
        <f>SUM(TbAlquiler[[#This Row],[GENERAL]:[ELEVADOR]])</f>
        <v>9</v>
      </c>
      <c r="U502" s="80">
        <f>IF(VLOOKUP(TbAlquiler[[#This Row],[ITEM]],TbPiezas[],5,FALSE)="NA",0,VLOOKUP(TbAlquiler[[#This Row],[ITEM]],TbPiezas[],5,FALSE))</f>
        <v>41.4</v>
      </c>
      <c r="V502" s="81">
        <f>+TbAlquiler[[#This Row],[TOTAL]]*TbAlquiler[[#This Row],[P.U. (1)]]</f>
        <v>372.59999999999997</v>
      </c>
      <c r="W502" s="82">
        <f>+VLOOKUP(TbAlquiler[[#This Row],[ITEM]],TbPiezas[],6,FALSE)</f>
        <v>8258.25</v>
      </c>
      <c r="X502" s="83">
        <f>+TbAlquiler[[#This Row],[TOTAL]]*TbAlquiler[[#This Row],[P.U. (2)]]</f>
        <v>74324.25</v>
      </c>
      <c r="Y502" s="82">
        <f>+VLOOKUP(TbAlquiler[[#This Row],[ITEM]],TbPiezas[],7,FALSE)</f>
        <v>412.91250000000002</v>
      </c>
      <c r="Z502" s="84">
        <f>+TbAlquiler[[#This Row],[TOTAL]]*TbAlquiler[[#This Row],[P.U. (3)]]</f>
        <v>3716.2125000000001</v>
      </c>
    </row>
    <row r="503" spans="1:26" s="4" customFormat="1" x14ac:dyDescent="0.3">
      <c r="A503" s="2"/>
      <c r="B503" s="85">
        <v>441</v>
      </c>
      <c r="C503" s="71" t="s">
        <v>875</v>
      </c>
      <c r="D503" s="72" t="s">
        <v>876</v>
      </c>
      <c r="E503" s="73"/>
      <c r="F503" s="74">
        <f>+VLOOKUP(C503,TbAlquiler[],13,FALSE)</f>
        <v>0</v>
      </c>
      <c r="G503" s="2"/>
      <c r="H503" s="75" t="str">
        <f t="shared" si="14"/>
        <v>EV.6925</v>
      </c>
      <c r="I503" s="59" t="str">
        <f t="shared" si="15"/>
        <v>ok</v>
      </c>
      <c r="J503" s="77">
        <f>IFERROR(VLOOKUP($H503,TG[],3,FALSE),"NA")</f>
        <v>0</v>
      </c>
      <c r="K503" s="77" t="str">
        <f>IFERROR(VLOOKUP($H503,TF[],3,FALSE),"NA")</f>
        <v>NA</v>
      </c>
      <c r="L503" s="77" t="str">
        <f>IFERROR(VLOOKUP($H503,TT[],3,FALSE),"NA")</f>
        <v>NA</v>
      </c>
      <c r="M503" s="77" t="str">
        <f>IFERROR(VLOOKUP($H503,TES[],3,FALSE),"NA")</f>
        <v>NA</v>
      </c>
      <c r="N503" s="77" t="str">
        <f>IFERROR(VLOOKUP($H503,TEC[],3,FALSE),"NA")</f>
        <v>NA</v>
      </c>
      <c r="O503" s="77" t="str">
        <f>IFERROR(VLOOKUP($H503,TP[],3,FALSE),"NA")</f>
        <v>NA</v>
      </c>
      <c r="P503" s="77" t="str">
        <f>IFERROR(VLOOKUP($H503,TEN[],3,FALSE),"NA")</f>
        <v>NA</v>
      </c>
      <c r="Q503" s="77" t="str">
        <f>IFERROR(VLOOKUP($H503,TD[],3,FALSE),"NA")</f>
        <v>NA</v>
      </c>
      <c r="R503" s="77" t="str">
        <f>IFERROR(VLOOKUP($H503,TC[],3,FALSE),"NA")</f>
        <v>NA</v>
      </c>
      <c r="S503" s="77">
        <f>IFERROR(VLOOKUP($H503,TEV[],3,FALSE),"NA")</f>
        <v>0</v>
      </c>
      <c r="T503" s="79">
        <f>SUM(TbAlquiler[[#This Row],[GENERAL]:[ELEVADOR]])</f>
        <v>0</v>
      </c>
      <c r="U503" s="80">
        <f>IF(VLOOKUP(TbAlquiler[[#This Row],[ITEM]],TbPiezas[],5,FALSE)="NA",0,VLOOKUP(TbAlquiler[[#This Row],[ITEM]],TbPiezas[],5,FALSE))</f>
        <v>4.9000000000000004</v>
      </c>
      <c r="V503" s="81">
        <f>+TbAlquiler[[#This Row],[TOTAL]]*TbAlquiler[[#This Row],[P.U. (1)]]</f>
        <v>0</v>
      </c>
      <c r="W503" s="82">
        <f>+VLOOKUP(TbAlquiler[[#This Row],[ITEM]],TbPiezas[],6,FALSE)</f>
        <v>368.08</v>
      </c>
      <c r="X503" s="83">
        <f>+TbAlquiler[[#This Row],[TOTAL]]*TbAlquiler[[#This Row],[P.U. (2)]]</f>
        <v>0</v>
      </c>
      <c r="Y503" s="82">
        <f>+VLOOKUP(TbAlquiler[[#This Row],[ITEM]],TbPiezas[],7,FALSE)</f>
        <v>18.404</v>
      </c>
      <c r="Z503" s="84">
        <f>+TbAlquiler[[#This Row],[TOTAL]]*TbAlquiler[[#This Row],[P.U. (3)]]</f>
        <v>0</v>
      </c>
    </row>
    <row r="504" spans="1:26" s="4" customFormat="1" x14ac:dyDescent="0.3">
      <c r="A504" s="2"/>
      <c r="B504" s="85">
        <v>442</v>
      </c>
      <c r="C504" s="71" t="s">
        <v>877</v>
      </c>
      <c r="D504" s="72" t="s">
        <v>878</v>
      </c>
      <c r="E504" s="73"/>
      <c r="F504" s="74">
        <f>+VLOOKUP(C504,TbAlquiler[],13,FALSE)</f>
        <v>0</v>
      </c>
      <c r="G504" s="2"/>
      <c r="H504" s="75" t="str">
        <f t="shared" si="14"/>
        <v>EV.6950</v>
      </c>
      <c r="I504" s="59" t="str">
        <f t="shared" si="15"/>
        <v>ok</v>
      </c>
      <c r="J504" s="77">
        <f>IFERROR(VLOOKUP($H504,TG[],3,FALSE),"NA")</f>
        <v>0</v>
      </c>
      <c r="K504" s="77" t="str">
        <f>IFERROR(VLOOKUP($H504,TF[],3,FALSE),"NA")</f>
        <v>NA</v>
      </c>
      <c r="L504" s="77" t="str">
        <f>IFERROR(VLOOKUP($H504,TT[],3,FALSE),"NA")</f>
        <v>NA</v>
      </c>
      <c r="M504" s="77" t="str">
        <f>IFERROR(VLOOKUP($H504,TES[],3,FALSE),"NA")</f>
        <v>NA</v>
      </c>
      <c r="N504" s="77" t="str">
        <f>IFERROR(VLOOKUP($H504,TEC[],3,FALSE),"NA")</f>
        <v>NA</v>
      </c>
      <c r="O504" s="77" t="str">
        <f>IFERROR(VLOOKUP($H504,TP[],3,FALSE),"NA")</f>
        <v>NA</v>
      </c>
      <c r="P504" s="77" t="str">
        <f>IFERROR(VLOOKUP($H504,TEN[],3,FALSE),"NA")</f>
        <v>NA</v>
      </c>
      <c r="Q504" s="77" t="str">
        <f>IFERROR(VLOOKUP($H504,TD[],3,FALSE),"NA")</f>
        <v>NA</v>
      </c>
      <c r="R504" s="77" t="str">
        <f>IFERROR(VLOOKUP($H504,TC[],3,FALSE),"NA")</f>
        <v>NA</v>
      </c>
      <c r="S504" s="77">
        <f>IFERROR(VLOOKUP($H504,TEV[],3,FALSE),"NA")</f>
        <v>0</v>
      </c>
      <c r="T504" s="79">
        <f>SUM(TbAlquiler[[#This Row],[GENERAL]:[ELEVADOR]])</f>
        <v>0</v>
      </c>
      <c r="U504" s="80">
        <f>IF(VLOOKUP(TbAlquiler[[#This Row],[ITEM]],TbPiezas[],5,FALSE)="NA",0,VLOOKUP(TbAlquiler[[#This Row],[ITEM]],TbPiezas[],5,FALSE))</f>
        <v>10</v>
      </c>
      <c r="V504" s="81">
        <f>+TbAlquiler[[#This Row],[TOTAL]]*TbAlquiler[[#This Row],[P.U. (1)]]</f>
        <v>0</v>
      </c>
      <c r="W504" s="82">
        <f>+VLOOKUP(TbAlquiler[[#This Row],[ITEM]],TbPiezas[],6,FALSE)</f>
        <v>329.57</v>
      </c>
      <c r="X504" s="83">
        <f>+TbAlquiler[[#This Row],[TOTAL]]*TbAlquiler[[#This Row],[P.U. (2)]]</f>
        <v>0</v>
      </c>
      <c r="Y504" s="82">
        <f>+VLOOKUP(TbAlquiler[[#This Row],[ITEM]],TbPiezas[],7,FALSE)</f>
        <v>16.4785</v>
      </c>
      <c r="Z504" s="84">
        <f>+TbAlquiler[[#This Row],[TOTAL]]*TbAlquiler[[#This Row],[P.U. (3)]]</f>
        <v>0</v>
      </c>
    </row>
    <row r="505" spans="1:26" s="4" customFormat="1" x14ac:dyDescent="0.3">
      <c r="A505" s="2"/>
      <c r="B505" s="85">
        <v>443</v>
      </c>
      <c r="C505" s="71" t="s">
        <v>879</v>
      </c>
      <c r="D505" s="72" t="s">
        <v>880</v>
      </c>
      <c r="E505" s="73"/>
      <c r="F505" s="74">
        <f>+VLOOKUP(C505,TbAlquiler[],13,FALSE)</f>
        <v>18</v>
      </c>
      <c r="G505" s="2"/>
      <c r="H505" s="75" t="str">
        <f t="shared" si="14"/>
        <v>EV.7000</v>
      </c>
      <c r="I505" s="59" t="str">
        <f t="shared" si="15"/>
        <v>ok</v>
      </c>
      <c r="J505" s="77">
        <f>IFERROR(VLOOKUP($H505,TG[],3,FALSE),"NA")</f>
        <v>0</v>
      </c>
      <c r="K505" s="77" t="str">
        <f>IFERROR(VLOOKUP($H505,TF[],3,FALSE),"NA")</f>
        <v>NA</v>
      </c>
      <c r="L505" s="77" t="str">
        <f>IFERROR(VLOOKUP($H505,TT[],3,FALSE),"NA")</f>
        <v>NA</v>
      </c>
      <c r="M505" s="77" t="str">
        <f>IFERROR(VLOOKUP($H505,TES[],3,FALSE),"NA")</f>
        <v>NA</v>
      </c>
      <c r="N505" s="77" t="str">
        <f>IFERROR(VLOOKUP($H505,TEC[],3,FALSE),"NA")</f>
        <v>NA</v>
      </c>
      <c r="O505" s="77" t="str">
        <f>IFERROR(VLOOKUP($H505,TP[],3,FALSE),"NA")</f>
        <v>NA</v>
      </c>
      <c r="P505" s="77" t="str">
        <f>IFERROR(VLOOKUP($H505,TEN[],3,FALSE),"NA")</f>
        <v>NA</v>
      </c>
      <c r="Q505" s="77" t="str">
        <f>IFERROR(VLOOKUP($H505,TD[],3,FALSE),"NA")</f>
        <v>NA</v>
      </c>
      <c r="R505" s="77" t="str">
        <f>IFERROR(VLOOKUP($H505,TC[],3,FALSE),"NA")</f>
        <v>NA</v>
      </c>
      <c r="S505" s="77">
        <f>IFERROR(VLOOKUP($H505,TEV[],3,FALSE),"NA")</f>
        <v>18</v>
      </c>
      <c r="T505" s="79">
        <f>SUM(TbAlquiler[[#This Row],[GENERAL]:[ELEVADOR]])</f>
        <v>18</v>
      </c>
      <c r="U505" s="80">
        <f>IF(VLOOKUP(TbAlquiler[[#This Row],[ITEM]],TbPiezas[],5,FALSE)="NA",0,VLOOKUP(TbAlquiler[[#This Row],[ITEM]],TbPiezas[],5,FALSE))</f>
        <v>13.3</v>
      </c>
      <c r="V505" s="81">
        <f>+TbAlquiler[[#This Row],[TOTAL]]*TbAlquiler[[#This Row],[P.U. (1)]]</f>
        <v>239.4</v>
      </c>
      <c r="W505" s="82">
        <f>+VLOOKUP(TbAlquiler[[#This Row],[ITEM]],TbPiezas[],6,FALSE)</f>
        <v>825.83</v>
      </c>
      <c r="X505" s="83">
        <f>+TbAlquiler[[#This Row],[TOTAL]]*TbAlquiler[[#This Row],[P.U. (2)]]</f>
        <v>14864.94</v>
      </c>
      <c r="Y505" s="82">
        <f>+VLOOKUP(TbAlquiler[[#This Row],[ITEM]],TbPiezas[],7,FALSE)</f>
        <v>41.291500000000006</v>
      </c>
      <c r="Z505" s="84">
        <f>+TbAlquiler[[#This Row],[TOTAL]]*TbAlquiler[[#This Row],[P.U. (3)]]</f>
        <v>743.24700000000007</v>
      </c>
    </row>
    <row r="506" spans="1:26" s="4" customFormat="1" x14ac:dyDescent="0.3">
      <c r="A506" s="2"/>
      <c r="B506" s="85">
        <v>444</v>
      </c>
      <c r="C506" s="71" t="s">
        <v>881</v>
      </c>
      <c r="D506" s="72" t="s">
        <v>882</v>
      </c>
      <c r="E506" s="73"/>
      <c r="F506" s="74">
        <f>+VLOOKUP(C506,TbAlquiler[],13,FALSE)</f>
        <v>0</v>
      </c>
      <c r="G506" s="2"/>
      <c r="H506" s="75" t="str">
        <f t="shared" si="14"/>
        <v>EV.7025</v>
      </c>
      <c r="I506" s="59" t="str">
        <f t="shared" si="15"/>
        <v>ok</v>
      </c>
      <c r="J506" s="77">
        <f>IFERROR(VLOOKUP($H506,TG[],3,FALSE),"NA")</f>
        <v>0</v>
      </c>
      <c r="K506" s="77" t="str">
        <f>IFERROR(VLOOKUP($H506,TF[],3,FALSE),"NA")</f>
        <v>NA</v>
      </c>
      <c r="L506" s="77" t="str">
        <f>IFERROR(VLOOKUP($H506,TT[],3,FALSE),"NA")</f>
        <v>NA</v>
      </c>
      <c r="M506" s="77" t="str">
        <f>IFERROR(VLOOKUP($H506,TES[],3,FALSE),"NA")</f>
        <v>NA</v>
      </c>
      <c r="N506" s="77" t="str">
        <f>IFERROR(VLOOKUP($H506,TEC[],3,FALSE),"NA")</f>
        <v>NA</v>
      </c>
      <c r="O506" s="77" t="str">
        <f>IFERROR(VLOOKUP($H506,TP[],3,FALSE),"NA")</f>
        <v>NA</v>
      </c>
      <c r="P506" s="77" t="str">
        <f>IFERROR(VLOOKUP($H506,TEN[],3,FALSE),"NA")</f>
        <v>NA</v>
      </c>
      <c r="Q506" s="77" t="str">
        <f>IFERROR(VLOOKUP($H506,TD[],3,FALSE),"NA")</f>
        <v>NA</v>
      </c>
      <c r="R506" s="77" t="str">
        <f>IFERROR(VLOOKUP($H506,TC[],3,FALSE),"NA")</f>
        <v>NA</v>
      </c>
      <c r="S506" s="77">
        <f>IFERROR(VLOOKUP($H506,TEV[],3,FALSE),"NA")</f>
        <v>0</v>
      </c>
      <c r="T506" s="79">
        <f>SUM(TbAlquiler[[#This Row],[GENERAL]:[ELEVADOR]])</f>
        <v>0</v>
      </c>
      <c r="U506" s="80">
        <f>IF(VLOOKUP(TbAlquiler[[#This Row],[ITEM]],TbPiezas[],5,FALSE)="NA",0,VLOOKUP(TbAlquiler[[#This Row],[ITEM]],TbPiezas[],5,FALSE))</f>
        <v>3</v>
      </c>
      <c r="V506" s="81">
        <f>+TbAlquiler[[#This Row],[TOTAL]]*TbAlquiler[[#This Row],[P.U. (1)]]</f>
        <v>0</v>
      </c>
      <c r="W506" s="82">
        <f>+VLOOKUP(TbAlquiler[[#This Row],[ITEM]],TbPiezas[],6,FALSE)</f>
        <v>271.04000000000002</v>
      </c>
      <c r="X506" s="83">
        <f>+TbAlquiler[[#This Row],[TOTAL]]*TbAlquiler[[#This Row],[P.U. (2)]]</f>
        <v>0</v>
      </c>
      <c r="Y506" s="82">
        <f>+VLOOKUP(TbAlquiler[[#This Row],[ITEM]],TbPiezas[],7,FALSE)</f>
        <v>13.552000000000001</v>
      </c>
      <c r="Z506" s="84">
        <f>+TbAlquiler[[#This Row],[TOTAL]]*TbAlquiler[[#This Row],[P.U. (3)]]</f>
        <v>0</v>
      </c>
    </row>
    <row r="507" spans="1:26" s="4" customFormat="1" x14ac:dyDescent="0.3">
      <c r="A507" s="2"/>
      <c r="B507" s="85">
        <v>445</v>
      </c>
      <c r="C507" s="71" t="s">
        <v>883</v>
      </c>
      <c r="D507" s="72" t="s">
        <v>884</v>
      </c>
      <c r="E507" s="73"/>
      <c r="F507" s="74">
        <f>+VLOOKUP(C507,TbAlquiler[],13,FALSE)</f>
        <v>0</v>
      </c>
      <c r="G507" s="2"/>
      <c r="H507" s="75" t="str">
        <f t="shared" si="14"/>
        <v>EV.7050</v>
      </c>
      <c r="I507" s="59" t="str">
        <f t="shared" si="15"/>
        <v>ok</v>
      </c>
      <c r="J507" s="77">
        <f>IFERROR(VLOOKUP($H507,TG[],3,FALSE),"NA")</f>
        <v>0</v>
      </c>
      <c r="K507" s="77" t="str">
        <f>IFERROR(VLOOKUP($H507,TF[],3,FALSE),"NA")</f>
        <v>NA</v>
      </c>
      <c r="L507" s="77" t="str">
        <f>IFERROR(VLOOKUP($H507,TT[],3,FALSE),"NA")</f>
        <v>NA</v>
      </c>
      <c r="M507" s="77" t="str">
        <f>IFERROR(VLOOKUP($H507,TES[],3,FALSE),"NA")</f>
        <v>NA</v>
      </c>
      <c r="N507" s="77" t="str">
        <f>IFERROR(VLOOKUP($H507,TEC[],3,FALSE),"NA")</f>
        <v>NA</v>
      </c>
      <c r="O507" s="77" t="str">
        <f>IFERROR(VLOOKUP($H507,TP[],3,FALSE),"NA")</f>
        <v>NA</v>
      </c>
      <c r="P507" s="77" t="str">
        <f>IFERROR(VLOOKUP($H507,TEN[],3,FALSE),"NA")</f>
        <v>NA</v>
      </c>
      <c r="Q507" s="77" t="str">
        <f>IFERROR(VLOOKUP($H507,TD[],3,FALSE),"NA")</f>
        <v>NA</v>
      </c>
      <c r="R507" s="77" t="str">
        <f>IFERROR(VLOOKUP($H507,TC[],3,FALSE),"NA")</f>
        <v>NA</v>
      </c>
      <c r="S507" s="77">
        <f>IFERROR(VLOOKUP($H507,TEV[],3,FALSE),"NA")</f>
        <v>0</v>
      </c>
      <c r="T507" s="79">
        <f>SUM(TbAlquiler[[#This Row],[GENERAL]:[ELEVADOR]])</f>
        <v>0</v>
      </c>
      <c r="U507" s="80">
        <f>IF(VLOOKUP(TbAlquiler[[#This Row],[ITEM]],TbPiezas[],5,FALSE)="NA",0,VLOOKUP(TbAlquiler[[#This Row],[ITEM]],TbPiezas[],5,FALSE))</f>
        <v>4</v>
      </c>
      <c r="V507" s="81">
        <f>+TbAlquiler[[#This Row],[TOTAL]]*TbAlquiler[[#This Row],[P.U. (1)]]</f>
        <v>0</v>
      </c>
      <c r="W507" s="82">
        <f>+VLOOKUP(TbAlquiler[[#This Row],[ITEM]],TbPiezas[],6,FALSE)</f>
        <v>298.14</v>
      </c>
      <c r="X507" s="83">
        <f>+TbAlquiler[[#This Row],[TOTAL]]*TbAlquiler[[#This Row],[P.U. (2)]]</f>
        <v>0</v>
      </c>
      <c r="Y507" s="82">
        <f>+VLOOKUP(TbAlquiler[[#This Row],[ITEM]],TbPiezas[],7,FALSE)</f>
        <v>14.907</v>
      </c>
      <c r="Z507" s="84">
        <f>+TbAlquiler[[#This Row],[TOTAL]]*TbAlquiler[[#This Row],[P.U. (3)]]</f>
        <v>0</v>
      </c>
    </row>
    <row r="508" spans="1:26" s="4" customFormat="1" x14ac:dyDescent="0.3">
      <c r="A508" s="2"/>
      <c r="B508" s="85">
        <v>446</v>
      </c>
      <c r="C508" s="71" t="s">
        <v>885</v>
      </c>
      <c r="D508" s="72" t="s">
        <v>886</v>
      </c>
      <c r="E508" s="73"/>
      <c r="F508" s="74">
        <f>+VLOOKUP(C508,TbAlquiler[],13,FALSE)</f>
        <v>1</v>
      </c>
      <c r="G508" s="2"/>
      <c r="H508" s="75" t="str">
        <f t="shared" si="14"/>
        <v>EV.7100</v>
      </c>
      <c r="I508" s="59" t="str">
        <f t="shared" si="15"/>
        <v>ok</v>
      </c>
      <c r="J508" s="77">
        <f>IFERROR(VLOOKUP($H508,TG[],3,FALSE),"NA")</f>
        <v>0</v>
      </c>
      <c r="K508" s="77" t="str">
        <f>IFERROR(VLOOKUP($H508,TF[],3,FALSE),"NA")</f>
        <v>NA</v>
      </c>
      <c r="L508" s="77" t="str">
        <f>IFERROR(VLOOKUP($H508,TT[],3,FALSE),"NA")</f>
        <v>NA</v>
      </c>
      <c r="M508" s="77" t="str">
        <f>IFERROR(VLOOKUP($H508,TES[],3,FALSE),"NA")</f>
        <v>NA</v>
      </c>
      <c r="N508" s="77" t="str">
        <f>IFERROR(VLOOKUP($H508,TEC[],3,FALSE),"NA")</f>
        <v>NA</v>
      </c>
      <c r="O508" s="77" t="str">
        <f>IFERROR(VLOOKUP($H508,TP[],3,FALSE),"NA")</f>
        <v>NA</v>
      </c>
      <c r="P508" s="77" t="str">
        <f>IFERROR(VLOOKUP($H508,TEN[],3,FALSE),"NA")</f>
        <v>NA</v>
      </c>
      <c r="Q508" s="77" t="str">
        <f>IFERROR(VLOOKUP($H508,TD[],3,FALSE),"NA")</f>
        <v>NA</v>
      </c>
      <c r="R508" s="77" t="str">
        <f>IFERROR(VLOOKUP($H508,TC[],3,FALSE),"NA")</f>
        <v>NA</v>
      </c>
      <c r="S508" s="77">
        <f>IFERROR(VLOOKUP($H508,TEV[],3,FALSE),"NA")</f>
        <v>1</v>
      </c>
      <c r="T508" s="79">
        <f>SUM(TbAlquiler[[#This Row],[GENERAL]:[ELEVADOR]])</f>
        <v>1</v>
      </c>
      <c r="U508" s="80">
        <f>IF(VLOOKUP(TbAlquiler[[#This Row],[ITEM]],TbPiezas[],5,FALSE)="NA",0,VLOOKUP(TbAlquiler[[#This Row],[ITEM]],TbPiezas[],5,FALSE))</f>
        <v>7.5</v>
      </c>
      <c r="V508" s="81">
        <f>+TbAlquiler[[#This Row],[TOTAL]]*TbAlquiler[[#This Row],[P.U. (1)]]</f>
        <v>7.5</v>
      </c>
      <c r="W508" s="82">
        <f>+VLOOKUP(TbAlquiler[[#This Row],[ITEM]],TbPiezas[],6,FALSE)</f>
        <v>1905.75</v>
      </c>
      <c r="X508" s="83">
        <f>+TbAlquiler[[#This Row],[TOTAL]]*TbAlquiler[[#This Row],[P.U. (2)]]</f>
        <v>1905.75</v>
      </c>
      <c r="Y508" s="82">
        <f>+VLOOKUP(TbAlquiler[[#This Row],[ITEM]],TbPiezas[],7,FALSE)</f>
        <v>95.287500000000009</v>
      </c>
      <c r="Z508" s="84">
        <f>+TbAlquiler[[#This Row],[TOTAL]]*TbAlquiler[[#This Row],[P.U. (3)]]</f>
        <v>95.287500000000009</v>
      </c>
    </row>
    <row r="509" spans="1:26" s="4" customFormat="1" x14ac:dyDescent="0.3">
      <c r="A509" s="2"/>
      <c r="B509" s="85"/>
      <c r="C509" s="71" t="s">
        <v>1499</v>
      </c>
      <c r="D509" s="72" t="s">
        <v>1495</v>
      </c>
      <c r="E509" s="73"/>
      <c r="F509" s="74"/>
      <c r="G509" s="2"/>
      <c r="H509" s="75" t="str">
        <f t="shared" si="14"/>
        <v>EV.7110</v>
      </c>
      <c r="I509" s="59" t="str">
        <f t="shared" si="15"/>
        <v>ok</v>
      </c>
      <c r="J509" s="77">
        <f>IFERROR(VLOOKUP($H509,TG[],3,FALSE),"NA")</f>
        <v>0</v>
      </c>
      <c r="K509" s="86" t="str">
        <f>IFERROR(VLOOKUP($H509,TF[],3,FALSE),"NA")</f>
        <v>NA</v>
      </c>
      <c r="L509" s="408" t="str">
        <f>IFERROR(VLOOKUP($H509,TT[],3,FALSE),"NA")</f>
        <v>NA</v>
      </c>
      <c r="M509" s="77" t="str">
        <f>IFERROR(VLOOKUP($H509,TES[],3,FALSE),"NA")</f>
        <v>NA</v>
      </c>
      <c r="N509" s="139" t="str">
        <f>IFERROR(VLOOKUP($H509,TEC[],3,FALSE),"NA")</f>
        <v>NA</v>
      </c>
      <c r="O509" s="77" t="str">
        <f>IFERROR(VLOOKUP($H509,TP[],3,FALSE),"NA")</f>
        <v>NA</v>
      </c>
      <c r="P509" s="77" t="str">
        <f>IFERROR(VLOOKUP($H509,TEN[],3,FALSE),"NA")</f>
        <v>NA</v>
      </c>
      <c r="Q509" s="77" t="str">
        <f>IFERROR(VLOOKUP($H509,TD[],3,FALSE),"NA")</f>
        <v>NA</v>
      </c>
      <c r="R509" s="139" t="str">
        <f>IFERROR(VLOOKUP($H509,TC[],3,FALSE),"NA")</f>
        <v>NA</v>
      </c>
      <c r="S509" s="78" t="str">
        <f>IFERROR(VLOOKUP($H509,TEV[],3,FALSE),"NA")</f>
        <v>NA</v>
      </c>
      <c r="T509" s="78">
        <f>SUM(TbAlquiler[[#This Row],[GENERAL]:[ELEVADOR]])</f>
        <v>0</v>
      </c>
      <c r="U509" s="295">
        <f>IF(VLOOKUP(TbAlquiler[[#This Row],[ITEM]],TbPiezas[],5,FALSE)="NA",0,VLOOKUP(TbAlquiler[[#This Row],[ITEM]],TbPiezas[],5,FALSE))</f>
        <v>0</v>
      </c>
      <c r="V509" s="295">
        <f>+TbAlquiler[[#This Row],[TOTAL]]*TbAlquiler[[#This Row],[P.U. (1)]]</f>
        <v>0</v>
      </c>
      <c r="W509" s="84">
        <f>+VLOOKUP(TbAlquiler[[#This Row],[ITEM]],TbPiezas[],6,FALSE)</f>
        <v>0</v>
      </c>
      <c r="X509" s="296">
        <f>+TbAlquiler[[#This Row],[TOTAL]]*TbAlquiler[[#This Row],[P.U. (2)]]</f>
        <v>0</v>
      </c>
      <c r="Y509" s="84">
        <f>+VLOOKUP(TbAlquiler[[#This Row],[ITEM]],TbPiezas[],7,FALSE)</f>
        <v>0</v>
      </c>
      <c r="Z509" s="296">
        <f>+TbAlquiler[[#This Row],[TOTAL]]*TbAlquiler[[#This Row],[P.U. (3)]]</f>
        <v>0</v>
      </c>
    </row>
    <row r="510" spans="1:26" s="4" customFormat="1" x14ac:dyDescent="0.3">
      <c r="A510" s="2"/>
      <c r="B510" s="85">
        <v>447</v>
      </c>
      <c r="C510" s="71" t="s">
        <v>1500</v>
      </c>
      <c r="D510" s="72" t="s">
        <v>887</v>
      </c>
      <c r="E510" s="73"/>
      <c r="F510" s="74">
        <f>+VLOOKUP(C510,TbAlquiler[],13,FALSE)</f>
        <v>1</v>
      </c>
      <c r="G510" s="2"/>
      <c r="H510" s="75" t="str">
        <f t="shared" si="14"/>
        <v>EV.7120</v>
      </c>
      <c r="I510" s="59" t="str">
        <f t="shared" si="15"/>
        <v>ok</v>
      </c>
      <c r="J510" s="77">
        <f>IFERROR(VLOOKUP($H510,TG[],3,FALSE),"NA")</f>
        <v>0</v>
      </c>
      <c r="K510" s="77" t="str">
        <f>IFERROR(VLOOKUP($H510,TF[],3,FALSE),"NA")</f>
        <v>NA</v>
      </c>
      <c r="L510" s="77" t="str">
        <f>IFERROR(VLOOKUP($H510,TT[],3,FALSE),"NA")</f>
        <v>NA</v>
      </c>
      <c r="M510" s="77" t="str">
        <f>IFERROR(VLOOKUP($H510,TES[],3,FALSE),"NA")</f>
        <v>NA</v>
      </c>
      <c r="N510" s="77" t="str">
        <f>IFERROR(VLOOKUP($H510,TEC[],3,FALSE),"NA")</f>
        <v>NA</v>
      </c>
      <c r="O510" s="77" t="str">
        <f>IFERROR(VLOOKUP($H510,TP[],3,FALSE),"NA")</f>
        <v>NA</v>
      </c>
      <c r="P510" s="77" t="str">
        <f>IFERROR(VLOOKUP($H510,TEN[],3,FALSE),"NA")</f>
        <v>NA</v>
      </c>
      <c r="Q510" s="77" t="str">
        <f>IFERROR(VLOOKUP($H510,TD[],3,FALSE),"NA")</f>
        <v>NA</v>
      </c>
      <c r="R510" s="77" t="str">
        <f>IFERROR(VLOOKUP($H510,TC[],3,FALSE),"NA")</f>
        <v>NA</v>
      </c>
      <c r="S510" s="77">
        <f>IFERROR(VLOOKUP($H510,TEV[],3,FALSE),"NA")</f>
        <v>1</v>
      </c>
      <c r="T510" s="79">
        <f>SUM(TbAlquiler[[#This Row],[GENERAL]:[ELEVADOR]])</f>
        <v>1</v>
      </c>
      <c r="U510" s="80">
        <f>IF(VLOOKUP(TbAlquiler[[#This Row],[ITEM]],TbPiezas[],5,FALSE)="NA",0,VLOOKUP(TbAlquiler[[#This Row],[ITEM]],TbPiezas[],5,FALSE))</f>
        <v>12.4</v>
      </c>
      <c r="V510" s="81">
        <f>+TbAlquiler[[#This Row],[TOTAL]]*TbAlquiler[[#This Row],[P.U. (1)]]</f>
        <v>12.4</v>
      </c>
      <c r="W510" s="82">
        <f>+VLOOKUP(TbAlquiler[[#This Row],[ITEM]],TbPiezas[],6,FALSE)</f>
        <v>1727.88</v>
      </c>
      <c r="X510" s="83">
        <f>+TbAlquiler[[#This Row],[TOTAL]]*TbAlquiler[[#This Row],[P.U. (2)]]</f>
        <v>1727.88</v>
      </c>
      <c r="Y510" s="82">
        <f>+VLOOKUP(TbAlquiler[[#This Row],[ITEM]],TbPiezas[],7,FALSE)</f>
        <v>86.394000000000005</v>
      </c>
      <c r="Z510" s="84">
        <f>+TbAlquiler[[#This Row],[TOTAL]]*TbAlquiler[[#This Row],[P.U. (3)]]</f>
        <v>86.394000000000005</v>
      </c>
    </row>
    <row r="511" spans="1:26" s="4" customFormat="1" x14ac:dyDescent="0.3">
      <c r="A511" s="2"/>
      <c r="B511" s="85">
        <v>448</v>
      </c>
      <c r="C511" s="71" t="s">
        <v>888</v>
      </c>
      <c r="D511" s="72" t="s">
        <v>1501</v>
      </c>
      <c r="E511" s="73"/>
      <c r="F511" s="74">
        <f>+VLOOKUP(C511,TbAlquiler[],13,FALSE)</f>
        <v>0</v>
      </c>
      <c r="G511" s="2"/>
      <c r="H511" s="75" t="str">
        <f t="shared" si="14"/>
        <v>EV.7300</v>
      </c>
      <c r="I511" s="59" t="str">
        <f t="shared" si="15"/>
        <v>ok</v>
      </c>
      <c r="J511" s="77">
        <f>IFERROR(VLOOKUP($H511,TG[],3,FALSE),"NA")</f>
        <v>0</v>
      </c>
      <c r="K511" s="77" t="str">
        <f>IFERROR(VLOOKUP($H511,TF[],3,FALSE),"NA")</f>
        <v>NA</v>
      </c>
      <c r="L511" s="77" t="str">
        <f>IFERROR(VLOOKUP($H511,TT[],3,FALSE),"NA")</f>
        <v>NA</v>
      </c>
      <c r="M511" s="77" t="str">
        <f>IFERROR(VLOOKUP($H511,TES[],3,FALSE),"NA")</f>
        <v>NA</v>
      </c>
      <c r="N511" s="77" t="str">
        <f>IFERROR(VLOOKUP($H511,TEC[],3,FALSE),"NA")</f>
        <v>NA</v>
      </c>
      <c r="O511" s="77" t="str">
        <f>IFERROR(VLOOKUP($H511,TP[],3,FALSE),"NA")</f>
        <v>NA</v>
      </c>
      <c r="P511" s="77" t="str">
        <f>IFERROR(VLOOKUP($H511,TEN[],3,FALSE),"NA")</f>
        <v>NA</v>
      </c>
      <c r="Q511" s="77" t="str">
        <f>IFERROR(VLOOKUP($H511,TD[],3,FALSE),"NA")</f>
        <v>NA</v>
      </c>
      <c r="R511" s="77" t="str">
        <f>IFERROR(VLOOKUP($H511,TC[],3,FALSE),"NA")</f>
        <v>NA</v>
      </c>
      <c r="S511" s="77">
        <f>IFERROR(VLOOKUP($H511,TEV[],3,FALSE),"NA")</f>
        <v>0</v>
      </c>
      <c r="T511" s="79">
        <f>SUM(TbAlquiler[[#This Row],[GENERAL]:[ELEVADOR]])</f>
        <v>0</v>
      </c>
      <c r="U511" s="80">
        <f>IF(VLOOKUP(TbAlquiler[[#This Row],[ITEM]],TbPiezas[],5,FALSE)="NA",0,VLOOKUP(TbAlquiler[[#This Row],[ITEM]],TbPiezas[],5,FALSE))</f>
        <v>6.8</v>
      </c>
      <c r="V511" s="81">
        <f>+TbAlquiler[[#This Row],[TOTAL]]*TbAlquiler[[#This Row],[P.U. (1)]]</f>
        <v>0</v>
      </c>
      <c r="W511" s="82">
        <f>+VLOOKUP(TbAlquiler[[#This Row],[ITEM]],TbPiezas[],6,FALSE)</f>
        <v>1727.88</v>
      </c>
      <c r="X511" s="83">
        <f>+TbAlquiler[[#This Row],[TOTAL]]*TbAlquiler[[#This Row],[P.U. (2)]]</f>
        <v>0</v>
      </c>
      <c r="Y511" s="82">
        <f>+VLOOKUP(TbAlquiler[[#This Row],[ITEM]],TbPiezas[],7,FALSE)</f>
        <v>86.394000000000005</v>
      </c>
      <c r="Z511" s="84">
        <f>+TbAlquiler[[#This Row],[TOTAL]]*TbAlquiler[[#This Row],[P.U. (3)]]</f>
        <v>0</v>
      </c>
    </row>
    <row r="512" spans="1:26" s="4" customFormat="1" x14ac:dyDescent="0.3">
      <c r="A512" s="2"/>
      <c r="B512" s="85"/>
      <c r="C512" s="71" t="s">
        <v>1503</v>
      </c>
      <c r="D512" s="72" t="s">
        <v>1502</v>
      </c>
      <c r="E512" s="73"/>
      <c r="F512" s="74"/>
      <c r="G512" s="2"/>
      <c r="H512" s="75" t="str">
        <f t="shared" si="14"/>
        <v>EV.7310</v>
      </c>
      <c r="I512" s="59" t="str">
        <f t="shared" si="15"/>
        <v>ok</v>
      </c>
      <c r="J512" s="77">
        <f>IFERROR(VLOOKUP($H512,TG[],3,FALSE),"NA")</f>
        <v>0</v>
      </c>
      <c r="K512" s="86" t="str">
        <f>IFERROR(VLOOKUP($H512,TF[],3,FALSE),"NA")</f>
        <v>NA</v>
      </c>
      <c r="L512" s="408" t="str">
        <f>IFERROR(VLOOKUP($H512,TT[],3,FALSE),"NA")</f>
        <v>NA</v>
      </c>
      <c r="M512" s="77" t="str">
        <f>IFERROR(VLOOKUP($H512,TES[],3,FALSE),"NA")</f>
        <v>NA</v>
      </c>
      <c r="N512" s="139" t="str">
        <f>IFERROR(VLOOKUP($H512,TEC[],3,FALSE),"NA")</f>
        <v>NA</v>
      </c>
      <c r="O512" s="77" t="str">
        <f>IFERROR(VLOOKUP($H512,TP[],3,FALSE),"NA")</f>
        <v>NA</v>
      </c>
      <c r="P512" s="77" t="str">
        <f>IFERROR(VLOOKUP($H512,TEN[],3,FALSE),"NA")</f>
        <v>NA</v>
      </c>
      <c r="Q512" s="77" t="str">
        <f>IFERROR(VLOOKUP($H512,TD[],3,FALSE),"NA")</f>
        <v>NA</v>
      </c>
      <c r="R512" s="139" t="str">
        <f>IFERROR(VLOOKUP($H512,TC[],3,FALSE),"NA")</f>
        <v>NA</v>
      </c>
      <c r="S512" s="78" t="str">
        <f>IFERROR(VLOOKUP($H512,TEV[],3,FALSE),"NA")</f>
        <v>NA</v>
      </c>
      <c r="T512" s="78">
        <f>SUM(TbAlquiler[[#This Row],[GENERAL]:[ELEVADOR]])</f>
        <v>0</v>
      </c>
      <c r="U512" s="295">
        <f>IF(VLOOKUP(TbAlquiler[[#This Row],[ITEM]],TbPiezas[],5,FALSE)="NA",0,VLOOKUP(TbAlquiler[[#This Row],[ITEM]],TbPiezas[],5,FALSE))</f>
        <v>0</v>
      </c>
      <c r="V512" s="295">
        <f>+TbAlquiler[[#This Row],[TOTAL]]*TbAlquiler[[#This Row],[P.U. (1)]]</f>
        <v>0</v>
      </c>
      <c r="W512" s="84">
        <f>+VLOOKUP(TbAlquiler[[#This Row],[ITEM]],TbPiezas[],6,FALSE)</f>
        <v>0</v>
      </c>
      <c r="X512" s="296">
        <f>+TbAlquiler[[#This Row],[TOTAL]]*TbAlquiler[[#This Row],[P.U. (2)]]</f>
        <v>0</v>
      </c>
      <c r="Y512" s="84">
        <f>+VLOOKUP(TbAlquiler[[#This Row],[ITEM]],TbPiezas[],7,FALSE)</f>
        <v>0</v>
      </c>
      <c r="Z512" s="296">
        <f>+TbAlquiler[[#This Row],[TOTAL]]*TbAlquiler[[#This Row],[P.U. (3)]]</f>
        <v>0</v>
      </c>
    </row>
    <row r="513" spans="1:26" s="4" customFormat="1" x14ac:dyDescent="0.3">
      <c r="A513" s="2"/>
      <c r="B513" s="85">
        <v>449</v>
      </c>
      <c r="C513" s="71" t="s">
        <v>889</v>
      </c>
      <c r="D513" s="72" t="s">
        <v>1496</v>
      </c>
      <c r="E513" s="73"/>
      <c r="F513" s="74">
        <f>+VLOOKUP(C513,TbAlquiler[],13,FALSE)</f>
        <v>18</v>
      </c>
      <c r="G513" s="2"/>
      <c r="H513" s="75" t="str">
        <f t="shared" si="14"/>
        <v>EV.7400</v>
      </c>
      <c r="I513" s="59" t="str">
        <f t="shared" si="15"/>
        <v>ok</v>
      </c>
      <c r="J513" s="77">
        <f>IFERROR(VLOOKUP($H513,TG[],3,FALSE),"NA")</f>
        <v>0</v>
      </c>
      <c r="K513" s="77" t="str">
        <f>IFERROR(VLOOKUP($H513,TF[],3,FALSE),"NA")</f>
        <v>NA</v>
      </c>
      <c r="L513" s="77" t="str">
        <f>IFERROR(VLOOKUP($H513,TT[],3,FALSE),"NA")</f>
        <v>NA</v>
      </c>
      <c r="M513" s="77" t="str">
        <f>IFERROR(VLOOKUP($H513,TES[],3,FALSE),"NA")</f>
        <v>NA</v>
      </c>
      <c r="N513" s="77" t="str">
        <f>IFERROR(VLOOKUP($H513,TEC[],3,FALSE),"NA")</f>
        <v>NA</v>
      </c>
      <c r="O513" s="77" t="str">
        <f>IFERROR(VLOOKUP($H513,TP[],3,FALSE),"NA")</f>
        <v>NA</v>
      </c>
      <c r="P513" s="77" t="str">
        <f>IFERROR(VLOOKUP($H513,TEN[],3,FALSE),"NA")</f>
        <v>NA</v>
      </c>
      <c r="Q513" s="77" t="str">
        <f>IFERROR(VLOOKUP($H513,TD[],3,FALSE),"NA")</f>
        <v>NA</v>
      </c>
      <c r="R513" s="77" t="str">
        <f>IFERROR(VLOOKUP($H513,TC[],3,FALSE),"NA")</f>
        <v>NA</v>
      </c>
      <c r="S513" s="77">
        <f>IFERROR(VLOOKUP($H513,TEV[],3,FALSE),"NA")</f>
        <v>18</v>
      </c>
      <c r="T513" s="79">
        <f>SUM(TbAlquiler[[#This Row],[GENERAL]:[ELEVADOR]])</f>
        <v>18</v>
      </c>
      <c r="U513" s="80">
        <f>IF(VLOOKUP(TbAlquiler[[#This Row],[ITEM]],TbPiezas[],5,FALSE)="NA",0,VLOOKUP(TbAlquiler[[#This Row],[ITEM]],TbPiezas[],5,FALSE))</f>
        <v>8.4</v>
      </c>
      <c r="V513" s="81">
        <f>+TbAlquiler[[#This Row],[TOTAL]]*TbAlquiler[[#This Row],[P.U. (1)]]</f>
        <v>151.20000000000002</v>
      </c>
      <c r="W513" s="82">
        <f>+VLOOKUP(TbAlquiler[[#This Row],[ITEM]],TbPiezas[],6,FALSE)</f>
        <v>4446.75</v>
      </c>
      <c r="X513" s="83">
        <f>+TbAlquiler[[#This Row],[TOTAL]]*TbAlquiler[[#This Row],[P.U. (2)]]</f>
        <v>80041.5</v>
      </c>
      <c r="Y513" s="82">
        <f>+VLOOKUP(TbAlquiler[[#This Row],[ITEM]],TbPiezas[],7,FALSE)</f>
        <v>222.33750000000001</v>
      </c>
      <c r="Z513" s="84">
        <f>+TbAlquiler[[#This Row],[TOTAL]]*TbAlquiler[[#This Row],[P.U. (3)]]</f>
        <v>4002.0750000000003</v>
      </c>
    </row>
    <row r="514" spans="1:26" s="4" customFormat="1" x14ac:dyDescent="0.3">
      <c r="A514" s="2"/>
      <c r="B514" s="85"/>
      <c r="C514" s="71" t="s">
        <v>1498</v>
      </c>
      <c r="D514" s="72" t="s">
        <v>1497</v>
      </c>
      <c r="E514" s="73"/>
      <c r="F514" s="74"/>
      <c r="G514" s="2"/>
      <c r="H514" s="75" t="str">
        <f t="shared" si="14"/>
        <v>EV.7410</v>
      </c>
      <c r="I514" s="59" t="str">
        <f t="shared" si="15"/>
        <v>ok</v>
      </c>
      <c r="J514" s="77">
        <f>IFERROR(VLOOKUP($H514,TG[],3,FALSE),"NA")</f>
        <v>0</v>
      </c>
      <c r="K514" s="86" t="str">
        <f>IFERROR(VLOOKUP($H514,TF[],3,FALSE),"NA")</f>
        <v>NA</v>
      </c>
      <c r="L514" s="408" t="str">
        <f>IFERROR(VLOOKUP($H514,TT[],3,FALSE),"NA")</f>
        <v>NA</v>
      </c>
      <c r="M514" s="77" t="str">
        <f>IFERROR(VLOOKUP($H514,TES[],3,FALSE),"NA")</f>
        <v>NA</v>
      </c>
      <c r="N514" s="139" t="str">
        <f>IFERROR(VLOOKUP($H514,TEC[],3,FALSE),"NA")</f>
        <v>NA</v>
      </c>
      <c r="O514" s="77" t="str">
        <f>IFERROR(VLOOKUP($H514,TP[],3,FALSE),"NA")</f>
        <v>NA</v>
      </c>
      <c r="P514" s="77" t="str">
        <f>IFERROR(VLOOKUP($H514,TEN[],3,FALSE),"NA")</f>
        <v>NA</v>
      </c>
      <c r="Q514" s="77" t="str">
        <f>IFERROR(VLOOKUP($H514,TD[],3,FALSE),"NA")</f>
        <v>NA</v>
      </c>
      <c r="R514" s="139" t="str">
        <f>IFERROR(VLOOKUP($H514,TC[],3,FALSE),"NA")</f>
        <v>NA</v>
      </c>
      <c r="S514" s="78" t="str">
        <f>IFERROR(VLOOKUP($H514,TEV[],3,FALSE),"NA")</f>
        <v>NA</v>
      </c>
      <c r="T514" s="78">
        <f>SUM(TbAlquiler[[#This Row],[GENERAL]:[ELEVADOR]])</f>
        <v>0</v>
      </c>
      <c r="U514" s="295">
        <f>IF(VLOOKUP(TbAlquiler[[#This Row],[ITEM]],TbPiezas[],5,FALSE)="NA",0,VLOOKUP(TbAlquiler[[#This Row],[ITEM]],TbPiezas[],5,FALSE))</f>
        <v>0</v>
      </c>
      <c r="V514" s="295">
        <f>+TbAlquiler[[#This Row],[TOTAL]]*TbAlquiler[[#This Row],[P.U. (1)]]</f>
        <v>0</v>
      </c>
      <c r="W514" s="84">
        <f>+VLOOKUP(TbAlquiler[[#This Row],[ITEM]],TbPiezas[],6,FALSE)</f>
        <v>0</v>
      </c>
      <c r="X514" s="296">
        <f>+TbAlquiler[[#This Row],[TOTAL]]*TbAlquiler[[#This Row],[P.U. (2)]]</f>
        <v>0</v>
      </c>
      <c r="Y514" s="84">
        <f>+VLOOKUP(TbAlquiler[[#This Row],[ITEM]],TbPiezas[],7,FALSE)</f>
        <v>0</v>
      </c>
      <c r="Z514" s="296">
        <f>+TbAlquiler[[#This Row],[TOTAL]]*TbAlquiler[[#This Row],[P.U. (3)]]</f>
        <v>0</v>
      </c>
    </row>
    <row r="515" spans="1:26" s="4" customFormat="1" x14ac:dyDescent="0.3">
      <c r="A515" s="2"/>
      <c r="B515" s="85">
        <v>450</v>
      </c>
      <c r="C515" s="71" t="s">
        <v>890</v>
      </c>
      <c r="D515" s="72" t="s">
        <v>891</v>
      </c>
      <c r="E515" s="73"/>
      <c r="F515" s="74">
        <f>+VLOOKUP(C515,TbAlquiler[],13,FALSE)</f>
        <v>1</v>
      </c>
      <c r="G515" s="2"/>
      <c r="H515" s="75" t="str">
        <f t="shared" si="14"/>
        <v>EV.7500</v>
      </c>
      <c r="I515" s="59" t="str">
        <f t="shared" si="15"/>
        <v>ok</v>
      </c>
      <c r="J515" s="77">
        <f>IFERROR(VLOOKUP($H515,TG[],3,FALSE),"NA")</f>
        <v>0</v>
      </c>
      <c r="K515" s="77" t="str">
        <f>IFERROR(VLOOKUP($H515,TF[],3,FALSE),"NA")</f>
        <v>NA</v>
      </c>
      <c r="L515" s="77" t="str">
        <f>IFERROR(VLOOKUP($H515,TT[],3,FALSE),"NA")</f>
        <v>NA</v>
      </c>
      <c r="M515" s="77" t="str">
        <f>IFERROR(VLOOKUP($H515,TES[],3,FALSE),"NA")</f>
        <v>NA</v>
      </c>
      <c r="N515" s="77" t="str">
        <f>IFERROR(VLOOKUP($H515,TEC[],3,FALSE),"NA")</f>
        <v>NA</v>
      </c>
      <c r="O515" s="77" t="str">
        <f>IFERROR(VLOOKUP($H515,TP[],3,FALSE),"NA")</f>
        <v>NA</v>
      </c>
      <c r="P515" s="77" t="str">
        <f>IFERROR(VLOOKUP($H515,TEN[],3,FALSE),"NA")</f>
        <v>NA</v>
      </c>
      <c r="Q515" s="77" t="str">
        <f>IFERROR(VLOOKUP($H515,TD[],3,FALSE),"NA")</f>
        <v>NA</v>
      </c>
      <c r="R515" s="77" t="str">
        <f>IFERROR(VLOOKUP($H515,TC[],3,FALSE),"NA")</f>
        <v>NA</v>
      </c>
      <c r="S515" s="77">
        <f>IFERROR(VLOOKUP($H515,TEV[],3,FALSE),"NA")</f>
        <v>1</v>
      </c>
      <c r="T515" s="79">
        <f>SUM(TbAlquiler[[#This Row],[GENERAL]:[ELEVADOR]])</f>
        <v>1</v>
      </c>
      <c r="U515" s="80">
        <f>IF(VLOOKUP(TbAlquiler[[#This Row],[ITEM]],TbPiezas[],5,FALSE)="NA",0,VLOOKUP(TbAlquiler[[#This Row],[ITEM]],TbPiezas[],5,FALSE))</f>
        <v>3.6</v>
      </c>
      <c r="V515" s="81">
        <f>+TbAlquiler[[#This Row],[TOTAL]]*TbAlquiler[[#This Row],[P.U. (1)]]</f>
        <v>3.6</v>
      </c>
      <c r="W515" s="82">
        <f>+VLOOKUP(TbAlquiler[[#This Row],[ITEM]],TbPiezas[],6,FALSE)</f>
        <v>2286.9</v>
      </c>
      <c r="X515" s="83">
        <f>+TbAlquiler[[#This Row],[TOTAL]]*TbAlquiler[[#This Row],[P.U. (2)]]</f>
        <v>2286.9</v>
      </c>
      <c r="Y515" s="82">
        <f>+VLOOKUP(TbAlquiler[[#This Row],[ITEM]],TbPiezas[],7,FALSE)</f>
        <v>114.34500000000001</v>
      </c>
      <c r="Z515" s="84">
        <f>+TbAlquiler[[#This Row],[TOTAL]]*TbAlquiler[[#This Row],[P.U. (3)]]</f>
        <v>114.34500000000001</v>
      </c>
    </row>
    <row r="516" spans="1:26" s="4" customFormat="1" x14ac:dyDescent="0.3">
      <c r="A516" s="2"/>
      <c r="B516" s="85">
        <v>451</v>
      </c>
      <c r="C516" s="71" t="s">
        <v>892</v>
      </c>
      <c r="D516" s="72" t="s">
        <v>893</v>
      </c>
      <c r="E516" s="73"/>
      <c r="F516" s="74">
        <f>+VLOOKUP(C516,TbAlquiler[],13,FALSE)</f>
        <v>2</v>
      </c>
      <c r="G516" s="2"/>
      <c r="H516" s="75" t="str">
        <f t="shared" si="14"/>
        <v>EV.7600</v>
      </c>
      <c r="I516" s="59" t="str">
        <f t="shared" si="15"/>
        <v>ok</v>
      </c>
      <c r="J516" s="77">
        <f>IFERROR(VLOOKUP($H516,TG[],3,FALSE),"NA")</f>
        <v>0</v>
      </c>
      <c r="K516" s="77" t="str">
        <f>IFERROR(VLOOKUP($H516,TF[],3,FALSE),"NA")</f>
        <v>NA</v>
      </c>
      <c r="L516" s="77" t="str">
        <f>IFERROR(VLOOKUP($H516,TT[],3,FALSE),"NA")</f>
        <v>NA</v>
      </c>
      <c r="M516" s="77" t="str">
        <f>IFERROR(VLOOKUP($H516,TES[],3,FALSE),"NA")</f>
        <v>NA</v>
      </c>
      <c r="N516" s="77" t="str">
        <f>IFERROR(VLOOKUP($H516,TEC[],3,FALSE),"NA")</f>
        <v>NA</v>
      </c>
      <c r="O516" s="77" t="str">
        <f>IFERROR(VLOOKUP($H516,TP[],3,FALSE),"NA")</f>
        <v>NA</v>
      </c>
      <c r="P516" s="77" t="str">
        <f>IFERROR(VLOOKUP($H516,TEN[],3,FALSE),"NA")</f>
        <v>NA</v>
      </c>
      <c r="Q516" s="77" t="str">
        <f>IFERROR(VLOOKUP($H516,TD[],3,FALSE),"NA")</f>
        <v>NA</v>
      </c>
      <c r="R516" s="77" t="str">
        <f>IFERROR(VLOOKUP($H516,TC[],3,FALSE),"NA")</f>
        <v>NA</v>
      </c>
      <c r="S516" s="77">
        <f>IFERROR(VLOOKUP($H516,TEV[],3,FALSE),"NA")</f>
        <v>2</v>
      </c>
      <c r="T516" s="79">
        <f>SUM(TbAlquiler[[#This Row],[GENERAL]:[ELEVADOR]])</f>
        <v>2</v>
      </c>
      <c r="U516" s="80">
        <f>IF(VLOOKUP(TbAlquiler[[#This Row],[ITEM]],TbPiezas[],5,FALSE)="NA",0,VLOOKUP(TbAlquiler[[#This Row],[ITEM]],TbPiezas[],5,FALSE))</f>
        <v>4.8</v>
      </c>
      <c r="V516" s="81">
        <f>+TbAlquiler[[#This Row],[TOTAL]]*TbAlquiler[[#This Row],[P.U. (1)]]</f>
        <v>9.6</v>
      </c>
      <c r="W516" s="82">
        <f>+VLOOKUP(TbAlquiler[[#This Row],[ITEM]],TbPiezas[],6,FALSE)</f>
        <v>444.68</v>
      </c>
      <c r="X516" s="83">
        <f>+TbAlquiler[[#This Row],[TOTAL]]*TbAlquiler[[#This Row],[P.U. (2)]]</f>
        <v>889.36</v>
      </c>
      <c r="Y516" s="82">
        <f>+VLOOKUP(TbAlquiler[[#This Row],[ITEM]],TbPiezas[],7,FALSE)</f>
        <v>22.234000000000002</v>
      </c>
      <c r="Z516" s="84">
        <f>+TbAlquiler[[#This Row],[TOTAL]]*TbAlquiler[[#This Row],[P.U. (3)]]</f>
        <v>44.468000000000004</v>
      </c>
    </row>
    <row r="517" spans="1:26" s="4" customFormat="1" x14ac:dyDescent="0.3">
      <c r="A517" s="2"/>
      <c r="B517" s="85">
        <v>452</v>
      </c>
      <c r="C517" s="71" t="s">
        <v>894</v>
      </c>
      <c r="D517" s="72" t="s">
        <v>895</v>
      </c>
      <c r="E517" s="73"/>
      <c r="F517" s="74">
        <f>+VLOOKUP(C517,TbAlquiler[],13,FALSE)</f>
        <v>2</v>
      </c>
      <c r="G517" s="2"/>
      <c r="H517" s="75" t="str">
        <f t="shared" si="14"/>
        <v>EV.7700</v>
      </c>
      <c r="I517" s="59" t="str">
        <f t="shared" si="15"/>
        <v>ok</v>
      </c>
      <c r="J517" s="77">
        <f>IFERROR(VLOOKUP($H517,TG[],3,FALSE),"NA")</f>
        <v>0</v>
      </c>
      <c r="K517" s="77" t="str">
        <f>IFERROR(VLOOKUP($H517,TF[],3,FALSE),"NA")</f>
        <v>NA</v>
      </c>
      <c r="L517" s="77" t="str">
        <f>IFERROR(VLOOKUP($H517,TT[],3,FALSE),"NA")</f>
        <v>NA</v>
      </c>
      <c r="M517" s="77" t="str">
        <f>IFERROR(VLOOKUP($H517,TES[],3,FALSE),"NA")</f>
        <v>NA</v>
      </c>
      <c r="N517" s="77" t="str">
        <f>IFERROR(VLOOKUP($H517,TEC[],3,FALSE),"NA")</f>
        <v>NA</v>
      </c>
      <c r="O517" s="77" t="str">
        <f>IFERROR(VLOOKUP($H517,TP[],3,FALSE),"NA")</f>
        <v>NA</v>
      </c>
      <c r="P517" s="77" t="str">
        <f>IFERROR(VLOOKUP($H517,TEN[],3,FALSE),"NA")</f>
        <v>NA</v>
      </c>
      <c r="Q517" s="77" t="str">
        <f>IFERROR(VLOOKUP($H517,TD[],3,FALSE),"NA")</f>
        <v>NA</v>
      </c>
      <c r="R517" s="77" t="str">
        <f>IFERROR(VLOOKUP($H517,TC[],3,FALSE),"NA")</f>
        <v>NA</v>
      </c>
      <c r="S517" s="77">
        <f>IFERROR(VLOOKUP($H517,TEV[],3,FALSE),"NA")</f>
        <v>2</v>
      </c>
      <c r="T517" s="79">
        <f>SUM(TbAlquiler[[#This Row],[GENERAL]:[ELEVADOR]])</f>
        <v>2</v>
      </c>
      <c r="U517" s="80">
        <f>IF(VLOOKUP(TbAlquiler[[#This Row],[ITEM]],TbPiezas[],5,FALSE)="NA",0,VLOOKUP(TbAlquiler[[#This Row],[ITEM]],TbPiezas[],5,FALSE))</f>
        <v>3.5</v>
      </c>
      <c r="V517" s="81">
        <f>+TbAlquiler[[#This Row],[TOTAL]]*TbAlquiler[[#This Row],[P.U. (1)]]</f>
        <v>7</v>
      </c>
      <c r="W517" s="82">
        <f>+VLOOKUP(TbAlquiler[[#This Row],[ITEM]],TbPiezas[],6,FALSE)</f>
        <v>444.68</v>
      </c>
      <c r="X517" s="83">
        <f>+TbAlquiler[[#This Row],[TOTAL]]*TbAlquiler[[#This Row],[P.U. (2)]]</f>
        <v>889.36</v>
      </c>
      <c r="Y517" s="82">
        <f>+VLOOKUP(TbAlquiler[[#This Row],[ITEM]],TbPiezas[],7,FALSE)</f>
        <v>22.234000000000002</v>
      </c>
      <c r="Z517" s="84">
        <f>+TbAlquiler[[#This Row],[TOTAL]]*TbAlquiler[[#This Row],[P.U. (3)]]</f>
        <v>44.468000000000004</v>
      </c>
    </row>
    <row r="518" spans="1:26" s="4" customFormat="1" x14ac:dyDescent="0.3">
      <c r="A518" s="2"/>
      <c r="B518" s="85">
        <v>453</v>
      </c>
      <c r="C518" s="71" t="s">
        <v>896</v>
      </c>
      <c r="D518" s="72" t="s">
        <v>897</v>
      </c>
      <c r="E518" s="73"/>
      <c r="F518" s="74">
        <f>+VLOOKUP(C518,TbAlquiler[],13,FALSE)</f>
        <v>2</v>
      </c>
      <c r="G518" s="2"/>
      <c r="H518" s="75" t="str">
        <f t="shared" si="14"/>
        <v>EV.7800</v>
      </c>
      <c r="I518" s="59" t="str">
        <f t="shared" si="15"/>
        <v>ok</v>
      </c>
      <c r="J518" s="77">
        <f>IFERROR(VLOOKUP($H518,TG[],3,FALSE),"NA")</f>
        <v>0</v>
      </c>
      <c r="K518" s="77" t="str">
        <f>IFERROR(VLOOKUP($H518,TF[],3,FALSE),"NA")</f>
        <v>NA</v>
      </c>
      <c r="L518" s="77" t="str">
        <f>IFERROR(VLOOKUP($H518,TT[],3,FALSE),"NA")</f>
        <v>NA</v>
      </c>
      <c r="M518" s="77" t="str">
        <f>IFERROR(VLOOKUP($H518,TES[],3,FALSE),"NA")</f>
        <v>NA</v>
      </c>
      <c r="N518" s="77" t="str">
        <f>IFERROR(VLOOKUP($H518,TEC[],3,FALSE),"NA")</f>
        <v>NA</v>
      </c>
      <c r="O518" s="77" t="str">
        <f>IFERROR(VLOOKUP($H518,TP[],3,FALSE),"NA")</f>
        <v>NA</v>
      </c>
      <c r="P518" s="77" t="str">
        <f>IFERROR(VLOOKUP($H518,TEN[],3,FALSE),"NA")</f>
        <v>NA</v>
      </c>
      <c r="Q518" s="77" t="str">
        <f>IFERROR(VLOOKUP($H518,TD[],3,FALSE),"NA")</f>
        <v>NA</v>
      </c>
      <c r="R518" s="77" t="str">
        <f>IFERROR(VLOOKUP($H518,TC[],3,FALSE),"NA")</f>
        <v>NA</v>
      </c>
      <c r="S518" s="77">
        <f>IFERROR(VLOOKUP($H518,TEV[],3,FALSE),"NA")</f>
        <v>2</v>
      </c>
      <c r="T518" s="79">
        <f>SUM(TbAlquiler[[#This Row],[GENERAL]:[ELEVADOR]])</f>
        <v>2</v>
      </c>
      <c r="U518" s="80">
        <f>IF(VLOOKUP(TbAlquiler[[#This Row],[ITEM]],TbPiezas[],5,FALSE)="NA",0,VLOOKUP(TbAlquiler[[#This Row],[ITEM]],TbPiezas[],5,FALSE))</f>
        <v>4.2</v>
      </c>
      <c r="V518" s="81">
        <f>+TbAlquiler[[#This Row],[TOTAL]]*TbAlquiler[[#This Row],[P.U. (1)]]</f>
        <v>8.4</v>
      </c>
      <c r="W518" s="82">
        <f>+VLOOKUP(TbAlquiler[[#This Row],[ITEM]],TbPiezas[],6,FALSE)</f>
        <v>444.68</v>
      </c>
      <c r="X518" s="83">
        <f>+TbAlquiler[[#This Row],[TOTAL]]*TbAlquiler[[#This Row],[P.U. (2)]]</f>
        <v>889.36</v>
      </c>
      <c r="Y518" s="82">
        <f>+VLOOKUP(TbAlquiler[[#This Row],[ITEM]],TbPiezas[],7,FALSE)</f>
        <v>22.234000000000002</v>
      </c>
      <c r="Z518" s="84">
        <f>+TbAlquiler[[#This Row],[TOTAL]]*TbAlquiler[[#This Row],[P.U. (3)]]</f>
        <v>44.468000000000004</v>
      </c>
    </row>
    <row r="519" spans="1:26" s="4" customFormat="1" x14ac:dyDescent="0.3">
      <c r="A519" s="2"/>
      <c r="B519" s="85">
        <v>454</v>
      </c>
      <c r="C519" s="71" t="s">
        <v>898</v>
      </c>
      <c r="D519" s="72" t="s">
        <v>899</v>
      </c>
      <c r="E519" s="73"/>
      <c r="F519" s="74">
        <f>+VLOOKUP(C519,TbAlquiler[],13,FALSE)</f>
        <v>0</v>
      </c>
      <c r="G519" s="2"/>
      <c r="H519" s="75" t="str">
        <f t="shared" si="14"/>
        <v>EV.7900</v>
      </c>
      <c r="I519" s="59" t="str">
        <f t="shared" si="15"/>
        <v>ok</v>
      </c>
      <c r="J519" s="77">
        <f>IFERROR(VLOOKUP($H519,TG[],3,FALSE),"NA")</f>
        <v>0</v>
      </c>
      <c r="K519" s="77" t="str">
        <f>IFERROR(VLOOKUP($H519,TF[],3,FALSE),"NA")</f>
        <v>NA</v>
      </c>
      <c r="L519" s="77" t="str">
        <f>IFERROR(VLOOKUP($H519,TT[],3,FALSE),"NA")</f>
        <v>NA</v>
      </c>
      <c r="M519" s="77" t="str">
        <f>IFERROR(VLOOKUP($H519,TES[],3,FALSE),"NA")</f>
        <v>NA</v>
      </c>
      <c r="N519" s="77" t="str">
        <f>IFERROR(VLOOKUP($H519,TEC[],3,FALSE),"NA")</f>
        <v>NA</v>
      </c>
      <c r="O519" s="77" t="str">
        <f>IFERROR(VLOOKUP($H519,TP[],3,FALSE),"NA")</f>
        <v>NA</v>
      </c>
      <c r="P519" s="77" t="str">
        <f>IFERROR(VLOOKUP($H519,TEN[],3,FALSE),"NA")</f>
        <v>NA</v>
      </c>
      <c r="Q519" s="77" t="str">
        <f>IFERROR(VLOOKUP($H519,TD[],3,FALSE),"NA")</f>
        <v>NA</v>
      </c>
      <c r="R519" s="77" t="str">
        <f>IFERROR(VLOOKUP($H519,TC[],3,FALSE),"NA")</f>
        <v>NA</v>
      </c>
      <c r="S519" s="77">
        <f>IFERROR(VLOOKUP($H519,TEV[],3,FALSE),"NA")</f>
        <v>0</v>
      </c>
      <c r="T519" s="79">
        <f>SUM(TbAlquiler[[#This Row],[GENERAL]:[ELEVADOR]])</f>
        <v>0</v>
      </c>
      <c r="U519" s="80">
        <f>IF(VLOOKUP(TbAlquiler[[#This Row],[ITEM]],TbPiezas[],5,FALSE)="NA",0,VLOOKUP(TbAlquiler[[#This Row],[ITEM]],TbPiezas[],5,FALSE))</f>
        <v>250</v>
      </c>
      <c r="V519" s="81">
        <f>+TbAlquiler[[#This Row],[TOTAL]]*TbAlquiler[[#This Row],[P.U. (1)]]</f>
        <v>0</v>
      </c>
      <c r="W519" s="82">
        <f>+VLOOKUP(TbAlquiler[[#This Row],[ITEM]],TbPiezas[],6,FALSE)</f>
        <v>22869</v>
      </c>
      <c r="X519" s="83">
        <f>+TbAlquiler[[#This Row],[TOTAL]]*TbAlquiler[[#This Row],[P.U. (2)]]</f>
        <v>0</v>
      </c>
      <c r="Y519" s="82">
        <f>+VLOOKUP(TbAlquiler[[#This Row],[ITEM]],TbPiezas[],7,FALSE)</f>
        <v>1143.45</v>
      </c>
      <c r="Z519" s="84">
        <f>+TbAlquiler[[#This Row],[TOTAL]]*TbAlquiler[[#This Row],[P.U. (3)]]</f>
        <v>0</v>
      </c>
    </row>
    <row r="520" spans="1:26" s="4" customFormat="1" x14ac:dyDescent="0.3">
      <c r="A520" s="2"/>
      <c r="B520" s="85">
        <v>455</v>
      </c>
      <c r="C520" s="71" t="s">
        <v>900</v>
      </c>
      <c r="D520" s="72" t="s">
        <v>901</v>
      </c>
      <c r="E520" s="73"/>
      <c r="F520" s="74">
        <f>+VLOOKUP(C520,TbAlquiler[],13,FALSE)</f>
        <v>0</v>
      </c>
      <c r="G520" s="2"/>
      <c r="H520" s="75" t="str">
        <f t="shared" si="14"/>
        <v>EV.8000</v>
      </c>
      <c r="I520" s="59" t="str">
        <f t="shared" si="15"/>
        <v>ok</v>
      </c>
      <c r="J520" s="77">
        <f>IFERROR(VLOOKUP($H520,TG[],3,FALSE),"NA")</f>
        <v>0</v>
      </c>
      <c r="K520" s="77" t="str">
        <f>IFERROR(VLOOKUP($H520,TF[],3,FALSE),"NA")</f>
        <v>NA</v>
      </c>
      <c r="L520" s="77" t="str">
        <f>IFERROR(VLOOKUP($H520,TT[],3,FALSE),"NA")</f>
        <v>NA</v>
      </c>
      <c r="M520" s="77" t="str">
        <f>IFERROR(VLOOKUP($H520,TES[],3,FALSE),"NA")</f>
        <v>NA</v>
      </c>
      <c r="N520" s="77" t="str">
        <f>IFERROR(VLOOKUP($H520,TEC[],3,FALSE),"NA")</f>
        <v>NA</v>
      </c>
      <c r="O520" s="77" t="str">
        <f>IFERROR(VLOOKUP($H520,TP[],3,FALSE),"NA")</f>
        <v>NA</v>
      </c>
      <c r="P520" s="77" t="str">
        <f>IFERROR(VLOOKUP($H520,TEN[],3,FALSE),"NA")</f>
        <v>NA</v>
      </c>
      <c r="Q520" s="77" t="str">
        <f>IFERROR(VLOOKUP($H520,TD[],3,FALSE),"NA")</f>
        <v>NA</v>
      </c>
      <c r="R520" s="77" t="str">
        <f>IFERROR(VLOOKUP($H520,TC[],3,FALSE),"NA")</f>
        <v>NA</v>
      </c>
      <c r="S520" s="77">
        <f>IFERROR(VLOOKUP($H520,TEV[],3,FALSE),"NA")</f>
        <v>0</v>
      </c>
      <c r="T520" s="79">
        <f>SUM(TbAlquiler[[#This Row],[GENERAL]:[ELEVADOR]])</f>
        <v>0</v>
      </c>
      <c r="U520" s="80">
        <f>IF(VLOOKUP(TbAlquiler[[#This Row],[ITEM]],TbPiezas[],5,FALSE)="NA",0,VLOOKUP(TbAlquiler[[#This Row],[ITEM]],TbPiezas[],5,FALSE))</f>
        <v>300</v>
      </c>
      <c r="V520" s="81">
        <f>+TbAlquiler[[#This Row],[TOTAL]]*TbAlquiler[[#This Row],[P.U. (1)]]</f>
        <v>0</v>
      </c>
      <c r="W520" s="82">
        <f>+VLOOKUP(TbAlquiler[[#This Row],[ITEM]],TbPiezas[],6,FALSE)</f>
        <v>22869</v>
      </c>
      <c r="X520" s="83">
        <f>+TbAlquiler[[#This Row],[TOTAL]]*TbAlquiler[[#This Row],[P.U. (2)]]</f>
        <v>0</v>
      </c>
      <c r="Y520" s="82">
        <f>+VLOOKUP(TbAlquiler[[#This Row],[ITEM]],TbPiezas[],7,FALSE)</f>
        <v>1143.45</v>
      </c>
      <c r="Z520" s="84">
        <f>+TbAlquiler[[#This Row],[TOTAL]]*TbAlquiler[[#This Row],[P.U. (3)]]</f>
        <v>0</v>
      </c>
    </row>
    <row r="521" spans="1:26" s="4" customFormat="1" x14ac:dyDescent="0.3">
      <c r="A521" s="2"/>
      <c r="B521" s="85"/>
      <c r="C521" s="71"/>
      <c r="D521" s="72" t="s">
        <v>1504</v>
      </c>
      <c r="E521" s="73"/>
      <c r="F521" s="74"/>
      <c r="G521" s="2"/>
      <c r="H521" s="75">
        <f t="shared" si="14"/>
        <v>0</v>
      </c>
      <c r="I521" s="59" t="str">
        <f t="shared" si="15"/>
        <v>ok</v>
      </c>
      <c r="J521" s="77">
        <f>IFERROR(VLOOKUP($H521,TG[],3,FALSE),"NA")</f>
        <v>0</v>
      </c>
      <c r="K521" s="86" t="str">
        <f>IFERROR(VLOOKUP($H521,TF[],3,FALSE),"NA")</f>
        <v>NA</v>
      </c>
      <c r="L521" s="408" t="str">
        <f>IFERROR(VLOOKUP($H521,TT[],3,FALSE),"NA")</f>
        <v>NA</v>
      </c>
      <c r="M521" s="77" t="str">
        <f>IFERROR(VLOOKUP($H521,TES[],3,FALSE),"NA")</f>
        <v>NA</v>
      </c>
      <c r="N521" s="139" t="str">
        <f>IFERROR(VLOOKUP($H521,TEC[],3,FALSE),"NA")</f>
        <v>NA</v>
      </c>
      <c r="O521" s="77" t="str">
        <f>IFERROR(VLOOKUP($H521,TP[],3,FALSE),"NA")</f>
        <v>NA</v>
      </c>
      <c r="P521" s="77" t="str">
        <f>IFERROR(VLOOKUP($H521,TEN[],3,FALSE),"NA")</f>
        <v>NA</v>
      </c>
      <c r="Q521" s="77" t="str">
        <f>IFERROR(VLOOKUP($H521,TD[],3,FALSE),"NA")</f>
        <v>NA</v>
      </c>
      <c r="R521" s="139" t="str">
        <f>IFERROR(VLOOKUP($H521,TC[],3,FALSE),"NA")</f>
        <v>NA</v>
      </c>
      <c r="S521" s="78" t="str">
        <f>IFERROR(VLOOKUP($H521,TEV[],3,FALSE),"NA")</f>
        <v>NA</v>
      </c>
      <c r="T521" s="78">
        <f>SUM(TbAlquiler[[#This Row],[GENERAL]:[ELEVADOR]])</f>
        <v>0</v>
      </c>
      <c r="U521" s="295"/>
      <c r="V521" s="295"/>
      <c r="W521" s="84"/>
      <c r="X521" s="296"/>
      <c r="Y521" s="84"/>
      <c r="Z521" s="296"/>
    </row>
    <row r="522" spans="1:26" s="4" customFormat="1" x14ac:dyDescent="0.3">
      <c r="A522" s="2"/>
      <c r="B522" s="85">
        <v>456</v>
      </c>
      <c r="C522" s="71" t="s">
        <v>902</v>
      </c>
      <c r="D522" s="72" t="s">
        <v>905</v>
      </c>
      <c r="E522" s="73"/>
      <c r="F522" s="74">
        <f>+VLOOKUP(C522,TbAlquiler[],13,FALSE)</f>
        <v>0</v>
      </c>
      <c r="G522" s="2"/>
      <c r="H522" s="75" t="str">
        <f t="shared" si="14"/>
        <v>EV.8100</v>
      </c>
      <c r="I522" s="59" t="str">
        <f t="shared" si="15"/>
        <v>ok</v>
      </c>
      <c r="J522" s="77">
        <f>IFERROR(VLOOKUP($H522,TG[],3,FALSE),"NA")</f>
        <v>0</v>
      </c>
      <c r="K522" s="77" t="str">
        <f>IFERROR(VLOOKUP($H522,TF[],3,FALSE),"NA")</f>
        <v>NA</v>
      </c>
      <c r="L522" s="77" t="str">
        <f>IFERROR(VLOOKUP($H522,TT[],3,FALSE),"NA")</f>
        <v>NA</v>
      </c>
      <c r="M522" s="77" t="str">
        <f>IFERROR(VLOOKUP($H522,TES[],3,FALSE),"NA")</f>
        <v>NA</v>
      </c>
      <c r="N522" s="77" t="str">
        <f>IFERROR(VLOOKUP($H522,TEC[],3,FALSE),"NA")</f>
        <v>NA</v>
      </c>
      <c r="O522" s="77" t="str">
        <f>IFERROR(VLOOKUP($H522,TP[],3,FALSE),"NA")</f>
        <v>NA</v>
      </c>
      <c r="P522" s="77" t="str">
        <f>IFERROR(VLOOKUP($H522,TEN[],3,FALSE),"NA")</f>
        <v>NA</v>
      </c>
      <c r="Q522" s="77" t="str">
        <f>IFERROR(VLOOKUP($H522,TD[],3,FALSE),"NA")</f>
        <v>NA</v>
      </c>
      <c r="R522" s="77" t="str">
        <f>IFERROR(VLOOKUP($H522,TC[],3,FALSE),"NA")</f>
        <v>NA</v>
      </c>
      <c r="S522" s="77">
        <f>IFERROR(VLOOKUP($H522,TEV[],3,FALSE),"NA")</f>
        <v>0</v>
      </c>
      <c r="T522" s="79">
        <f>SUM(TbAlquiler[[#This Row],[GENERAL]:[ELEVADOR]])</f>
        <v>0</v>
      </c>
      <c r="U522" s="80">
        <f>IF(VLOOKUP(TbAlquiler[[#This Row],[ITEM]],TbPiezas[],5,FALSE)="NA",0,VLOOKUP(TbAlquiler[[#This Row],[ITEM]],TbPiezas[],5,FALSE))</f>
        <v>150</v>
      </c>
      <c r="V522" s="81">
        <f>+TbAlquiler[[#This Row],[TOTAL]]*TbAlquiler[[#This Row],[P.U. (1)]]</f>
        <v>0</v>
      </c>
      <c r="W522" s="82">
        <f>+VLOOKUP(TbAlquiler[[#This Row],[ITEM]],TbPiezas[],6,FALSE)</f>
        <v>14157</v>
      </c>
      <c r="X522" s="83">
        <f>+TbAlquiler[[#This Row],[TOTAL]]*TbAlquiler[[#This Row],[P.U. (2)]]</f>
        <v>0</v>
      </c>
      <c r="Y522" s="82">
        <f>+VLOOKUP(TbAlquiler[[#This Row],[ITEM]],TbPiezas[],7,FALSE)</f>
        <v>707.85</v>
      </c>
      <c r="Z522" s="84">
        <f>+TbAlquiler[[#This Row],[TOTAL]]*TbAlquiler[[#This Row],[P.U. (3)]]</f>
        <v>0</v>
      </c>
    </row>
    <row r="523" spans="1:26" s="4" customFormat="1" x14ac:dyDescent="0.3">
      <c r="A523" s="2"/>
      <c r="B523" s="85">
        <v>457</v>
      </c>
      <c r="C523" s="71" t="s">
        <v>904</v>
      </c>
      <c r="D523" s="72" t="s">
        <v>1505</v>
      </c>
      <c r="E523" s="73"/>
      <c r="F523" s="74">
        <f>+VLOOKUP(C523,TbAlquiler[],13,FALSE)</f>
        <v>0</v>
      </c>
      <c r="G523" s="2"/>
      <c r="H523" s="75" t="str">
        <f t="shared" si="14"/>
        <v>EV.8150</v>
      </c>
      <c r="I523" s="59" t="str">
        <f t="shared" si="15"/>
        <v>ok</v>
      </c>
      <c r="J523" s="77">
        <f>IFERROR(VLOOKUP($H523,TG[],3,FALSE),"NA")</f>
        <v>0</v>
      </c>
      <c r="K523" s="77" t="str">
        <f>IFERROR(VLOOKUP($H523,TF[],3,FALSE),"NA")</f>
        <v>NA</v>
      </c>
      <c r="L523" s="77" t="str">
        <f>IFERROR(VLOOKUP($H523,TT[],3,FALSE),"NA")</f>
        <v>NA</v>
      </c>
      <c r="M523" s="77" t="str">
        <f>IFERROR(VLOOKUP($H523,TES[],3,FALSE),"NA")</f>
        <v>NA</v>
      </c>
      <c r="N523" s="77" t="str">
        <f>IFERROR(VLOOKUP($H523,TEC[],3,FALSE),"NA")</f>
        <v>NA</v>
      </c>
      <c r="O523" s="77" t="str">
        <f>IFERROR(VLOOKUP($H523,TP[],3,FALSE),"NA")</f>
        <v>NA</v>
      </c>
      <c r="P523" s="77" t="str">
        <f>IFERROR(VLOOKUP($H523,TEN[],3,FALSE),"NA")</f>
        <v>NA</v>
      </c>
      <c r="Q523" s="77" t="str">
        <f>IFERROR(VLOOKUP($H523,TD[],3,FALSE),"NA")</f>
        <v>NA</v>
      </c>
      <c r="R523" s="77" t="str">
        <f>IFERROR(VLOOKUP($H523,TC[],3,FALSE),"NA")</f>
        <v>NA</v>
      </c>
      <c r="S523" s="77" t="str">
        <f>IFERROR(VLOOKUP($H523,TEV[],3,FALSE),"NA")</f>
        <v>NA</v>
      </c>
      <c r="T523" s="79">
        <f>SUM(TbAlquiler[[#This Row],[GENERAL]:[ELEVADOR]])</f>
        <v>0</v>
      </c>
      <c r="U523" s="80">
        <f>IF(VLOOKUP(TbAlquiler[[#This Row],[ITEM]],TbPiezas[],5,FALSE)="NA",0,VLOOKUP(TbAlquiler[[#This Row],[ITEM]],TbPiezas[],5,FALSE))</f>
        <v>0</v>
      </c>
      <c r="V523" s="81">
        <f>+TbAlquiler[[#This Row],[TOTAL]]*TbAlquiler[[#This Row],[P.U. (1)]]</f>
        <v>0</v>
      </c>
      <c r="W523" s="82">
        <f>+VLOOKUP(TbAlquiler[[#This Row],[ITEM]],TbPiezas[],6,FALSE)</f>
        <v>0</v>
      </c>
      <c r="X523" s="83">
        <f>+TbAlquiler[[#This Row],[TOTAL]]*TbAlquiler[[#This Row],[P.U. (2)]]</f>
        <v>0</v>
      </c>
      <c r="Y523" s="82">
        <f>+VLOOKUP(TbAlquiler[[#This Row],[ITEM]],TbPiezas[],7,FALSE)</f>
        <v>0</v>
      </c>
      <c r="Z523" s="84">
        <f>+TbAlquiler[[#This Row],[TOTAL]]*TbAlquiler[[#This Row],[P.U. (3)]]</f>
        <v>0</v>
      </c>
    </row>
    <row r="524" spans="1:26" s="4" customFormat="1" x14ac:dyDescent="0.3">
      <c r="A524" s="2"/>
      <c r="B524" s="85">
        <v>458</v>
      </c>
      <c r="C524" s="71" t="s">
        <v>1506</v>
      </c>
      <c r="D524" s="72" t="s">
        <v>907</v>
      </c>
      <c r="E524" s="73"/>
      <c r="F524" s="74">
        <f>+VLOOKUP(C524,TbAlquiler[],13,FALSE)</f>
        <v>1</v>
      </c>
      <c r="G524" s="2"/>
      <c r="H524" s="75" t="str">
        <f t="shared" si="14"/>
        <v>EV.8160</v>
      </c>
      <c r="I524" s="59" t="str">
        <f t="shared" si="15"/>
        <v>ok</v>
      </c>
      <c r="J524" s="77">
        <f>IFERROR(VLOOKUP($H524,TG[],3,FALSE),"NA")</f>
        <v>0</v>
      </c>
      <c r="K524" s="77" t="str">
        <f>IFERROR(VLOOKUP($H524,TF[],3,FALSE),"NA")</f>
        <v>NA</v>
      </c>
      <c r="L524" s="77" t="str">
        <f>IFERROR(VLOOKUP($H524,TT[],3,FALSE),"NA")</f>
        <v>NA</v>
      </c>
      <c r="M524" s="77" t="str">
        <f>IFERROR(VLOOKUP($H524,TES[],3,FALSE),"NA")</f>
        <v>NA</v>
      </c>
      <c r="N524" s="77" t="str">
        <f>IFERROR(VLOOKUP($H524,TEC[],3,FALSE),"NA")</f>
        <v>NA</v>
      </c>
      <c r="O524" s="77" t="str">
        <f>IFERROR(VLOOKUP($H524,TP[],3,FALSE),"NA")</f>
        <v>NA</v>
      </c>
      <c r="P524" s="77" t="str">
        <f>IFERROR(VLOOKUP($H524,TEN[],3,FALSE),"NA")</f>
        <v>NA</v>
      </c>
      <c r="Q524" s="77" t="str">
        <f>IFERROR(VLOOKUP($H524,TD[],3,FALSE),"NA")</f>
        <v>NA</v>
      </c>
      <c r="R524" s="77" t="str">
        <f>IFERROR(VLOOKUP($H524,TC[],3,FALSE),"NA")</f>
        <v>NA</v>
      </c>
      <c r="S524" s="77">
        <f>IFERROR(VLOOKUP($H524,TEV[],3,FALSE),"NA")</f>
        <v>1</v>
      </c>
      <c r="T524" s="79">
        <f>SUM(TbAlquiler[[#This Row],[GENERAL]:[ELEVADOR]])</f>
        <v>1</v>
      </c>
      <c r="U524" s="80">
        <f>IF(VLOOKUP(TbAlquiler[[#This Row],[ITEM]],TbPiezas[],5,FALSE)="NA",0,VLOOKUP(TbAlquiler[[#This Row],[ITEM]],TbPiezas[],5,FALSE))</f>
        <v>86.8</v>
      </c>
      <c r="V524" s="81">
        <f>+TbAlquiler[[#This Row],[TOTAL]]*TbAlquiler[[#This Row],[P.U. (1)]]</f>
        <v>86.8</v>
      </c>
      <c r="W524" s="82">
        <f>+VLOOKUP(TbAlquiler[[#This Row],[ITEM]],TbPiezas[],6,FALSE)</f>
        <v>8258.25</v>
      </c>
      <c r="X524" s="83">
        <f>+TbAlquiler[[#This Row],[TOTAL]]*TbAlquiler[[#This Row],[P.U. (2)]]</f>
        <v>8258.25</v>
      </c>
      <c r="Y524" s="82">
        <f>+VLOOKUP(TbAlquiler[[#This Row],[ITEM]],TbPiezas[],7,FALSE)</f>
        <v>412.91250000000002</v>
      </c>
      <c r="Z524" s="84">
        <f>+TbAlquiler[[#This Row],[TOTAL]]*TbAlquiler[[#This Row],[P.U. (3)]]</f>
        <v>412.91250000000002</v>
      </c>
    </row>
    <row r="525" spans="1:26" s="4" customFormat="1" x14ac:dyDescent="0.3">
      <c r="A525" s="2"/>
      <c r="B525" s="85">
        <v>459</v>
      </c>
      <c r="C525" s="71" t="s">
        <v>906</v>
      </c>
      <c r="D525" s="72" t="s">
        <v>909</v>
      </c>
      <c r="E525" s="73"/>
      <c r="F525" s="74">
        <f>+VLOOKUP(C525,TbAlquiler[],13,FALSE)</f>
        <v>0</v>
      </c>
      <c r="G525" s="2"/>
      <c r="H525" s="75" t="str">
        <f t="shared" si="14"/>
        <v>EV.8200</v>
      </c>
      <c r="I525" s="59" t="str">
        <f t="shared" si="15"/>
        <v>ok</v>
      </c>
      <c r="J525" s="77">
        <f>IFERROR(VLOOKUP($H525,TG[],3,FALSE),"NA")</f>
        <v>0</v>
      </c>
      <c r="K525" s="77" t="str">
        <f>IFERROR(VLOOKUP($H525,TF[],3,FALSE),"NA")</f>
        <v>NA</v>
      </c>
      <c r="L525" s="77" t="str">
        <f>IFERROR(VLOOKUP($H525,TT[],3,FALSE),"NA")</f>
        <v>NA</v>
      </c>
      <c r="M525" s="77" t="str">
        <f>IFERROR(VLOOKUP($H525,TES[],3,FALSE),"NA")</f>
        <v>NA</v>
      </c>
      <c r="N525" s="77" t="str">
        <f>IFERROR(VLOOKUP($H525,TEC[],3,FALSE),"NA")</f>
        <v>NA</v>
      </c>
      <c r="O525" s="77" t="str">
        <f>IFERROR(VLOOKUP($H525,TP[],3,FALSE),"NA")</f>
        <v>NA</v>
      </c>
      <c r="P525" s="77" t="str">
        <f>IFERROR(VLOOKUP($H525,TEN[],3,FALSE),"NA")</f>
        <v>NA</v>
      </c>
      <c r="Q525" s="77" t="str">
        <f>IFERROR(VLOOKUP($H525,TD[],3,FALSE),"NA")</f>
        <v>NA</v>
      </c>
      <c r="R525" s="77" t="str">
        <f>IFERROR(VLOOKUP($H525,TC[],3,FALSE),"NA")</f>
        <v>NA</v>
      </c>
      <c r="S525" s="77">
        <f>IFERROR(VLOOKUP($H525,TEV[],3,FALSE),"NA")</f>
        <v>0</v>
      </c>
      <c r="T525" s="79">
        <f>SUM(TbAlquiler[[#This Row],[GENERAL]:[ELEVADOR]])</f>
        <v>0</v>
      </c>
      <c r="U525" s="80">
        <f>IF(VLOOKUP(TbAlquiler[[#This Row],[ITEM]],TbPiezas[],5,FALSE)="NA",0,VLOOKUP(TbAlquiler[[#This Row],[ITEM]],TbPiezas[],5,FALSE))</f>
        <v>12.4</v>
      </c>
      <c r="V525" s="81">
        <f>+TbAlquiler[[#This Row],[TOTAL]]*TbAlquiler[[#This Row],[P.U. (1)]]</f>
        <v>0</v>
      </c>
      <c r="W525" s="82">
        <f>+VLOOKUP(TbAlquiler[[#This Row],[ITEM]],TbPiezas[],6,FALSE)</f>
        <v>1181.57</v>
      </c>
      <c r="X525" s="83">
        <f>+TbAlquiler[[#This Row],[TOTAL]]*TbAlquiler[[#This Row],[P.U. (2)]]</f>
        <v>0</v>
      </c>
      <c r="Y525" s="82">
        <f>+VLOOKUP(TbAlquiler[[#This Row],[ITEM]],TbPiezas[],7,FALSE)</f>
        <v>59.078499999999998</v>
      </c>
      <c r="Z525" s="84">
        <f>+TbAlquiler[[#This Row],[TOTAL]]*TbAlquiler[[#This Row],[P.U. (3)]]</f>
        <v>0</v>
      </c>
    </row>
    <row r="526" spans="1:26" s="4" customFormat="1" x14ac:dyDescent="0.3">
      <c r="A526" s="2"/>
      <c r="B526" s="85"/>
      <c r="C526" s="71" t="s">
        <v>908</v>
      </c>
      <c r="D526" s="72" t="s">
        <v>903</v>
      </c>
      <c r="E526" s="73"/>
      <c r="F526" s="74"/>
      <c r="G526" s="2"/>
      <c r="H526" s="75" t="str">
        <f t="shared" si="14"/>
        <v>EV.8300</v>
      </c>
      <c r="I526" s="59" t="str">
        <f t="shared" si="15"/>
        <v>ok</v>
      </c>
      <c r="J526" s="77">
        <f>IFERROR(VLOOKUP($H526,TG[],3,FALSE),"NA")</f>
        <v>0</v>
      </c>
      <c r="K526" s="86" t="str">
        <f>IFERROR(VLOOKUP($H526,TF[],3,FALSE),"NA")</f>
        <v>NA</v>
      </c>
      <c r="L526" s="408" t="str">
        <f>IFERROR(VLOOKUP($H526,TT[],3,FALSE),"NA")</f>
        <v>NA</v>
      </c>
      <c r="M526" s="77" t="str">
        <f>IFERROR(VLOOKUP($H526,TES[],3,FALSE),"NA")</f>
        <v>NA</v>
      </c>
      <c r="N526" s="139" t="str">
        <f>IFERROR(VLOOKUP($H526,TEC[],3,FALSE),"NA")</f>
        <v>NA</v>
      </c>
      <c r="O526" s="77" t="str">
        <f>IFERROR(VLOOKUP($H526,TP[],3,FALSE),"NA")</f>
        <v>NA</v>
      </c>
      <c r="P526" s="77" t="str">
        <f>IFERROR(VLOOKUP($H526,TEN[],3,FALSE),"NA")</f>
        <v>NA</v>
      </c>
      <c r="Q526" s="77" t="str">
        <f>IFERROR(VLOOKUP($H526,TD[],3,FALSE),"NA")</f>
        <v>NA</v>
      </c>
      <c r="R526" s="139" t="str">
        <f>IFERROR(VLOOKUP($H526,TC[],3,FALSE),"NA")</f>
        <v>NA</v>
      </c>
      <c r="S526" s="78">
        <f>IFERROR(VLOOKUP($H526,TEV[],3,FALSE),"NA")</f>
        <v>1</v>
      </c>
      <c r="T526" s="78">
        <f>SUM(TbAlquiler[[#This Row],[GENERAL]:[ELEVADOR]])</f>
        <v>1</v>
      </c>
      <c r="U526" s="295">
        <f>IF(VLOOKUP(TbAlquiler[[#This Row],[ITEM]],TbPiezas[],5,FALSE)="NA",0,VLOOKUP(TbAlquiler[[#This Row],[ITEM]],TbPiezas[],5,FALSE))</f>
        <v>6.2</v>
      </c>
      <c r="V526" s="295">
        <f>+TbAlquiler[[#This Row],[TOTAL]]*TbAlquiler[[#This Row],[P.U. (1)]]</f>
        <v>6.2</v>
      </c>
      <c r="W526" s="84">
        <f>+VLOOKUP(TbAlquiler[[#This Row],[ITEM]],TbPiezas[],6,FALSE)</f>
        <v>190.58</v>
      </c>
      <c r="X526" s="296">
        <f>+TbAlquiler[[#This Row],[TOTAL]]*TbAlquiler[[#This Row],[P.U. (2)]]</f>
        <v>190.58</v>
      </c>
      <c r="Y526" s="84">
        <f>+VLOOKUP(TbAlquiler[[#This Row],[ITEM]],TbPiezas[],7,FALSE)</f>
        <v>9.5290000000000017</v>
      </c>
      <c r="Z526" s="296">
        <f>+TbAlquiler[[#This Row],[TOTAL]]*TbAlquiler[[#This Row],[P.U. (3)]]</f>
        <v>9.5290000000000017</v>
      </c>
    </row>
    <row r="527" spans="1:26" s="4" customFormat="1" x14ac:dyDescent="0.3">
      <c r="A527" s="2"/>
      <c r="B527" s="85">
        <v>460</v>
      </c>
      <c r="C527" s="71" t="s">
        <v>910</v>
      </c>
      <c r="D527" s="72" t="s">
        <v>911</v>
      </c>
      <c r="E527" s="73"/>
      <c r="F527" s="74">
        <f>+VLOOKUP(C527,TbAlquiler[],13,FALSE)</f>
        <v>1</v>
      </c>
      <c r="G527" s="2"/>
      <c r="H527" s="75" t="str">
        <f t="shared" si="14"/>
        <v>EV.8400</v>
      </c>
      <c r="I527" s="59" t="str">
        <f t="shared" si="15"/>
        <v>ok</v>
      </c>
      <c r="J527" s="77">
        <f>IFERROR(VLOOKUP($H527,TG[],3,FALSE),"NA")</f>
        <v>0</v>
      </c>
      <c r="K527" s="77" t="str">
        <f>IFERROR(VLOOKUP($H527,TF[],3,FALSE),"NA")</f>
        <v>NA</v>
      </c>
      <c r="L527" s="77" t="str">
        <f>IFERROR(VLOOKUP($H527,TT[],3,FALSE),"NA")</f>
        <v>NA</v>
      </c>
      <c r="M527" s="77" t="str">
        <f>IFERROR(VLOOKUP($H527,TES[],3,FALSE),"NA")</f>
        <v>NA</v>
      </c>
      <c r="N527" s="77" t="str">
        <f>IFERROR(VLOOKUP($H527,TEC[],3,FALSE),"NA")</f>
        <v>NA</v>
      </c>
      <c r="O527" s="77" t="str">
        <f>IFERROR(VLOOKUP($H527,TP[],3,FALSE),"NA")</f>
        <v>NA</v>
      </c>
      <c r="P527" s="77" t="str">
        <f>IFERROR(VLOOKUP($H527,TEN[],3,FALSE),"NA")</f>
        <v>NA</v>
      </c>
      <c r="Q527" s="77" t="str">
        <f>IFERROR(VLOOKUP($H527,TD[],3,FALSE),"NA")</f>
        <v>NA</v>
      </c>
      <c r="R527" s="77" t="str">
        <f>IFERROR(VLOOKUP($H527,TC[],3,FALSE),"NA")</f>
        <v>NA</v>
      </c>
      <c r="S527" s="77">
        <f>IFERROR(VLOOKUP($H527,TEV[],3,FALSE),"NA")</f>
        <v>1</v>
      </c>
      <c r="T527" s="79">
        <f>SUM(TbAlquiler[[#This Row],[GENERAL]:[ELEVADOR]])</f>
        <v>1</v>
      </c>
      <c r="U527" s="80">
        <f>IF(VLOOKUP(TbAlquiler[[#This Row],[ITEM]],TbPiezas[],5,FALSE)="NA",0,VLOOKUP(TbAlquiler[[#This Row],[ITEM]],TbPiezas[],5,FALSE))</f>
        <v>0</v>
      </c>
      <c r="V527" s="81">
        <f>+TbAlquiler[[#This Row],[TOTAL]]*TbAlquiler[[#This Row],[P.U. (1)]]</f>
        <v>0</v>
      </c>
      <c r="W527" s="82">
        <f>+VLOOKUP(TbAlquiler[[#This Row],[ITEM]],TbPiezas[],6,FALSE)</f>
        <v>171.52</v>
      </c>
      <c r="X527" s="83">
        <f>+TbAlquiler[[#This Row],[TOTAL]]*TbAlquiler[[#This Row],[P.U. (2)]]</f>
        <v>171.52</v>
      </c>
      <c r="Y527" s="82">
        <f>+VLOOKUP(TbAlquiler[[#This Row],[ITEM]],TbPiezas[],7,FALSE)</f>
        <v>8.5760000000000005</v>
      </c>
      <c r="Z527" s="84">
        <f>+TbAlquiler[[#This Row],[TOTAL]]*TbAlquiler[[#This Row],[P.U. (3)]]</f>
        <v>8.5760000000000005</v>
      </c>
    </row>
    <row r="528" spans="1:26" s="4" customFormat="1" x14ac:dyDescent="0.3">
      <c r="A528" s="2"/>
      <c r="B528" s="85">
        <v>461</v>
      </c>
      <c r="C528" s="71" t="s">
        <v>912</v>
      </c>
      <c r="D528" s="72" t="s">
        <v>913</v>
      </c>
      <c r="E528" s="73"/>
      <c r="F528" s="74">
        <f>+VLOOKUP(C528,TbAlquiler[],13,FALSE)</f>
        <v>1</v>
      </c>
      <c r="G528" s="2"/>
      <c r="H528" s="75" t="str">
        <f t="shared" si="14"/>
        <v>EV.8500</v>
      </c>
      <c r="I528" s="59" t="str">
        <f t="shared" si="15"/>
        <v>ok</v>
      </c>
      <c r="J528" s="77">
        <f>IFERROR(VLOOKUP($H528,TG[],3,FALSE),"NA")</f>
        <v>0</v>
      </c>
      <c r="K528" s="77" t="str">
        <f>IFERROR(VLOOKUP($H528,TF[],3,FALSE),"NA")</f>
        <v>NA</v>
      </c>
      <c r="L528" s="77" t="str">
        <f>IFERROR(VLOOKUP($H528,TT[],3,FALSE),"NA")</f>
        <v>NA</v>
      </c>
      <c r="M528" s="77" t="str">
        <f>IFERROR(VLOOKUP($H528,TES[],3,FALSE),"NA")</f>
        <v>NA</v>
      </c>
      <c r="N528" s="77" t="str">
        <f>IFERROR(VLOOKUP($H528,TEC[],3,FALSE),"NA")</f>
        <v>NA</v>
      </c>
      <c r="O528" s="77" t="str">
        <f>IFERROR(VLOOKUP($H528,TP[],3,FALSE),"NA")</f>
        <v>NA</v>
      </c>
      <c r="P528" s="77" t="str">
        <f>IFERROR(VLOOKUP($H528,TEN[],3,FALSE),"NA")</f>
        <v>NA</v>
      </c>
      <c r="Q528" s="77" t="str">
        <f>IFERROR(VLOOKUP($H528,TD[],3,FALSE),"NA")</f>
        <v>NA</v>
      </c>
      <c r="R528" s="77" t="str">
        <f>IFERROR(VLOOKUP($H528,TC[],3,FALSE),"NA")</f>
        <v>NA</v>
      </c>
      <c r="S528" s="77">
        <f>IFERROR(VLOOKUP($H528,TEV[],3,FALSE),"NA")</f>
        <v>1</v>
      </c>
      <c r="T528" s="79">
        <f>SUM(TbAlquiler[[#This Row],[GENERAL]:[ELEVADOR]])</f>
        <v>1</v>
      </c>
      <c r="U528" s="80">
        <f>IF(VLOOKUP(TbAlquiler[[#This Row],[ITEM]],TbPiezas[],5,FALSE)="NA",0,VLOOKUP(TbAlquiler[[#This Row],[ITEM]],TbPiezas[],5,FALSE))</f>
        <v>54.1</v>
      </c>
      <c r="V528" s="81">
        <f>+TbAlquiler[[#This Row],[TOTAL]]*TbAlquiler[[#This Row],[P.U. (1)]]</f>
        <v>54.1</v>
      </c>
      <c r="W528" s="82">
        <f>+VLOOKUP(TbAlquiler[[#This Row],[ITEM]],TbPiezas[],6,FALSE)</f>
        <v>1245.0899999999999</v>
      </c>
      <c r="X528" s="83">
        <f>+TbAlquiler[[#This Row],[TOTAL]]*TbAlquiler[[#This Row],[P.U. (2)]]</f>
        <v>1245.0899999999999</v>
      </c>
      <c r="Y528" s="82">
        <f>+VLOOKUP(TbAlquiler[[#This Row],[ITEM]],TbPiezas[],7,FALSE)</f>
        <v>62.2545</v>
      </c>
      <c r="Z528" s="84">
        <f>+TbAlquiler[[#This Row],[TOTAL]]*TbAlquiler[[#This Row],[P.U. (3)]]</f>
        <v>62.2545</v>
      </c>
    </row>
    <row r="529" spans="1:26" s="4" customFormat="1" x14ac:dyDescent="0.3">
      <c r="A529" s="2"/>
      <c r="B529" s="85"/>
      <c r="C529" s="71" t="s">
        <v>1509</v>
      </c>
      <c r="D529" s="72" t="s">
        <v>1507</v>
      </c>
      <c r="E529" s="73"/>
      <c r="F529" s="74"/>
      <c r="G529" s="2"/>
      <c r="H529" s="75" t="str">
        <f t="shared" si="14"/>
        <v>EV.8510</v>
      </c>
      <c r="I529" s="59" t="str">
        <f t="shared" si="15"/>
        <v>ok</v>
      </c>
      <c r="J529" s="77">
        <f>IFERROR(VLOOKUP($H529,TG[],3,FALSE),"NA")</f>
        <v>0</v>
      </c>
      <c r="K529" s="86" t="str">
        <f>IFERROR(VLOOKUP($H529,TF[],3,FALSE),"NA")</f>
        <v>NA</v>
      </c>
      <c r="L529" s="408" t="str">
        <f>IFERROR(VLOOKUP($H529,TT[],3,FALSE),"NA")</f>
        <v>NA</v>
      </c>
      <c r="M529" s="77" t="str">
        <f>IFERROR(VLOOKUP($H529,TES[],3,FALSE),"NA")</f>
        <v>NA</v>
      </c>
      <c r="N529" s="139" t="str">
        <f>IFERROR(VLOOKUP($H529,TEC[],3,FALSE),"NA")</f>
        <v>NA</v>
      </c>
      <c r="O529" s="77" t="str">
        <f>IFERROR(VLOOKUP($H529,TP[],3,FALSE),"NA")</f>
        <v>NA</v>
      </c>
      <c r="P529" s="77" t="str">
        <f>IFERROR(VLOOKUP($H529,TEN[],3,FALSE),"NA")</f>
        <v>NA</v>
      </c>
      <c r="Q529" s="77" t="str">
        <f>IFERROR(VLOOKUP($H529,TD[],3,FALSE),"NA")</f>
        <v>NA</v>
      </c>
      <c r="R529" s="139" t="str">
        <f>IFERROR(VLOOKUP($H529,TC[],3,FALSE),"NA")</f>
        <v>NA</v>
      </c>
      <c r="S529" s="78" t="str">
        <f>IFERROR(VLOOKUP($H529,TEV[],3,FALSE),"NA")</f>
        <v>NA</v>
      </c>
      <c r="T529" s="78">
        <f>SUM(TbAlquiler[[#This Row],[GENERAL]:[ELEVADOR]])</f>
        <v>0</v>
      </c>
      <c r="U529" s="295">
        <f>IF(VLOOKUP(TbAlquiler[[#This Row],[ITEM]],TbPiezas[],5,FALSE)="NA",0,VLOOKUP(TbAlquiler[[#This Row],[ITEM]],TbPiezas[],5,FALSE))</f>
        <v>0</v>
      </c>
      <c r="V529" s="295">
        <f>+TbAlquiler[[#This Row],[TOTAL]]*TbAlquiler[[#This Row],[P.U. (1)]]</f>
        <v>0</v>
      </c>
      <c r="W529" s="84">
        <f>+VLOOKUP(TbAlquiler[[#This Row],[ITEM]],TbPiezas[],6,FALSE)</f>
        <v>0</v>
      </c>
      <c r="X529" s="296">
        <f>+TbAlquiler[[#This Row],[TOTAL]]*TbAlquiler[[#This Row],[P.U. (2)]]</f>
        <v>0</v>
      </c>
      <c r="Y529" s="84">
        <f>+VLOOKUP(TbAlquiler[[#This Row],[ITEM]],TbPiezas[],7,FALSE)</f>
        <v>0</v>
      </c>
      <c r="Z529" s="296">
        <f>+TbAlquiler[[#This Row],[TOTAL]]*TbAlquiler[[#This Row],[P.U. (3)]]</f>
        <v>0</v>
      </c>
    </row>
    <row r="530" spans="1:26" s="4" customFormat="1" x14ac:dyDescent="0.3">
      <c r="A530" s="2"/>
      <c r="B530" s="85"/>
      <c r="C530" s="71" t="s">
        <v>1510</v>
      </c>
      <c r="D530" s="72" t="s">
        <v>1508</v>
      </c>
      <c r="E530" s="73"/>
      <c r="F530" s="74"/>
      <c r="G530" s="2"/>
      <c r="H530" s="75" t="str">
        <f t="shared" ref="H530:H562" si="16">+C530</f>
        <v>EV.8520</v>
      </c>
      <c r="I530" s="59" t="str">
        <f t="shared" ref="I530:I562" si="17">+IF(C530=H530,"ok","mal")</f>
        <v>ok</v>
      </c>
      <c r="J530" s="77">
        <f>IFERROR(VLOOKUP($H530,TG[],3,FALSE),"NA")</f>
        <v>0</v>
      </c>
      <c r="K530" s="86" t="str">
        <f>IFERROR(VLOOKUP($H530,TF[],3,FALSE),"NA")</f>
        <v>NA</v>
      </c>
      <c r="L530" s="408" t="str">
        <f>IFERROR(VLOOKUP($H530,TT[],3,FALSE),"NA")</f>
        <v>NA</v>
      </c>
      <c r="M530" s="77" t="str">
        <f>IFERROR(VLOOKUP($H530,TES[],3,FALSE),"NA")</f>
        <v>NA</v>
      </c>
      <c r="N530" s="139" t="str">
        <f>IFERROR(VLOOKUP($H530,TEC[],3,FALSE),"NA")</f>
        <v>NA</v>
      </c>
      <c r="O530" s="77" t="str">
        <f>IFERROR(VLOOKUP($H530,TP[],3,FALSE),"NA")</f>
        <v>NA</v>
      </c>
      <c r="P530" s="77" t="str">
        <f>IFERROR(VLOOKUP($H530,TEN[],3,FALSE),"NA")</f>
        <v>NA</v>
      </c>
      <c r="Q530" s="77" t="str">
        <f>IFERROR(VLOOKUP($H530,TD[],3,FALSE),"NA")</f>
        <v>NA</v>
      </c>
      <c r="R530" s="139" t="str">
        <f>IFERROR(VLOOKUP($H530,TC[],3,FALSE),"NA")</f>
        <v>NA</v>
      </c>
      <c r="S530" s="78" t="str">
        <f>IFERROR(VLOOKUP($H530,TEV[],3,FALSE),"NA")</f>
        <v>NA</v>
      </c>
      <c r="T530" s="78">
        <f>SUM(TbAlquiler[[#This Row],[GENERAL]:[ELEVADOR]])</f>
        <v>0</v>
      </c>
      <c r="U530" s="295">
        <f>IF(VLOOKUP(TbAlquiler[[#This Row],[ITEM]],TbPiezas[],5,FALSE)="NA",0,VLOOKUP(TbAlquiler[[#This Row],[ITEM]],TbPiezas[],5,FALSE))</f>
        <v>0</v>
      </c>
      <c r="V530" s="295">
        <f>+TbAlquiler[[#This Row],[TOTAL]]*TbAlquiler[[#This Row],[P.U. (1)]]</f>
        <v>0</v>
      </c>
      <c r="W530" s="84">
        <f>+VLOOKUP(TbAlquiler[[#This Row],[ITEM]],TbPiezas[],6,FALSE)</f>
        <v>0</v>
      </c>
      <c r="X530" s="296">
        <f>+TbAlquiler[[#This Row],[TOTAL]]*TbAlquiler[[#This Row],[P.U. (2)]]</f>
        <v>0</v>
      </c>
      <c r="Y530" s="84">
        <f>+VLOOKUP(TbAlquiler[[#This Row],[ITEM]],TbPiezas[],7,FALSE)</f>
        <v>0</v>
      </c>
      <c r="Z530" s="296">
        <f>+TbAlquiler[[#This Row],[TOTAL]]*TbAlquiler[[#This Row],[P.U. (3)]]</f>
        <v>0</v>
      </c>
    </row>
    <row r="531" spans="1:26" s="4" customFormat="1" x14ac:dyDescent="0.3">
      <c r="A531" s="2"/>
      <c r="B531" s="85">
        <v>462</v>
      </c>
      <c r="C531" s="71" t="s">
        <v>914</v>
      </c>
      <c r="D531" s="72" t="s">
        <v>915</v>
      </c>
      <c r="E531" s="73"/>
      <c r="F531" s="74">
        <f>+VLOOKUP(C531,TbAlquiler[],13,FALSE)</f>
        <v>1</v>
      </c>
      <c r="G531" s="2"/>
      <c r="H531" s="75" t="str">
        <f t="shared" si="16"/>
        <v>EV.8600</v>
      </c>
      <c r="I531" s="59" t="str">
        <f t="shared" si="17"/>
        <v>ok</v>
      </c>
      <c r="J531" s="77">
        <f>IFERROR(VLOOKUP($H531,TG[],3,FALSE),"NA")</f>
        <v>0</v>
      </c>
      <c r="K531" s="77" t="str">
        <f>IFERROR(VLOOKUP($H531,TF[],3,FALSE),"NA")</f>
        <v>NA</v>
      </c>
      <c r="L531" s="77" t="str">
        <f>IFERROR(VLOOKUP($H531,TT[],3,FALSE),"NA")</f>
        <v>NA</v>
      </c>
      <c r="M531" s="77" t="str">
        <f>IFERROR(VLOOKUP($H531,TES[],3,FALSE),"NA")</f>
        <v>NA</v>
      </c>
      <c r="N531" s="77" t="str">
        <f>IFERROR(VLOOKUP($H531,TEC[],3,FALSE),"NA")</f>
        <v>NA</v>
      </c>
      <c r="O531" s="77" t="str">
        <f>IFERROR(VLOOKUP($H531,TP[],3,FALSE),"NA")</f>
        <v>NA</v>
      </c>
      <c r="P531" s="77" t="str">
        <f>IFERROR(VLOOKUP($H531,TEN[],3,FALSE),"NA")</f>
        <v>NA</v>
      </c>
      <c r="Q531" s="77" t="str">
        <f>IFERROR(VLOOKUP($H531,TD[],3,FALSE),"NA")</f>
        <v>NA</v>
      </c>
      <c r="R531" s="77" t="str">
        <f>IFERROR(VLOOKUP($H531,TC[],3,FALSE),"NA")</f>
        <v>NA</v>
      </c>
      <c r="S531" s="77">
        <f>IFERROR(VLOOKUP($H531,TEV[],3,FALSE),"NA")</f>
        <v>1</v>
      </c>
      <c r="T531" s="79">
        <f>SUM(TbAlquiler[[#This Row],[GENERAL]:[ELEVADOR]])</f>
        <v>1</v>
      </c>
      <c r="U531" s="80">
        <f>IF(VLOOKUP(TbAlquiler[[#This Row],[ITEM]],TbPiezas[],5,FALSE)="NA",0,VLOOKUP(TbAlquiler[[#This Row],[ITEM]],TbPiezas[],5,FALSE))</f>
        <v>3</v>
      </c>
      <c r="V531" s="81">
        <f>+TbAlquiler[[#This Row],[TOTAL]]*TbAlquiler[[#This Row],[P.U. (1)]]</f>
        <v>3</v>
      </c>
      <c r="W531" s="82">
        <f>+VLOOKUP(TbAlquiler[[#This Row],[ITEM]],TbPiezas[],6,FALSE)</f>
        <v>317.63</v>
      </c>
      <c r="X531" s="83">
        <f>+TbAlquiler[[#This Row],[TOTAL]]*TbAlquiler[[#This Row],[P.U. (2)]]</f>
        <v>317.63</v>
      </c>
      <c r="Y531" s="82">
        <f>+VLOOKUP(TbAlquiler[[#This Row],[ITEM]],TbPiezas[],7,FALSE)</f>
        <v>15.881500000000001</v>
      </c>
      <c r="Z531" s="84">
        <f>+TbAlquiler[[#This Row],[TOTAL]]*TbAlquiler[[#This Row],[P.U. (3)]]</f>
        <v>15.881500000000001</v>
      </c>
    </row>
    <row r="532" spans="1:26" s="4" customFormat="1" x14ac:dyDescent="0.3">
      <c r="A532" s="2"/>
      <c r="B532" s="85">
        <v>463</v>
      </c>
      <c r="C532" s="71" t="s">
        <v>916</v>
      </c>
      <c r="D532" s="72" t="s">
        <v>917</v>
      </c>
      <c r="E532" s="73"/>
      <c r="F532" s="74">
        <f>+VLOOKUP(C532,TbAlquiler[],13,FALSE)</f>
        <v>1</v>
      </c>
      <c r="G532" s="2"/>
      <c r="H532" s="75" t="str">
        <f t="shared" si="16"/>
        <v>EV.8700</v>
      </c>
      <c r="I532" s="59" t="str">
        <f t="shared" si="17"/>
        <v>ok</v>
      </c>
      <c r="J532" s="77">
        <f>IFERROR(VLOOKUP($H532,TG[],3,FALSE),"NA")</f>
        <v>0</v>
      </c>
      <c r="K532" s="77" t="str">
        <f>IFERROR(VLOOKUP($H532,TF[],3,FALSE),"NA")</f>
        <v>NA</v>
      </c>
      <c r="L532" s="77" t="str">
        <f>IFERROR(VLOOKUP($H532,TT[],3,FALSE),"NA")</f>
        <v>NA</v>
      </c>
      <c r="M532" s="77" t="str">
        <f>IFERROR(VLOOKUP($H532,TES[],3,FALSE),"NA")</f>
        <v>NA</v>
      </c>
      <c r="N532" s="77" t="str">
        <f>IFERROR(VLOOKUP($H532,TEC[],3,FALSE),"NA")</f>
        <v>NA</v>
      </c>
      <c r="O532" s="77" t="str">
        <f>IFERROR(VLOOKUP($H532,TP[],3,FALSE),"NA")</f>
        <v>NA</v>
      </c>
      <c r="P532" s="77" t="str">
        <f>IFERROR(VLOOKUP($H532,TEN[],3,FALSE),"NA")</f>
        <v>NA</v>
      </c>
      <c r="Q532" s="77" t="str">
        <f>IFERROR(VLOOKUP($H532,TD[],3,FALSE),"NA")</f>
        <v>NA</v>
      </c>
      <c r="R532" s="77" t="str">
        <f>IFERROR(VLOOKUP($H532,TC[],3,FALSE),"NA")</f>
        <v>NA</v>
      </c>
      <c r="S532" s="77">
        <f>IFERROR(VLOOKUP($H532,TEV[],3,FALSE),"NA")</f>
        <v>1</v>
      </c>
      <c r="T532" s="79">
        <f>SUM(TbAlquiler[[#This Row],[GENERAL]:[ELEVADOR]])</f>
        <v>1</v>
      </c>
      <c r="U532" s="80">
        <f>IF(VLOOKUP(TbAlquiler[[#This Row],[ITEM]],TbPiezas[],5,FALSE)="NA",0,VLOOKUP(TbAlquiler[[#This Row],[ITEM]],TbPiezas[],5,FALSE))</f>
        <v>3</v>
      </c>
      <c r="V532" s="81">
        <f>+TbAlquiler[[#This Row],[TOTAL]]*TbAlquiler[[#This Row],[P.U. (1)]]</f>
        <v>3</v>
      </c>
      <c r="W532" s="82">
        <f>+VLOOKUP(TbAlquiler[[#This Row],[ITEM]],TbPiezas[],6,FALSE)</f>
        <v>190.58</v>
      </c>
      <c r="X532" s="83">
        <f>+TbAlquiler[[#This Row],[TOTAL]]*TbAlquiler[[#This Row],[P.U. (2)]]</f>
        <v>190.58</v>
      </c>
      <c r="Y532" s="82">
        <f>+VLOOKUP(TbAlquiler[[#This Row],[ITEM]],TbPiezas[],7,FALSE)</f>
        <v>9.5290000000000017</v>
      </c>
      <c r="Z532" s="84">
        <f>+TbAlquiler[[#This Row],[TOTAL]]*TbAlquiler[[#This Row],[P.U. (3)]]</f>
        <v>9.5290000000000017</v>
      </c>
    </row>
    <row r="533" spans="1:26" s="4" customFormat="1" x14ac:dyDescent="0.3">
      <c r="A533" s="2"/>
      <c r="B533" s="85">
        <v>464</v>
      </c>
      <c r="C533" s="71" t="s">
        <v>918</v>
      </c>
      <c r="D533" s="72" t="s">
        <v>919</v>
      </c>
      <c r="E533" s="73"/>
      <c r="F533" s="74">
        <f>+VLOOKUP(C533,TbAlquiler[],13,FALSE)</f>
        <v>1</v>
      </c>
      <c r="G533" s="2"/>
      <c r="H533" s="75" t="str">
        <f t="shared" si="16"/>
        <v>EV.8800</v>
      </c>
      <c r="I533" s="59" t="str">
        <f t="shared" si="17"/>
        <v>ok</v>
      </c>
      <c r="J533" s="77">
        <f>IFERROR(VLOOKUP($H533,TG[],3,FALSE),"NA")</f>
        <v>0</v>
      </c>
      <c r="K533" s="77" t="str">
        <f>IFERROR(VLOOKUP($H533,TF[],3,FALSE),"NA")</f>
        <v>NA</v>
      </c>
      <c r="L533" s="77" t="str">
        <f>IFERROR(VLOOKUP($H533,TT[],3,FALSE),"NA")</f>
        <v>NA</v>
      </c>
      <c r="M533" s="77" t="str">
        <f>IFERROR(VLOOKUP($H533,TES[],3,FALSE),"NA")</f>
        <v>NA</v>
      </c>
      <c r="N533" s="77" t="str">
        <f>IFERROR(VLOOKUP($H533,TEC[],3,FALSE),"NA")</f>
        <v>NA</v>
      </c>
      <c r="O533" s="77" t="str">
        <f>IFERROR(VLOOKUP($H533,TP[],3,FALSE),"NA")</f>
        <v>NA</v>
      </c>
      <c r="P533" s="77" t="str">
        <f>IFERROR(VLOOKUP($H533,TEN[],3,FALSE),"NA")</f>
        <v>NA</v>
      </c>
      <c r="Q533" s="77" t="str">
        <f>IFERROR(VLOOKUP($H533,TD[],3,FALSE),"NA")</f>
        <v>NA</v>
      </c>
      <c r="R533" s="77" t="str">
        <f>IFERROR(VLOOKUP($H533,TC[],3,FALSE),"NA")</f>
        <v>NA</v>
      </c>
      <c r="S533" s="77">
        <f>IFERROR(VLOOKUP($H533,TEV[],3,FALSE),"NA")</f>
        <v>1</v>
      </c>
      <c r="T533" s="79">
        <f>SUM(TbAlquiler[[#This Row],[GENERAL]:[ELEVADOR]])</f>
        <v>1</v>
      </c>
      <c r="U533" s="80">
        <f>IF(VLOOKUP(TbAlquiler[[#This Row],[ITEM]],TbPiezas[],5,FALSE)="NA",0,VLOOKUP(TbAlquiler[[#This Row],[ITEM]],TbPiezas[],5,FALSE))</f>
        <v>1</v>
      </c>
      <c r="V533" s="81">
        <f>+TbAlquiler[[#This Row],[TOTAL]]*TbAlquiler[[#This Row],[P.U. (1)]]</f>
        <v>1</v>
      </c>
      <c r="W533" s="82">
        <f>+VLOOKUP(TbAlquiler[[#This Row],[ITEM]],TbPiezas[],6,FALSE)</f>
        <v>101.64</v>
      </c>
      <c r="X533" s="83">
        <f>+TbAlquiler[[#This Row],[TOTAL]]*TbAlquiler[[#This Row],[P.U. (2)]]</f>
        <v>101.64</v>
      </c>
      <c r="Y533" s="82">
        <f>+VLOOKUP(TbAlquiler[[#This Row],[ITEM]],TbPiezas[],7,FALSE)</f>
        <v>5.0820000000000007</v>
      </c>
      <c r="Z533" s="84">
        <f>+TbAlquiler[[#This Row],[TOTAL]]*TbAlquiler[[#This Row],[P.U. (3)]]</f>
        <v>5.0820000000000007</v>
      </c>
    </row>
    <row r="534" spans="1:26" s="4" customFormat="1" x14ac:dyDescent="0.3">
      <c r="A534" s="2"/>
      <c r="B534" s="85">
        <v>465</v>
      </c>
      <c r="C534" s="71" t="s">
        <v>920</v>
      </c>
      <c r="D534" s="72" t="s">
        <v>921</v>
      </c>
      <c r="E534" s="73"/>
      <c r="F534" s="74">
        <f>+VLOOKUP(C534,TbAlquiler[],13,FALSE)</f>
        <v>1</v>
      </c>
      <c r="G534" s="2"/>
      <c r="H534" s="75" t="str">
        <f t="shared" si="16"/>
        <v>EV.8900</v>
      </c>
      <c r="I534" s="59" t="str">
        <f t="shared" si="17"/>
        <v>ok</v>
      </c>
      <c r="J534" s="77">
        <f>IFERROR(VLOOKUP($H534,TG[],3,FALSE),"NA")</f>
        <v>0</v>
      </c>
      <c r="K534" s="77" t="str">
        <f>IFERROR(VLOOKUP($H534,TF[],3,FALSE),"NA")</f>
        <v>NA</v>
      </c>
      <c r="L534" s="77" t="str">
        <f>IFERROR(VLOOKUP($H534,TT[],3,FALSE),"NA")</f>
        <v>NA</v>
      </c>
      <c r="M534" s="77" t="str">
        <f>IFERROR(VLOOKUP($H534,TES[],3,FALSE),"NA")</f>
        <v>NA</v>
      </c>
      <c r="N534" s="77" t="str">
        <f>IFERROR(VLOOKUP($H534,TEC[],3,FALSE),"NA")</f>
        <v>NA</v>
      </c>
      <c r="O534" s="77" t="str">
        <f>IFERROR(VLOOKUP($H534,TP[],3,FALSE),"NA")</f>
        <v>NA</v>
      </c>
      <c r="P534" s="77" t="str">
        <f>IFERROR(VLOOKUP($H534,TEN[],3,FALSE),"NA")</f>
        <v>NA</v>
      </c>
      <c r="Q534" s="77" t="str">
        <f>IFERROR(VLOOKUP($H534,TD[],3,FALSE),"NA")</f>
        <v>NA</v>
      </c>
      <c r="R534" s="77" t="str">
        <f>IFERROR(VLOOKUP($H534,TC[],3,FALSE),"NA")</f>
        <v>NA</v>
      </c>
      <c r="S534" s="77">
        <f>IFERROR(VLOOKUP($H534,TEV[],3,FALSE),"NA")</f>
        <v>1</v>
      </c>
      <c r="T534" s="79">
        <f>SUM(TbAlquiler[[#This Row],[GENERAL]:[ELEVADOR]])</f>
        <v>1</v>
      </c>
      <c r="U534" s="80">
        <f>IF(VLOOKUP(TbAlquiler[[#This Row],[ITEM]],TbPiezas[],5,FALSE)="NA",0,VLOOKUP(TbAlquiler[[#This Row],[ITEM]],TbPiezas[],5,FALSE))</f>
        <v>0.4</v>
      </c>
      <c r="V534" s="81">
        <f>+TbAlquiler[[#This Row],[TOTAL]]*TbAlquiler[[#This Row],[P.U. (1)]]</f>
        <v>0.4</v>
      </c>
      <c r="W534" s="82">
        <f>+VLOOKUP(TbAlquiler[[#This Row],[ITEM]],TbPiezas[],6,FALSE)</f>
        <v>825.83</v>
      </c>
      <c r="X534" s="83">
        <f>+TbAlquiler[[#This Row],[TOTAL]]*TbAlquiler[[#This Row],[P.U. (2)]]</f>
        <v>825.83</v>
      </c>
      <c r="Y534" s="82">
        <f>+VLOOKUP(TbAlquiler[[#This Row],[ITEM]],TbPiezas[],7,FALSE)</f>
        <v>41.291500000000006</v>
      </c>
      <c r="Z534" s="84">
        <f>+TbAlquiler[[#This Row],[TOTAL]]*TbAlquiler[[#This Row],[P.U. (3)]]</f>
        <v>41.291500000000006</v>
      </c>
    </row>
    <row r="535" spans="1:26" s="4" customFormat="1" x14ac:dyDescent="0.3">
      <c r="A535" s="2"/>
      <c r="B535" s="85">
        <v>466</v>
      </c>
      <c r="C535" s="71" t="s">
        <v>922</v>
      </c>
      <c r="D535" s="72" t="s">
        <v>923</v>
      </c>
      <c r="E535" s="73"/>
      <c r="F535" s="74">
        <f>+VLOOKUP(C535,TbAlquiler[],13,FALSE)</f>
        <v>0</v>
      </c>
      <c r="G535" s="2"/>
      <c r="H535" s="75" t="str">
        <f t="shared" si="16"/>
        <v>EV.9000</v>
      </c>
      <c r="I535" s="59" t="str">
        <f t="shared" si="17"/>
        <v>ok</v>
      </c>
      <c r="J535" s="77">
        <f>IFERROR(VLOOKUP($H535,TG[],3,FALSE),"NA")</f>
        <v>0</v>
      </c>
      <c r="K535" s="77" t="str">
        <f>IFERROR(VLOOKUP($H535,TF[],3,FALSE),"NA")</f>
        <v>NA</v>
      </c>
      <c r="L535" s="77" t="str">
        <f>IFERROR(VLOOKUP($H535,TT[],3,FALSE),"NA")</f>
        <v>NA</v>
      </c>
      <c r="M535" s="77" t="str">
        <f>IFERROR(VLOOKUP($H535,TES[],3,FALSE),"NA")</f>
        <v>NA</v>
      </c>
      <c r="N535" s="77" t="str">
        <f>IFERROR(VLOOKUP($H535,TEC[],3,FALSE),"NA")</f>
        <v>NA</v>
      </c>
      <c r="O535" s="77" t="str">
        <f>IFERROR(VLOOKUP($H535,TP[],3,FALSE),"NA")</f>
        <v>NA</v>
      </c>
      <c r="P535" s="77" t="str">
        <f>IFERROR(VLOOKUP($H535,TEN[],3,FALSE),"NA")</f>
        <v>NA</v>
      </c>
      <c r="Q535" s="77" t="str">
        <f>IFERROR(VLOOKUP($H535,TD[],3,FALSE),"NA")</f>
        <v>NA</v>
      </c>
      <c r="R535" s="77" t="str">
        <f>IFERROR(VLOOKUP($H535,TC[],3,FALSE),"NA")</f>
        <v>NA</v>
      </c>
      <c r="S535" s="77">
        <f>IFERROR(VLOOKUP($H535,TEV[],3,FALSE),"NA")</f>
        <v>0</v>
      </c>
      <c r="T535" s="79">
        <f>SUM(TbAlquiler[[#This Row],[GENERAL]:[ELEVADOR]])</f>
        <v>0</v>
      </c>
      <c r="U535" s="80">
        <f>IF(VLOOKUP(TbAlquiler[[#This Row],[ITEM]],TbPiezas[],5,FALSE)="NA",0,VLOOKUP(TbAlquiler[[#This Row],[ITEM]],TbPiezas[],5,FALSE))</f>
        <v>0.7</v>
      </c>
      <c r="V535" s="81">
        <f>+TbAlquiler[[#This Row],[TOTAL]]*TbAlquiler[[#This Row],[P.U. (1)]]</f>
        <v>0</v>
      </c>
      <c r="W535" s="82">
        <f>+VLOOKUP(TbAlquiler[[#This Row],[ITEM]],TbPiezas[],6,FALSE)</f>
        <v>317.63</v>
      </c>
      <c r="X535" s="83">
        <f>+TbAlquiler[[#This Row],[TOTAL]]*TbAlquiler[[#This Row],[P.U. (2)]]</f>
        <v>0</v>
      </c>
      <c r="Y535" s="82">
        <f>+VLOOKUP(TbAlquiler[[#This Row],[ITEM]],TbPiezas[],7,FALSE)</f>
        <v>15.881500000000001</v>
      </c>
      <c r="Z535" s="84">
        <f>+TbAlquiler[[#This Row],[TOTAL]]*TbAlquiler[[#This Row],[P.U. (3)]]</f>
        <v>0</v>
      </c>
    </row>
    <row r="536" spans="1:26" s="4" customFormat="1" x14ac:dyDescent="0.3">
      <c r="A536" s="2"/>
      <c r="B536" s="85">
        <v>467</v>
      </c>
      <c r="C536" s="71" t="s">
        <v>924</v>
      </c>
      <c r="D536" s="72" t="s">
        <v>925</v>
      </c>
      <c r="E536" s="73"/>
      <c r="F536" s="74">
        <f>+VLOOKUP(C536,TbAlquiler[],13,FALSE)</f>
        <v>0</v>
      </c>
      <c r="G536" s="2"/>
      <c r="H536" s="75" t="str">
        <f t="shared" si="16"/>
        <v>EV.9050</v>
      </c>
      <c r="I536" s="59" t="str">
        <f t="shared" si="17"/>
        <v>ok</v>
      </c>
      <c r="J536" s="77">
        <f>IFERROR(VLOOKUP($H536,TG[],3,FALSE),"NA")</f>
        <v>0</v>
      </c>
      <c r="K536" s="77" t="str">
        <f>IFERROR(VLOOKUP($H536,TF[],3,FALSE),"NA")</f>
        <v>NA</v>
      </c>
      <c r="L536" s="77" t="str">
        <f>IFERROR(VLOOKUP($H536,TT[],3,FALSE),"NA")</f>
        <v>NA</v>
      </c>
      <c r="M536" s="77" t="str">
        <f>IFERROR(VLOOKUP($H536,TES[],3,FALSE),"NA")</f>
        <v>NA</v>
      </c>
      <c r="N536" s="77" t="str">
        <f>IFERROR(VLOOKUP($H536,TEC[],3,FALSE),"NA")</f>
        <v>NA</v>
      </c>
      <c r="O536" s="77" t="str">
        <f>IFERROR(VLOOKUP($H536,TP[],3,FALSE),"NA")</f>
        <v>NA</v>
      </c>
      <c r="P536" s="77" t="str">
        <f>IFERROR(VLOOKUP($H536,TEN[],3,FALSE),"NA")</f>
        <v>NA</v>
      </c>
      <c r="Q536" s="77" t="str">
        <f>IFERROR(VLOOKUP($H536,TD[],3,FALSE),"NA")</f>
        <v>NA</v>
      </c>
      <c r="R536" s="77" t="str">
        <f>IFERROR(VLOOKUP($H536,TC[],3,FALSE),"NA")</f>
        <v>NA</v>
      </c>
      <c r="S536" s="77">
        <f>IFERROR(VLOOKUP($H536,TEV[],3,FALSE),"NA")</f>
        <v>0</v>
      </c>
      <c r="T536" s="79">
        <f>SUM(TbAlquiler[[#This Row],[GENERAL]:[ELEVADOR]])</f>
        <v>0</v>
      </c>
      <c r="U536" s="80">
        <f>IF(VLOOKUP(TbAlquiler[[#This Row],[ITEM]],TbPiezas[],5,FALSE)="NA",0,VLOOKUP(TbAlquiler[[#This Row],[ITEM]],TbPiezas[],5,FALSE))</f>
        <v>2</v>
      </c>
      <c r="V536" s="81">
        <f>+TbAlquiler[[#This Row],[TOTAL]]*TbAlquiler[[#This Row],[P.U. (1)]]</f>
        <v>0</v>
      </c>
      <c r="W536" s="82">
        <f>+VLOOKUP(TbAlquiler[[#This Row],[ITEM]],TbPiezas[],6,FALSE)</f>
        <v>45.1</v>
      </c>
      <c r="X536" s="83">
        <f>+TbAlquiler[[#This Row],[TOTAL]]*TbAlquiler[[#This Row],[P.U. (2)]]</f>
        <v>0</v>
      </c>
      <c r="Y536" s="82">
        <f>+VLOOKUP(TbAlquiler[[#This Row],[ITEM]],TbPiezas[],7,FALSE)</f>
        <v>2.2550000000000003</v>
      </c>
      <c r="Z536" s="84">
        <f>+TbAlquiler[[#This Row],[TOTAL]]*TbAlquiler[[#This Row],[P.U. (3)]]</f>
        <v>0</v>
      </c>
    </row>
    <row r="537" spans="1:26" s="4" customFormat="1" x14ac:dyDescent="0.3">
      <c r="A537" s="2"/>
      <c r="B537" s="85">
        <v>468</v>
      </c>
      <c r="C537" s="71" t="s">
        <v>926</v>
      </c>
      <c r="D537" s="72" t="s">
        <v>927</v>
      </c>
      <c r="E537" s="73"/>
      <c r="F537" s="74">
        <f>+VLOOKUP(C537,TbAlquiler[],13,FALSE)</f>
        <v>4</v>
      </c>
      <c r="G537" s="2"/>
      <c r="H537" s="75" t="str">
        <f t="shared" si="16"/>
        <v>EV.9100</v>
      </c>
      <c r="I537" s="59" t="str">
        <f t="shared" si="17"/>
        <v>ok</v>
      </c>
      <c r="J537" s="77">
        <f>IFERROR(VLOOKUP($H537,TG[],3,FALSE),"NA")</f>
        <v>0</v>
      </c>
      <c r="K537" s="77" t="str">
        <f>IFERROR(VLOOKUP($H537,TF[],3,FALSE),"NA")</f>
        <v>NA</v>
      </c>
      <c r="L537" s="77" t="str">
        <f>IFERROR(VLOOKUP($H537,TT[],3,FALSE),"NA")</f>
        <v>NA</v>
      </c>
      <c r="M537" s="77" t="str">
        <f>IFERROR(VLOOKUP($H537,TES[],3,FALSE),"NA")</f>
        <v>NA</v>
      </c>
      <c r="N537" s="77" t="str">
        <f>IFERROR(VLOOKUP($H537,TEC[],3,FALSE),"NA")</f>
        <v>NA</v>
      </c>
      <c r="O537" s="77" t="str">
        <f>IFERROR(VLOOKUP($H537,TP[],3,FALSE),"NA")</f>
        <v>NA</v>
      </c>
      <c r="P537" s="77" t="str">
        <f>IFERROR(VLOOKUP($H537,TEN[],3,FALSE),"NA")</f>
        <v>NA</v>
      </c>
      <c r="Q537" s="77" t="str">
        <f>IFERROR(VLOOKUP($H537,TD[],3,FALSE),"NA")</f>
        <v>NA</v>
      </c>
      <c r="R537" s="77" t="str">
        <f>IFERROR(VLOOKUP($H537,TC[],3,FALSE),"NA")</f>
        <v>NA</v>
      </c>
      <c r="S537" s="77">
        <f>IFERROR(VLOOKUP($H537,TEV[],3,FALSE),"NA")</f>
        <v>4</v>
      </c>
      <c r="T537" s="79">
        <f>SUM(TbAlquiler[[#This Row],[GENERAL]:[ELEVADOR]])</f>
        <v>4</v>
      </c>
      <c r="U537" s="80">
        <f>IF(VLOOKUP(TbAlquiler[[#This Row],[ITEM]],TbPiezas[],5,FALSE)="NA",0,VLOOKUP(TbAlquiler[[#This Row],[ITEM]],TbPiezas[],5,FALSE))</f>
        <v>0.72899999999999998</v>
      </c>
      <c r="V537" s="81">
        <f>+TbAlquiler[[#This Row],[TOTAL]]*TbAlquiler[[#This Row],[P.U. (1)]]</f>
        <v>2.9159999999999999</v>
      </c>
      <c r="W537" s="82">
        <f>+VLOOKUP(TbAlquiler[[#This Row],[ITEM]],TbPiezas[],6,FALSE)</f>
        <v>19.059999999999999</v>
      </c>
      <c r="X537" s="83">
        <f>+TbAlquiler[[#This Row],[TOTAL]]*TbAlquiler[[#This Row],[P.U. (2)]]</f>
        <v>76.239999999999995</v>
      </c>
      <c r="Y537" s="82">
        <f>+VLOOKUP(TbAlquiler[[#This Row],[ITEM]],TbPiezas[],7,FALSE)</f>
        <v>0.95299999999999996</v>
      </c>
      <c r="Z537" s="84">
        <f>+TbAlquiler[[#This Row],[TOTAL]]*TbAlquiler[[#This Row],[P.U. (3)]]</f>
        <v>3.8119999999999998</v>
      </c>
    </row>
    <row r="538" spans="1:26" s="4" customFormat="1" x14ac:dyDescent="0.3">
      <c r="A538" s="2"/>
      <c r="B538" s="85">
        <v>469</v>
      </c>
      <c r="C538" s="71" t="s">
        <v>928</v>
      </c>
      <c r="D538" s="72" t="s">
        <v>929</v>
      </c>
      <c r="E538" s="73"/>
      <c r="F538" s="74">
        <f>+VLOOKUP(C538,TbAlquiler[],13,FALSE)</f>
        <v>200</v>
      </c>
      <c r="G538" s="2"/>
      <c r="H538" s="75" t="str">
        <f t="shared" si="16"/>
        <v>EV.9200</v>
      </c>
      <c r="I538" s="59" t="str">
        <f t="shared" si="17"/>
        <v>ok</v>
      </c>
      <c r="J538" s="77">
        <f>IFERROR(VLOOKUP($H538,TG[],3,FALSE),"NA")</f>
        <v>0</v>
      </c>
      <c r="K538" s="77" t="str">
        <f>IFERROR(VLOOKUP($H538,TF[],3,FALSE),"NA")</f>
        <v>NA</v>
      </c>
      <c r="L538" s="77" t="str">
        <f>IFERROR(VLOOKUP($H538,TT[],3,FALSE),"NA")</f>
        <v>NA</v>
      </c>
      <c r="M538" s="77" t="str">
        <f>IFERROR(VLOOKUP($H538,TES[],3,FALSE),"NA")</f>
        <v>NA</v>
      </c>
      <c r="N538" s="77" t="str">
        <f>IFERROR(VLOOKUP($H538,TEC[],3,FALSE),"NA")</f>
        <v>NA</v>
      </c>
      <c r="O538" s="77" t="str">
        <f>IFERROR(VLOOKUP($H538,TP[],3,FALSE),"NA")</f>
        <v>NA</v>
      </c>
      <c r="P538" s="77" t="str">
        <f>IFERROR(VLOOKUP($H538,TEN[],3,FALSE),"NA")</f>
        <v>NA</v>
      </c>
      <c r="Q538" s="77" t="str">
        <f>IFERROR(VLOOKUP($H538,TD[],3,FALSE),"NA")</f>
        <v>NA</v>
      </c>
      <c r="R538" s="77" t="str">
        <f>IFERROR(VLOOKUP($H538,TC[],3,FALSE),"NA")</f>
        <v>NA</v>
      </c>
      <c r="S538" s="77">
        <f>IFERROR(VLOOKUP($H538,TEV[],3,FALSE),"NA")</f>
        <v>200</v>
      </c>
      <c r="T538" s="79">
        <f>SUM(TbAlquiler[[#This Row],[GENERAL]:[ELEVADOR]])</f>
        <v>200</v>
      </c>
      <c r="U538" s="80">
        <f>IF(VLOOKUP(TbAlquiler[[#This Row],[ITEM]],TbPiezas[],5,FALSE)="NA",0,VLOOKUP(TbAlquiler[[#This Row],[ITEM]],TbPiezas[],5,FALSE))</f>
        <v>1.1000000000000001</v>
      </c>
      <c r="V538" s="81">
        <f>+TbAlquiler[[#This Row],[TOTAL]]*TbAlquiler[[#This Row],[P.U. (1)]]</f>
        <v>220.00000000000003</v>
      </c>
      <c r="W538" s="82">
        <f>+VLOOKUP(TbAlquiler[[#This Row],[ITEM]],TbPiezas[],6,FALSE)</f>
        <v>31.76</v>
      </c>
      <c r="X538" s="83">
        <f>+TbAlquiler[[#This Row],[TOTAL]]*TbAlquiler[[#This Row],[P.U. (2)]]</f>
        <v>6352</v>
      </c>
      <c r="Y538" s="82">
        <f>+VLOOKUP(TbAlquiler[[#This Row],[ITEM]],TbPiezas[],7,FALSE)</f>
        <v>1.5880000000000001</v>
      </c>
      <c r="Z538" s="84">
        <f>+TbAlquiler[[#This Row],[TOTAL]]*TbAlquiler[[#This Row],[P.U. (3)]]</f>
        <v>317.60000000000002</v>
      </c>
    </row>
    <row r="539" spans="1:26" s="4" customFormat="1" x14ac:dyDescent="0.3">
      <c r="A539" s="2"/>
      <c r="B539" s="85">
        <v>470</v>
      </c>
      <c r="C539" s="71" t="s">
        <v>930</v>
      </c>
      <c r="D539" s="72" t="s">
        <v>931</v>
      </c>
      <c r="E539" s="73"/>
      <c r="F539" s="74">
        <f>+VLOOKUP(C539,TbAlquiler[],13,FALSE)</f>
        <v>36</v>
      </c>
      <c r="G539" s="2"/>
      <c r="H539" s="75" t="str">
        <f t="shared" si="16"/>
        <v>EV.9300</v>
      </c>
      <c r="I539" s="59" t="str">
        <f t="shared" si="17"/>
        <v>ok</v>
      </c>
      <c r="J539" s="77">
        <f>IFERROR(VLOOKUP($H539,TG[],3,FALSE),"NA")</f>
        <v>0</v>
      </c>
      <c r="K539" s="77" t="str">
        <f>IFERROR(VLOOKUP($H539,TF[],3,FALSE),"NA")</f>
        <v>NA</v>
      </c>
      <c r="L539" s="77" t="str">
        <f>IFERROR(VLOOKUP($H539,TT[],3,FALSE),"NA")</f>
        <v>NA</v>
      </c>
      <c r="M539" s="77" t="str">
        <f>IFERROR(VLOOKUP($H539,TES[],3,FALSE),"NA")</f>
        <v>NA</v>
      </c>
      <c r="N539" s="77" t="str">
        <f>IFERROR(VLOOKUP($H539,TEC[],3,FALSE),"NA")</f>
        <v>NA</v>
      </c>
      <c r="O539" s="77" t="str">
        <f>IFERROR(VLOOKUP($H539,TP[],3,FALSE),"NA")</f>
        <v>NA</v>
      </c>
      <c r="P539" s="77" t="str">
        <f>IFERROR(VLOOKUP($H539,TEN[],3,FALSE),"NA")</f>
        <v>NA</v>
      </c>
      <c r="Q539" s="77" t="str">
        <f>IFERROR(VLOOKUP($H539,TD[],3,FALSE),"NA")</f>
        <v>NA</v>
      </c>
      <c r="R539" s="77" t="str">
        <f>IFERROR(VLOOKUP($H539,TC[],3,FALSE),"NA")</f>
        <v>NA</v>
      </c>
      <c r="S539" s="77">
        <f>IFERROR(VLOOKUP($H539,TEV[],3,FALSE),"NA")</f>
        <v>36</v>
      </c>
      <c r="T539" s="79">
        <f>SUM(TbAlquiler[[#This Row],[GENERAL]:[ELEVADOR]])</f>
        <v>36</v>
      </c>
      <c r="U539" s="80">
        <f>IF(VLOOKUP(TbAlquiler[[#This Row],[ITEM]],TbPiezas[],5,FALSE)="NA",0,VLOOKUP(TbAlquiler[[#This Row],[ITEM]],TbPiezas[],5,FALSE))</f>
        <v>0.7</v>
      </c>
      <c r="V539" s="81">
        <f>+TbAlquiler[[#This Row],[TOTAL]]*TbAlquiler[[#This Row],[P.U. (1)]]</f>
        <v>25.2</v>
      </c>
      <c r="W539" s="82">
        <f>+VLOOKUP(TbAlquiler[[#This Row],[ITEM]],TbPiezas[],6,FALSE)</f>
        <v>19.059999999999999</v>
      </c>
      <c r="X539" s="83">
        <f>+TbAlquiler[[#This Row],[TOTAL]]*TbAlquiler[[#This Row],[P.U. (2)]]</f>
        <v>686.16</v>
      </c>
      <c r="Y539" s="82">
        <f>+VLOOKUP(TbAlquiler[[#This Row],[ITEM]],TbPiezas[],7,FALSE)</f>
        <v>0.95299999999999996</v>
      </c>
      <c r="Z539" s="84">
        <f>+TbAlquiler[[#This Row],[TOTAL]]*TbAlquiler[[#This Row],[P.U. (3)]]</f>
        <v>34.308</v>
      </c>
    </row>
    <row r="540" spans="1:26" s="4" customFormat="1" x14ac:dyDescent="0.3">
      <c r="A540" s="2"/>
      <c r="B540" s="85">
        <v>471</v>
      </c>
      <c r="C540" s="71" t="s">
        <v>932</v>
      </c>
      <c r="D540" s="72" t="s">
        <v>933</v>
      </c>
      <c r="E540" s="73"/>
      <c r="F540" s="74">
        <f>+VLOOKUP(C540,TbAlquiler[],13,FALSE)</f>
        <v>8</v>
      </c>
      <c r="G540" s="2"/>
      <c r="H540" s="75" t="str">
        <f t="shared" si="16"/>
        <v>EV.9400</v>
      </c>
      <c r="I540" s="59" t="str">
        <f t="shared" si="17"/>
        <v>ok</v>
      </c>
      <c r="J540" s="77">
        <f>IFERROR(VLOOKUP($H540,TG[],3,FALSE),"NA")</f>
        <v>0</v>
      </c>
      <c r="K540" s="77" t="str">
        <f>IFERROR(VLOOKUP($H540,TF[],3,FALSE),"NA")</f>
        <v>NA</v>
      </c>
      <c r="L540" s="77" t="str">
        <f>IFERROR(VLOOKUP($H540,TT[],3,FALSE),"NA")</f>
        <v>NA</v>
      </c>
      <c r="M540" s="77" t="str">
        <f>IFERROR(VLOOKUP($H540,TES[],3,FALSE),"NA")</f>
        <v>NA</v>
      </c>
      <c r="N540" s="77" t="str">
        <f>IFERROR(VLOOKUP($H540,TEC[],3,FALSE),"NA")</f>
        <v>NA</v>
      </c>
      <c r="O540" s="77" t="str">
        <f>IFERROR(VLOOKUP($H540,TP[],3,FALSE),"NA")</f>
        <v>NA</v>
      </c>
      <c r="P540" s="77" t="str">
        <f>IFERROR(VLOOKUP($H540,TEN[],3,FALSE),"NA")</f>
        <v>NA</v>
      </c>
      <c r="Q540" s="77" t="str">
        <f>IFERROR(VLOOKUP($H540,TD[],3,FALSE),"NA")</f>
        <v>NA</v>
      </c>
      <c r="R540" s="77" t="str">
        <f>IFERROR(VLOOKUP($H540,TC[],3,FALSE),"NA")</f>
        <v>NA</v>
      </c>
      <c r="S540" s="77">
        <f>IFERROR(VLOOKUP($H540,TEV[],3,FALSE),"NA")</f>
        <v>8</v>
      </c>
      <c r="T540" s="79">
        <f>SUM(TbAlquiler[[#This Row],[GENERAL]:[ELEVADOR]])</f>
        <v>8</v>
      </c>
      <c r="U540" s="80">
        <f>IF(VLOOKUP(TbAlquiler[[#This Row],[ITEM]],TbPiezas[],5,FALSE)="NA",0,VLOOKUP(TbAlquiler[[#This Row],[ITEM]],TbPiezas[],5,FALSE))</f>
        <v>0.3</v>
      </c>
      <c r="V540" s="81">
        <f>+TbAlquiler[[#This Row],[TOTAL]]*TbAlquiler[[#This Row],[P.U. (1)]]</f>
        <v>2.4</v>
      </c>
      <c r="W540" s="82">
        <f>+VLOOKUP(TbAlquiler[[#This Row],[ITEM]],TbPiezas[],6,FALSE)</f>
        <v>19.059999999999999</v>
      </c>
      <c r="X540" s="83">
        <f>+TbAlquiler[[#This Row],[TOTAL]]*TbAlquiler[[#This Row],[P.U. (2)]]</f>
        <v>152.47999999999999</v>
      </c>
      <c r="Y540" s="82">
        <f>+VLOOKUP(TbAlquiler[[#This Row],[ITEM]],TbPiezas[],7,FALSE)</f>
        <v>0.95299999999999996</v>
      </c>
      <c r="Z540" s="84">
        <f>+TbAlquiler[[#This Row],[TOTAL]]*TbAlquiler[[#This Row],[P.U. (3)]]</f>
        <v>7.6239999999999997</v>
      </c>
    </row>
    <row r="541" spans="1:26" s="4" customFormat="1" x14ac:dyDescent="0.3">
      <c r="A541" s="2"/>
      <c r="B541" s="85">
        <v>472</v>
      </c>
      <c r="C541" s="71" t="s">
        <v>934</v>
      </c>
      <c r="D541" s="72" t="s">
        <v>935</v>
      </c>
      <c r="E541" s="73"/>
      <c r="F541" s="74">
        <f>+VLOOKUP(C541,TbAlquiler[],13,FALSE)</f>
        <v>36</v>
      </c>
      <c r="G541" s="2"/>
      <c r="H541" s="75" t="str">
        <f t="shared" si="16"/>
        <v>EV.9500</v>
      </c>
      <c r="I541" s="59" t="str">
        <f t="shared" si="17"/>
        <v>ok</v>
      </c>
      <c r="J541" s="77">
        <f>IFERROR(VLOOKUP($H541,TG[],3,FALSE),"NA")</f>
        <v>0</v>
      </c>
      <c r="K541" s="77" t="str">
        <f>IFERROR(VLOOKUP($H541,TF[],3,FALSE),"NA")</f>
        <v>NA</v>
      </c>
      <c r="L541" s="77" t="str">
        <f>IFERROR(VLOOKUP($H541,TT[],3,FALSE),"NA")</f>
        <v>NA</v>
      </c>
      <c r="M541" s="77" t="str">
        <f>IFERROR(VLOOKUP($H541,TES[],3,FALSE),"NA")</f>
        <v>NA</v>
      </c>
      <c r="N541" s="77" t="str">
        <f>IFERROR(VLOOKUP($H541,TEC[],3,FALSE),"NA")</f>
        <v>NA</v>
      </c>
      <c r="O541" s="77" t="str">
        <f>IFERROR(VLOOKUP($H541,TP[],3,FALSE),"NA")</f>
        <v>NA</v>
      </c>
      <c r="P541" s="77" t="str">
        <f>IFERROR(VLOOKUP($H541,TEN[],3,FALSE),"NA")</f>
        <v>NA</v>
      </c>
      <c r="Q541" s="77" t="str">
        <f>IFERROR(VLOOKUP($H541,TD[],3,FALSE),"NA")</f>
        <v>NA</v>
      </c>
      <c r="R541" s="77" t="str">
        <f>IFERROR(VLOOKUP($H541,TC[],3,FALSE),"NA")</f>
        <v>NA</v>
      </c>
      <c r="S541" s="77">
        <f>IFERROR(VLOOKUP($H541,TEV[],3,FALSE),"NA")</f>
        <v>36</v>
      </c>
      <c r="T541" s="79">
        <f>SUM(TbAlquiler[[#This Row],[GENERAL]:[ELEVADOR]])</f>
        <v>36</v>
      </c>
      <c r="U541" s="80">
        <f>IF(VLOOKUP(TbAlquiler[[#This Row],[ITEM]],TbPiezas[],5,FALSE)="NA",0,VLOOKUP(TbAlquiler[[#This Row],[ITEM]],TbPiezas[],5,FALSE))</f>
        <v>0.5</v>
      </c>
      <c r="V541" s="81">
        <f>+TbAlquiler[[#This Row],[TOTAL]]*TbAlquiler[[#This Row],[P.U. (1)]]</f>
        <v>18</v>
      </c>
      <c r="W541" s="82">
        <f>+VLOOKUP(TbAlquiler[[#This Row],[ITEM]],TbPiezas[],6,FALSE)</f>
        <v>19.059999999999999</v>
      </c>
      <c r="X541" s="83">
        <f>+TbAlquiler[[#This Row],[TOTAL]]*TbAlquiler[[#This Row],[P.U. (2)]]</f>
        <v>686.16</v>
      </c>
      <c r="Y541" s="82">
        <f>+VLOOKUP(TbAlquiler[[#This Row],[ITEM]],TbPiezas[],7,FALSE)</f>
        <v>0.95299999999999996</v>
      </c>
      <c r="Z541" s="84">
        <f>+TbAlquiler[[#This Row],[TOTAL]]*TbAlquiler[[#This Row],[P.U. (3)]]</f>
        <v>34.308</v>
      </c>
    </row>
    <row r="542" spans="1:26" s="4" customFormat="1" x14ac:dyDescent="0.3">
      <c r="A542" s="2"/>
      <c r="B542" s="85">
        <v>473</v>
      </c>
      <c r="C542" s="71" t="s">
        <v>936</v>
      </c>
      <c r="D542" s="72" t="s">
        <v>937</v>
      </c>
      <c r="E542" s="73"/>
      <c r="F542" s="74">
        <f>+VLOOKUP(C542,TbAlquiler[],13,FALSE)</f>
        <v>4</v>
      </c>
      <c r="G542" s="2"/>
      <c r="H542" s="75" t="str">
        <f t="shared" si="16"/>
        <v>EV.9600</v>
      </c>
      <c r="I542" s="59" t="str">
        <f t="shared" si="17"/>
        <v>ok</v>
      </c>
      <c r="J542" s="77">
        <f>IFERROR(VLOOKUP($H542,TG[],3,FALSE),"NA")</f>
        <v>0</v>
      </c>
      <c r="K542" s="77" t="str">
        <f>IFERROR(VLOOKUP($H542,TF[],3,FALSE),"NA")</f>
        <v>NA</v>
      </c>
      <c r="L542" s="77" t="str">
        <f>IFERROR(VLOOKUP($H542,TT[],3,FALSE),"NA")</f>
        <v>NA</v>
      </c>
      <c r="M542" s="77" t="str">
        <f>IFERROR(VLOOKUP($H542,TES[],3,FALSE),"NA")</f>
        <v>NA</v>
      </c>
      <c r="N542" s="77" t="str">
        <f>IFERROR(VLOOKUP($H542,TEC[],3,FALSE),"NA")</f>
        <v>NA</v>
      </c>
      <c r="O542" s="77" t="str">
        <f>IFERROR(VLOOKUP($H542,TP[],3,FALSE),"NA")</f>
        <v>NA</v>
      </c>
      <c r="P542" s="77" t="str">
        <f>IFERROR(VLOOKUP($H542,TEN[],3,FALSE),"NA")</f>
        <v>NA</v>
      </c>
      <c r="Q542" s="77" t="str">
        <f>IFERROR(VLOOKUP($H542,TD[],3,FALSE),"NA")</f>
        <v>NA</v>
      </c>
      <c r="R542" s="77" t="str">
        <f>IFERROR(VLOOKUP($H542,TC[],3,FALSE),"NA")</f>
        <v>NA</v>
      </c>
      <c r="S542" s="77">
        <f>IFERROR(VLOOKUP($H542,TEV[],3,FALSE),"NA")</f>
        <v>4</v>
      </c>
      <c r="T542" s="79">
        <f>SUM(TbAlquiler[[#This Row],[GENERAL]:[ELEVADOR]])</f>
        <v>4</v>
      </c>
      <c r="U542" s="80">
        <f>IF(VLOOKUP(TbAlquiler[[#This Row],[ITEM]],TbPiezas[],5,FALSE)="NA",0,VLOOKUP(TbAlquiler[[#This Row],[ITEM]],TbPiezas[],5,FALSE))</f>
        <v>6.7000000000000004E-2</v>
      </c>
      <c r="V542" s="81">
        <f>+TbAlquiler[[#This Row],[TOTAL]]*TbAlquiler[[#This Row],[P.U. (1)]]</f>
        <v>0.26800000000000002</v>
      </c>
      <c r="W542" s="82">
        <f>+VLOOKUP(TbAlquiler[[#This Row],[ITEM]],TbPiezas[],6,FALSE)</f>
        <v>19.059999999999999</v>
      </c>
      <c r="X542" s="83">
        <f>+TbAlquiler[[#This Row],[TOTAL]]*TbAlquiler[[#This Row],[P.U. (2)]]</f>
        <v>76.239999999999995</v>
      </c>
      <c r="Y542" s="82">
        <f>+VLOOKUP(TbAlquiler[[#This Row],[ITEM]],TbPiezas[],7,FALSE)</f>
        <v>0.95299999999999996</v>
      </c>
      <c r="Z542" s="84">
        <f>+TbAlquiler[[#This Row],[TOTAL]]*TbAlquiler[[#This Row],[P.U. (3)]]</f>
        <v>3.8119999999999998</v>
      </c>
    </row>
    <row r="543" spans="1:26" s="4" customFormat="1" x14ac:dyDescent="0.3">
      <c r="A543" s="2"/>
      <c r="B543" s="85">
        <v>474</v>
      </c>
      <c r="C543" s="71" t="s">
        <v>938</v>
      </c>
      <c r="D543" s="72" t="s">
        <v>939</v>
      </c>
      <c r="E543" s="73"/>
      <c r="F543" s="74">
        <f>+VLOOKUP(C543,TbAlquiler[],13,FALSE)</f>
        <v>4</v>
      </c>
      <c r="G543" s="2"/>
      <c r="H543" s="75" t="str">
        <f t="shared" si="16"/>
        <v>EV.9700</v>
      </c>
      <c r="I543" s="59" t="str">
        <f t="shared" si="17"/>
        <v>ok</v>
      </c>
      <c r="J543" s="77">
        <f>IFERROR(VLOOKUP($H543,TG[],3,FALSE),"NA")</f>
        <v>0</v>
      </c>
      <c r="K543" s="77" t="str">
        <f>IFERROR(VLOOKUP($H543,TF[],3,FALSE),"NA")</f>
        <v>NA</v>
      </c>
      <c r="L543" s="77" t="str">
        <f>IFERROR(VLOOKUP($H543,TT[],3,FALSE),"NA")</f>
        <v>NA</v>
      </c>
      <c r="M543" s="77" t="str">
        <f>IFERROR(VLOOKUP($H543,TES[],3,FALSE),"NA")</f>
        <v>NA</v>
      </c>
      <c r="N543" s="77" t="str">
        <f>IFERROR(VLOOKUP($H543,TEC[],3,FALSE),"NA")</f>
        <v>NA</v>
      </c>
      <c r="O543" s="77" t="str">
        <f>IFERROR(VLOOKUP($H543,TP[],3,FALSE),"NA")</f>
        <v>NA</v>
      </c>
      <c r="P543" s="77" t="str">
        <f>IFERROR(VLOOKUP($H543,TEN[],3,FALSE),"NA")</f>
        <v>NA</v>
      </c>
      <c r="Q543" s="77" t="str">
        <f>IFERROR(VLOOKUP($H543,TD[],3,FALSE),"NA")</f>
        <v>NA</v>
      </c>
      <c r="R543" s="77" t="str">
        <f>IFERROR(VLOOKUP($H543,TC[],3,FALSE),"NA")</f>
        <v>NA</v>
      </c>
      <c r="S543" s="77">
        <f>IFERROR(VLOOKUP($H543,TEV[],3,FALSE),"NA")</f>
        <v>4</v>
      </c>
      <c r="T543" s="79">
        <f>SUM(TbAlquiler[[#This Row],[GENERAL]:[ELEVADOR]])</f>
        <v>4</v>
      </c>
      <c r="U543" s="80">
        <f>IF(VLOOKUP(TbAlquiler[[#This Row],[ITEM]],TbPiezas[],5,FALSE)="NA",0,VLOOKUP(TbAlquiler[[#This Row],[ITEM]],TbPiezas[],5,FALSE))</f>
        <v>0.06</v>
      </c>
      <c r="V543" s="81">
        <f>+TbAlquiler[[#This Row],[TOTAL]]*TbAlquiler[[#This Row],[P.U. (1)]]</f>
        <v>0.24</v>
      </c>
      <c r="W543" s="82">
        <f>+VLOOKUP(TbAlquiler[[#This Row],[ITEM]],TbPiezas[],6,FALSE)</f>
        <v>19.059999999999999</v>
      </c>
      <c r="X543" s="83">
        <f>+TbAlquiler[[#This Row],[TOTAL]]*TbAlquiler[[#This Row],[P.U. (2)]]</f>
        <v>76.239999999999995</v>
      </c>
      <c r="Y543" s="82">
        <f>+VLOOKUP(TbAlquiler[[#This Row],[ITEM]],TbPiezas[],7,FALSE)</f>
        <v>0.95299999999999996</v>
      </c>
      <c r="Z543" s="84">
        <f>+TbAlquiler[[#This Row],[TOTAL]]*TbAlquiler[[#This Row],[P.U. (3)]]</f>
        <v>3.8119999999999998</v>
      </c>
    </row>
    <row r="544" spans="1:26" s="4" customFormat="1" x14ac:dyDescent="0.3">
      <c r="A544" s="2"/>
      <c r="B544" s="85">
        <v>475</v>
      </c>
      <c r="C544" s="71" t="s">
        <v>940</v>
      </c>
      <c r="D544" s="72" t="s">
        <v>941</v>
      </c>
      <c r="E544" s="73"/>
      <c r="F544" s="74">
        <f>+VLOOKUP(C544,TbAlquiler[],13,FALSE)</f>
        <v>0</v>
      </c>
      <c r="G544" s="2"/>
      <c r="H544" s="75" t="str">
        <f t="shared" si="16"/>
        <v>EV.9800</v>
      </c>
      <c r="I544" s="59" t="str">
        <f t="shared" si="17"/>
        <v>ok</v>
      </c>
      <c r="J544" s="77">
        <f>IFERROR(VLOOKUP($H544,TG[],3,FALSE),"NA")</f>
        <v>0</v>
      </c>
      <c r="K544" s="77" t="str">
        <f>IFERROR(VLOOKUP($H544,TF[],3,FALSE),"NA")</f>
        <v>NA</v>
      </c>
      <c r="L544" s="77" t="str">
        <f>IFERROR(VLOOKUP($H544,TT[],3,FALSE),"NA")</f>
        <v>NA</v>
      </c>
      <c r="M544" s="77" t="str">
        <f>IFERROR(VLOOKUP($H544,TES[],3,FALSE),"NA")</f>
        <v>NA</v>
      </c>
      <c r="N544" s="77" t="str">
        <f>IFERROR(VLOOKUP($H544,TEC[],3,FALSE),"NA")</f>
        <v>NA</v>
      </c>
      <c r="O544" s="77" t="str">
        <f>IFERROR(VLOOKUP($H544,TP[],3,FALSE),"NA")</f>
        <v>NA</v>
      </c>
      <c r="P544" s="77" t="str">
        <f>IFERROR(VLOOKUP($H544,TEN[],3,FALSE),"NA")</f>
        <v>NA</v>
      </c>
      <c r="Q544" s="77" t="str">
        <f>IFERROR(VLOOKUP($H544,TD[],3,FALSE),"NA")</f>
        <v>NA</v>
      </c>
      <c r="R544" s="77" t="str">
        <f>IFERROR(VLOOKUP($H544,TC[],3,FALSE),"NA")</f>
        <v>NA</v>
      </c>
      <c r="S544" s="77">
        <f>IFERROR(VLOOKUP($H544,TEV[],3,FALSE),"NA")</f>
        <v>0</v>
      </c>
      <c r="T544" s="79">
        <f>SUM(TbAlquiler[[#This Row],[GENERAL]:[ELEVADOR]])</f>
        <v>0</v>
      </c>
      <c r="U544" s="80">
        <f>IF(VLOOKUP(TbAlquiler[[#This Row],[ITEM]],TbPiezas[],5,FALSE)="NA",0,VLOOKUP(TbAlquiler[[#This Row],[ITEM]],TbPiezas[],5,FALSE))</f>
        <v>9.5000000000000001E-2</v>
      </c>
      <c r="V544" s="81">
        <f>+TbAlquiler[[#This Row],[TOTAL]]*TbAlquiler[[#This Row],[P.U. (1)]]</f>
        <v>0</v>
      </c>
      <c r="W544" s="82">
        <f>+VLOOKUP(TbAlquiler[[#This Row],[ITEM]],TbPiezas[],6,FALSE)</f>
        <v>19.059999999999999</v>
      </c>
      <c r="X544" s="83">
        <f>+TbAlquiler[[#This Row],[TOTAL]]*TbAlquiler[[#This Row],[P.U. (2)]]</f>
        <v>0</v>
      </c>
      <c r="Y544" s="82">
        <f>+VLOOKUP(TbAlquiler[[#This Row],[ITEM]],TbPiezas[],7,FALSE)</f>
        <v>0.95299999999999996</v>
      </c>
      <c r="Z544" s="84">
        <f>+TbAlquiler[[#This Row],[TOTAL]]*TbAlquiler[[#This Row],[P.U. (3)]]</f>
        <v>0</v>
      </c>
    </row>
    <row r="545" spans="1:26" s="4" customFormat="1" x14ac:dyDescent="0.3">
      <c r="A545" s="2"/>
      <c r="B545" s="85">
        <v>476</v>
      </c>
      <c r="C545" s="71" t="s">
        <v>942</v>
      </c>
      <c r="D545" s="72" t="s">
        <v>943</v>
      </c>
      <c r="E545" s="73"/>
      <c r="F545" s="74">
        <f>+VLOOKUP(C545,TbAlquiler[],13,FALSE)</f>
        <v>12</v>
      </c>
      <c r="G545" s="2"/>
      <c r="H545" s="75" t="str">
        <f t="shared" si="16"/>
        <v>EV.9900</v>
      </c>
      <c r="I545" s="59" t="str">
        <f t="shared" si="17"/>
        <v>ok</v>
      </c>
      <c r="J545" s="77">
        <f>IFERROR(VLOOKUP($H545,TG[],3,FALSE),"NA")</f>
        <v>0</v>
      </c>
      <c r="K545" s="77" t="str">
        <f>IFERROR(VLOOKUP($H545,TF[],3,FALSE),"NA")</f>
        <v>NA</v>
      </c>
      <c r="L545" s="77" t="str">
        <f>IFERROR(VLOOKUP($H545,TT[],3,FALSE),"NA")</f>
        <v>NA</v>
      </c>
      <c r="M545" s="77" t="str">
        <f>IFERROR(VLOOKUP($H545,TES[],3,FALSE),"NA")</f>
        <v>NA</v>
      </c>
      <c r="N545" s="77" t="str">
        <f>IFERROR(VLOOKUP($H545,TEC[],3,FALSE),"NA")</f>
        <v>NA</v>
      </c>
      <c r="O545" s="77" t="str">
        <f>IFERROR(VLOOKUP($H545,TP[],3,FALSE),"NA")</f>
        <v>NA</v>
      </c>
      <c r="P545" s="77" t="str">
        <f>IFERROR(VLOOKUP($H545,TEN[],3,FALSE),"NA")</f>
        <v>NA</v>
      </c>
      <c r="Q545" s="77" t="str">
        <f>IFERROR(VLOOKUP($H545,TD[],3,FALSE),"NA")</f>
        <v>NA</v>
      </c>
      <c r="R545" s="77" t="str">
        <f>IFERROR(VLOOKUP($H545,TC[],3,FALSE),"NA")</f>
        <v>NA</v>
      </c>
      <c r="S545" s="77">
        <f>IFERROR(VLOOKUP($H545,TEV[],3,FALSE),"NA")</f>
        <v>12</v>
      </c>
      <c r="T545" s="79">
        <f>SUM(TbAlquiler[[#This Row],[GENERAL]:[ELEVADOR]])</f>
        <v>12</v>
      </c>
      <c r="U545" s="80">
        <f>IF(VLOOKUP(TbAlquiler[[#This Row],[ITEM]],TbPiezas[],5,FALSE)="NA",0,VLOOKUP(TbAlquiler[[#This Row],[ITEM]],TbPiezas[],5,FALSE))</f>
        <v>0.1</v>
      </c>
      <c r="V545" s="81">
        <f>+TbAlquiler[[#This Row],[TOTAL]]*TbAlquiler[[#This Row],[P.U. (1)]]</f>
        <v>1.2000000000000002</v>
      </c>
      <c r="W545" s="82">
        <f>+VLOOKUP(TbAlquiler[[#This Row],[ITEM]],TbPiezas[],6,FALSE)</f>
        <v>19.059999999999999</v>
      </c>
      <c r="X545" s="83">
        <f>+TbAlquiler[[#This Row],[TOTAL]]*TbAlquiler[[#This Row],[P.U. (2)]]</f>
        <v>228.71999999999997</v>
      </c>
      <c r="Y545" s="82">
        <f>+VLOOKUP(TbAlquiler[[#This Row],[ITEM]],TbPiezas[],7,FALSE)</f>
        <v>0.95299999999999996</v>
      </c>
      <c r="Z545" s="84">
        <f>+TbAlquiler[[#This Row],[TOTAL]]*TbAlquiler[[#This Row],[P.U. (3)]]</f>
        <v>11.436</v>
      </c>
    </row>
    <row r="546" spans="1:26" s="4" customFormat="1" x14ac:dyDescent="0.3">
      <c r="A546" s="2"/>
      <c r="B546" s="85">
        <v>477</v>
      </c>
      <c r="C546" s="71" t="s">
        <v>944</v>
      </c>
      <c r="D546" s="72" t="s">
        <v>945</v>
      </c>
      <c r="E546" s="73"/>
      <c r="F546" s="74">
        <f>+VLOOKUP(C546,TbAlquiler[],13,FALSE)</f>
        <v>6</v>
      </c>
      <c r="G546" s="2"/>
      <c r="H546" s="75" t="str">
        <f t="shared" si="16"/>
        <v>EV.10000</v>
      </c>
      <c r="I546" s="59" t="str">
        <f t="shared" si="17"/>
        <v>ok</v>
      </c>
      <c r="J546" s="77">
        <f>IFERROR(VLOOKUP($H546,TG[],3,FALSE),"NA")</f>
        <v>0</v>
      </c>
      <c r="K546" s="77" t="str">
        <f>IFERROR(VLOOKUP($H546,TF[],3,FALSE),"NA")</f>
        <v>NA</v>
      </c>
      <c r="L546" s="77" t="str">
        <f>IFERROR(VLOOKUP($H546,TT[],3,FALSE),"NA")</f>
        <v>NA</v>
      </c>
      <c r="M546" s="77" t="str">
        <f>IFERROR(VLOOKUP($H546,TES[],3,FALSE),"NA")</f>
        <v>NA</v>
      </c>
      <c r="N546" s="77" t="str">
        <f>IFERROR(VLOOKUP($H546,TEC[],3,FALSE),"NA")</f>
        <v>NA</v>
      </c>
      <c r="O546" s="77" t="str">
        <f>IFERROR(VLOOKUP($H546,TP[],3,FALSE),"NA")</f>
        <v>NA</v>
      </c>
      <c r="P546" s="77" t="str">
        <f>IFERROR(VLOOKUP($H546,TEN[],3,FALSE),"NA")</f>
        <v>NA</v>
      </c>
      <c r="Q546" s="77" t="str">
        <f>IFERROR(VLOOKUP($H546,TD[],3,FALSE),"NA")</f>
        <v>NA</v>
      </c>
      <c r="R546" s="77" t="str">
        <f>IFERROR(VLOOKUP($H546,TC[],3,FALSE),"NA")</f>
        <v>NA</v>
      </c>
      <c r="S546" s="77">
        <f>IFERROR(VLOOKUP($H546,TEV[],3,FALSE),"NA")</f>
        <v>6</v>
      </c>
      <c r="T546" s="79">
        <f>SUM(TbAlquiler[[#This Row],[GENERAL]:[ELEVADOR]])</f>
        <v>6</v>
      </c>
      <c r="U546" s="80">
        <f>IF(VLOOKUP(TbAlquiler[[#This Row],[ITEM]],TbPiezas[],5,FALSE)="NA",0,VLOOKUP(TbAlquiler[[#This Row],[ITEM]],TbPiezas[],5,FALSE))</f>
        <v>3.5000000000000003E-2</v>
      </c>
      <c r="V546" s="81">
        <f>+TbAlquiler[[#This Row],[TOTAL]]*TbAlquiler[[#This Row],[P.U. (1)]]</f>
        <v>0.21000000000000002</v>
      </c>
      <c r="W546" s="82">
        <f>+VLOOKUP(TbAlquiler[[#This Row],[ITEM]],TbPiezas[],6,FALSE)</f>
        <v>31.76</v>
      </c>
      <c r="X546" s="83">
        <f>+TbAlquiler[[#This Row],[TOTAL]]*TbAlquiler[[#This Row],[P.U. (2)]]</f>
        <v>190.56</v>
      </c>
      <c r="Y546" s="82">
        <f>+VLOOKUP(TbAlquiler[[#This Row],[ITEM]],TbPiezas[],7,FALSE)</f>
        <v>1.5880000000000001</v>
      </c>
      <c r="Z546" s="84">
        <f>+TbAlquiler[[#This Row],[TOTAL]]*TbAlquiler[[#This Row],[P.U. (3)]]</f>
        <v>9.5280000000000005</v>
      </c>
    </row>
    <row r="547" spans="1:26" s="4" customFormat="1" x14ac:dyDescent="0.3">
      <c r="A547" s="2"/>
      <c r="B547" s="85">
        <v>478</v>
      </c>
      <c r="C547" s="71" t="s">
        <v>946</v>
      </c>
      <c r="D547" s="72" t="s">
        <v>947</v>
      </c>
      <c r="E547" s="73"/>
      <c r="F547" s="74">
        <f>+VLOOKUP(C547,TbAlquiler[],13,FALSE)</f>
        <v>22</v>
      </c>
      <c r="G547" s="2"/>
      <c r="H547" s="75" t="str">
        <f t="shared" si="16"/>
        <v>EV.10100</v>
      </c>
      <c r="I547" s="59" t="str">
        <f t="shared" si="17"/>
        <v>ok</v>
      </c>
      <c r="J547" s="77">
        <f>IFERROR(VLOOKUP($H547,TG[],3,FALSE),"NA")</f>
        <v>0</v>
      </c>
      <c r="K547" s="77" t="str">
        <f>IFERROR(VLOOKUP($H547,TF[],3,FALSE),"NA")</f>
        <v>NA</v>
      </c>
      <c r="L547" s="77" t="str">
        <f>IFERROR(VLOOKUP($H547,TT[],3,FALSE),"NA")</f>
        <v>NA</v>
      </c>
      <c r="M547" s="77" t="str">
        <f>IFERROR(VLOOKUP($H547,TES[],3,FALSE),"NA")</f>
        <v>NA</v>
      </c>
      <c r="N547" s="77" t="str">
        <f>IFERROR(VLOOKUP($H547,TEC[],3,FALSE),"NA")</f>
        <v>NA</v>
      </c>
      <c r="O547" s="77" t="str">
        <f>IFERROR(VLOOKUP($H547,TP[],3,FALSE),"NA")</f>
        <v>NA</v>
      </c>
      <c r="P547" s="77" t="str">
        <f>IFERROR(VLOOKUP($H547,TEN[],3,FALSE),"NA")</f>
        <v>NA</v>
      </c>
      <c r="Q547" s="77" t="str">
        <f>IFERROR(VLOOKUP($H547,TD[],3,FALSE),"NA")</f>
        <v>NA</v>
      </c>
      <c r="R547" s="77" t="str">
        <f>IFERROR(VLOOKUP($H547,TC[],3,FALSE),"NA")</f>
        <v>NA</v>
      </c>
      <c r="S547" s="77">
        <f>IFERROR(VLOOKUP($H547,TEV[],3,FALSE),"NA")</f>
        <v>22</v>
      </c>
      <c r="T547" s="79">
        <f>SUM(TbAlquiler[[#This Row],[GENERAL]:[ELEVADOR]])</f>
        <v>22</v>
      </c>
      <c r="U547" s="80">
        <f>IF(VLOOKUP(TbAlquiler[[#This Row],[ITEM]],TbPiezas[],5,FALSE)="NA",0,VLOOKUP(TbAlquiler[[#This Row],[ITEM]],TbPiezas[],5,FALSE))</f>
        <v>0.02</v>
      </c>
      <c r="V547" s="81">
        <f>+TbAlquiler[[#This Row],[TOTAL]]*TbAlquiler[[#This Row],[P.U. (1)]]</f>
        <v>0.44</v>
      </c>
      <c r="W547" s="82">
        <f>+VLOOKUP(TbAlquiler[[#This Row],[ITEM]],TbPiezas[],6,FALSE)</f>
        <v>19.059999999999999</v>
      </c>
      <c r="X547" s="83">
        <f>+TbAlquiler[[#This Row],[TOTAL]]*TbAlquiler[[#This Row],[P.U. (2)]]</f>
        <v>419.32</v>
      </c>
      <c r="Y547" s="82">
        <f>+VLOOKUP(TbAlquiler[[#This Row],[ITEM]],TbPiezas[],7,FALSE)</f>
        <v>0.95299999999999996</v>
      </c>
      <c r="Z547" s="84">
        <f>+TbAlquiler[[#This Row],[TOTAL]]*TbAlquiler[[#This Row],[P.U. (3)]]</f>
        <v>20.965999999999998</v>
      </c>
    </row>
    <row r="548" spans="1:26" s="4" customFormat="1" x14ac:dyDescent="0.3">
      <c r="A548" s="2"/>
      <c r="B548" s="85">
        <v>479</v>
      </c>
      <c r="C548" s="71" t="s">
        <v>948</v>
      </c>
      <c r="D548" s="72" t="s">
        <v>949</v>
      </c>
      <c r="E548" s="73"/>
      <c r="F548" s="74">
        <f>+VLOOKUP(C548,TbAlquiler[],13,FALSE)</f>
        <v>4</v>
      </c>
      <c r="G548" s="2"/>
      <c r="H548" s="75" t="str">
        <f t="shared" si="16"/>
        <v>EV.10200</v>
      </c>
      <c r="I548" s="59" t="str">
        <f t="shared" si="17"/>
        <v>ok</v>
      </c>
      <c r="J548" s="77">
        <f>IFERROR(VLOOKUP($H548,TG[],3,FALSE),"NA")</f>
        <v>0</v>
      </c>
      <c r="K548" s="77" t="str">
        <f>IFERROR(VLOOKUP($H548,TF[],3,FALSE),"NA")</f>
        <v>NA</v>
      </c>
      <c r="L548" s="77" t="str">
        <f>IFERROR(VLOOKUP($H548,TT[],3,FALSE),"NA")</f>
        <v>NA</v>
      </c>
      <c r="M548" s="77" t="str">
        <f>IFERROR(VLOOKUP($H548,TES[],3,FALSE),"NA")</f>
        <v>NA</v>
      </c>
      <c r="N548" s="77" t="str">
        <f>IFERROR(VLOOKUP($H548,TEC[],3,FALSE),"NA")</f>
        <v>NA</v>
      </c>
      <c r="O548" s="77" t="str">
        <f>IFERROR(VLOOKUP($H548,TP[],3,FALSE),"NA")</f>
        <v>NA</v>
      </c>
      <c r="P548" s="77" t="str">
        <f>IFERROR(VLOOKUP($H548,TEN[],3,FALSE),"NA")</f>
        <v>NA</v>
      </c>
      <c r="Q548" s="77" t="str">
        <f>IFERROR(VLOOKUP($H548,TD[],3,FALSE),"NA")</f>
        <v>NA</v>
      </c>
      <c r="R548" s="77" t="str">
        <f>IFERROR(VLOOKUP($H548,TC[],3,FALSE),"NA")</f>
        <v>NA</v>
      </c>
      <c r="S548" s="77">
        <f>IFERROR(VLOOKUP($H548,TEV[],3,FALSE),"NA")</f>
        <v>4</v>
      </c>
      <c r="T548" s="79">
        <f>SUM(TbAlquiler[[#This Row],[GENERAL]:[ELEVADOR]])</f>
        <v>4</v>
      </c>
      <c r="U548" s="80">
        <f>IF(VLOOKUP(TbAlquiler[[#This Row],[ITEM]],TbPiezas[],5,FALSE)="NA",0,VLOOKUP(TbAlquiler[[#This Row],[ITEM]],TbPiezas[],5,FALSE))</f>
        <v>2.3E-2</v>
      </c>
      <c r="V548" s="81">
        <f>+TbAlquiler[[#This Row],[TOTAL]]*TbAlquiler[[#This Row],[P.U. (1)]]</f>
        <v>9.1999999999999998E-2</v>
      </c>
      <c r="W548" s="82">
        <f>+VLOOKUP(TbAlquiler[[#This Row],[ITEM]],TbPiezas[],6,FALSE)</f>
        <v>19.059999999999999</v>
      </c>
      <c r="X548" s="83">
        <f>+TbAlquiler[[#This Row],[TOTAL]]*TbAlquiler[[#This Row],[P.U. (2)]]</f>
        <v>76.239999999999995</v>
      </c>
      <c r="Y548" s="82">
        <f>+VLOOKUP(TbAlquiler[[#This Row],[ITEM]],TbPiezas[],7,FALSE)</f>
        <v>0.95299999999999996</v>
      </c>
      <c r="Z548" s="84">
        <f>+TbAlquiler[[#This Row],[TOTAL]]*TbAlquiler[[#This Row],[P.U. (3)]]</f>
        <v>3.8119999999999998</v>
      </c>
    </row>
    <row r="549" spans="1:26" s="4" customFormat="1" x14ac:dyDescent="0.3">
      <c r="A549" s="2"/>
      <c r="B549" s="85">
        <v>480</v>
      </c>
      <c r="C549" s="71" t="s">
        <v>950</v>
      </c>
      <c r="D549" s="72" t="s">
        <v>951</v>
      </c>
      <c r="E549" s="73"/>
      <c r="F549" s="74">
        <f>+VLOOKUP(C549,TbAlquiler[],13,FALSE)</f>
        <v>4</v>
      </c>
      <c r="G549" s="2"/>
      <c r="H549" s="75" t="str">
        <f t="shared" si="16"/>
        <v>EV.10300</v>
      </c>
      <c r="I549" s="59" t="str">
        <f t="shared" si="17"/>
        <v>ok</v>
      </c>
      <c r="J549" s="77">
        <f>IFERROR(VLOOKUP($H549,TG[],3,FALSE),"NA")</f>
        <v>0</v>
      </c>
      <c r="K549" s="77" t="str">
        <f>IFERROR(VLOOKUP($H549,TF[],3,FALSE),"NA")</f>
        <v>NA</v>
      </c>
      <c r="L549" s="77" t="str">
        <f>IFERROR(VLOOKUP($H549,TT[],3,FALSE),"NA")</f>
        <v>NA</v>
      </c>
      <c r="M549" s="77" t="str">
        <f>IFERROR(VLOOKUP($H549,TES[],3,FALSE),"NA")</f>
        <v>NA</v>
      </c>
      <c r="N549" s="77" t="str">
        <f>IFERROR(VLOOKUP($H549,TEC[],3,FALSE),"NA")</f>
        <v>NA</v>
      </c>
      <c r="O549" s="77" t="str">
        <f>IFERROR(VLOOKUP($H549,TP[],3,FALSE),"NA")</f>
        <v>NA</v>
      </c>
      <c r="P549" s="77" t="str">
        <f>IFERROR(VLOOKUP($H549,TEN[],3,FALSE),"NA")</f>
        <v>NA</v>
      </c>
      <c r="Q549" s="77" t="str">
        <f>IFERROR(VLOOKUP($H549,TD[],3,FALSE),"NA")</f>
        <v>NA</v>
      </c>
      <c r="R549" s="77" t="str">
        <f>IFERROR(VLOOKUP($H549,TC[],3,FALSE),"NA")</f>
        <v>NA</v>
      </c>
      <c r="S549" s="77">
        <f>IFERROR(VLOOKUP($H549,TEV[],3,FALSE),"NA")</f>
        <v>4</v>
      </c>
      <c r="T549" s="79">
        <f>SUM(TbAlquiler[[#This Row],[GENERAL]:[ELEVADOR]])</f>
        <v>4</v>
      </c>
      <c r="U549" s="80">
        <f>IF(VLOOKUP(TbAlquiler[[#This Row],[ITEM]],TbPiezas[],5,FALSE)="NA",0,VLOOKUP(TbAlquiler[[#This Row],[ITEM]],TbPiezas[],5,FALSE))</f>
        <v>0.72499999999999998</v>
      </c>
      <c r="V549" s="81">
        <f>+TbAlquiler[[#This Row],[TOTAL]]*TbAlquiler[[#This Row],[P.U. (1)]]</f>
        <v>2.9</v>
      </c>
      <c r="W549" s="82">
        <f>+VLOOKUP(TbAlquiler[[#This Row],[ITEM]],TbPiezas[],6,FALSE)</f>
        <v>19.059999999999999</v>
      </c>
      <c r="X549" s="83">
        <f>+TbAlquiler[[#This Row],[TOTAL]]*TbAlquiler[[#This Row],[P.U. (2)]]</f>
        <v>76.239999999999995</v>
      </c>
      <c r="Y549" s="82">
        <f>+VLOOKUP(TbAlquiler[[#This Row],[ITEM]],TbPiezas[],7,FALSE)</f>
        <v>0.95299999999999996</v>
      </c>
      <c r="Z549" s="84">
        <f>+TbAlquiler[[#This Row],[TOTAL]]*TbAlquiler[[#This Row],[P.U. (3)]]</f>
        <v>3.8119999999999998</v>
      </c>
    </row>
    <row r="550" spans="1:26" s="4" customFormat="1" x14ac:dyDescent="0.3">
      <c r="A550" s="2"/>
      <c r="B550" s="85">
        <v>481</v>
      </c>
      <c r="C550" s="71" t="s">
        <v>952</v>
      </c>
      <c r="D550" s="72" t="s">
        <v>953</v>
      </c>
      <c r="E550" s="73"/>
      <c r="F550" s="74">
        <f>+VLOOKUP(C550,TbAlquiler[],13,FALSE)</f>
        <v>0</v>
      </c>
      <c r="G550" s="2"/>
      <c r="H550" s="75" t="str">
        <f t="shared" si="16"/>
        <v>EV.10400</v>
      </c>
      <c r="I550" s="59" t="str">
        <f t="shared" si="17"/>
        <v>ok</v>
      </c>
      <c r="J550" s="77">
        <f>IFERROR(VLOOKUP($H550,TG[],3,FALSE),"NA")</f>
        <v>0</v>
      </c>
      <c r="K550" s="77" t="str">
        <f>IFERROR(VLOOKUP($H550,TF[],3,FALSE),"NA")</f>
        <v>NA</v>
      </c>
      <c r="L550" s="77" t="str">
        <f>IFERROR(VLOOKUP($H550,TT[],3,FALSE),"NA")</f>
        <v>NA</v>
      </c>
      <c r="M550" s="77" t="str">
        <f>IFERROR(VLOOKUP($H550,TES[],3,FALSE),"NA")</f>
        <v>NA</v>
      </c>
      <c r="N550" s="77" t="str">
        <f>IFERROR(VLOOKUP($H550,TEC[],3,FALSE),"NA")</f>
        <v>NA</v>
      </c>
      <c r="O550" s="77" t="str">
        <f>IFERROR(VLOOKUP($H550,TP[],3,FALSE),"NA")</f>
        <v>NA</v>
      </c>
      <c r="P550" s="77" t="str">
        <f>IFERROR(VLOOKUP($H550,TEN[],3,FALSE),"NA")</f>
        <v>NA</v>
      </c>
      <c r="Q550" s="77" t="str">
        <f>IFERROR(VLOOKUP($H550,TD[],3,FALSE),"NA")</f>
        <v>NA</v>
      </c>
      <c r="R550" s="77" t="str">
        <f>IFERROR(VLOOKUP($H550,TC[],3,FALSE),"NA")</f>
        <v>NA</v>
      </c>
      <c r="S550" s="77">
        <f>IFERROR(VLOOKUP($H550,TEV[],3,FALSE),"NA")</f>
        <v>0</v>
      </c>
      <c r="T550" s="79">
        <f>SUM(TbAlquiler[[#This Row],[GENERAL]:[ELEVADOR]])</f>
        <v>0</v>
      </c>
      <c r="U550" s="80">
        <f>IF(VLOOKUP(TbAlquiler[[#This Row],[ITEM]],TbPiezas[],5,FALSE)="NA",0,VLOOKUP(TbAlquiler[[#This Row],[ITEM]],TbPiezas[],5,FALSE))</f>
        <v>1</v>
      </c>
      <c r="V550" s="81">
        <f>+TbAlquiler[[#This Row],[TOTAL]]*TbAlquiler[[#This Row],[P.U. (1)]]</f>
        <v>0</v>
      </c>
      <c r="W550" s="82">
        <f>+VLOOKUP(TbAlquiler[[#This Row],[ITEM]],TbPiezas[],6,FALSE)</f>
        <v>190.58</v>
      </c>
      <c r="X550" s="83">
        <f>+TbAlquiler[[#This Row],[TOTAL]]*TbAlquiler[[#This Row],[P.U. (2)]]</f>
        <v>0</v>
      </c>
      <c r="Y550" s="82">
        <f>+VLOOKUP(TbAlquiler[[#This Row],[ITEM]],TbPiezas[],7,FALSE)</f>
        <v>9.5290000000000017</v>
      </c>
      <c r="Z550" s="84">
        <f>+TbAlquiler[[#This Row],[TOTAL]]*TbAlquiler[[#This Row],[P.U. (3)]]</f>
        <v>0</v>
      </c>
    </row>
    <row r="551" spans="1:26" s="4" customFormat="1" x14ac:dyDescent="0.3">
      <c r="A551" s="2"/>
      <c r="B551" s="85">
        <v>482</v>
      </c>
      <c r="C551" s="71" t="s">
        <v>954</v>
      </c>
      <c r="D551" s="72" t="s">
        <v>955</v>
      </c>
      <c r="E551" s="73"/>
      <c r="F551" s="74">
        <f>+VLOOKUP(C551,TbAlquiler[],13,FALSE)</f>
        <v>18</v>
      </c>
      <c r="G551" s="2"/>
      <c r="H551" s="75" t="str">
        <f t="shared" si="16"/>
        <v>EV.10500</v>
      </c>
      <c r="I551" s="59" t="str">
        <f t="shared" si="17"/>
        <v>ok</v>
      </c>
      <c r="J551" s="77">
        <f>IFERROR(VLOOKUP($H551,TG[],3,FALSE),"NA")</f>
        <v>0</v>
      </c>
      <c r="K551" s="77" t="str">
        <f>IFERROR(VLOOKUP($H551,TF[],3,FALSE),"NA")</f>
        <v>NA</v>
      </c>
      <c r="L551" s="77" t="str">
        <f>IFERROR(VLOOKUP($H551,TT[],3,FALSE),"NA")</f>
        <v>NA</v>
      </c>
      <c r="M551" s="77" t="str">
        <f>IFERROR(VLOOKUP($H551,TES[],3,FALSE),"NA")</f>
        <v>NA</v>
      </c>
      <c r="N551" s="77" t="str">
        <f>IFERROR(VLOOKUP($H551,TEC[],3,FALSE),"NA")</f>
        <v>NA</v>
      </c>
      <c r="O551" s="77" t="str">
        <f>IFERROR(VLOOKUP($H551,TP[],3,FALSE),"NA")</f>
        <v>NA</v>
      </c>
      <c r="P551" s="77" t="str">
        <f>IFERROR(VLOOKUP($H551,TEN[],3,FALSE),"NA")</f>
        <v>NA</v>
      </c>
      <c r="Q551" s="77" t="str">
        <f>IFERROR(VLOOKUP($H551,TD[],3,FALSE),"NA")</f>
        <v>NA</v>
      </c>
      <c r="R551" s="77" t="str">
        <f>IFERROR(VLOOKUP($H551,TC[],3,FALSE),"NA")</f>
        <v>NA</v>
      </c>
      <c r="S551" s="77">
        <f>IFERROR(VLOOKUP($H551,TEV[],3,FALSE),"NA")</f>
        <v>18</v>
      </c>
      <c r="T551" s="79">
        <f>SUM(TbAlquiler[[#This Row],[GENERAL]:[ELEVADOR]])</f>
        <v>18</v>
      </c>
      <c r="U551" s="80">
        <f>IF(VLOOKUP(TbAlquiler[[#This Row],[ITEM]],TbPiezas[],5,FALSE)="NA",0,VLOOKUP(TbAlquiler[[#This Row],[ITEM]],TbPiezas[],5,FALSE))</f>
        <v>0.3</v>
      </c>
      <c r="V551" s="81">
        <f>+TbAlquiler[[#This Row],[TOTAL]]*TbAlquiler[[#This Row],[P.U. (1)]]</f>
        <v>5.3999999999999995</v>
      </c>
      <c r="W551" s="82">
        <f>+VLOOKUP(TbAlquiler[[#This Row],[ITEM]],TbPiezas[],6,FALSE)</f>
        <v>190.58</v>
      </c>
      <c r="X551" s="83">
        <f>+TbAlquiler[[#This Row],[TOTAL]]*TbAlquiler[[#This Row],[P.U. (2)]]</f>
        <v>3430.44</v>
      </c>
      <c r="Y551" s="82">
        <f>+VLOOKUP(TbAlquiler[[#This Row],[ITEM]],TbPiezas[],7,FALSE)</f>
        <v>9.5290000000000017</v>
      </c>
      <c r="Z551" s="84">
        <f>+TbAlquiler[[#This Row],[TOTAL]]*TbAlquiler[[#This Row],[P.U. (3)]]</f>
        <v>171.52200000000002</v>
      </c>
    </row>
    <row r="552" spans="1:26" s="4" customFormat="1" x14ac:dyDescent="0.3">
      <c r="A552" s="2"/>
      <c r="B552" s="85">
        <v>483</v>
      </c>
      <c r="C552" s="71" t="s">
        <v>956</v>
      </c>
      <c r="D552" s="72" t="s">
        <v>957</v>
      </c>
      <c r="E552" s="73"/>
      <c r="F552" s="74">
        <f>+VLOOKUP(C552,TbAlquiler[],13,FALSE)</f>
        <v>2</v>
      </c>
      <c r="G552" s="2"/>
      <c r="H552" s="75" t="str">
        <f t="shared" si="16"/>
        <v>EV.10600</v>
      </c>
      <c r="I552" s="59" t="str">
        <f t="shared" si="17"/>
        <v>ok</v>
      </c>
      <c r="J552" s="77">
        <f>IFERROR(VLOOKUP($H552,TG[],3,FALSE),"NA")</f>
        <v>0</v>
      </c>
      <c r="K552" s="77" t="str">
        <f>IFERROR(VLOOKUP($H552,TF[],3,FALSE),"NA")</f>
        <v>NA</v>
      </c>
      <c r="L552" s="77" t="str">
        <f>IFERROR(VLOOKUP($H552,TT[],3,FALSE),"NA")</f>
        <v>NA</v>
      </c>
      <c r="M552" s="77" t="str">
        <f>IFERROR(VLOOKUP($H552,TES[],3,FALSE),"NA")</f>
        <v>NA</v>
      </c>
      <c r="N552" s="77" t="str">
        <f>IFERROR(VLOOKUP($H552,TEC[],3,FALSE),"NA")</f>
        <v>NA</v>
      </c>
      <c r="O552" s="77" t="str">
        <f>IFERROR(VLOOKUP($H552,TP[],3,FALSE),"NA")</f>
        <v>NA</v>
      </c>
      <c r="P552" s="77" t="str">
        <f>IFERROR(VLOOKUP($H552,TEN[],3,FALSE),"NA")</f>
        <v>NA</v>
      </c>
      <c r="Q552" s="77" t="str">
        <f>IFERROR(VLOOKUP($H552,TD[],3,FALSE),"NA")</f>
        <v>NA</v>
      </c>
      <c r="R552" s="77" t="str">
        <f>IFERROR(VLOOKUP($H552,TC[],3,FALSE),"NA")</f>
        <v>NA</v>
      </c>
      <c r="S552" s="77">
        <f>IFERROR(VLOOKUP($H552,TEV[],3,FALSE),"NA")</f>
        <v>2</v>
      </c>
      <c r="T552" s="79">
        <f>SUM(TbAlquiler[[#This Row],[GENERAL]:[ELEVADOR]])</f>
        <v>2</v>
      </c>
      <c r="U552" s="80">
        <f>IF(VLOOKUP(TbAlquiler[[#This Row],[ITEM]],TbPiezas[],5,FALSE)="NA",0,VLOOKUP(TbAlquiler[[#This Row],[ITEM]],TbPiezas[],5,FALSE))</f>
        <v>2.5</v>
      </c>
      <c r="V552" s="81">
        <f>+TbAlquiler[[#This Row],[TOTAL]]*TbAlquiler[[#This Row],[P.U. (1)]]</f>
        <v>5</v>
      </c>
      <c r="W552" s="82">
        <f>+VLOOKUP(TbAlquiler[[#This Row],[ITEM]],TbPiezas[],6,FALSE)</f>
        <v>158.69</v>
      </c>
      <c r="X552" s="83">
        <f>+TbAlquiler[[#This Row],[TOTAL]]*TbAlquiler[[#This Row],[P.U. (2)]]</f>
        <v>317.38</v>
      </c>
      <c r="Y552" s="82">
        <f>+VLOOKUP(TbAlquiler[[#This Row],[ITEM]],TbPiezas[],7,FALSE)</f>
        <v>7.9344999999999999</v>
      </c>
      <c r="Z552" s="84">
        <f>+TbAlquiler[[#This Row],[TOTAL]]*TbAlquiler[[#This Row],[P.U. (3)]]</f>
        <v>15.869</v>
      </c>
    </row>
    <row r="553" spans="1:26" s="4" customFormat="1" x14ac:dyDescent="0.3">
      <c r="A553" s="2"/>
      <c r="B553" s="85">
        <v>484</v>
      </c>
      <c r="C553" s="71" t="s">
        <v>958</v>
      </c>
      <c r="D553" s="72" t="s">
        <v>959</v>
      </c>
      <c r="E553" s="73"/>
      <c r="F553" s="74">
        <f>+VLOOKUP(C553,TbAlquiler[],13,FALSE)</f>
        <v>4</v>
      </c>
      <c r="G553" s="2"/>
      <c r="H553" s="75" t="str">
        <f t="shared" si="16"/>
        <v>EV.10700</v>
      </c>
      <c r="I553" s="59" t="str">
        <f t="shared" si="17"/>
        <v>ok</v>
      </c>
      <c r="J553" s="77">
        <f>IFERROR(VLOOKUP($H553,TG[],3,FALSE),"NA")</f>
        <v>0</v>
      </c>
      <c r="K553" s="77" t="str">
        <f>IFERROR(VLOOKUP($H553,TF[],3,FALSE),"NA")</f>
        <v>NA</v>
      </c>
      <c r="L553" s="77" t="str">
        <f>IFERROR(VLOOKUP($H553,TT[],3,FALSE),"NA")</f>
        <v>NA</v>
      </c>
      <c r="M553" s="77" t="str">
        <f>IFERROR(VLOOKUP($H553,TES[],3,FALSE),"NA")</f>
        <v>NA</v>
      </c>
      <c r="N553" s="77" t="str">
        <f>IFERROR(VLOOKUP($H553,TEC[],3,FALSE),"NA")</f>
        <v>NA</v>
      </c>
      <c r="O553" s="77" t="str">
        <f>IFERROR(VLOOKUP($H553,TP[],3,FALSE),"NA")</f>
        <v>NA</v>
      </c>
      <c r="P553" s="77" t="str">
        <f>IFERROR(VLOOKUP($H553,TEN[],3,FALSE),"NA")</f>
        <v>NA</v>
      </c>
      <c r="Q553" s="77" t="str">
        <f>IFERROR(VLOOKUP($H553,TD[],3,FALSE),"NA")</f>
        <v>NA</v>
      </c>
      <c r="R553" s="77" t="str">
        <f>IFERROR(VLOOKUP($H553,TC[],3,FALSE),"NA")</f>
        <v>NA</v>
      </c>
      <c r="S553" s="77">
        <f>IFERROR(VLOOKUP($H553,TEV[],3,FALSE),"NA")</f>
        <v>4</v>
      </c>
      <c r="T553" s="79">
        <f>SUM(TbAlquiler[[#This Row],[GENERAL]:[ELEVADOR]])</f>
        <v>4</v>
      </c>
      <c r="U553" s="80">
        <f>IF(VLOOKUP(TbAlquiler[[#This Row],[ITEM]],TbPiezas[],5,FALSE)="NA",0,VLOOKUP(TbAlquiler[[#This Row],[ITEM]],TbPiezas[],5,FALSE))</f>
        <v>0.5</v>
      </c>
      <c r="V553" s="81">
        <f>+TbAlquiler[[#This Row],[TOTAL]]*TbAlquiler[[#This Row],[P.U. (1)]]</f>
        <v>2</v>
      </c>
      <c r="W553" s="82">
        <f>+VLOOKUP(TbAlquiler[[#This Row],[ITEM]],TbPiezas[],6,FALSE)</f>
        <v>158.69</v>
      </c>
      <c r="X553" s="83">
        <f>+TbAlquiler[[#This Row],[TOTAL]]*TbAlquiler[[#This Row],[P.U. (2)]]</f>
        <v>634.76</v>
      </c>
      <c r="Y553" s="82">
        <f>+VLOOKUP(TbAlquiler[[#This Row],[ITEM]],TbPiezas[],7,FALSE)</f>
        <v>7.9344999999999999</v>
      </c>
      <c r="Z553" s="84">
        <f>+TbAlquiler[[#This Row],[TOTAL]]*TbAlquiler[[#This Row],[P.U. (3)]]</f>
        <v>31.738</v>
      </c>
    </row>
    <row r="554" spans="1:26" s="4" customFormat="1" x14ac:dyDescent="0.3">
      <c r="A554" s="2"/>
      <c r="B554" s="85">
        <v>485</v>
      </c>
      <c r="C554" s="71" t="s">
        <v>960</v>
      </c>
      <c r="D554" s="72" t="s">
        <v>961</v>
      </c>
      <c r="E554" s="73"/>
      <c r="F554" s="74">
        <f>+VLOOKUP(C554,TbAlquiler[],13,FALSE)</f>
        <v>0</v>
      </c>
      <c r="G554" s="2"/>
      <c r="H554" s="75" t="str">
        <f t="shared" si="16"/>
        <v>EV.10750</v>
      </c>
      <c r="I554" s="59" t="str">
        <f t="shared" si="17"/>
        <v>ok</v>
      </c>
      <c r="J554" s="77">
        <f>IFERROR(VLOOKUP($H554,TG[],3,FALSE),"NA")</f>
        <v>0</v>
      </c>
      <c r="K554" s="77" t="str">
        <f>IFERROR(VLOOKUP($H554,TF[],3,FALSE),"NA")</f>
        <v>NA</v>
      </c>
      <c r="L554" s="77" t="str">
        <f>IFERROR(VLOOKUP($H554,TT[],3,FALSE),"NA")</f>
        <v>NA</v>
      </c>
      <c r="M554" s="77" t="str">
        <f>IFERROR(VLOOKUP($H554,TES[],3,FALSE),"NA")</f>
        <v>NA</v>
      </c>
      <c r="N554" s="77" t="str">
        <f>IFERROR(VLOOKUP($H554,TEC[],3,FALSE),"NA")</f>
        <v>NA</v>
      </c>
      <c r="O554" s="77" t="str">
        <f>IFERROR(VLOOKUP($H554,TP[],3,FALSE),"NA")</f>
        <v>NA</v>
      </c>
      <c r="P554" s="77" t="str">
        <f>IFERROR(VLOOKUP($H554,TEN[],3,FALSE),"NA")</f>
        <v>NA</v>
      </c>
      <c r="Q554" s="77" t="str">
        <f>IFERROR(VLOOKUP($H554,TD[],3,FALSE),"NA")</f>
        <v>NA</v>
      </c>
      <c r="R554" s="77" t="str">
        <f>IFERROR(VLOOKUP($H554,TC[],3,FALSE),"NA")</f>
        <v>NA</v>
      </c>
      <c r="S554" s="77">
        <f>IFERROR(VLOOKUP($H554,TEV[],3,FALSE),"NA")</f>
        <v>0</v>
      </c>
      <c r="T554" s="79">
        <f>SUM(TbAlquiler[[#This Row],[GENERAL]:[ELEVADOR]])</f>
        <v>0</v>
      </c>
      <c r="U554" s="80">
        <f>IF(VLOOKUP(TbAlquiler[[#This Row],[ITEM]],TbPiezas[],5,FALSE)="NA",0,VLOOKUP(TbAlquiler[[#This Row],[ITEM]],TbPiezas[],5,FALSE))</f>
        <v>0.26200000000000001</v>
      </c>
      <c r="V554" s="81">
        <f>+TbAlquiler[[#This Row],[TOTAL]]*TbAlquiler[[#This Row],[P.U. (1)]]</f>
        <v>0</v>
      </c>
      <c r="W554" s="82">
        <f>+VLOOKUP(TbAlquiler[[#This Row],[ITEM]],TbPiezas[],6,FALSE)</f>
        <v>45.1</v>
      </c>
      <c r="X554" s="83">
        <f>+TbAlquiler[[#This Row],[TOTAL]]*TbAlquiler[[#This Row],[P.U. (2)]]</f>
        <v>0</v>
      </c>
      <c r="Y554" s="82">
        <f>+VLOOKUP(TbAlquiler[[#This Row],[ITEM]],TbPiezas[],7,FALSE)</f>
        <v>2.2550000000000003</v>
      </c>
      <c r="Z554" s="84">
        <f>+TbAlquiler[[#This Row],[TOTAL]]*TbAlquiler[[#This Row],[P.U. (3)]]</f>
        <v>0</v>
      </c>
    </row>
    <row r="555" spans="1:26" s="4" customFormat="1" x14ac:dyDescent="0.3">
      <c r="A555" s="2"/>
      <c r="B555" s="85">
        <v>486</v>
      </c>
      <c r="C555" s="71" t="s">
        <v>962</v>
      </c>
      <c r="D555" s="72" t="s">
        <v>963</v>
      </c>
      <c r="E555" s="73"/>
      <c r="F555" s="74">
        <f>+VLOOKUP(C555,TbAlquiler[],13,FALSE)</f>
        <v>0</v>
      </c>
      <c r="G555" s="2"/>
      <c r="H555" s="75" t="str">
        <f t="shared" si="16"/>
        <v>EV.10800</v>
      </c>
      <c r="I555" s="59" t="str">
        <f t="shared" si="17"/>
        <v>ok</v>
      </c>
      <c r="J555" s="77">
        <f>IFERROR(VLOOKUP($H555,TG[],3,FALSE),"NA")</f>
        <v>0</v>
      </c>
      <c r="K555" s="77" t="str">
        <f>IFERROR(VLOOKUP($H555,TF[],3,FALSE),"NA")</f>
        <v>NA</v>
      </c>
      <c r="L555" s="77" t="str">
        <f>IFERROR(VLOOKUP($H555,TT[],3,FALSE),"NA")</f>
        <v>NA</v>
      </c>
      <c r="M555" s="77" t="str">
        <f>IFERROR(VLOOKUP($H555,TES[],3,FALSE),"NA")</f>
        <v>NA</v>
      </c>
      <c r="N555" s="77" t="str">
        <f>IFERROR(VLOOKUP($H555,TEC[],3,FALSE),"NA")</f>
        <v>NA</v>
      </c>
      <c r="O555" s="77" t="str">
        <f>IFERROR(VLOOKUP($H555,TP[],3,FALSE),"NA")</f>
        <v>NA</v>
      </c>
      <c r="P555" s="77" t="str">
        <f>IFERROR(VLOOKUP($H555,TEN[],3,FALSE),"NA")</f>
        <v>NA</v>
      </c>
      <c r="Q555" s="77" t="str">
        <f>IFERROR(VLOOKUP($H555,TD[],3,FALSE),"NA")</f>
        <v>NA</v>
      </c>
      <c r="R555" s="77" t="str">
        <f>IFERROR(VLOOKUP($H555,TC[],3,FALSE),"NA")</f>
        <v>NA</v>
      </c>
      <c r="S555" s="77">
        <f>IFERROR(VLOOKUP($H555,TEV[],3,FALSE),"NA")</f>
        <v>0</v>
      </c>
      <c r="T555" s="79">
        <f>SUM(TbAlquiler[[#This Row],[GENERAL]:[ELEVADOR]])</f>
        <v>0</v>
      </c>
      <c r="U555" s="80">
        <f>IF(VLOOKUP(TbAlquiler[[#This Row],[ITEM]],TbPiezas[],5,FALSE)="NA",0,VLOOKUP(TbAlquiler[[#This Row],[ITEM]],TbPiezas[],5,FALSE))</f>
        <v>0.2</v>
      </c>
      <c r="V555" s="81">
        <f>+TbAlquiler[[#This Row],[TOTAL]]*TbAlquiler[[#This Row],[P.U. (1)]]</f>
        <v>0</v>
      </c>
      <c r="W555" s="82">
        <f>+VLOOKUP(TbAlquiler[[#This Row],[ITEM]],TbPiezas[],6,FALSE)</f>
        <v>45.1</v>
      </c>
      <c r="X555" s="83">
        <f>+TbAlquiler[[#This Row],[TOTAL]]*TbAlquiler[[#This Row],[P.U. (2)]]</f>
        <v>0</v>
      </c>
      <c r="Y555" s="82">
        <f>+VLOOKUP(TbAlquiler[[#This Row],[ITEM]],TbPiezas[],7,FALSE)</f>
        <v>2.2550000000000003</v>
      </c>
      <c r="Z555" s="84">
        <f>+TbAlquiler[[#This Row],[TOTAL]]*TbAlquiler[[#This Row],[P.U. (3)]]</f>
        <v>0</v>
      </c>
    </row>
    <row r="556" spans="1:26" s="4" customFormat="1" x14ac:dyDescent="0.3">
      <c r="A556" s="2"/>
      <c r="B556" s="85">
        <v>487</v>
      </c>
      <c r="C556" s="71" t="s">
        <v>964</v>
      </c>
      <c r="D556" s="72" t="s">
        <v>965</v>
      </c>
      <c r="E556" s="73"/>
      <c r="F556" s="74">
        <f>+VLOOKUP(C556,TbAlquiler[],13,FALSE)</f>
        <v>0</v>
      </c>
      <c r="G556" s="2"/>
      <c r="H556" s="75" t="str">
        <f t="shared" si="16"/>
        <v>EV.10900</v>
      </c>
      <c r="I556" s="59" t="str">
        <f t="shared" si="17"/>
        <v>ok</v>
      </c>
      <c r="J556" s="77">
        <f>IFERROR(VLOOKUP($H556,TG[],3,FALSE),"NA")</f>
        <v>0</v>
      </c>
      <c r="K556" s="77" t="str">
        <f>IFERROR(VLOOKUP($H556,TF[],3,FALSE),"NA")</f>
        <v>NA</v>
      </c>
      <c r="L556" s="77" t="str">
        <f>IFERROR(VLOOKUP($H556,TT[],3,FALSE),"NA")</f>
        <v>NA</v>
      </c>
      <c r="M556" s="77" t="str">
        <f>IFERROR(VLOOKUP($H556,TES[],3,FALSE),"NA")</f>
        <v>NA</v>
      </c>
      <c r="N556" s="77" t="str">
        <f>IFERROR(VLOOKUP($H556,TEC[],3,FALSE),"NA")</f>
        <v>NA</v>
      </c>
      <c r="O556" s="77" t="str">
        <f>IFERROR(VLOOKUP($H556,TP[],3,FALSE),"NA")</f>
        <v>NA</v>
      </c>
      <c r="P556" s="77" t="str">
        <f>IFERROR(VLOOKUP($H556,TEN[],3,FALSE),"NA")</f>
        <v>NA</v>
      </c>
      <c r="Q556" s="77" t="str">
        <f>IFERROR(VLOOKUP($H556,TD[],3,FALSE),"NA")</f>
        <v>NA</v>
      </c>
      <c r="R556" s="77" t="str">
        <f>IFERROR(VLOOKUP($H556,TC[],3,FALSE),"NA")</f>
        <v>NA</v>
      </c>
      <c r="S556" s="77">
        <f>IFERROR(VLOOKUP($H556,TEV[],3,FALSE),"NA")</f>
        <v>0</v>
      </c>
      <c r="T556" s="79">
        <f>SUM(TbAlquiler[[#This Row],[GENERAL]:[ELEVADOR]])</f>
        <v>0</v>
      </c>
      <c r="U556" s="80">
        <f>IF(VLOOKUP(TbAlquiler[[#This Row],[ITEM]],TbPiezas[],5,FALSE)="NA",0,VLOOKUP(TbAlquiler[[#This Row],[ITEM]],TbPiezas[],5,FALSE))</f>
        <v>0.2</v>
      </c>
      <c r="V556" s="81">
        <f>+TbAlquiler[[#This Row],[TOTAL]]*TbAlquiler[[#This Row],[P.U. (1)]]</f>
        <v>0</v>
      </c>
      <c r="W556" s="82">
        <f>+VLOOKUP(TbAlquiler[[#This Row],[ITEM]],TbPiezas[],6,FALSE)</f>
        <v>45.1</v>
      </c>
      <c r="X556" s="83">
        <f>+TbAlquiler[[#This Row],[TOTAL]]*TbAlquiler[[#This Row],[P.U. (2)]]</f>
        <v>0</v>
      </c>
      <c r="Y556" s="82">
        <f>+VLOOKUP(TbAlquiler[[#This Row],[ITEM]],TbPiezas[],7,FALSE)</f>
        <v>2.2550000000000003</v>
      </c>
      <c r="Z556" s="84">
        <f>+TbAlquiler[[#This Row],[TOTAL]]*TbAlquiler[[#This Row],[P.U. (3)]]</f>
        <v>0</v>
      </c>
    </row>
    <row r="557" spans="1:26" s="4" customFormat="1" x14ac:dyDescent="0.3">
      <c r="A557" s="2"/>
      <c r="B557" s="85">
        <v>488</v>
      </c>
      <c r="C557" s="71" t="s">
        <v>966</v>
      </c>
      <c r="D557" s="72" t="s">
        <v>967</v>
      </c>
      <c r="E557" s="73"/>
      <c r="F557" s="74">
        <f>+VLOOKUP(C557,TbAlquiler[],13,FALSE)</f>
        <v>0</v>
      </c>
      <c r="G557" s="2"/>
      <c r="H557" s="75" t="str">
        <f t="shared" si="16"/>
        <v>EV.10950</v>
      </c>
      <c r="I557" s="59" t="str">
        <f t="shared" si="17"/>
        <v>ok</v>
      </c>
      <c r="J557" s="77">
        <f>IFERROR(VLOOKUP($H557,TG[],3,FALSE),"NA")</f>
        <v>0</v>
      </c>
      <c r="K557" s="77" t="str">
        <f>IFERROR(VLOOKUP($H557,TF[],3,FALSE),"NA")</f>
        <v>NA</v>
      </c>
      <c r="L557" s="77" t="str">
        <f>IFERROR(VLOOKUP($H557,TT[],3,FALSE),"NA")</f>
        <v>NA</v>
      </c>
      <c r="M557" s="77" t="str">
        <f>IFERROR(VLOOKUP($H557,TES[],3,FALSE),"NA")</f>
        <v>NA</v>
      </c>
      <c r="N557" s="77" t="str">
        <f>IFERROR(VLOOKUP($H557,TEC[],3,FALSE),"NA")</f>
        <v>NA</v>
      </c>
      <c r="O557" s="77" t="str">
        <f>IFERROR(VLOOKUP($H557,TP[],3,FALSE),"NA")</f>
        <v>NA</v>
      </c>
      <c r="P557" s="77" t="str">
        <f>IFERROR(VLOOKUP($H557,TEN[],3,FALSE),"NA")</f>
        <v>NA</v>
      </c>
      <c r="Q557" s="77" t="str">
        <f>IFERROR(VLOOKUP($H557,TD[],3,FALSE),"NA")</f>
        <v>NA</v>
      </c>
      <c r="R557" s="77" t="str">
        <f>IFERROR(VLOOKUP($H557,TC[],3,FALSE),"NA")</f>
        <v>NA</v>
      </c>
      <c r="S557" s="77">
        <f>IFERROR(VLOOKUP($H557,TEV[],3,FALSE),"NA")</f>
        <v>0</v>
      </c>
      <c r="T557" s="79">
        <f>SUM(TbAlquiler[[#This Row],[GENERAL]:[ELEVADOR]])</f>
        <v>0</v>
      </c>
      <c r="U557" s="80">
        <f>IF(VLOOKUP(TbAlquiler[[#This Row],[ITEM]],TbPiezas[],5,FALSE)="NA",0,VLOOKUP(TbAlquiler[[#This Row],[ITEM]],TbPiezas[],5,FALSE))</f>
        <v>0.2</v>
      </c>
      <c r="V557" s="81">
        <f>+TbAlquiler[[#This Row],[TOTAL]]*TbAlquiler[[#This Row],[P.U. (1)]]</f>
        <v>0</v>
      </c>
      <c r="W557" s="82">
        <f>+VLOOKUP(TbAlquiler[[#This Row],[ITEM]],TbPiezas[],6,FALSE)</f>
        <v>45.1</v>
      </c>
      <c r="X557" s="83">
        <f>+TbAlquiler[[#This Row],[TOTAL]]*TbAlquiler[[#This Row],[P.U. (2)]]</f>
        <v>0</v>
      </c>
      <c r="Y557" s="82">
        <f>+VLOOKUP(TbAlquiler[[#This Row],[ITEM]],TbPiezas[],7,FALSE)</f>
        <v>2.2550000000000003</v>
      </c>
      <c r="Z557" s="84">
        <f>+TbAlquiler[[#This Row],[TOTAL]]*TbAlquiler[[#This Row],[P.U. (3)]]</f>
        <v>0</v>
      </c>
    </row>
    <row r="558" spans="1:26" s="4" customFormat="1" x14ac:dyDescent="0.3">
      <c r="A558" s="2"/>
      <c r="B558" s="85">
        <v>489</v>
      </c>
      <c r="C558" s="71" t="s">
        <v>968</v>
      </c>
      <c r="D558" s="72" t="s">
        <v>969</v>
      </c>
      <c r="E558" s="73"/>
      <c r="F558" s="74">
        <f>+VLOOKUP(C558,TbAlquiler[],13,FALSE)</f>
        <v>0</v>
      </c>
      <c r="G558" s="2"/>
      <c r="H558" s="75" t="str">
        <f t="shared" si="16"/>
        <v>MA.0100</v>
      </c>
      <c r="I558" s="59" t="str">
        <f t="shared" si="17"/>
        <v>ok</v>
      </c>
      <c r="J558" s="77">
        <f>IFERROR(VLOOKUP($H558,TG[],3,FALSE),"NA")</f>
        <v>0</v>
      </c>
      <c r="K558" s="77" t="str">
        <f>IFERROR(VLOOKUP($H558,TF[],3,FALSE),"NA")</f>
        <v>NA</v>
      </c>
      <c r="L558" s="77" t="str">
        <f>IFERROR(VLOOKUP($H558,TT[],3,FALSE),"NA")</f>
        <v>NA</v>
      </c>
      <c r="M558" s="77" t="str">
        <f>IFERROR(VLOOKUP($H558,TES[],3,FALSE),"NA")</f>
        <v>NA</v>
      </c>
      <c r="N558" s="77" t="str">
        <f>IFERROR(VLOOKUP($H558,TEC[],3,FALSE),"NA")</f>
        <v>NA</v>
      </c>
      <c r="O558" s="77" t="str">
        <f>IFERROR(VLOOKUP($H558,TP[],3,FALSE),"NA")</f>
        <v>NA</v>
      </c>
      <c r="P558" s="77" t="str">
        <f>IFERROR(VLOOKUP($H558,TEN[],3,FALSE),"NA")</f>
        <v>NA</v>
      </c>
      <c r="Q558" s="77" t="str">
        <f>IFERROR(VLOOKUP($H558,TD[],3,FALSE),"NA")</f>
        <v>NA</v>
      </c>
      <c r="R558" s="77" t="str">
        <f>IFERROR(VLOOKUP($H558,TC[],3,FALSE),"NA")</f>
        <v>NA</v>
      </c>
      <c r="S558" s="77" t="str">
        <f>IFERROR(VLOOKUP($H558,TEV[],3,FALSE),"NA")</f>
        <v>NA</v>
      </c>
      <c r="T558" s="79">
        <f>SUM(TbAlquiler[[#This Row],[GENERAL]:[ELEVADOR]])</f>
        <v>0</v>
      </c>
      <c r="U558" s="80">
        <f>IF(VLOOKUP(TbAlquiler[[#This Row],[ITEM]],TbPiezas[],5,FALSE)="NA",0,VLOOKUP(TbAlquiler[[#This Row],[ITEM]],TbPiezas[],5,FALSE))</f>
        <v>27.2</v>
      </c>
      <c r="V558" s="81">
        <f>+TbAlquiler[[#This Row],[TOTAL]]*TbAlquiler[[#This Row],[P.U. (1)]]</f>
        <v>0</v>
      </c>
      <c r="W558" s="82">
        <f>+VLOOKUP(TbAlquiler[[#This Row],[ITEM]],TbPiezas[],6,FALSE)</f>
        <v>127.05</v>
      </c>
      <c r="X558" s="83">
        <f>+TbAlquiler[[#This Row],[TOTAL]]*TbAlquiler[[#This Row],[P.U. (2)]]</f>
        <v>0</v>
      </c>
      <c r="Y558" s="82">
        <f>+VLOOKUP(TbAlquiler[[#This Row],[ITEM]],TbPiezas[],7,FALSE)</f>
        <v>6.3525</v>
      </c>
      <c r="Z558" s="84">
        <f>+TbAlquiler[[#This Row],[TOTAL]]*TbAlquiler[[#This Row],[P.U. (3)]]</f>
        <v>0</v>
      </c>
    </row>
    <row r="559" spans="1:26" s="4" customFormat="1" x14ac:dyDescent="0.3">
      <c r="A559" s="2"/>
      <c r="B559" s="85">
        <v>490</v>
      </c>
      <c r="C559" s="71" t="s">
        <v>970</v>
      </c>
      <c r="D559" s="72" t="s">
        <v>971</v>
      </c>
      <c r="E559" s="73"/>
      <c r="F559" s="74">
        <f>+VLOOKUP(C559,TbAlquiler[],13,FALSE)</f>
        <v>0</v>
      </c>
      <c r="G559" s="2"/>
      <c r="H559" s="75" t="str">
        <f t="shared" si="16"/>
        <v>MA.0200</v>
      </c>
      <c r="I559" s="59" t="str">
        <f t="shared" si="17"/>
        <v>ok</v>
      </c>
      <c r="J559" s="77">
        <f>IFERROR(VLOOKUP($H559,TG[],3,FALSE),"NA")</f>
        <v>0</v>
      </c>
      <c r="K559" s="77" t="str">
        <f>IFERROR(VLOOKUP($H559,TF[],3,FALSE),"NA")</f>
        <v>NA</v>
      </c>
      <c r="L559" s="77" t="str">
        <f>IFERROR(VLOOKUP($H559,TT[],3,FALSE),"NA")</f>
        <v>NA</v>
      </c>
      <c r="M559" s="77" t="str">
        <f>IFERROR(VLOOKUP($H559,TES[],3,FALSE),"NA")</f>
        <v>NA</v>
      </c>
      <c r="N559" s="77" t="str">
        <f>IFERROR(VLOOKUP($H559,TEC[],3,FALSE),"NA")</f>
        <v>NA</v>
      </c>
      <c r="O559" s="77" t="str">
        <f>IFERROR(VLOOKUP($H559,TP[],3,FALSE),"NA")</f>
        <v>NA</v>
      </c>
      <c r="P559" s="77" t="str">
        <f>IFERROR(VLOOKUP($H559,TEN[],3,FALSE),"NA")</f>
        <v>NA</v>
      </c>
      <c r="Q559" s="77" t="str">
        <f>IFERROR(VLOOKUP($H559,TD[],3,FALSE),"NA")</f>
        <v>NA</v>
      </c>
      <c r="R559" s="77" t="str">
        <f>IFERROR(VLOOKUP($H559,TC[],3,FALSE),"NA")</f>
        <v>NA</v>
      </c>
      <c r="S559" s="77" t="str">
        <f>IFERROR(VLOOKUP($H559,TEV[],3,FALSE),"NA")</f>
        <v>NA</v>
      </c>
      <c r="T559" s="79">
        <f>SUM(TbAlquiler[[#This Row],[GENERAL]:[ELEVADOR]])</f>
        <v>0</v>
      </c>
      <c r="U559" s="80">
        <f>IF(VLOOKUP(TbAlquiler[[#This Row],[ITEM]],TbPiezas[],5,FALSE)="NA",0,VLOOKUP(TbAlquiler[[#This Row],[ITEM]],TbPiezas[],5,FALSE))</f>
        <v>2.52</v>
      </c>
      <c r="V559" s="81">
        <f>+TbAlquiler[[#This Row],[TOTAL]]*TbAlquiler[[#This Row],[P.U. (1)]]</f>
        <v>0</v>
      </c>
      <c r="W559" s="82">
        <f>+VLOOKUP(TbAlquiler[[#This Row],[ITEM]],TbPiezas[],6,FALSE)</f>
        <v>12.71</v>
      </c>
      <c r="X559" s="83">
        <f>+TbAlquiler[[#This Row],[TOTAL]]*TbAlquiler[[#This Row],[P.U. (2)]]</f>
        <v>0</v>
      </c>
      <c r="Y559" s="82">
        <f>+VLOOKUP(TbAlquiler[[#This Row],[ITEM]],TbPiezas[],7,FALSE)</f>
        <v>0.63550000000000006</v>
      </c>
      <c r="Z559" s="84">
        <f>+TbAlquiler[[#This Row],[TOTAL]]*TbAlquiler[[#This Row],[P.U. (3)]]</f>
        <v>0</v>
      </c>
    </row>
    <row r="560" spans="1:26" s="4" customFormat="1" x14ac:dyDescent="0.3">
      <c r="A560" s="2"/>
      <c r="B560" s="85">
        <v>491</v>
      </c>
      <c r="C560" s="71" t="s">
        <v>972</v>
      </c>
      <c r="D560" s="72" t="s">
        <v>973</v>
      </c>
      <c r="E560" s="73"/>
      <c r="F560" s="74">
        <f>+VLOOKUP(C560,TbAlquiler[],13,FALSE)</f>
        <v>0</v>
      </c>
      <c r="G560" s="2"/>
      <c r="H560" s="75" t="str">
        <f t="shared" si="16"/>
        <v>MA.0250</v>
      </c>
      <c r="I560" s="59" t="str">
        <f t="shared" si="17"/>
        <v>ok</v>
      </c>
      <c r="J560" s="77">
        <f>IFERROR(VLOOKUP($H560,TG[],3,FALSE),"NA")</f>
        <v>0</v>
      </c>
      <c r="K560" s="77" t="str">
        <f>IFERROR(VLOOKUP($H560,TF[],3,FALSE),"NA")</f>
        <v>NA</v>
      </c>
      <c r="L560" s="77" t="str">
        <f>IFERROR(VLOOKUP($H560,TT[],3,FALSE),"NA")</f>
        <v>NA</v>
      </c>
      <c r="M560" s="77" t="str">
        <f>IFERROR(VLOOKUP($H560,TES[],3,FALSE),"NA")</f>
        <v>NA</v>
      </c>
      <c r="N560" s="77" t="str">
        <f>IFERROR(VLOOKUP($H560,TEC[],3,FALSE),"NA")</f>
        <v>NA</v>
      </c>
      <c r="O560" s="77" t="str">
        <f>IFERROR(VLOOKUP($H560,TP[],3,FALSE),"NA")</f>
        <v>NA</v>
      </c>
      <c r="P560" s="77" t="str">
        <f>IFERROR(VLOOKUP($H560,TEN[],3,FALSE),"NA")</f>
        <v>NA</v>
      </c>
      <c r="Q560" s="77" t="str">
        <f>IFERROR(VLOOKUP($H560,TD[],3,FALSE),"NA")</f>
        <v>NA</v>
      </c>
      <c r="R560" s="77" t="str">
        <f>IFERROR(VLOOKUP($H560,TC[],3,FALSE),"NA")</f>
        <v>NA</v>
      </c>
      <c r="S560" s="77" t="str">
        <f>IFERROR(VLOOKUP($H560,TEV[],3,FALSE),"NA")</f>
        <v>NA</v>
      </c>
      <c r="T560" s="79">
        <f>SUM(TbAlquiler[[#This Row],[GENERAL]:[ELEVADOR]])</f>
        <v>0</v>
      </c>
      <c r="U560" s="80">
        <f>IF(VLOOKUP(TbAlquiler[[#This Row],[ITEM]],TbPiezas[],5,FALSE)="NA",0,VLOOKUP(TbAlquiler[[#This Row],[ITEM]],TbPiezas[],5,FALSE))</f>
        <v>0.63600000000000001</v>
      </c>
      <c r="V560" s="81">
        <f>+TbAlquiler[[#This Row],[TOTAL]]*TbAlquiler[[#This Row],[P.U. (1)]]</f>
        <v>0</v>
      </c>
      <c r="W560" s="82">
        <f>+VLOOKUP(TbAlquiler[[#This Row],[ITEM]],TbPiezas[],6,FALSE)</f>
        <v>50.82</v>
      </c>
      <c r="X560" s="83">
        <f>+TbAlquiler[[#This Row],[TOTAL]]*TbAlquiler[[#This Row],[P.U. (2)]]</f>
        <v>0</v>
      </c>
      <c r="Y560" s="82">
        <f>+VLOOKUP(TbAlquiler[[#This Row],[ITEM]],TbPiezas[],7,FALSE)</f>
        <v>2.5410000000000004</v>
      </c>
      <c r="Z560" s="84">
        <f>+TbAlquiler[[#This Row],[TOTAL]]*TbAlquiler[[#This Row],[P.U. (3)]]</f>
        <v>0</v>
      </c>
    </row>
    <row r="561" spans="1:26" s="4" customFormat="1" x14ac:dyDescent="0.3">
      <c r="A561" s="2"/>
      <c r="B561" s="85">
        <v>492</v>
      </c>
      <c r="C561" s="71" t="s">
        <v>974</v>
      </c>
      <c r="D561" s="72" t="s">
        <v>975</v>
      </c>
      <c r="E561" s="73"/>
      <c r="F561" s="74">
        <f>+VLOOKUP(C561,TbAlquiler[],13,FALSE)</f>
        <v>0</v>
      </c>
      <c r="G561" s="2"/>
      <c r="H561" s="75" t="str">
        <f t="shared" si="16"/>
        <v>MA.0300</v>
      </c>
      <c r="I561" s="59" t="str">
        <f t="shared" si="17"/>
        <v>ok</v>
      </c>
      <c r="J561" s="77">
        <f>IFERROR(VLOOKUP($H561,TG[],3,FALSE),"NA")</f>
        <v>0</v>
      </c>
      <c r="K561" s="77" t="str">
        <f>IFERROR(VLOOKUP($H561,TF[],3,FALSE),"NA")</f>
        <v>NA</v>
      </c>
      <c r="L561" s="77" t="str">
        <f>IFERROR(VLOOKUP($H561,TT[],3,FALSE),"NA")</f>
        <v>NA</v>
      </c>
      <c r="M561" s="77" t="str">
        <f>IFERROR(VLOOKUP($H561,TES[],3,FALSE),"NA")</f>
        <v>NA</v>
      </c>
      <c r="N561" s="77" t="str">
        <f>IFERROR(VLOOKUP($H561,TEC[],3,FALSE),"NA")</f>
        <v>NA</v>
      </c>
      <c r="O561" s="77" t="str">
        <f>IFERROR(VLOOKUP($H561,TP[],3,FALSE),"NA")</f>
        <v>NA</v>
      </c>
      <c r="P561" s="77" t="str">
        <f>IFERROR(VLOOKUP($H561,TEN[],3,FALSE),"NA")</f>
        <v>NA</v>
      </c>
      <c r="Q561" s="77" t="str">
        <f>IFERROR(VLOOKUP($H561,TD[],3,FALSE),"NA")</f>
        <v>NA</v>
      </c>
      <c r="R561" s="77" t="str">
        <f>IFERROR(VLOOKUP($H561,TC[],3,FALSE),"NA")</f>
        <v>NA</v>
      </c>
      <c r="S561" s="77" t="str">
        <f>IFERROR(VLOOKUP($H561,TEV[],3,FALSE),"NA")</f>
        <v>NA</v>
      </c>
      <c r="T561" s="79">
        <f>SUM(TbAlquiler[[#This Row],[GENERAL]:[ELEVADOR]])</f>
        <v>0</v>
      </c>
      <c r="U561" s="80">
        <f>IF(VLOOKUP(TbAlquiler[[#This Row],[ITEM]],TbPiezas[],5,FALSE)="NA",0,VLOOKUP(TbAlquiler[[#This Row],[ITEM]],TbPiezas[],5,FALSE))</f>
        <v>70</v>
      </c>
      <c r="V561" s="81">
        <f>+TbAlquiler[[#This Row],[TOTAL]]*TbAlquiler[[#This Row],[P.U. (1)]]</f>
        <v>0</v>
      </c>
      <c r="W561" s="82">
        <f>+VLOOKUP(TbAlquiler[[#This Row],[ITEM]],TbPiezas[],6,FALSE)</f>
        <v>1079.93</v>
      </c>
      <c r="X561" s="83">
        <f>+TbAlquiler[[#This Row],[TOTAL]]*TbAlquiler[[#This Row],[P.U. (2)]]</f>
        <v>0</v>
      </c>
      <c r="Y561" s="82">
        <f>+VLOOKUP(TbAlquiler[[#This Row],[ITEM]],TbPiezas[],7,FALSE)</f>
        <v>53.996500000000005</v>
      </c>
      <c r="Z561" s="84">
        <f>+TbAlquiler[[#This Row],[TOTAL]]*TbAlquiler[[#This Row],[P.U. (3)]]</f>
        <v>0</v>
      </c>
    </row>
    <row r="562" spans="1:26" s="4" customFormat="1" x14ac:dyDescent="0.3">
      <c r="A562" s="2"/>
      <c r="B562" s="85">
        <v>493</v>
      </c>
      <c r="C562" s="71" t="s">
        <v>976</v>
      </c>
      <c r="D562" s="72" t="s">
        <v>977</v>
      </c>
      <c r="E562" s="73"/>
      <c r="F562" s="74">
        <f>+VLOOKUP(C562,TbAlquiler[],13,FALSE)</f>
        <v>0</v>
      </c>
      <c r="G562" s="2"/>
      <c r="H562" s="75" t="str">
        <f t="shared" si="16"/>
        <v>MA.0400</v>
      </c>
      <c r="I562" s="59" t="str">
        <f t="shared" si="17"/>
        <v>ok</v>
      </c>
      <c r="J562" s="77">
        <f>IFERROR(VLOOKUP($H562,TG[],3,FALSE),"NA")</f>
        <v>0</v>
      </c>
      <c r="K562" s="77" t="str">
        <f>IFERROR(VLOOKUP($H562,TF[],3,FALSE),"NA")</f>
        <v>NA</v>
      </c>
      <c r="L562" s="77" t="str">
        <f>IFERROR(VLOOKUP($H562,TT[],3,FALSE),"NA")</f>
        <v>NA</v>
      </c>
      <c r="M562" s="77" t="str">
        <f>IFERROR(VLOOKUP($H562,TES[],3,FALSE),"NA")</f>
        <v>NA</v>
      </c>
      <c r="N562" s="77" t="str">
        <f>IFERROR(VLOOKUP($H562,TEC[],3,FALSE),"NA")</f>
        <v>NA</v>
      </c>
      <c r="O562" s="77" t="str">
        <f>IFERROR(VLOOKUP($H562,TP[],3,FALSE),"NA")</f>
        <v>NA</v>
      </c>
      <c r="P562" s="77" t="str">
        <f>IFERROR(VLOOKUP($H562,TEN[],3,FALSE),"NA")</f>
        <v>NA</v>
      </c>
      <c r="Q562" s="77" t="str">
        <f>IFERROR(VLOOKUP($H562,TD[],3,FALSE),"NA")</f>
        <v>NA</v>
      </c>
      <c r="R562" s="77" t="str">
        <f>IFERROR(VLOOKUP($H562,TC[],3,FALSE),"NA")</f>
        <v>NA</v>
      </c>
      <c r="S562" s="77" t="str">
        <f>IFERROR(VLOOKUP($H562,TEV[],3,FALSE),"NA")</f>
        <v>NA</v>
      </c>
      <c r="T562" s="79">
        <f>SUM(TbAlquiler[[#This Row],[GENERAL]:[ELEVADOR]])</f>
        <v>0</v>
      </c>
      <c r="U562" s="80">
        <f>IF(VLOOKUP(TbAlquiler[[#This Row],[ITEM]],TbPiezas[],5,FALSE)="NA",0,VLOOKUP(TbAlquiler[[#This Row],[ITEM]],TbPiezas[],5,FALSE))</f>
        <v>65</v>
      </c>
      <c r="V562" s="81">
        <f>+TbAlquiler[[#This Row],[TOTAL]]*TbAlquiler[[#This Row],[P.U. (1)]]</f>
        <v>0</v>
      </c>
      <c r="W562" s="82">
        <f>+VLOOKUP(TbAlquiler[[#This Row],[ITEM]],TbPiezas[],6,FALSE)</f>
        <v>1715.18</v>
      </c>
      <c r="X562" s="83">
        <f>+TbAlquiler[[#This Row],[TOTAL]]*TbAlquiler[[#This Row],[P.U. (2)]]</f>
        <v>0</v>
      </c>
      <c r="Y562" s="82">
        <f>+VLOOKUP(TbAlquiler[[#This Row],[ITEM]],TbPiezas[],7,FALSE)</f>
        <v>85.759000000000015</v>
      </c>
      <c r="Z562" s="84">
        <f>+TbAlquiler[[#This Row],[TOTAL]]*TbAlquiler[[#This Row],[P.U. (3)]]</f>
        <v>0</v>
      </c>
    </row>
    <row r="563" spans="1:26" ht="7.5" customHeight="1" x14ac:dyDescent="0.3"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2"/>
      <c r="V563" s="2"/>
    </row>
    <row r="564" spans="1:26" ht="15" customHeight="1" x14ac:dyDescent="0.3">
      <c r="A564" s="2"/>
      <c r="G564" s="2"/>
      <c r="H564" s="2"/>
      <c r="I564" s="68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88" t="s">
        <v>1169</v>
      </c>
      <c r="V564" s="89">
        <f>SUM(V18:V563)</f>
        <v>17541.866000000002</v>
      </c>
      <c r="W564" s="90" t="s">
        <v>1170</v>
      </c>
      <c r="X564" s="91">
        <f>SUM(X18:X563)</f>
        <v>925850.93999999983</v>
      </c>
      <c r="Y564" s="92" t="s">
        <v>1170</v>
      </c>
      <c r="Z564" s="93">
        <f>SUM(Z18:Z563)</f>
        <v>45009.548999999985</v>
      </c>
    </row>
    <row r="565" spans="1:26" x14ac:dyDescent="0.3">
      <c r="U565" s="447" t="s">
        <v>1171</v>
      </c>
      <c r="V565" s="448">
        <f>+V564/1000</f>
        <v>17.541866000000002</v>
      </c>
      <c r="W565" s="94" t="s">
        <v>1172</v>
      </c>
      <c r="X565" s="449">
        <f>-X564*W566</f>
        <v>0</v>
      </c>
      <c r="Y565" s="95" t="s">
        <v>1172</v>
      </c>
      <c r="Z565" s="450">
        <f>-Z564*Y566</f>
        <v>0</v>
      </c>
    </row>
    <row r="566" spans="1:26" x14ac:dyDescent="0.3">
      <c r="U566" s="447"/>
      <c r="V566" s="448"/>
      <c r="W566" s="96"/>
      <c r="X566" s="449"/>
      <c r="Y566" s="97"/>
      <c r="Z566" s="450"/>
    </row>
    <row r="567" spans="1:26" ht="7.5" customHeight="1" x14ac:dyDescent="0.3">
      <c r="U567" s="2"/>
      <c r="V567" s="2"/>
    </row>
    <row r="568" spans="1:26" ht="15" customHeight="1" x14ac:dyDescent="0.3">
      <c r="U568" s="442" t="s">
        <v>1173</v>
      </c>
      <c r="V568" s="83">
        <v>0</v>
      </c>
      <c r="W568" s="98" t="s">
        <v>1170</v>
      </c>
      <c r="X568" s="83">
        <f>X564+X565</f>
        <v>925850.93999999983</v>
      </c>
      <c r="Y568" s="82" t="s">
        <v>1170</v>
      </c>
      <c r="Z568" s="84">
        <f>Z564+Z565</f>
        <v>45009.548999999985</v>
      </c>
    </row>
    <row r="569" spans="1:26" x14ac:dyDescent="0.3">
      <c r="U569" s="442"/>
      <c r="V569" s="83">
        <v>0</v>
      </c>
      <c r="W569" s="98" t="s">
        <v>1174</v>
      </c>
      <c r="X569" s="83">
        <f>0.18*X568</f>
        <v>166653.16919999997</v>
      </c>
      <c r="Y569" s="82" t="s">
        <v>1174</v>
      </c>
      <c r="Z569" s="84">
        <f>0.18*Z568</f>
        <v>8101.7188199999973</v>
      </c>
    </row>
    <row r="570" spans="1:26" ht="7.5" customHeight="1" x14ac:dyDescent="0.3">
      <c r="U570" s="2"/>
      <c r="V570" s="2"/>
    </row>
    <row r="571" spans="1:26" x14ac:dyDescent="0.3">
      <c r="U571" s="2"/>
      <c r="V571" s="99"/>
      <c r="W571" s="100" t="s">
        <v>1162</v>
      </c>
      <c r="X571" s="101">
        <f>+X568+X569</f>
        <v>1092504.1091999998</v>
      </c>
      <c r="Y571" s="100" t="s">
        <v>1162</v>
      </c>
      <c r="Z571" s="102">
        <f>+Z568+Z569</f>
        <v>53111.267819999979</v>
      </c>
    </row>
    <row r="572" spans="1:26" x14ac:dyDescent="0.3">
      <c r="D572" s="68"/>
    </row>
    <row r="573" spans="1:26" x14ac:dyDescent="0.3">
      <c r="D573" s="68"/>
    </row>
    <row r="574" spans="1:26" x14ac:dyDescent="0.3">
      <c r="D574" s="68"/>
    </row>
    <row r="575" spans="1:26" x14ac:dyDescent="0.3">
      <c r="D575" s="68"/>
    </row>
    <row r="576" spans="1:26" x14ac:dyDescent="0.3">
      <c r="D576" s="68"/>
    </row>
    <row r="577" spans="4:4" x14ac:dyDescent="0.3">
      <c r="D577" s="68"/>
    </row>
    <row r="578" spans="4:4" x14ac:dyDescent="0.3">
      <c r="D578" s="68"/>
    </row>
    <row r="579" spans="4:4" x14ac:dyDescent="0.3">
      <c r="D579" s="68"/>
    </row>
    <row r="580" spans="4:4" x14ac:dyDescent="0.3">
      <c r="D580" s="68"/>
    </row>
    <row r="581" spans="4:4" x14ac:dyDescent="0.3">
      <c r="D581" s="68"/>
    </row>
    <row r="582" spans="4:4" x14ac:dyDescent="0.3">
      <c r="D582" s="68"/>
    </row>
    <row r="583" spans="4:4" x14ac:dyDescent="0.3">
      <c r="D583" s="68"/>
    </row>
    <row r="584" spans="4:4" x14ac:dyDescent="0.3">
      <c r="D584" s="68"/>
    </row>
    <row r="585" spans="4:4" x14ac:dyDescent="0.3">
      <c r="D585" s="68"/>
    </row>
    <row r="586" spans="4:4" x14ac:dyDescent="0.3">
      <c r="D586" s="68"/>
    </row>
    <row r="587" spans="4:4" x14ac:dyDescent="0.3">
      <c r="D587" s="68"/>
    </row>
    <row r="588" spans="4:4" x14ac:dyDescent="0.3">
      <c r="D588" s="68"/>
    </row>
    <row r="589" spans="4:4" x14ac:dyDescent="0.3">
      <c r="D589" s="68"/>
    </row>
    <row r="590" spans="4:4" x14ac:dyDescent="0.3">
      <c r="D590" s="68"/>
    </row>
    <row r="591" spans="4:4" x14ac:dyDescent="0.3">
      <c r="D591" s="68"/>
    </row>
    <row r="592" spans="4:4" x14ac:dyDescent="0.3">
      <c r="D592" s="68"/>
    </row>
    <row r="593" spans="4:4" x14ac:dyDescent="0.3">
      <c r="D593" s="68"/>
    </row>
    <row r="594" spans="4:4" x14ac:dyDescent="0.3">
      <c r="D594" s="68"/>
    </row>
    <row r="595" spans="4:4" x14ac:dyDescent="0.3">
      <c r="D595" s="68"/>
    </row>
    <row r="596" spans="4:4" x14ac:dyDescent="0.3">
      <c r="D596" s="68"/>
    </row>
    <row r="597" spans="4:4" x14ac:dyDescent="0.3">
      <c r="D597" s="68"/>
    </row>
    <row r="598" spans="4:4" x14ac:dyDescent="0.3">
      <c r="D598" s="68"/>
    </row>
    <row r="599" spans="4:4" x14ac:dyDescent="0.3">
      <c r="D599" s="68"/>
    </row>
    <row r="600" spans="4:4" x14ac:dyDescent="0.3">
      <c r="D600" s="68"/>
    </row>
    <row r="601" spans="4:4" x14ac:dyDescent="0.3">
      <c r="D601" s="68"/>
    </row>
    <row r="602" spans="4:4" x14ac:dyDescent="0.3">
      <c r="D602" s="68"/>
    </row>
    <row r="603" spans="4:4" x14ac:dyDescent="0.3">
      <c r="D603" s="68"/>
    </row>
    <row r="604" spans="4:4" x14ac:dyDescent="0.3">
      <c r="D604" s="68"/>
    </row>
    <row r="605" spans="4:4" x14ac:dyDescent="0.3">
      <c r="D605" s="68"/>
    </row>
    <row r="606" spans="4:4" x14ac:dyDescent="0.3">
      <c r="D606" s="68"/>
    </row>
    <row r="607" spans="4:4" x14ac:dyDescent="0.3">
      <c r="D607" s="68"/>
    </row>
    <row r="608" spans="4:4" x14ac:dyDescent="0.3">
      <c r="D608" s="68"/>
    </row>
    <row r="612" spans="4:4" x14ac:dyDescent="0.3">
      <c r="D612" s="68"/>
    </row>
    <row r="613" spans="4:4" x14ac:dyDescent="0.3">
      <c r="D613" s="68"/>
    </row>
    <row r="614" spans="4:4" x14ac:dyDescent="0.3">
      <c r="D614" s="68"/>
    </row>
    <row r="615" spans="4:4" x14ac:dyDescent="0.3">
      <c r="D615" s="68"/>
    </row>
    <row r="616" spans="4:4" x14ac:dyDescent="0.3">
      <c r="D616" s="68"/>
    </row>
  </sheetData>
  <autoFilter ref="B17:F562" xr:uid="{3B1600FF-760F-408A-96A5-5EE50D4772E3}">
    <filterColumn colId="2" showButton="0"/>
  </autoFilter>
  <mergeCells count="23">
    <mergeCell ref="AX1:BF1"/>
    <mergeCell ref="C5:C7"/>
    <mergeCell ref="D7:D8"/>
    <mergeCell ref="C8:C10"/>
    <mergeCell ref="D9:D10"/>
    <mergeCell ref="B1:F1"/>
    <mergeCell ref="I1:S1"/>
    <mergeCell ref="U1:Y1"/>
    <mergeCell ref="AA1:AP1"/>
    <mergeCell ref="AR1:AV1"/>
    <mergeCell ref="E7:F7"/>
    <mergeCell ref="C11:C12"/>
    <mergeCell ref="D11:D12"/>
    <mergeCell ref="C14:F14"/>
    <mergeCell ref="U16:V16"/>
    <mergeCell ref="W16:X16"/>
    <mergeCell ref="U568:U569"/>
    <mergeCell ref="Y16:Z16"/>
    <mergeCell ref="D17:E17"/>
    <mergeCell ref="U565:U566"/>
    <mergeCell ref="V565:V566"/>
    <mergeCell ref="X565:X566"/>
    <mergeCell ref="Z565:Z566"/>
  </mergeCells>
  <phoneticPr fontId="1" type="noConversion"/>
  <conditionalFormatting sqref="C15:F15">
    <cfRule type="containsText" dxfId="360" priority="23" operator="containsText" text="FALTAN LLENAR DATOS DE OBRA">
      <formula>NOT(ISERROR(SEARCH("FALTAN LLENAR DATOS DE OBRA",C15)))</formula>
    </cfRule>
  </conditionalFormatting>
  <conditionalFormatting sqref="D7:D8">
    <cfRule type="containsText" dxfId="359" priority="24" operator="containsText" text="PRE CONFIRMADO">
      <formula>NOT(ISERROR(SEARCH("PRE CONFIRMADO",D7)))</formula>
    </cfRule>
    <cfRule type="containsText" dxfId="358" priority="25" operator="containsText" text="CONFIRMADO">
      <formula>NOT(ISERROR(SEARCH("CONFIRMADO",D7)))</formula>
    </cfRule>
    <cfRule type="containsText" dxfId="357" priority="26" operator="containsText" text="POR CONFIRMAR">
      <formula>NOT(ISERROR(SEARCH("POR CONFIRMAR",D7)))</formula>
    </cfRule>
  </conditionalFormatting>
  <conditionalFormatting sqref="E7">
    <cfRule type="expression" dxfId="356" priority="22">
      <formula>$F$7="SI"</formula>
    </cfRule>
  </conditionalFormatting>
  <conditionalFormatting sqref="J18:S562">
    <cfRule type="cellIs" dxfId="355" priority="19" operator="equal">
      <formula>"NA"</formula>
    </cfRule>
  </conditionalFormatting>
  <conditionalFormatting sqref="K14">
    <cfRule type="containsText" dxfId="354" priority="6" operator="containsText" text="MAL">
      <formula>NOT(ISERROR(SEARCH("MAL",K14)))</formula>
    </cfRule>
  </conditionalFormatting>
  <pageMargins left="0.23622047244094491" right="0.23622047244094491" top="0.74803149606299213" bottom="0.74803149606299213" header="0.31496062992125984" footer="0.31496062992125984"/>
  <pageSetup scale="95" orientation="portrait" r:id="rId1"/>
  <headerFooter>
    <oddHeader>&amp;C&amp;F - &amp;D - &amp;T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BtnImprimir">
          <controlPr defaultSize="0" autoLine="0" r:id="rId5">
            <anchor moveWithCells="1">
              <from>
                <xdr:col>10</xdr:col>
                <xdr:colOff>182880</xdr:colOff>
                <xdr:row>4</xdr:row>
                <xdr:rowOff>38100</xdr:rowOff>
              </from>
              <to>
                <xdr:col>10</xdr:col>
                <xdr:colOff>906780</xdr:colOff>
                <xdr:row>5</xdr:row>
                <xdr:rowOff>137160</xdr:rowOff>
              </to>
            </anchor>
          </controlPr>
        </control>
      </mc:Choice>
      <mc:Fallback>
        <control shapeId="5121" r:id="rId4" name="BtnImprimir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" operator="containsText" id="{E0E90CAC-EE2F-47FA-A313-E3D556A67E84}">
            <xm:f>NOT(ISERROR(SEARCH(#N/A,J18)))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J18:S562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F3E1D9A-C2B9-42C3-A956-0E54F84662FF}">
          <x14:formula1>
            <xm:f>Apoyo1Despiece!$C$4:$C$7</xm:f>
          </x14:formula1>
          <xm:sqref>F5:F6</xm:sqref>
        </x14:dataValidation>
        <x14:dataValidation type="list" allowBlank="1" showInputMessage="1" showErrorMessage="1" xr:uid="{C1CC3063-2712-48DE-BD74-65CAEE60A64D}">
          <x14:formula1>
            <xm:f>Apoyo1Despiece!$D$4:$D$6</xm:f>
          </x14:formula1>
          <xm:sqref>C11:C12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EBFA-B32E-4577-AD9E-6E7575791E3A}">
  <sheetPr codeName="Hoja29">
    <tabColor rgb="FF002060"/>
  </sheetPr>
  <dimension ref="A1:DH78"/>
  <sheetViews>
    <sheetView workbookViewId="0"/>
  </sheetViews>
  <sheetFormatPr baseColWidth="10" defaultColWidth="11.44140625" defaultRowHeight="14.4" outlineLevelCol="1" x14ac:dyDescent="0.3"/>
  <cols>
    <col min="1" max="1" width="2.33203125" style="40" customWidth="1"/>
    <col min="2" max="2" width="17.5546875" style="2" hidden="1" customWidth="1"/>
    <col min="3" max="3" width="18" style="41" customWidth="1"/>
    <col min="4" max="4" width="60.6640625" style="2" customWidth="1"/>
    <col min="5" max="5" width="13.5546875" style="2" customWidth="1"/>
    <col min="6" max="6" width="11.6640625" style="40" customWidth="1"/>
    <col min="7" max="7" width="2.6640625" style="40" customWidth="1"/>
    <col min="8" max="8" width="16.109375" style="40" hidden="1" customWidth="1"/>
    <col min="9" max="9" width="9.88671875" style="40" hidden="1" customWidth="1"/>
    <col min="10" max="11" width="15.6640625" style="40" customWidth="1"/>
    <col min="12" max="20" width="15.6640625" style="40" customWidth="1" outlineLevel="1"/>
    <col min="21" max="22" width="12.88671875" style="42" customWidth="1"/>
    <col min="23" max="23" width="13.5546875" style="43" customWidth="1"/>
    <col min="24" max="24" width="14.33203125" style="43" customWidth="1"/>
    <col min="25" max="25" width="13.6640625" style="43" customWidth="1"/>
    <col min="26" max="26" width="14.33203125" style="43" customWidth="1"/>
    <col min="27" max="16384" width="11.44140625" style="2"/>
  </cols>
  <sheetData>
    <row r="1" spans="1:112" ht="18" thickBot="1" x14ac:dyDescent="0.35">
      <c r="A1" s="281" t="s">
        <v>1096</v>
      </c>
      <c r="B1" s="471" t="s">
        <v>1097</v>
      </c>
      <c r="C1" s="472"/>
      <c r="D1" s="472"/>
      <c r="E1" s="472"/>
      <c r="F1" s="473"/>
      <c r="G1" s="282"/>
      <c r="H1" s="280" t="s">
        <v>1279</v>
      </c>
      <c r="I1" s="474" t="s">
        <v>1098</v>
      </c>
      <c r="J1" s="475"/>
      <c r="K1" s="475"/>
      <c r="L1" s="475"/>
      <c r="M1" s="475"/>
      <c r="N1" s="475"/>
      <c r="O1" s="475"/>
      <c r="P1" s="475"/>
      <c r="Q1" s="475"/>
      <c r="R1" s="475"/>
      <c r="S1" s="476"/>
      <c r="T1" s="30"/>
      <c r="U1" s="477" t="s">
        <v>1099</v>
      </c>
      <c r="V1" s="478"/>
      <c r="W1" s="478"/>
      <c r="X1" s="478"/>
      <c r="Y1" s="479"/>
      <c r="Z1" s="283"/>
      <c r="AA1" s="480" t="s">
        <v>1100</v>
      </c>
      <c r="AB1" s="481"/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2"/>
      <c r="AQ1" s="30"/>
      <c r="AR1" s="483" t="s">
        <v>1101</v>
      </c>
      <c r="AS1" s="484"/>
      <c r="AT1" s="484"/>
      <c r="AU1" s="484"/>
      <c r="AV1" s="485"/>
      <c r="AW1" s="284"/>
      <c r="AX1" s="458" t="s">
        <v>1102</v>
      </c>
      <c r="AY1" s="459"/>
      <c r="AZ1" s="459"/>
      <c r="BA1" s="459"/>
      <c r="BB1" s="459"/>
      <c r="BC1" s="459"/>
      <c r="BD1" s="459"/>
      <c r="BE1" s="459"/>
      <c r="BF1" s="460"/>
      <c r="BG1" s="31" t="s">
        <v>1103</v>
      </c>
    </row>
    <row r="2" spans="1:112" ht="15" thickBot="1" x14ac:dyDescent="0.35">
      <c r="A2" s="285" t="s">
        <v>1104</v>
      </c>
      <c r="B2" s="286" t="s">
        <v>1022</v>
      </c>
      <c r="C2" s="287" t="s">
        <v>1105</v>
      </c>
      <c r="D2" s="287" t="s">
        <v>1106</v>
      </c>
      <c r="E2" s="287" t="s">
        <v>992</v>
      </c>
      <c r="F2" s="287" t="s">
        <v>1107</v>
      </c>
      <c r="G2" s="287" t="s">
        <v>1108</v>
      </c>
      <c r="H2" s="288" t="s">
        <v>1109</v>
      </c>
      <c r="I2" s="288" t="s">
        <v>1110</v>
      </c>
      <c r="J2" s="288" t="s">
        <v>1111</v>
      </c>
      <c r="K2" s="285" t="s">
        <v>1112</v>
      </c>
      <c r="L2" s="288" t="s">
        <v>1113</v>
      </c>
      <c r="M2" s="288" t="s">
        <v>1114</v>
      </c>
      <c r="N2" s="288" t="s">
        <v>1115</v>
      </c>
      <c r="O2" s="288" t="s">
        <v>1280</v>
      </c>
      <c r="P2" s="288" t="s">
        <v>1116</v>
      </c>
      <c r="Q2" s="288" t="s">
        <v>1276</v>
      </c>
      <c r="R2" s="288" t="s">
        <v>1117</v>
      </c>
      <c r="S2" s="288" t="s">
        <v>1118</v>
      </c>
      <c r="T2" s="32"/>
      <c r="U2" s="289" t="s">
        <v>1119</v>
      </c>
      <c r="V2" s="289" t="s">
        <v>1120</v>
      </c>
      <c r="W2" s="289" t="s">
        <v>1281</v>
      </c>
      <c r="X2" s="289" t="s">
        <v>1121</v>
      </c>
      <c r="Y2" s="289" t="s">
        <v>1122</v>
      </c>
      <c r="Z2" s="32"/>
      <c r="AA2" s="290" t="s">
        <v>1123</v>
      </c>
      <c r="AB2" s="291" t="s">
        <v>1124</v>
      </c>
      <c r="AC2" s="291" t="s">
        <v>1125</v>
      </c>
      <c r="AD2" s="291" t="s">
        <v>1126</v>
      </c>
      <c r="AE2" s="291" t="s">
        <v>1127</v>
      </c>
      <c r="AF2" s="291" t="s">
        <v>1128</v>
      </c>
      <c r="AG2" s="291" t="s">
        <v>1129</v>
      </c>
      <c r="AH2" s="291" t="s">
        <v>1130</v>
      </c>
      <c r="AI2" s="292" t="s">
        <v>1131</v>
      </c>
      <c r="AJ2" s="291" t="s">
        <v>996</v>
      </c>
      <c r="AK2" s="291" t="s">
        <v>1118</v>
      </c>
      <c r="AL2" s="291" t="s">
        <v>1132</v>
      </c>
      <c r="AM2" s="291" t="s">
        <v>1115</v>
      </c>
      <c r="AN2" s="291" t="s">
        <v>1133</v>
      </c>
      <c r="AO2" s="291" t="s">
        <v>1134</v>
      </c>
      <c r="AP2" s="292" t="s">
        <v>1135</v>
      </c>
      <c r="AQ2" s="32"/>
      <c r="AR2" s="33" t="s">
        <v>1101</v>
      </c>
      <c r="AS2" s="33" t="s">
        <v>1124</v>
      </c>
      <c r="AT2" s="33" t="s">
        <v>1125</v>
      </c>
      <c r="AU2" s="33" t="s">
        <v>1126</v>
      </c>
      <c r="AV2" s="33" t="s">
        <v>1118</v>
      </c>
      <c r="AW2" s="34"/>
      <c r="AX2" s="293" t="s">
        <v>1136</v>
      </c>
      <c r="AY2" s="293" t="s">
        <v>1137</v>
      </c>
      <c r="AZ2" s="294"/>
      <c r="BA2" s="293" t="s">
        <v>1138</v>
      </c>
      <c r="BB2" s="293" t="s">
        <v>1139</v>
      </c>
      <c r="BC2" s="293" t="s">
        <v>1140</v>
      </c>
      <c r="BD2" s="293" t="s">
        <v>1141</v>
      </c>
      <c r="BE2" s="293" t="s">
        <v>1142</v>
      </c>
      <c r="BF2" s="293" t="s">
        <v>1143</v>
      </c>
      <c r="BG2" s="288" t="s">
        <v>1144</v>
      </c>
    </row>
    <row r="3" spans="1:112" ht="15" customHeight="1" thickBot="1" x14ac:dyDescent="0.3">
      <c r="A3" s="270">
        <f>+ALQUILER!A3</f>
        <v>45498.400821759256</v>
      </c>
      <c r="B3" s="271" t="str">
        <f>+ALQUILER!B3</f>
        <v>MM - Maria Morales</v>
      </c>
      <c r="C3" s="38" t="str">
        <f>+ALQUILER!C3</f>
        <v>EI - Encofrados Innova</v>
      </c>
      <c r="D3" s="272" t="str">
        <f>+ALQUILER!D3</f>
        <v>COGEPATS</v>
      </c>
      <c r="E3" s="272" t="str">
        <f>+ALQUILER!E3</f>
        <v>DISTRITO 18</v>
      </c>
      <c r="F3" s="36" t="str">
        <f>+ALQUILER!F3</f>
        <v>PP - Pase de Pedido</v>
      </c>
      <c r="G3" s="37" t="str">
        <f>+ALQUILER!G3</f>
        <v>LM - Lima</v>
      </c>
      <c r="H3" s="273">
        <f>+ALQUILER!H3</f>
        <v>0</v>
      </c>
      <c r="I3" s="272">
        <f>+ALQUILER!I3</f>
        <v>0</v>
      </c>
      <c r="J3" s="272">
        <f>+ALQUILER!J3</f>
        <v>0</v>
      </c>
      <c r="K3" s="272">
        <f>+ALQUILER!K3</f>
        <v>0</v>
      </c>
      <c r="L3" s="272">
        <f>+ALQUILER!L3</f>
        <v>0</v>
      </c>
      <c r="M3" s="272">
        <f>+ALQUILER!M3</f>
        <v>0</v>
      </c>
      <c r="N3" s="272">
        <f>+ALQUILER!N3</f>
        <v>0</v>
      </c>
      <c r="O3" s="272">
        <f>+ALQUILER!O3</f>
        <v>0</v>
      </c>
      <c r="P3" s="272">
        <f>+ALQUILER!P3</f>
        <v>0</v>
      </c>
      <c r="Q3" s="272">
        <f>+ALQUILER!Q3</f>
        <v>0</v>
      </c>
      <c r="R3" s="272">
        <f>+ALQUILER!R3</f>
        <v>0</v>
      </c>
      <c r="S3" s="272">
        <f>+ALQUILER!S3</f>
        <v>0</v>
      </c>
      <c r="T3" s="272">
        <f>+ALQUILER!T3</f>
        <v>0</v>
      </c>
      <c r="U3" s="272">
        <f>+ALQUILER!U3</f>
        <v>0</v>
      </c>
      <c r="V3" s="272">
        <f>+ALQUILER!V3</f>
        <v>0</v>
      </c>
      <c r="W3" s="272">
        <f>+ALQUILER!W3</f>
        <v>0</v>
      </c>
      <c r="X3" s="272">
        <f>+ALQUILER!X3</f>
        <v>0</v>
      </c>
      <c r="Y3" s="272">
        <f>+ALQUILER!Y3</f>
        <v>0</v>
      </c>
      <c r="Z3" s="272">
        <f>+ALQUILER!Z3</f>
        <v>0</v>
      </c>
      <c r="AA3" s="274" t="str">
        <f>+ALQUILER!AA3</f>
        <v>CON - Confirmado</v>
      </c>
      <c r="AB3" s="275">
        <f>+ALQUILER!AB3</f>
        <v>45498</v>
      </c>
      <c r="AC3" s="276" t="str">
        <f>+ALQUILER!AC3</f>
        <v>11:00:00 a.m.</v>
      </c>
      <c r="AD3" s="272">
        <f>+ALQUILER!AD3</f>
        <v>103.1</v>
      </c>
      <c r="AE3" s="38" t="str">
        <f>+ALQUILER!AE3</f>
        <v>Completo</v>
      </c>
      <c r="AF3" s="272" t="s">
        <v>1158</v>
      </c>
      <c r="AG3" s="272" t="str">
        <f>+ALQUILER!AG3</f>
        <v>Urgente</v>
      </c>
      <c r="AH3" s="272" t="str">
        <f>+ALQUILER!AH3</f>
        <v>No</v>
      </c>
      <c r="AI3" s="272" t="str">
        <f>+ALQUILER!AI3</f>
        <v>No</v>
      </c>
      <c r="AJ3" s="272" t="str">
        <f>+ALQUILER!AJ3</f>
        <v>Ellos</v>
      </c>
      <c r="AK3" s="272">
        <f>+ALQUILER!AK3</f>
        <v>0</v>
      </c>
      <c r="AL3" s="272">
        <f>+ALQUILER!AL3</f>
        <v>0</v>
      </c>
      <c r="AM3" s="272">
        <f>+ALQUILER!AM3</f>
        <v>0</v>
      </c>
      <c r="AN3" s="272" t="str">
        <f>IF(ALQUILER!AN3="","",ALQUILER!AN3)</f>
        <v/>
      </c>
      <c r="AO3" s="272">
        <f>+ALQUILER!AO3</f>
        <v>0</v>
      </c>
      <c r="AP3" s="272">
        <f>+ALQUILER!AP3</f>
        <v>0</v>
      </c>
      <c r="AQ3" s="272" t="str">
        <f>+ALQUILER!AQ3</f>
        <v>Si, enviar formulario</v>
      </c>
      <c r="AR3" s="272">
        <f>+ALQUILER!AR3</f>
        <v>0</v>
      </c>
      <c r="AS3" s="272">
        <f>+ALQUILER!AS3</f>
        <v>0</v>
      </c>
      <c r="AT3" s="272">
        <f>+ALQUILER!AT3</f>
        <v>0</v>
      </c>
      <c r="AU3" s="272">
        <f>+ALQUILER!AU3</f>
        <v>0</v>
      </c>
      <c r="AV3" s="272">
        <f>+ALQUILER!AV3</f>
        <v>0</v>
      </c>
      <c r="AW3" s="272">
        <f>+ALQUILER!AW3</f>
        <v>0</v>
      </c>
      <c r="AX3" s="275">
        <f>+ALQUILER!AX3</f>
        <v>45498</v>
      </c>
      <c r="AY3" s="277" t="str">
        <f>+ALQUILER!AY3</f>
        <v>Amelia</v>
      </c>
      <c r="AZ3" s="278" t="str">
        <f>+ALQUILER!AZ3</f>
        <v>HECHO</v>
      </c>
      <c r="BA3" s="272">
        <f>+ALQUILER!BA3</f>
        <v>25.3</v>
      </c>
      <c r="BB3" s="39">
        <f>+ALQUILER!BB3</f>
        <v>1</v>
      </c>
      <c r="BC3" s="276" t="str">
        <f>+ALQUILER!BC3</f>
        <v>09:47 A.M</v>
      </c>
      <c r="BD3" s="276" t="str">
        <f>+ALQUILER!BD3</f>
        <v>10:26 a.m</v>
      </c>
      <c r="BE3" s="272">
        <f>+ALQUILER!BE3</f>
        <v>45498</v>
      </c>
      <c r="BF3" s="272">
        <f>+ALQUILER!BF3</f>
        <v>0</v>
      </c>
      <c r="BG3" s="279">
        <f>+ALQUILER!BG3</f>
        <v>0</v>
      </c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35"/>
      <c r="DH3" s="30"/>
    </row>
    <row r="4" spans="1:112" ht="9.9" customHeight="1" x14ac:dyDescent="0.3">
      <c r="U4" s="40"/>
      <c r="V4" s="2"/>
      <c r="W4" s="2"/>
      <c r="X4" s="2"/>
      <c r="Y4" s="2"/>
      <c r="Z4" s="2"/>
      <c r="AE4" s="42"/>
      <c r="AF4" s="42"/>
      <c r="AH4" s="43"/>
      <c r="AI4" s="43"/>
      <c r="AK4" s="43"/>
      <c r="AL4" s="43"/>
    </row>
    <row r="5" spans="1:112" ht="15" customHeight="1" x14ac:dyDescent="0.3">
      <c r="A5" s="2"/>
      <c r="C5" s="461"/>
      <c r="D5" s="44" t="str">
        <f>CONCATENATE(IF(C3="EI - Encofrados Innova","EI",IF(C3="AE - Andamios Electricos Innova","AE",IF(C3="IR - Innova Rental","IR",IF(C3="IA - Indek Andina","IA","")))),"-PP-",TEXT(K7,"0000"),"_",K8)</f>
        <v>EI-PP-0001_1</v>
      </c>
      <c r="E5" s="45" t="s">
        <v>998</v>
      </c>
      <c r="F5" s="299">
        <f>+ALQUILER!F5</f>
        <v>0</v>
      </c>
      <c r="G5" s="2"/>
      <c r="H5" s="2"/>
      <c r="I5" s="68"/>
      <c r="L5" s="2"/>
      <c r="M5" s="2"/>
      <c r="N5" s="2"/>
      <c r="O5" s="2"/>
      <c r="P5" s="2"/>
      <c r="Q5" s="2"/>
      <c r="R5" s="2"/>
      <c r="S5" s="2"/>
      <c r="T5" s="2"/>
    </row>
    <row r="6" spans="1:112" ht="15" customHeight="1" x14ac:dyDescent="0.3">
      <c r="A6" s="2"/>
      <c r="C6" s="462"/>
      <c r="D6" s="44" t="str">
        <f>CONCATENATE(C3,"  --  ",IF(B3="MM - Maria Morales","Maria",IF(B3="KC - Katya Chalco","Katya",IF(B3="AR - Antonio Rodriguez","Antonio",IF(B3="IG - Ivonne Garcia","Ivonne",IF(B3="FC - Frank Cespedes","Frank",IF(B3="LR - Lucas Romero","Lucas",IF(B3="GG - Genaro Garcia","Genaro",""))))))),"  --  Contrato ",AD3)</f>
        <v>EI - Encofrados Innova  --  Maria  --  Contrato 103.1</v>
      </c>
      <c r="E6" s="45" t="s">
        <v>1146</v>
      </c>
      <c r="F6" s="299">
        <f>+ALQUILER!F6</f>
        <v>0</v>
      </c>
      <c r="G6" s="2"/>
      <c r="H6" s="2"/>
      <c r="I6" s="68"/>
      <c r="L6" s="2"/>
      <c r="M6" s="2"/>
      <c r="N6" s="2"/>
      <c r="O6" s="2"/>
      <c r="P6" s="2"/>
      <c r="Q6" s="2"/>
      <c r="R6" s="2"/>
      <c r="S6" s="2"/>
      <c r="T6" s="2"/>
    </row>
    <row r="7" spans="1:112" ht="15.75" customHeight="1" x14ac:dyDescent="0.3">
      <c r="A7" s="2"/>
      <c r="C7" s="463"/>
      <c r="D7" s="464" t="str">
        <f>IF(AA3="","",IF(AA3="CON - Confirmado","CONFIRMADO",IF(AA3="PRE - Pre Confirmado","PRE CONFIRMADO",IF(AA3="POR - Por Confirmar","POR CONFIRMAR",))))</f>
        <v>CONFIRMADO</v>
      </c>
      <c r="E7" s="486" t="s">
        <v>1384</v>
      </c>
      <c r="F7" s="487"/>
      <c r="G7" s="2"/>
      <c r="H7" s="2"/>
      <c r="I7" s="68"/>
      <c r="J7" s="46" t="s">
        <v>1145</v>
      </c>
      <c r="K7" s="47">
        <f>+ALQUILER!K7+1</f>
        <v>1</v>
      </c>
      <c r="L7" s="2"/>
      <c r="M7" s="2"/>
      <c r="N7" s="2"/>
      <c r="O7" s="2"/>
      <c r="P7" s="2"/>
      <c r="Q7" s="2"/>
      <c r="R7" s="2"/>
      <c r="S7" s="2"/>
      <c r="T7" s="2"/>
    </row>
    <row r="8" spans="1:112" ht="15" customHeight="1" x14ac:dyDescent="0.3">
      <c r="A8" s="2"/>
      <c r="C8" s="466" t="str">
        <f>IF(C3="EI - Encofrados Innova","ENCOFRADOS INNOVA",IF(C3="AE - Andamios Electricos Innova","ANDAMIOS ELECTRICOS",IF(C3="IA - Indek Andina","INDEK ANDINA",IF(C3="IR - Innova Rental","INNOVA RENTAL",""))))</f>
        <v>ENCOFRADOS INNOVA</v>
      </c>
      <c r="D8" s="465"/>
      <c r="E8" s="49" t="s">
        <v>1148</v>
      </c>
      <c r="F8" s="50" t="str">
        <f>UPPER(AH3)</f>
        <v>NO</v>
      </c>
      <c r="G8" s="2"/>
      <c r="H8" s="2"/>
      <c r="I8" s="68"/>
      <c r="J8" s="46" t="s">
        <v>1147</v>
      </c>
      <c r="K8" s="48">
        <f>+ALQUILER!K8</f>
        <v>1</v>
      </c>
      <c r="L8" s="2"/>
      <c r="M8" s="2"/>
      <c r="N8" s="2"/>
      <c r="O8" s="2"/>
      <c r="P8" s="2"/>
      <c r="Q8" s="2"/>
      <c r="R8" s="2"/>
      <c r="S8" s="2"/>
      <c r="T8" s="2"/>
      <c r="W8" s="42"/>
      <c r="X8" s="42"/>
      <c r="Y8" s="53"/>
    </row>
    <row r="9" spans="1:112" ht="15" customHeight="1" x14ac:dyDescent="0.3">
      <c r="A9" s="2"/>
      <c r="C9" s="467"/>
      <c r="D9" s="469" t="str">
        <f>UPPER(D3)</f>
        <v>COGEPATS</v>
      </c>
      <c r="E9" s="49" t="s">
        <v>1150</v>
      </c>
      <c r="F9" s="54">
        <f ca="1">IF(AB3="","",TODAY())</f>
        <v>45806</v>
      </c>
      <c r="G9" s="2"/>
      <c r="H9" s="2"/>
      <c r="I9" s="68"/>
      <c r="J9" s="51" t="s">
        <v>1149</v>
      </c>
      <c r="K9" s="52" t="str">
        <f>+AE3</f>
        <v>Completo</v>
      </c>
      <c r="L9" s="2"/>
      <c r="M9" s="2"/>
      <c r="N9" s="2"/>
      <c r="O9" s="2"/>
      <c r="P9" s="2"/>
      <c r="Q9" s="2"/>
      <c r="R9" s="2"/>
      <c r="S9" s="2"/>
      <c r="T9" s="2"/>
      <c r="W9" s="53"/>
      <c r="X9" s="53"/>
      <c r="Y9" s="53"/>
    </row>
    <row r="10" spans="1:112" ht="15" customHeight="1" x14ac:dyDescent="0.3">
      <c r="A10" s="2"/>
      <c r="C10" s="468"/>
      <c r="D10" s="470"/>
      <c r="E10" s="55" t="s">
        <v>1152</v>
      </c>
      <c r="F10" s="56">
        <f>IF(AB3="","",AB3)</f>
        <v>45498</v>
      </c>
      <c r="G10" s="2"/>
      <c r="H10" s="2"/>
      <c r="I10" s="68"/>
      <c r="J10" s="51" t="s">
        <v>1151</v>
      </c>
      <c r="K10" s="52">
        <f>+AL3</f>
        <v>0</v>
      </c>
      <c r="M10" s="51"/>
      <c r="R10" s="2"/>
      <c r="S10" s="2"/>
      <c r="T10" s="2"/>
    </row>
    <row r="11" spans="1:112" ht="15" customHeight="1" x14ac:dyDescent="0.3">
      <c r="A11" s="2"/>
      <c r="C11" s="451" t="str">
        <f>UPPER(AF3)</f>
        <v>VENTA</v>
      </c>
      <c r="D11" s="452" t="str">
        <f>UPPER(E3)</f>
        <v>DISTRITO 18</v>
      </c>
      <c r="E11" s="55" t="s">
        <v>1154</v>
      </c>
      <c r="F11" s="58" t="str">
        <f>IF(AC3="","",AC3)</f>
        <v>11:00:00 a.m.</v>
      </c>
      <c r="G11" s="2"/>
      <c r="H11" s="2"/>
      <c r="I11" s="68"/>
      <c r="J11" s="51" t="s">
        <v>1153</v>
      </c>
      <c r="K11" s="57">
        <f>+AM3</f>
        <v>0</v>
      </c>
      <c r="M11" s="51"/>
      <c r="R11" s="2"/>
      <c r="S11" s="2"/>
      <c r="T11" s="2"/>
    </row>
    <row r="12" spans="1:112" ht="15" customHeight="1" x14ac:dyDescent="0.3">
      <c r="A12" s="2"/>
      <c r="C12" s="451"/>
      <c r="D12" s="452"/>
      <c r="E12" s="49" t="s">
        <v>996</v>
      </c>
      <c r="F12" s="59" t="str">
        <f>UPPER(AJ3)</f>
        <v>ELLOS</v>
      </c>
      <c r="G12" s="2"/>
      <c r="H12" s="2"/>
      <c r="I12" s="68"/>
      <c r="J12" s="51" t="s">
        <v>1155</v>
      </c>
      <c r="K12" s="57" t="str">
        <f>+AN3</f>
        <v/>
      </c>
      <c r="Q12" s="2"/>
      <c r="R12" s="2"/>
      <c r="S12" s="2"/>
      <c r="T12" s="2"/>
    </row>
    <row r="13" spans="1:112" ht="15" customHeight="1" x14ac:dyDescent="0.3">
      <c r="A13" s="2"/>
      <c r="C13" s="61" t="str">
        <f>IF(G3="","",IF(G3="LM - Lima","LIMA",IF(G3="PV - Provincia","PROVINCIA",)))</f>
        <v>LIMA</v>
      </c>
      <c r="D13" s="62" t="str">
        <f>IF(AN3="",UPPER(AG3),CONCATENATE(UPPER(AG3)," / Plan ",UPPER(AN3)))</f>
        <v>URGENTE</v>
      </c>
      <c r="E13" s="49" t="s">
        <v>1372</v>
      </c>
      <c r="F13" s="241">
        <f>IF(V26=0,"",V26)</f>
        <v>0.60000000000002274</v>
      </c>
      <c r="G13" s="2"/>
      <c r="H13" s="2"/>
      <c r="I13" s="68"/>
      <c r="J13" s="51" t="s">
        <v>1156</v>
      </c>
      <c r="K13" s="60">
        <f>+AO3</f>
        <v>0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112" s="4" customFormat="1" ht="15" customHeight="1" x14ac:dyDescent="0.3">
      <c r="A14" s="2"/>
      <c r="C14" s="453" t="str">
        <f>CONCATENATE("  NOTA ADICIONAL: ",IF(AK3=0,"",AK3))</f>
        <v xml:space="preserve">  NOTA ADICIONAL: </v>
      </c>
      <c r="D14" s="453"/>
      <c r="E14" s="453"/>
      <c r="F14" s="453"/>
      <c r="G14" s="2"/>
      <c r="H14" s="2"/>
      <c r="I14" s="68"/>
      <c r="J14" s="51" t="s">
        <v>1157</v>
      </c>
      <c r="K14" s="64" t="str">
        <f>IF((2*F24+F25+F26+F27+F28+F29+F30+F53+F54+F55+F121)=0,"-",IF(2*F24+F25+F26+F27+F28+F29+F53+F54+F55+F121=F30,"ESPIGAS OK","ESPIGAS MAL"))</f>
        <v>-</v>
      </c>
      <c r="L14" s="40"/>
      <c r="M14" s="40"/>
      <c r="R14" s="2"/>
      <c r="S14" s="2"/>
      <c r="T14" s="2"/>
      <c r="U14" s="2"/>
      <c r="V14" s="2"/>
      <c r="W14" s="2"/>
      <c r="X14" s="2"/>
      <c r="Y14" s="2"/>
      <c r="Z14" s="2"/>
    </row>
    <row r="15" spans="1:112" ht="7.5" customHeight="1" x14ac:dyDescent="0.3">
      <c r="A15" s="2"/>
      <c r="F15" s="2"/>
      <c r="G15" s="2"/>
      <c r="H15" s="2"/>
      <c r="I15" s="68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112" s="68" customFormat="1" ht="15" customHeight="1" x14ac:dyDescent="0.3">
      <c r="A16" s="2"/>
      <c r="B16" s="65"/>
      <c r="C16" s="65"/>
      <c r="D16" s="65"/>
      <c r="E16" s="66"/>
      <c r="F16" s="269">
        <f>SUM(F17:F25)</f>
        <v>4</v>
      </c>
      <c r="G16" s="2"/>
      <c r="H16" s="2"/>
      <c r="I16" s="2"/>
      <c r="J16" s="67">
        <f>SUM(TbVenta[GENERAL])</f>
        <v>0</v>
      </c>
      <c r="K16" s="67">
        <f>SUM(TbVenta[FACHADA])</f>
        <v>0</v>
      </c>
      <c r="L16" s="67">
        <f>SUM(TbVenta[ AND. TRABAJO])</f>
        <v>2</v>
      </c>
      <c r="M16" s="67">
        <f>SUM(TbVenta[ESCALERA])</f>
        <v>2</v>
      </c>
      <c r="N16" s="67">
        <f>SUM(TbVenta[ESCUADRAS])</f>
        <v>0</v>
      </c>
      <c r="O16" s="67">
        <f>SUM(TbVenta[PUNTALES])</f>
        <v>0</v>
      </c>
      <c r="P16" s="67">
        <f>SUM(TbVenta[ENCOFRADO])</f>
        <v>0</v>
      </c>
      <c r="Q16" s="67">
        <f>SUM(TbVenta[PLAT. DESCAR])</f>
        <v>0</v>
      </c>
      <c r="R16" s="67">
        <f>SUM(TbVenta[ADE])</f>
        <v>0</v>
      </c>
      <c r="S16" s="67">
        <f>SUM(TbVenta[ELEVADOR])</f>
        <v>0</v>
      </c>
      <c r="T16" s="262">
        <f>SUM(TbVenta[TOTAL])</f>
        <v>4</v>
      </c>
      <c r="U16" s="454" t="s">
        <v>2</v>
      </c>
      <c r="V16" s="455"/>
      <c r="W16" s="456" t="s">
        <v>1158</v>
      </c>
      <c r="X16" s="457"/>
      <c r="Y16" s="443" t="s">
        <v>1159</v>
      </c>
      <c r="Z16" s="444"/>
    </row>
    <row r="17" spans="1:26" s="68" customFormat="1" ht="15" customHeight="1" x14ac:dyDescent="0.3">
      <c r="A17" s="2"/>
      <c r="B17" s="69" t="s">
        <v>1252</v>
      </c>
      <c r="C17" s="69" t="s">
        <v>1</v>
      </c>
      <c r="D17" s="445" t="s">
        <v>0</v>
      </c>
      <c r="E17" s="446"/>
      <c r="F17" s="109" t="s">
        <v>1160</v>
      </c>
      <c r="G17" s="2"/>
      <c r="H17" s="261" t="s">
        <v>1</v>
      </c>
      <c r="I17" s="261" t="s">
        <v>1161</v>
      </c>
      <c r="J17" s="254" t="s">
        <v>1270</v>
      </c>
      <c r="K17" s="253" t="s">
        <v>1271</v>
      </c>
      <c r="L17" s="253" t="s">
        <v>1273</v>
      </c>
      <c r="M17" s="253" t="s">
        <v>1274</v>
      </c>
      <c r="N17" s="251" t="s">
        <v>993</v>
      </c>
      <c r="O17" s="251" t="s">
        <v>994</v>
      </c>
      <c r="P17" s="251" t="s">
        <v>1272</v>
      </c>
      <c r="Q17" s="251" t="s">
        <v>1275</v>
      </c>
      <c r="R17" s="252" t="s">
        <v>1133</v>
      </c>
      <c r="S17" s="252" t="s">
        <v>1276</v>
      </c>
      <c r="T17" s="263" t="s">
        <v>1162</v>
      </c>
      <c r="U17" s="264" t="s">
        <v>1163</v>
      </c>
      <c r="V17" s="265" t="s">
        <v>1164</v>
      </c>
      <c r="W17" s="266" t="s">
        <v>1165</v>
      </c>
      <c r="X17" s="267" t="s">
        <v>1166</v>
      </c>
      <c r="Y17" s="268" t="s">
        <v>1167</v>
      </c>
      <c r="Z17" s="118" t="s">
        <v>1168</v>
      </c>
    </row>
    <row r="18" spans="1:26" ht="15" customHeight="1" x14ac:dyDescent="0.3">
      <c r="A18" s="2"/>
      <c r="B18" s="85"/>
      <c r="C18" s="71" t="s">
        <v>299</v>
      </c>
      <c r="D18" s="72" t="s">
        <v>300</v>
      </c>
      <c r="E18" s="73"/>
      <c r="F18" s="74">
        <f>+VLOOKUP(C18,TbVenta[],13,FALSE)</f>
        <v>4</v>
      </c>
      <c r="G18" s="2"/>
      <c r="H18" s="75" t="str">
        <f t="shared" ref="H18:H24" si="0">+C18</f>
        <v>CON.0100</v>
      </c>
      <c r="I18" s="76" t="str">
        <f t="shared" ref="I18:I24" si="1">+IF(C18=H18,"ok","mal")</f>
        <v>ok</v>
      </c>
      <c r="J18" s="77">
        <f>IFERROR(VLOOKUP($H18,TG[],3,FALSE),"NA")</f>
        <v>0</v>
      </c>
      <c r="K18" s="77">
        <f>IFERROR(VLOOKUP($H18,TF[],3,FALSE),"NA")</f>
        <v>0</v>
      </c>
      <c r="L18" s="77">
        <f>IFERROR(VLOOKUP($H18,TT[],3,FALSE),"NA")</f>
        <v>2</v>
      </c>
      <c r="M18" s="77">
        <f>IFERROR(VLOOKUP($H18,TES[],3,FALSE),"NA")</f>
        <v>2</v>
      </c>
      <c r="N18" s="77" t="str">
        <f>IFERROR(VLOOKUP($H18,TEC[],3,FALSE),"NA")</f>
        <v>NA</v>
      </c>
      <c r="O18" s="77" t="str">
        <f>IFERROR(VLOOKUP($H18,TP[],3,FALSE),"NA")</f>
        <v>NA</v>
      </c>
      <c r="P18" s="77" t="str">
        <f>IFERROR(VLOOKUP($H18,TEN[],3,FALSE),"NA")</f>
        <v>NA</v>
      </c>
      <c r="Q18" s="77" t="str">
        <f>IFERROR(VLOOKUP($H18,TD[],3,FALSE),"NA")</f>
        <v>NA</v>
      </c>
      <c r="R18" s="77" t="str">
        <f>IFERROR(VLOOKUP($H18,TC[],3,FALSE),"NA")</f>
        <v>NA</v>
      </c>
      <c r="S18" s="77" t="str">
        <f>IFERROR(VLOOKUP($H18,TEV[],3,FALSE),"NA")</f>
        <v>NA</v>
      </c>
      <c r="T18" s="79">
        <f>SUM(TbVenta[[#This Row],[GENERAL]:[ELEVADOR]])</f>
        <v>4</v>
      </c>
      <c r="U18" s="80">
        <f>IF(VLOOKUP(TbVenta[[#This Row],[ITEM]],TbPiezas[],5,FALSE)="NA",0,VLOOKUP(TbVenta[[#This Row],[ITEM]],TbPiezas[],5,FALSE))</f>
        <v>0.15000000000000568</v>
      </c>
      <c r="V18" s="81">
        <f>+TbVenta[[#This Row],[TOTAL]]*TbVenta[[#This Row],[P.U. (1)]]</f>
        <v>0.60000000000002274</v>
      </c>
      <c r="W18" s="82">
        <f>+VLOOKUP(TbVenta[[#This Row],[ITEM]],TbPiezas[],6,FALSE)</f>
        <v>0</v>
      </c>
      <c r="X18" s="83">
        <f>+TbVenta[[#This Row],[TOTAL]]*TbVenta[[#This Row],[P.U. (2)]]</f>
        <v>0</v>
      </c>
      <c r="Y18" s="82">
        <f>+VLOOKUP(TbVenta[[#This Row],[ITEM]],TbPiezas[],7,FALSE)</f>
        <v>0</v>
      </c>
      <c r="Z18" s="84">
        <f>+TbVenta[[#This Row],[TOTAL]]*TbVenta[[#This Row],[P.U. (3)]]</f>
        <v>0</v>
      </c>
    </row>
    <row r="19" spans="1:26" ht="15" customHeight="1" x14ac:dyDescent="0.3">
      <c r="A19" s="2"/>
      <c r="B19" s="85"/>
      <c r="C19" s="71" t="s">
        <v>301</v>
      </c>
      <c r="D19" s="72" t="s">
        <v>302</v>
      </c>
      <c r="E19" s="73"/>
      <c r="F19" s="74">
        <f>+VLOOKUP(C19,TbVenta[],13,FALSE)</f>
        <v>0</v>
      </c>
      <c r="G19" s="2"/>
      <c r="H19" s="75" t="str">
        <f t="shared" si="0"/>
        <v>CON.0200</v>
      </c>
      <c r="I19" s="76" t="str">
        <f t="shared" si="1"/>
        <v>ok</v>
      </c>
      <c r="J19" s="77">
        <f>IFERROR(VLOOKUP($H19,TG[],3,FALSE),"NA")</f>
        <v>0</v>
      </c>
      <c r="K19" s="77" t="str">
        <f>IFERROR(VLOOKUP($H19,TF[],3,FALSE),"NA")</f>
        <v>NA</v>
      </c>
      <c r="L19" s="77">
        <f>IFERROR(VLOOKUP($H19,TT[],3,FALSE),"NA")</f>
        <v>0</v>
      </c>
      <c r="M19" s="77">
        <f>IFERROR(VLOOKUP($H19,TES[],3,FALSE),"NA")</f>
        <v>0</v>
      </c>
      <c r="N19" s="77">
        <f>IFERROR(VLOOKUP($H19,TEC[],3,FALSE),"NA")</f>
        <v>0</v>
      </c>
      <c r="O19" s="77" t="str">
        <f>IFERROR(VLOOKUP($H19,TP[],3,FALSE),"NA")</f>
        <v>NA</v>
      </c>
      <c r="P19" s="77" t="str">
        <f>IFERROR(VLOOKUP($H19,TEN[],3,FALSE),"NA")</f>
        <v>NA</v>
      </c>
      <c r="Q19" s="77" t="str">
        <f>IFERROR(VLOOKUP($H19,TD[],3,FALSE),"NA")</f>
        <v>NA</v>
      </c>
      <c r="R19" s="77" t="str">
        <f>IFERROR(VLOOKUP($H19,TC[],3,FALSE),"NA")</f>
        <v>NA</v>
      </c>
      <c r="S19" s="77" t="str">
        <f>IFERROR(VLOOKUP($H19,TEV[],3,FALSE),"NA")</f>
        <v>NA</v>
      </c>
      <c r="T19" s="79">
        <f>SUM(TbVenta[[#This Row],[GENERAL]:[ELEVADOR]])</f>
        <v>0</v>
      </c>
      <c r="U19" s="80">
        <f>IF(VLOOKUP(TbVenta[[#This Row],[ITEM]],TbPiezas[],5,FALSE)="NA",0,VLOOKUP(TbVenta[[#This Row],[ITEM]],TbPiezas[],5,FALSE))</f>
        <v>0.25</v>
      </c>
      <c r="V19" s="81">
        <f>+TbVenta[[#This Row],[TOTAL]]*TbVenta[[#This Row],[P.U. (1)]]</f>
        <v>0</v>
      </c>
      <c r="W19" s="82">
        <f>+VLOOKUP(TbVenta[[#This Row],[ITEM]],TbPiezas[],6,FALSE)</f>
        <v>0</v>
      </c>
      <c r="X19" s="83">
        <f>+TbVenta[[#This Row],[TOTAL]]*TbVenta[[#This Row],[P.U. (2)]]</f>
        <v>0</v>
      </c>
      <c r="Y19" s="82">
        <f>+VLOOKUP(TbVenta[[#This Row],[ITEM]],TbPiezas[],7,FALSE)</f>
        <v>0</v>
      </c>
      <c r="Z19" s="84">
        <f>+TbVenta[[#This Row],[TOTAL]]*TbVenta[[#This Row],[P.U. (3)]]</f>
        <v>0</v>
      </c>
    </row>
    <row r="20" spans="1:26" ht="15" customHeight="1" x14ac:dyDescent="0.3">
      <c r="A20" s="2"/>
      <c r="B20" s="85">
        <v>151</v>
      </c>
      <c r="C20" s="71" t="s">
        <v>303</v>
      </c>
      <c r="D20" s="72" t="s">
        <v>304</v>
      </c>
      <c r="E20" s="73"/>
      <c r="F20" s="74">
        <f>+VLOOKUP(C20,TbVenta[],13,FALSE)</f>
        <v>0</v>
      </c>
      <c r="G20" s="2"/>
      <c r="H20" s="75" t="str">
        <f t="shared" si="0"/>
        <v>CON.0300</v>
      </c>
      <c r="I20" s="76" t="str">
        <f t="shared" si="1"/>
        <v>ok</v>
      </c>
      <c r="J20" s="77">
        <f>IFERROR(VLOOKUP($H20,TG[],3,FALSE),"NA")</f>
        <v>0</v>
      </c>
      <c r="K20" s="77" t="str">
        <f>IFERROR(VLOOKUP($H20,TF[],3,FALSE),"NA")</f>
        <v>NA</v>
      </c>
      <c r="L20" s="77" t="str">
        <f>IFERROR(VLOOKUP($H20,TT[],3,FALSE),"NA")</f>
        <v>NA</v>
      </c>
      <c r="M20" s="77" t="str">
        <f>IFERROR(VLOOKUP($H20,TES[],3,FALSE),"NA")</f>
        <v>NA</v>
      </c>
      <c r="N20" s="77">
        <f>IFERROR(VLOOKUP($H20,TEC[],3,FALSE),"NA")</f>
        <v>0</v>
      </c>
      <c r="O20" s="77" t="str">
        <f>IFERROR(VLOOKUP($H20,TP[],3,FALSE),"NA")</f>
        <v>NA</v>
      </c>
      <c r="P20" s="77" t="str">
        <f>IFERROR(VLOOKUP($H20,TEN[],3,FALSE),"NA")</f>
        <v>NA</v>
      </c>
      <c r="Q20" s="77" t="str">
        <f>IFERROR(VLOOKUP($H20,TD[],3,FALSE),"NA")</f>
        <v>NA</v>
      </c>
      <c r="R20" s="77" t="str">
        <f>IFERROR(VLOOKUP($H20,TC[],3,FALSE),"NA")</f>
        <v>NA</v>
      </c>
      <c r="S20" s="77" t="str">
        <f>IFERROR(VLOOKUP($H20,TEV[],3,FALSE),"NA")</f>
        <v>NA</v>
      </c>
      <c r="T20" s="79">
        <f>SUM(TbVenta[[#This Row],[GENERAL]:[ELEVADOR]])</f>
        <v>0</v>
      </c>
      <c r="U20" s="80">
        <f>IF(VLOOKUP(TbVenta[[#This Row],[ITEM]],TbPiezas[],5,FALSE)="NA",0,VLOOKUP(TbVenta[[#This Row],[ITEM]],TbPiezas[],5,FALSE))</f>
        <v>0.1</v>
      </c>
      <c r="V20" s="81">
        <f>+TbVenta[[#This Row],[TOTAL]]*TbVenta[[#This Row],[P.U. (1)]]</f>
        <v>0</v>
      </c>
      <c r="W20" s="82">
        <f>+VLOOKUP(TbVenta[[#This Row],[ITEM]],TbPiezas[],6,FALSE)</f>
        <v>10.16</v>
      </c>
      <c r="X20" s="83">
        <f>+TbVenta[[#This Row],[TOTAL]]*TbVenta[[#This Row],[P.U. (2)]]</f>
        <v>0</v>
      </c>
      <c r="Y20" s="82">
        <f>+VLOOKUP(TbVenta[[#This Row],[ITEM]],TbPiezas[],7,FALSE)</f>
        <v>0.50800000000000001</v>
      </c>
      <c r="Z20" s="84">
        <f>+TbVenta[[#This Row],[TOTAL]]*TbVenta[[#This Row],[P.U. (3)]]</f>
        <v>0</v>
      </c>
    </row>
    <row r="21" spans="1:26" ht="15" customHeight="1" x14ac:dyDescent="0.3">
      <c r="A21" s="2"/>
      <c r="B21" s="85">
        <v>152</v>
      </c>
      <c r="C21" s="71" t="s">
        <v>305</v>
      </c>
      <c r="D21" s="72" t="s">
        <v>306</v>
      </c>
      <c r="E21" s="73"/>
      <c r="F21" s="74">
        <f>+VLOOKUP(C21,TbVenta[],13,FALSE)</f>
        <v>0</v>
      </c>
      <c r="G21" s="2"/>
      <c r="H21" s="75" t="str">
        <f t="shared" si="0"/>
        <v>CON.0400</v>
      </c>
      <c r="I21" s="76" t="str">
        <f t="shared" si="1"/>
        <v>ok</v>
      </c>
      <c r="J21" s="77">
        <f>IFERROR(VLOOKUP($H21,TG[],3,FALSE),"NA")</f>
        <v>0</v>
      </c>
      <c r="K21" s="77" t="str">
        <f>IFERROR(VLOOKUP($H21,TF[],3,FALSE),"NA")</f>
        <v>NA</v>
      </c>
      <c r="L21" s="77" t="str">
        <f>IFERROR(VLOOKUP($H21,TT[],3,FALSE),"NA")</f>
        <v>NA</v>
      </c>
      <c r="M21" s="77" t="str">
        <f>IFERROR(VLOOKUP($H21,TES[],3,FALSE),"NA")</f>
        <v>NA</v>
      </c>
      <c r="N21" s="77" t="str">
        <f>IFERROR(VLOOKUP($H21,TEC[],3,FALSE),"NA")</f>
        <v>NA</v>
      </c>
      <c r="O21" s="77" t="str">
        <f>IFERROR(VLOOKUP($H21,TP[],3,FALSE),"NA")</f>
        <v>NA</v>
      </c>
      <c r="P21" s="77" t="str">
        <f>IFERROR(VLOOKUP($H21,TEN[],3,FALSE),"NA")</f>
        <v>NA</v>
      </c>
      <c r="Q21" s="77" t="str">
        <f>IFERROR(VLOOKUP($H21,TD[],3,FALSE),"NA")</f>
        <v>NA</v>
      </c>
      <c r="R21" s="77" t="str">
        <f>IFERROR(VLOOKUP($H21,TC[],3,FALSE),"NA")</f>
        <v>NA</v>
      </c>
      <c r="S21" s="77" t="str">
        <f>IFERROR(VLOOKUP($H21,TEV[],3,FALSE),"NA")</f>
        <v>NA</v>
      </c>
      <c r="T21" s="79">
        <f>SUM(TbVenta[[#This Row],[GENERAL]:[ELEVADOR]])</f>
        <v>0</v>
      </c>
      <c r="U21" s="80">
        <f>IF(VLOOKUP(TbVenta[[#This Row],[ITEM]],TbPiezas[],5,FALSE)="NA",0,VLOOKUP(TbVenta[[#This Row],[ITEM]],TbPiezas[],5,FALSE))</f>
        <v>0.1</v>
      </c>
      <c r="V21" s="81">
        <f>+TbVenta[[#This Row],[TOTAL]]*TbVenta[[#This Row],[P.U. (1)]]</f>
        <v>0</v>
      </c>
      <c r="W21" s="82">
        <f>+VLOOKUP(TbVenta[[#This Row],[ITEM]],TbPiezas[],6,FALSE)</f>
        <v>10.16</v>
      </c>
      <c r="X21" s="83">
        <f>+TbVenta[[#This Row],[TOTAL]]*TbVenta[[#This Row],[P.U. (2)]]</f>
        <v>0</v>
      </c>
      <c r="Y21" s="82">
        <f>+VLOOKUP(TbVenta[[#This Row],[ITEM]],TbPiezas[],7,FALSE)</f>
        <v>0.50800000000000001</v>
      </c>
      <c r="Z21" s="84">
        <f>+TbVenta[[#This Row],[TOTAL]]*TbVenta[[#This Row],[P.U. (3)]]</f>
        <v>0</v>
      </c>
    </row>
    <row r="22" spans="1:26" ht="15" customHeight="1" x14ac:dyDescent="0.3">
      <c r="A22" s="2"/>
      <c r="B22" s="85">
        <v>153</v>
      </c>
      <c r="C22" s="71" t="s">
        <v>307</v>
      </c>
      <c r="D22" s="72" t="s">
        <v>308</v>
      </c>
      <c r="E22" s="73"/>
      <c r="F22" s="74">
        <f>+VLOOKUP(C22,TbVenta[],13,FALSE)</f>
        <v>0</v>
      </c>
      <c r="G22" s="2"/>
      <c r="H22" s="75" t="str">
        <f t="shared" si="0"/>
        <v>CON.0500</v>
      </c>
      <c r="I22" s="76" t="str">
        <f t="shared" si="1"/>
        <v>ok</v>
      </c>
      <c r="J22" s="77">
        <f>IFERROR(VLOOKUP($H22,TG[],3,FALSE),"NA")</f>
        <v>0</v>
      </c>
      <c r="K22" s="77" t="str">
        <f>IFERROR(VLOOKUP($H22,TF[],3,FALSE),"NA")</f>
        <v>NA</v>
      </c>
      <c r="L22" s="77" t="str">
        <f>IFERROR(VLOOKUP($H22,TT[],3,FALSE),"NA")</f>
        <v>NA</v>
      </c>
      <c r="M22" s="77" t="str">
        <f>IFERROR(VLOOKUP($H22,TES[],3,FALSE),"NA")</f>
        <v>NA</v>
      </c>
      <c r="N22" s="77" t="str">
        <f>IFERROR(VLOOKUP($H22,TEC[],3,FALSE),"NA")</f>
        <v>NA</v>
      </c>
      <c r="O22" s="77" t="str">
        <f>IFERROR(VLOOKUP($H22,TP[],3,FALSE),"NA")</f>
        <v>NA</v>
      </c>
      <c r="P22" s="77" t="str">
        <f>IFERROR(VLOOKUP($H22,TEN[],3,FALSE),"NA")</f>
        <v>NA</v>
      </c>
      <c r="Q22" s="77" t="str">
        <f>IFERROR(VLOOKUP($H22,TD[],3,FALSE),"NA")</f>
        <v>NA</v>
      </c>
      <c r="R22" s="77" t="str">
        <f>IFERROR(VLOOKUP($H22,TC[],3,FALSE),"NA")</f>
        <v>NA</v>
      </c>
      <c r="S22" s="77" t="str">
        <f>IFERROR(VLOOKUP($H22,TEV[],3,FALSE),"NA")</f>
        <v>NA</v>
      </c>
      <c r="T22" s="79">
        <f>SUM(TbVenta[[#This Row],[GENERAL]:[ELEVADOR]])</f>
        <v>0</v>
      </c>
      <c r="U22" s="80">
        <f>IF(VLOOKUP(TbVenta[[#This Row],[ITEM]],TbPiezas[],5,FALSE)="NA",0,VLOOKUP(TbVenta[[#This Row],[ITEM]],TbPiezas[],5,FALSE))</f>
        <v>1</v>
      </c>
      <c r="V22" s="81">
        <f>+TbVenta[[#This Row],[TOTAL]]*TbVenta[[#This Row],[P.U. (1)]]</f>
        <v>0</v>
      </c>
      <c r="W22" s="82">
        <f>+VLOOKUP(TbVenta[[#This Row],[ITEM]],TbPiezas[],6,FALSE)</f>
        <v>82.58</v>
      </c>
      <c r="X22" s="83">
        <f>+TbVenta[[#This Row],[TOTAL]]*TbVenta[[#This Row],[P.U. (2)]]</f>
        <v>0</v>
      </c>
      <c r="Y22" s="82">
        <f>+VLOOKUP(TbVenta[[#This Row],[ITEM]],TbPiezas[],7,FALSE)</f>
        <v>4.1290000000000004</v>
      </c>
      <c r="Z22" s="84">
        <f>+TbVenta[[#This Row],[TOTAL]]*TbVenta[[#This Row],[P.U. (3)]]</f>
        <v>0</v>
      </c>
    </row>
    <row r="23" spans="1:26" ht="15" customHeight="1" x14ac:dyDescent="0.3">
      <c r="A23" s="2"/>
      <c r="B23" s="85">
        <v>154</v>
      </c>
      <c r="C23" s="71" t="s">
        <v>309</v>
      </c>
      <c r="D23" s="72" t="s">
        <v>310</v>
      </c>
      <c r="E23" s="73"/>
      <c r="F23" s="74">
        <f>+VLOOKUP(C23,TbVenta[],13,FALSE)</f>
        <v>0</v>
      </c>
      <c r="G23" s="2"/>
      <c r="H23" s="75" t="str">
        <f t="shared" si="0"/>
        <v>CON.0600</v>
      </c>
      <c r="I23" s="76" t="str">
        <f t="shared" si="1"/>
        <v>ok</v>
      </c>
      <c r="J23" s="77">
        <f>IFERROR(VLOOKUP($H23,TG[],3,FALSE),"NA")</f>
        <v>0</v>
      </c>
      <c r="K23" s="77" t="str">
        <f>IFERROR(VLOOKUP($H23,TF[],3,FALSE),"NA")</f>
        <v>NA</v>
      </c>
      <c r="L23" s="77" t="str">
        <f>IFERROR(VLOOKUP($H23,TT[],3,FALSE),"NA")</f>
        <v>NA</v>
      </c>
      <c r="M23" s="77" t="str">
        <f>IFERROR(VLOOKUP($H23,TES[],3,FALSE),"NA")</f>
        <v>NA</v>
      </c>
      <c r="N23" s="77" t="str">
        <f>IFERROR(VLOOKUP($H23,TEC[],3,FALSE),"NA")</f>
        <v>NA</v>
      </c>
      <c r="O23" s="77" t="str">
        <f>IFERROR(VLOOKUP($H23,TP[],3,FALSE),"NA")</f>
        <v>NA</v>
      </c>
      <c r="P23" s="77" t="str">
        <f>IFERROR(VLOOKUP($H23,TEN[],3,FALSE),"NA")</f>
        <v>NA</v>
      </c>
      <c r="Q23" s="77" t="str">
        <f>IFERROR(VLOOKUP($H23,TD[],3,FALSE),"NA")</f>
        <v>NA</v>
      </c>
      <c r="R23" s="77" t="str">
        <f>IFERROR(VLOOKUP($H23,TC[],3,FALSE),"NA")</f>
        <v>NA</v>
      </c>
      <c r="S23" s="77" t="str">
        <f>IFERROR(VLOOKUP($H23,TEV[],3,FALSE),"NA")</f>
        <v>NA</v>
      </c>
      <c r="T23" s="79">
        <f>SUM(TbVenta[[#This Row],[GENERAL]:[ELEVADOR]])</f>
        <v>0</v>
      </c>
      <c r="U23" s="80">
        <f>IF(VLOOKUP(TbVenta[[#This Row],[ITEM]],TbPiezas[],5,FALSE)="NA",0,VLOOKUP(TbVenta[[#This Row],[ITEM]],TbPiezas[],5,FALSE))</f>
        <v>0.8</v>
      </c>
      <c r="V23" s="81">
        <f>+TbVenta[[#This Row],[TOTAL]]*TbVenta[[#This Row],[P.U. (1)]]</f>
        <v>0</v>
      </c>
      <c r="W23" s="82">
        <f>+VLOOKUP(TbVenta[[#This Row],[ITEM]],TbPiezas[],6,FALSE)</f>
        <v>69.88</v>
      </c>
      <c r="X23" s="83">
        <f>+TbVenta[[#This Row],[TOTAL]]*TbVenta[[#This Row],[P.U. (2)]]</f>
        <v>0</v>
      </c>
      <c r="Y23" s="82">
        <f>+VLOOKUP(TbVenta[[#This Row],[ITEM]],TbPiezas[],7,FALSE)</f>
        <v>3.4939999999999998</v>
      </c>
      <c r="Z23" s="84">
        <f>+TbVenta[[#This Row],[TOTAL]]*TbVenta[[#This Row],[P.U. (3)]]</f>
        <v>0</v>
      </c>
    </row>
    <row r="24" spans="1:26" ht="15" customHeight="1" x14ac:dyDescent="0.3">
      <c r="A24" s="2"/>
      <c r="B24" s="85">
        <v>155</v>
      </c>
      <c r="C24" s="71" t="s">
        <v>311</v>
      </c>
      <c r="D24" s="72" t="s">
        <v>312</v>
      </c>
      <c r="E24" s="73"/>
      <c r="F24" s="74">
        <f>+VLOOKUP(C24,TbVenta[],13,FALSE)</f>
        <v>0</v>
      </c>
      <c r="G24" s="2"/>
      <c r="H24" s="75" t="str">
        <f t="shared" si="0"/>
        <v>CON.0700</v>
      </c>
      <c r="I24" s="76" t="str">
        <f t="shared" si="1"/>
        <v>ok</v>
      </c>
      <c r="J24" s="77">
        <f>IFERROR(VLOOKUP($H24,TG[],3,FALSE),"NA")</f>
        <v>0</v>
      </c>
      <c r="K24" s="77" t="str">
        <f>IFERROR(VLOOKUP($H24,TF[],3,FALSE),"NA")</f>
        <v>NA</v>
      </c>
      <c r="L24" s="77" t="str">
        <f>IFERROR(VLOOKUP($H24,TT[],3,FALSE),"NA")</f>
        <v>NA</v>
      </c>
      <c r="M24" s="77" t="str">
        <f>IFERROR(VLOOKUP($H24,TES[],3,FALSE),"NA")</f>
        <v>NA</v>
      </c>
      <c r="N24" s="77" t="str">
        <f>IFERROR(VLOOKUP($H24,TEC[],3,FALSE),"NA")</f>
        <v>NA</v>
      </c>
      <c r="O24" s="77" t="str">
        <f>IFERROR(VLOOKUP($H24,TP[],3,FALSE),"NA")</f>
        <v>NA</v>
      </c>
      <c r="P24" s="77" t="str">
        <f>IFERROR(VLOOKUP($H24,TEN[],3,FALSE),"NA")</f>
        <v>NA</v>
      </c>
      <c r="Q24" s="77" t="str">
        <f>IFERROR(VLOOKUP($H24,TD[],3,FALSE),"NA")</f>
        <v>NA</v>
      </c>
      <c r="R24" s="77" t="str">
        <f>IFERROR(VLOOKUP($H24,TC[],3,FALSE),"NA")</f>
        <v>NA</v>
      </c>
      <c r="S24" s="77">
        <f>IFERROR(VLOOKUP($H24,TEV[],3,FALSE),"NA")</f>
        <v>0</v>
      </c>
      <c r="T24" s="79">
        <f>SUM(TbVenta[[#This Row],[GENERAL]:[ELEVADOR]])</f>
        <v>0</v>
      </c>
      <c r="U24" s="80">
        <f>IF(VLOOKUP(TbVenta[[#This Row],[ITEM]],TbPiezas[],5,FALSE)="NA",0,VLOOKUP(TbVenta[[#This Row],[ITEM]],TbPiezas[],5,FALSE))</f>
        <v>0.6</v>
      </c>
      <c r="V24" s="81">
        <f>+TbVenta[[#This Row],[TOTAL]]*TbVenta[[#This Row],[P.U. (1)]]</f>
        <v>0</v>
      </c>
      <c r="W24" s="82">
        <f>+VLOOKUP(TbVenta[[#This Row],[ITEM]],TbPiezas[],6,FALSE)</f>
        <v>57.17</v>
      </c>
      <c r="X24" s="83">
        <f>+TbVenta[[#This Row],[TOTAL]]*TbVenta[[#This Row],[P.U. (2)]]</f>
        <v>0</v>
      </c>
      <c r="Y24" s="82">
        <f>+VLOOKUP(TbVenta[[#This Row],[ITEM]],TbPiezas[],7,FALSE)</f>
        <v>2.8585000000000003</v>
      </c>
      <c r="Z24" s="84">
        <f>+TbVenta[[#This Row],[TOTAL]]*TbVenta[[#This Row],[P.U. (3)]]</f>
        <v>0</v>
      </c>
    </row>
    <row r="25" spans="1:26" ht="7.5" customHeight="1" x14ac:dyDescent="0.3"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2"/>
      <c r="V25" s="2"/>
    </row>
    <row r="26" spans="1:26" ht="15" customHeight="1" x14ac:dyDescent="0.3">
      <c r="A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88" t="s">
        <v>1169</v>
      </c>
      <c r="V26" s="89">
        <f>SUM(V18:V25)</f>
        <v>0.60000000000002274</v>
      </c>
      <c r="W26" s="90" t="s">
        <v>1170</v>
      </c>
      <c r="X26" s="91">
        <f>SUM(X18:X25)</f>
        <v>0</v>
      </c>
      <c r="Y26" s="92" t="s">
        <v>1170</v>
      </c>
      <c r="Z26" s="93">
        <f>SUM(Z18:Z25)</f>
        <v>0</v>
      </c>
    </row>
    <row r="27" spans="1:26" x14ac:dyDescent="0.3">
      <c r="U27" s="447" t="s">
        <v>1171</v>
      </c>
      <c r="V27" s="448">
        <f>+V26/1000</f>
        <v>6.0000000000002272E-4</v>
      </c>
      <c r="W27" s="94" t="s">
        <v>1172</v>
      </c>
      <c r="X27" s="449">
        <f>-X26*W28</f>
        <v>0</v>
      </c>
      <c r="Y27" s="95" t="s">
        <v>1172</v>
      </c>
      <c r="Z27" s="450">
        <f>-Z26*Y28</f>
        <v>0</v>
      </c>
    </row>
    <row r="28" spans="1:26" x14ac:dyDescent="0.3">
      <c r="U28" s="447"/>
      <c r="V28" s="448"/>
      <c r="W28" s="96"/>
      <c r="X28" s="449"/>
      <c r="Y28" s="97"/>
      <c r="Z28" s="450"/>
    </row>
    <row r="29" spans="1:26" ht="7.5" customHeight="1" x14ac:dyDescent="0.3">
      <c r="U29" s="2"/>
      <c r="V29" s="2"/>
    </row>
    <row r="30" spans="1:26" ht="15" customHeight="1" x14ac:dyDescent="0.3">
      <c r="U30" s="442" t="s">
        <v>1173</v>
      </c>
      <c r="V30" s="83">
        <v>0</v>
      </c>
      <c r="W30" s="98" t="s">
        <v>1170</v>
      </c>
      <c r="X30" s="83">
        <f>X26+X27</f>
        <v>0</v>
      </c>
      <c r="Y30" s="82" t="s">
        <v>1170</v>
      </c>
      <c r="Z30" s="84">
        <f>Z26+Z27</f>
        <v>0</v>
      </c>
    </row>
    <row r="31" spans="1:26" x14ac:dyDescent="0.3">
      <c r="U31" s="442"/>
      <c r="V31" s="83">
        <v>0</v>
      </c>
      <c r="W31" s="98" t="s">
        <v>1174</v>
      </c>
      <c r="X31" s="83">
        <f>0.18*X30</f>
        <v>0</v>
      </c>
      <c r="Y31" s="82" t="s">
        <v>1174</v>
      </c>
      <c r="Z31" s="84">
        <f>0.18*Z30</f>
        <v>0</v>
      </c>
    </row>
    <row r="32" spans="1:26" ht="7.5" customHeight="1" x14ac:dyDescent="0.3">
      <c r="U32" s="2"/>
      <c r="V32" s="2"/>
    </row>
    <row r="33" spans="4:26" x14ac:dyDescent="0.3">
      <c r="U33" s="2"/>
      <c r="V33" s="99"/>
      <c r="W33" s="100" t="s">
        <v>1162</v>
      </c>
      <c r="X33" s="101">
        <f>+X30+X31</f>
        <v>0</v>
      </c>
      <c r="Y33" s="100" t="s">
        <v>1162</v>
      </c>
      <c r="Z33" s="102">
        <f>+Z30+Z31</f>
        <v>0</v>
      </c>
    </row>
    <row r="34" spans="4:26" x14ac:dyDescent="0.3">
      <c r="D34" s="68"/>
    </row>
    <row r="35" spans="4:26" x14ac:dyDescent="0.3">
      <c r="D35" s="68"/>
    </row>
    <row r="36" spans="4:26" x14ac:dyDescent="0.3">
      <c r="D36" s="68"/>
    </row>
    <row r="37" spans="4:26" x14ac:dyDescent="0.3">
      <c r="D37" s="68"/>
    </row>
    <row r="38" spans="4:26" x14ac:dyDescent="0.3">
      <c r="D38" s="68"/>
    </row>
    <row r="39" spans="4:26" x14ac:dyDescent="0.3">
      <c r="D39" s="68"/>
    </row>
    <row r="40" spans="4:26" x14ac:dyDescent="0.3">
      <c r="D40" s="68"/>
    </row>
    <row r="41" spans="4:26" x14ac:dyDescent="0.3">
      <c r="D41" s="68"/>
    </row>
    <row r="42" spans="4:26" x14ac:dyDescent="0.3">
      <c r="D42" s="68"/>
    </row>
    <row r="43" spans="4:26" x14ac:dyDescent="0.3">
      <c r="D43" s="68"/>
    </row>
    <row r="44" spans="4:26" x14ac:dyDescent="0.3">
      <c r="D44" s="68"/>
    </row>
    <row r="45" spans="4:26" x14ac:dyDescent="0.3">
      <c r="D45" s="68"/>
    </row>
    <row r="46" spans="4:26" x14ac:dyDescent="0.3">
      <c r="D46" s="68"/>
    </row>
    <row r="47" spans="4:26" x14ac:dyDescent="0.3">
      <c r="D47" s="68"/>
    </row>
    <row r="48" spans="4:26" x14ac:dyDescent="0.3">
      <c r="D48" s="68"/>
    </row>
    <row r="49" spans="4:4" x14ac:dyDescent="0.3">
      <c r="D49" s="68"/>
    </row>
    <row r="50" spans="4:4" x14ac:dyDescent="0.3">
      <c r="D50" s="68"/>
    </row>
    <row r="51" spans="4:4" x14ac:dyDescent="0.3">
      <c r="D51" s="68"/>
    </row>
    <row r="52" spans="4:4" x14ac:dyDescent="0.3">
      <c r="D52" s="68"/>
    </row>
    <row r="53" spans="4:4" x14ac:dyDescent="0.3">
      <c r="D53" s="68"/>
    </row>
    <row r="54" spans="4:4" x14ac:dyDescent="0.3">
      <c r="D54" s="68"/>
    </row>
    <row r="55" spans="4:4" x14ac:dyDescent="0.3">
      <c r="D55" s="68"/>
    </row>
    <row r="56" spans="4:4" x14ac:dyDescent="0.3">
      <c r="D56" s="68"/>
    </row>
    <row r="57" spans="4:4" x14ac:dyDescent="0.3">
      <c r="D57" s="68"/>
    </row>
    <row r="58" spans="4:4" x14ac:dyDescent="0.3">
      <c r="D58" s="68"/>
    </row>
    <row r="59" spans="4:4" x14ac:dyDescent="0.3">
      <c r="D59" s="68"/>
    </row>
    <row r="60" spans="4:4" x14ac:dyDescent="0.3">
      <c r="D60" s="68"/>
    </row>
    <row r="61" spans="4:4" x14ac:dyDescent="0.3">
      <c r="D61" s="68"/>
    </row>
    <row r="62" spans="4:4" x14ac:dyDescent="0.3">
      <c r="D62" s="68"/>
    </row>
    <row r="63" spans="4:4" x14ac:dyDescent="0.3">
      <c r="D63" s="68"/>
    </row>
    <row r="64" spans="4:4" x14ac:dyDescent="0.3">
      <c r="D64" s="68"/>
    </row>
    <row r="65" spans="4:4" x14ac:dyDescent="0.3">
      <c r="D65" s="68"/>
    </row>
    <row r="66" spans="4:4" x14ac:dyDescent="0.3">
      <c r="D66" s="68"/>
    </row>
    <row r="67" spans="4:4" x14ac:dyDescent="0.3">
      <c r="D67" s="68"/>
    </row>
    <row r="68" spans="4:4" x14ac:dyDescent="0.3">
      <c r="D68" s="68"/>
    </row>
    <row r="69" spans="4:4" x14ac:dyDescent="0.3">
      <c r="D69" s="68"/>
    </row>
    <row r="70" spans="4:4" x14ac:dyDescent="0.3">
      <c r="D70" s="68"/>
    </row>
    <row r="74" spans="4:4" x14ac:dyDescent="0.3">
      <c r="D74" s="68"/>
    </row>
    <row r="75" spans="4:4" x14ac:dyDescent="0.3">
      <c r="D75" s="68"/>
    </row>
    <row r="76" spans="4:4" x14ac:dyDescent="0.3">
      <c r="D76" s="68"/>
    </row>
    <row r="77" spans="4:4" x14ac:dyDescent="0.3">
      <c r="D77" s="68"/>
    </row>
    <row r="78" spans="4:4" x14ac:dyDescent="0.3">
      <c r="D78" s="68"/>
    </row>
  </sheetData>
  <autoFilter ref="B17:F24" xr:uid="{3B1600FF-760F-408A-96A5-5EE50D4772E3}">
    <filterColumn colId="2" showButton="0"/>
  </autoFilter>
  <mergeCells count="23">
    <mergeCell ref="AX1:BF1"/>
    <mergeCell ref="C5:C7"/>
    <mergeCell ref="D7:D8"/>
    <mergeCell ref="C8:C10"/>
    <mergeCell ref="D9:D10"/>
    <mergeCell ref="B1:F1"/>
    <mergeCell ref="I1:S1"/>
    <mergeCell ref="U1:Y1"/>
    <mergeCell ref="AA1:AP1"/>
    <mergeCell ref="AR1:AV1"/>
    <mergeCell ref="E7:F7"/>
    <mergeCell ref="C11:C12"/>
    <mergeCell ref="D11:D12"/>
    <mergeCell ref="U30:U31"/>
    <mergeCell ref="C14:F14"/>
    <mergeCell ref="U16:V16"/>
    <mergeCell ref="W16:X16"/>
    <mergeCell ref="Y16:Z16"/>
    <mergeCell ref="D17:E17"/>
    <mergeCell ref="U27:U28"/>
    <mergeCell ref="V27:V28"/>
    <mergeCell ref="X27:X28"/>
    <mergeCell ref="Z27:Z28"/>
  </mergeCells>
  <conditionalFormatting sqref="J18:S24">
    <cfRule type="cellIs" dxfId="330" priority="21" operator="equal">
      <formula>"NA"</formula>
    </cfRule>
  </conditionalFormatting>
  <conditionalFormatting sqref="C15:F15">
    <cfRule type="containsText" dxfId="329" priority="5" operator="containsText" text="FALTAN LLENAR DATOS DE OBRA">
      <formula>NOT(ISERROR(SEARCH("FALTAN LLENAR DATOS DE OBRA",C15)))</formula>
    </cfRule>
  </conditionalFormatting>
  <conditionalFormatting sqref="D7:D8">
    <cfRule type="containsText" dxfId="328" priority="6" operator="containsText" text="PRE CONFIRMADO">
      <formula>NOT(ISERROR(SEARCH("PRE CONFIRMADO",D7)))</formula>
    </cfRule>
    <cfRule type="containsText" dxfId="327" priority="7" operator="containsText" text="CONFIRMADO">
      <formula>NOT(ISERROR(SEARCH("CONFIRMADO",D7)))</formula>
    </cfRule>
    <cfRule type="containsText" dxfId="326" priority="8" operator="containsText" text="POR CONFIRMAR">
      <formula>NOT(ISERROR(SEARCH("POR CONFIRMAR",D7)))</formula>
    </cfRule>
  </conditionalFormatting>
  <conditionalFormatting sqref="K14">
    <cfRule type="containsText" dxfId="325" priority="2" operator="containsText" text="MAL">
      <formula>NOT(ISERROR(SEARCH("MAL",K14)))</formula>
    </cfRule>
  </conditionalFormatting>
  <conditionalFormatting sqref="E7">
    <cfRule type="expression" dxfId="324" priority="1">
      <formula>$F$7="SI"</formula>
    </cfRule>
  </conditionalFormatting>
  <pageMargins left="0.23622047244094491" right="0.23622047244094491" top="0.74803149606299213" bottom="0.74803149606299213" header="0.31496062992125984" footer="0.31496062992125984"/>
  <pageSetup scale="95" orientation="portrait" r:id="rId1"/>
  <headerFooter>
    <oddHeader>&amp;C&amp;F - &amp;D - &amp;T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BtnImprimir">
          <controlPr defaultSize="0" autoLine="0" r:id="rId5">
            <anchor moveWithCells="1">
              <from>
                <xdr:col>10</xdr:col>
                <xdr:colOff>228600</xdr:colOff>
                <xdr:row>4</xdr:row>
                <xdr:rowOff>38100</xdr:rowOff>
              </from>
              <to>
                <xdr:col>10</xdr:col>
                <xdr:colOff>952500</xdr:colOff>
                <xdr:row>5</xdr:row>
                <xdr:rowOff>137160</xdr:rowOff>
              </to>
            </anchor>
          </controlPr>
        </control>
      </mc:Choice>
      <mc:Fallback>
        <control shapeId="6145" r:id="rId4" name="BtnImprimir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" operator="containsText" id="{287564E8-E8D4-4126-BA6D-F17EDE507194}">
            <xm:f>NOT(ISERROR(SEARCH(#N/A,J18)))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J18:S24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FFD7241-06DC-4501-AB88-66B497AB08AF}">
          <x14:formula1>
            <xm:f>Apoyo1Despiece!$C$4:$C$7</xm:f>
          </x14:formula1>
          <xm:sqref>F5:F6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A5851-36E4-4DEF-B348-51650972C42A}">
  <sheetPr codeName="Hoja30">
    <tabColor rgb="FF002060"/>
  </sheetPr>
  <dimension ref="A1:DH618"/>
  <sheetViews>
    <sheetView topLeftCell="A15" workbookViewId="0">
      <pane xSplit="6" ySplit="3" topLeftCell="G475" activePane="bottomRight" state="frozen"/>
      <selection activeCell="A15" sqref="A15"/>
      <selection pane="topRight" activeCell="G15" sqref="G15"/>
      <selection pane="bottomLeft" activeCell="A18" sqref="A18"/>
      <selection pane="bottomRight" activeCell="D492" sqref="D492"/>
    </sheetView>
  </sheetViews>
  <sheetFormatPr baseColWidth="10" defaultColWidth="11.44140625" defaultRowHeight="14.4" outlineLevelCol="1" x14ac:dyDescent="0.3"/>
  <cols>
    <col min="1" max="1" width="2.33203125" style="40" customWidth="1"/>
    <col min="2" max="2" width="17.5546875" style="2" hidden="1" customWidth="1"/>
    <col min="3" max="3" width="18" style="41" customWidth="1"/>
    <col min="4" max="4" width="60.6640625" style="2" customWidth="1"/>
    <col min="5" max="5" width="13.5546875" style="2" customWidth="1"/>
    <col min="6" max="6" width="11.6640625" style="40" customWidth="1"/>
    <col min="7" max="7" width="2.6640625" style="40" customWidth="1"/>
    <col min="8" max="8" width="16.109375" style="40" hidden="1" customWidth="1"/>
    <col min="9" max="9" width="9.88671875" style="40" hidden="1" customWidth="1"/>
    <col min="10" max="11" width="15.6640625" style="40" customWidth="1"/>
    <col min="12" max="20" width="15.6640625" style="40" hidden="1" customWidth="1" outlineLevel="1"/>
    <col min="21" max="21" width="12.88671875" style="42" customWidth="1" collapsed="1"/>
    <col min="22" max="22" width="12.88671875" style="42" customWidth="1"/>
    <col min="23" max="23" width="13.5546875" style="43" customWidth="1"/>
    <col min="24" max="24" width="14.33203125" style="43" customWidth="1"/>
    <col min="25" max="25" width="13.6640625" style="43" customWidth="1"/>
    <col min="26" max="26" width="14.33203125" style="43" customWidth="1"/>
    <col min="27" max="16384" width="11.44140625" style="2"/>
  </cols>
  <sheetData>
    <row r="1" spans="1:112" ht="18" thickBot="1" x14ac:dyDescent="0.35">
      <c r="A1" s="281" t="s">
        <v>1096</v>
      </c>
      <c r="B1" s="471" t="s">
        <v>1097</v>
      </c>
      <c r="C1" s="472"/>
      <c r="D1" s="472"/>
      <c r="E1" s="472"/>
      <c r="F1" s="473"/>
      <c r="G1" s="282"/>
      <c r="H1" s="280" t="s">
        <v>1279</v>
      </c>
      <c r="I1" s="474" t="s">
        <v>1098</v>
      </c>
      <c r="J1" s="475"/>
      <c r="K1" s="475"/>
      <c r="L1" s="475"/>
      <c r="M1" s="475"/>
      <c r="N1" s="475"/>
      <c r="O1" s="475"/>
      <c r="P1" s="475"/>
      <c r="Q1" s="475"/>
      <c r="R1" s="475"/>
      <c r="S1" s="476"/>
      <c r="T1" s="30"/>
      <c r="U1" s="477" t="s">
        <v>1099</v>
      </c>
      <c r="V1" s="478"/>
      <c r="W1" s="478"/>
      <c r="X1" s="478"/>
      <c r="Y1" s="479"/>
      <c r="Z1" s="283"/>
      <c r="AA1" s="480" t="s">
        <v>1100</v>
      </c>
      <c r="AB1" s="481"/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2"/>
      <c r="AQ1" s="30"/>
      <c r="AR1" s="483" t="s">
        <v>1101</v>
      </c>
      <c r="AS1" s="484"/>
      <c r="AT1" s="484"/>
      <c r="AU1" s="484"/>
      <c r="AV1" s="485"/>
      <c r="AW1" s="284"/>
      <c r="AX1" s="458" t="s">
        <v>1102</v>
      </c>
      <c r="AY1" s="459"/>
      <c r="AZ1" s="459"/>
      <c r="BA1" s="459"/>
      <c r="BB1" s="459"/>
      <c r="BC1" s="459"/>
      <c r="BD1" s="459"/>
      <c r="BE1" s="459"/>
      <c r="BF1" s="460"/>
      <c r="BG1" s="31" t="s">
        <v>1103</v>
      </c>
    </row>
    <row r="2" spans="1:112" ht="15" thickBot="1" x14ac:dyDescent="0.35">
      <c r="A2" s="285" t="s">
        <v>1104</v>
      </c>
      <c r="B2" s="286" t="s">
        <v>1022</v>
      </c>
      <c r="C2" s="287" t="s">
        <v>1105</v>
      </c>
      <c r="D2" s="287" t="s">
        <v>1106</v>
      </c>
      <c r="E2" s="287" t="s">
        <v>992</v>
      </c>
      <c r="F2" s="287" t="s">
        <v>1107</v>
      </c>
      <c r="G2" s="287" t="s">
        <v>1108</v>
      </c>
      <c r="H2" s="288" t="s">
        <v>1109</v>
      </c>
      <c r="I2" s="288" t="s">
        <v>1110</v>
      </c>
      <c r="J2" s="288" t="s">
        <v>1111</v>
      </c>
      <c r="K2" s="285" t="s">
        <v>1112</v>
      </c>
      <c r="L2" s="288" t="s">
        <v>1113</v>
      </c>
      <c r="M2" s="288" t="s">
        <v>1114</v>
      </c>
      <c r="N2" s="288" t="s">
        <v>1115</v>
      </c>
      <c r="O2" s="288" t="s">
        <v>1280</v>
      </c>
      <c r="P2" s="288" t="s">
        <v>1116</v>
      </c>
      <c r="Q2" s="288" t="s">
        <v>1276</v>
      </c>
      <c r="R2" s="288" t="s">
        <v>1117</v>
      </c>
      <c r="S2" s="288" t="s">
        <v>1118</v>
      </c>
      <c r="T2" s="32"/>
      <c r="U2" s="289" t="s">
        <v>1119</v>
      </c>
      <c r="V2" s="289" t="s">
        <v>1120</v>
      </c>
      <c r="W2" s="289" t="s">
        <v>1281</v>
      </c>
      <c r="X2" s="289" t="s">
        <v>1121</v>
      </c>
      <c r="Y2" s="289" t="s">
        <v>1122</v>
      </c>
      <c r="Z2" s="32"/>
      <c r="AA2" s="290" t="s">
        <v>1123</v>
      </c>
      <c r="AB2" s="291" t="s">
        <v>1124</v>
      </c>
      <c r="AC2" s="291" t="s">
        <v>1125</v>
      </c>
      <c r="AD2" s="291" t="s">
        <v>1126</v>
      </c>
      <c r="AE2" s="291" t="s">
        <v>1127</v>
      </c>
      <c r="AF2" s="291" t="s">
        <v>1128</v>
      </c>
      <c r="AG2" s="291" t="s">
        <v>1129</v>
      </c>
      <c r="AH2" s="291" t="s">
        <v>1130</v>
      </c>
      <c r="AI2" s="292" t="s">
        <v>1131</v>
      </c>
      <c r="AJ2" s="291" t="s">
        <v>996</v>
      </c>
      <c r="AK2" s="291" t="s">
        <v>1118</v>
      </c>
      <c r="AL2" s="291" t="s">
        <v>1132</v>
      </c>
      <c r="AM2" s="291" t="s">
        <v>1115</v>
      </c>
      <c r="AN2" s="291" t="s">
        <v>1133</v>
      </c>
      <c r="AO2" s="291" t="s">
        <v>1134</v>
      </c>
      <c r="AP2" s="292" t="s">
        <v>1135</v>
      </c>
      <c r="AQ2" s="32"/>
      <c r="AR2" s="33" t="s">
        <v>1101</v>
      </c>
      <c r="AS2" s="33" t="s">
        <v>1124</v>
      </c>
      <c r="AT2" s="33" t="s">
        <v>1125</v>
      </c>
      <c r="AU2" s="33" t="s">
        <v>1126</v>
      </c>
      <c r="AV2" s="33" t="s">
        <v>1118</v>
      </c>
      <c r="AW2" s="34"/>
      <c r="AX2" s="293" t="s">
        <v>1136</v>
      </c>
      <c r="AY2" s="293" t="s">
        <v>1137</v>
      </c>
      <c r="AZ2" s="294"/>
      <c r="BA2" s="293" t="s">
        <v>1138</v>
      </c>
      <c r="BB2" s="293" t="s">
        <v>1139</v>
      </c>
      <c r="BC2" s="293" t="s">
        <v>1140</v>
      </c>
      <c r="BD2" s="293" t="s">
        <v>1141</v>
      </c>
      <c r="BE2" s="293" t="s">
        <v>1142</v>
      </c>
      <c r="BF2" s="293" t="s">
        <v>1143</v>
      </c>
      <c r="BG2" s="288" t="s">
        <v>1144</v>
      </c>
    </row>
    <row r="3" spans="1:112" ht="15" customHeight="1" thickBot="1" x14ac:dyDescent="0.3">
      <c r="A3" s="270">
        <f>+ALQUILER!A3</f>
        <v>45498.400821759256</v>
      </c>
      <c r="B3" s="271" t="str">
        <f>+ALQUILER!B3</f>
        <v>MM - Maria Morales</v>
      </c>
      <c r="C3" s="38" t="str">
        <f>+ALQUILER!C3</f>
        <v>EI - Encofrados Innova</v>
      </c>
      <c r="D3" s="272" t="str">
        <f>+ALQUILER!D3</f>
        <v>COGEPATS</v>
      </c>
      <c r="E3" s="272" t="str">
        <f>+ALQUILER!E3</f>
        <v>DISTRITO 18</v>
      </c>
      <c r="F3" s="36" t="str">
        <f>+ALQUILER!F3</f>
        <v>PP - Pase de Pedido</v>
      </c>
      <c r="G3" s="37" t="str">
        <f>+ALQUILER!G3</f>
        <v>LM - Lima</v>
      </c>
      <c r="H3" s="273">
        <f>+ALQUILER!H3</f>
        <v>0</v>
      </c>
      <c r="I3" s="297">
        <f>+ALQUILER!I3</f>
        <v>0</v>
      </c>
      <c r="J3" s="272">
        <f>+ALQUILER!J3</f>
        <v>0</v>
      </c>
      <c r="K3" s="272">
        <f>+ALQUILER!K3</f>
        <v>0</v>
      </c>
      <c r="L3" s="272">
        <f>+ALQUILER!L3</f>
        <v>0</v>
      </c>
      <c r="M3" s="272">
        <f>+ALQUILER!M3</f>
        <v>0</v>
      </c>
      <c r="N3" s="272">
        <f>+ALQUILER!N3</f>
        <v>0</v>
      </c>
      <c r="O3" s="272">
        <f>+ALQUILER!O3</f>
        <v>0</v>
      </c>
      <c r="P3" s="272">
        <f>+ALQUILER!P3</f>
        <v>0</v>
      </c>
      <c r="Q3" s="272">
        <f>+ALQUILER!Q3</f>
        <v>0</v>
      </c>
      <c r="R3" s="272">
        <f>+ALQUILER!R3</f>
        <v>0</v>
      </c>
      <c r="S3" s="272">
        <f>+ALQUILER!S3</f>
        <v>0</v>
      </c>
      <c r="T3" s="272">
        <f>+ALQUILER!T3</f>
        <v>0</v>
      </c>
      <c r="U3" s="272">
        <f>+ALQUILER!U3</f>
        <v>0</v>
      </c>
      <c r="V3" s="272">
        <f>+ALQUILER!V3</f>
        <v>0</v>
      </c>
      <c r="W3" s="272">
        <f>+ALQUILER!W3</f>
        <v>0</v>
      </c>
      <c r="X3" s="272">
        <f>+ALQUILER!X3</f>
        <v>0</v>
      </c>
      <c r="Y3" s="272">
        <f>+ALQUILER!Y3</f>
        <v>0</v>
      </c>
      <c r="Z3" s="272">
        <f>+ALQUILER!Z3</f>
        <v>0</v>
      </c>
      <c r="AA3" s="274" t="str">
        <f>+ALQUILER!AA3</f>
        <v>CON - Confirmado</v>
      </c>
      <c r="AB3" s="275">
        <f>+ALQUILER!AB3</f>
        <v>45498</v>
      </c>
      <c r="AC3" s="276" t="str">
        <f>+ALQUILER!AC3</f>
        <v>11:00:00 a.m.</v>
      </c>
      <c r="AD3" s="272">
        <f>+ALQUILER!AD3</f>
        <v>103.1</v>
      </c>
      <c r="AE3" s="38" t="str">
        <f>+ALQUILER!AE3</f>
        <v>Completo</v>
      </c>
      <c r="AF3" s="272" t="s">
        <v>1277</v>
      </c>
      <c r="AG3" s="272" t="str">
        <f>+ALQUILER!AG3</f>
        <v>Urgente</v>
      </c>
      <c r="AH3" s="272" t="str">
        <f>+ALQUILER!AH3</f>
        <v>No</v>
      </c>
      <c r="AI3" s="272" t="str">
        <f>+ALQUILER!AI3</f>
        <v>No</v>
      </c>
      <c r="AJ3" s="272" t="str">
        <f>+ALQUILER!AJ3</f>
        <v>Ellos</v>
      </c>
      <c r="AK3" s="272">
        <f>+ALQUILER!AK3</f>
        <v>0</v>
      </c>
      <c r="AL3" s="272">
        <f>+ALQUILER!AL3</f>
        <v>0</v>
      </c>
      <c r="AM3" s="272">
        <f>+ALQUILER!AM3</f>
        <v>0</v>
      </c>
      <c r="AN3" s="272" t="str">
        <f>IF(ALQUILER!AN3="","",ALQUILER!AN3)</f>
        <v/>
      </c>
      <c r="AO3" s="272">
        <f>+ALQUILER!AO3</f>
        <v>0</v>
      </c>
      <c r="AP3" s="272">
        <f>+ALQUILER!AP3</f>
        <v>0</v>
      </c>
      <c r="AQ3" s="272" t="str">
        <f>+ALQUILER!AQ3</f>
        <v>Si, enviar formulario</v>
      </c>
      <c r="AR3" s="272">
        <f>+ALQUILER!AR3</f>
        <v>0</v>
      </c>
      <c r="AS3" s="272">
        <f>+ALQUILER!AS3</f>
        <v>0</v>
      </c>
      <c r="AT3" s="272">
        <f>+ALQUILER!AT3</f>
        <v>0</v>
      </c>
      <c r="AU3" s="272">
        <f>+ALQUILER!AU3</f>
        <v>0</v>
      </c>
      <c r="AV3" s="272">
        <f>+ALQUILER!AV3</f>
        <v>0</v>
      </c>
      <c r="AW3" s="272">
        <f>+ALQUILER!AW3</f>
        <v>0</v>
      </c>
      <c r="AX3" s="275">
        <f>+ALQUILER!AX3</f>
        <v>45498</v>
      </c>
      <c r="AY3" s="277" t="str">
        <f>+ALQUILER!AY3</f>
        <v>Amelia</v>
      </c>
      <c r="AZ3" s="278" t="str">
        <f>+ALQUILER!AZ3</f>
        <v>HECHO</v>
      </c>
      <c r="BA3" s="272">
        <f>+ALQUILER!BA3</f>
        <v>25.3</v>
      </c>
      <c r="BB3" s="39">
        <f>+ALQUILER!BB3</f>
        <v>1</v>
      </c>
      <c r="BC3" s="276" t="str">
        <f>+ALQUILER!BC3</f>
        <v>09:47 A.M</v>
      </c>
      <c r="BD3" s="276" t="str">
        <f>+ALQUILER!BD3</f>
        <v>10:26 a.m</v>
      </c>
      <c r="BE3" s="272">
        <f>+ALQUILER!BE3</f>
        <v>45498</v>
      </c>
      <c r="BF3" s="272">
        <f>+ALQUILER!BF3</f>
        <v>0</v>
      </c>
      <c r="BG3" s="279">
        <f>+ALQUILER!BG3</f>
        <v>0</v>
      </c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35"/>
      <c r="DH3" s="30"/>
    </row>
    <row r="4" spans="1:112" ht="9.9" customHeight="1" x14ac:dyDescent="0.3">
      <c r="U4" s="40"/>
      <c r="V4" s="2"/>
      <c r="W4" s="2"/>
      <c r="X4" s="2"/>
      <c r="Y4" s="2"/>
      <c r="Z4" s="2"/>
      <c r="AE4" s="42"/>
      <c r="AF4" s="42"/>
      <c r="AH4" s="43"/>
      <c r="AI4" s="43"/>
      <c r="AK4" s="43"/>
      <c r="AL4" s="43"/>
    </row>
    <row r="5" spans="1:112" ht="15" customHeight="1" x14ac:dyDescent="0.3">
      <c r="A5" s="2"/>
      <c r="C5" s="461"/>
      <c r="D5" s="44" t="str">
        <f>CONCATENATE(IF(C3="EI - Encofrados Innova","EI",IF(C3="AE - Andamios Electricos Innova","AE",IF(C3="IR - Innova Rental","IR",IF(C3="IA - Indek Andina","IA","")))),"-PP-",TEXT(K7,"0000"),"_",K8)</f>
        <v>EI-PP-0000_2</v>
      </c>
      <c r="E5" s="45" t="s">
        <v>998</v>
      </c>
      <c r="F5" s="299">
        <f>+ALQUILER!F5</f>
        <v>0</v>
      </c>
      <c r="G5" s="2"/>
      <c r="H5" s="2"/>
      <c r="I5" s="68"/>
      <c r="L5" s="2"/>
      <c r="M5" s="2"/>
      <c r="N5" s="2"/>
      <c r="O5" s="2"/>
      <c r="P5" s="2"/>
      <c r="Q5" s="2"/>
      <c r="R5" s="2"/>
      <c r="S5" s="2"/>
      <c r="T5" s="2"/>
    </row>
    <row r="6" spans="1:112" ht="15" customHeight="1" x14ac:dyDescent="0.3">
      <c r="A6" s="2"/>
      <c r="C6" s="462"/>
      <c r="D6" s="44" t="str">
        <f>CONCATENATE(C3,"  --  ",IF(B3="MM - Maria Morales","Maria",IF(B3="KC - Katya Chalco","Katya",IF(B3="AR - Antonio Rodriguez","Antonio",IF(B3="IG - Ivonne Garcia","Ivonne",IF(B3="FC - Frank Cespedes","Frank",IF(B3="LR - Lucas Romero","Lucas",IF(B3="GG - Genaro Garcia","Genaro",""))))))),"  --  Contrato ",AD3)</f>
        <v>EI - Encofrados Innova  --  Maria  --  Contrato 103.1</v>
      </c>
      <c r="E6" s="45" t="s">
        <v>1146</v>
      </c>
      <c r="F6" s="299">
        <f>+ALQUILER!F6</f>
        <v>0</v>
      </c>
      <c r="G6" s="2"/>
      <c r="H6" s="2"/>
      <c r="I6" s="68"/>
      <c r="L6" s="2"/>
      <c r="M6" s="2"/>
      <c r="N6" s="2"/>
      <c r="O6" s="2"/>
      <c r="P6" s="2"/>
      <c r="Q6" s="2"/>
      <c r="R6" s="2"/>
      <c r="S6" s="2"/>
      <c r="T6" s="2"/>
    </row>
    <row r="7" spans="1:112" ht="15.75" customHeight="1" x14ac:dyDescent="0.3">
      <c r="A7" s="2"/>
      <c r="C7" s="463"/>
      <c r="D7" s="464" t="str">
        <f>IF(AA3="","",IF(AA3="CON - Confirmado","CONFIRMADO",IF(AA3="PRE - Pre Confirmado","PRE CONFIRMADO",IF(AA3="POR - Por Confirmar","POR CONFIRMAR",))))</f>
        <v>CONFIRMADO</v>
      </c>
      <c r="E7" s="486" t="s">
        <v>1384</v>
      </c>
      <c r="F7" s="487"/>
      <c r="G7" s="2"/>
      <c r="H7" s="2"/>
      <c r="I7" s="68"/>
      <c r="J7" s="46" t="s">
        <v>1145</v>
      </c>
      <c r="K7" s="47">
        <f>+ALQUILER!K7</f>
        <v>0</v>
      </c>
      <c r="L7" s="2"/>
      <c r="M7" s="2"/>
      <c r="N7" s="2"/>
      <c r="O7" s="2"/>
      <c r="P7" s="2"/>
      <c r="Q7" s="2"/>
      <c r="R7" s="2"/>
      <c r="S7" s="2"/>
      <c r="T7" s="2"/>
    </row>
    <row r="8" spans="1:112" ht="15" customHeight="1" x14ac:dyDescent="0.3">
      <c r="A8" s="2"/>
      <c r="C8" s="466" t="str">
        <f>IF(C3="EI - Encofrados Innova","ENCOFRADOS INNOVA",IF(C3="AE - Andamios Electricos Innova","ANDAMIOS ELECTRICOS",IF(C3="IA - Indek Andina","INDEK ANDINA",IF(C3="IR - Innova Rental","INNOVA RENTAL",""))))</f>
        <v>ENCOFRADOS INNOVA</v>
      </c>
      <c r="D8" s="465"/>
      <c r="E8" s="49" t="s">
        <v>1148</v>
      </c>
      <c r="F8" s="50" t="str">
        <f>UPPER(AH3)</f>
        <v>NO</v>
      </c>
      <c r="G8" s="2"/>
      <c r="H8" s="2"/>
      <c r="I8" s="68"/>
      <c r="J8" s="46" t="s">
        <v>1147</v>
      </c>
      <c r="K8" s="48">
        <f>+VENTA!K8+1</f>
        <v>2</v>
      </c>
      <c r="L8" s="2"/>
      <c r="M8" s="2"/>
      <c r="N8" s="2"/>
      <c r="O8" s="2"/>
      <c r="P8" s="2"/>
      <c r="Q8" s="2"/>
      <c r="R8" s="2"/>
      <c r="S8" s="2"/>
      <c r="T8" s="2"/>
      <c r="W8" s="42"/>
      <c r="X8" s="42"/>
      <c r="Y8" s="53"/>
    </row>
    <row r="9" spans="1:112" ht="15" customHeight="1" x14ac:dyDescent="0.3">
      <c r="A9" s="2"/>
      <c r="C9" s="467"/>
      <c r="D9" s="469" t="str">
        <f>UPPER(D3)</f>
        <v>COGEPATS</v>
      </c>
      <c r="E9" s="49" t="s">
        <v>1150</v>
      </c>
      <c r="F9" s="54">
        <f ca="1">IF(AB3="","",TODAY())</f>
        <v>45806</v>
      </c>
      <c r="G9" s="2"/>
      <c r="H9" s="2"/>
      <c r="I9" s="68"/>
      <c r="J9" s="51" t="s">
        <v>1149</v>
      </c>
      <c r="K9" s="52" t="str">
        <f>+AE3</f>
        <v>Completo</v>
      </c>
      <c r="L9" s="2"/>
      <c r="M9" s="2"/>
      <c r="N9" s="2"/>
      <c r="O9" s="2"/>
      <c r="P9" s="2"/>
      <c r="Q9" s="2"/>
      <c r="R9" s="2"/>
      <c r="S9" s="2"/>
      <c r="T9" s="2"/>
      <c r="W9" s="53"/>
      <c r="X9" s="53"/>
      <c r="Y9" s="53"/>
    </row>
    <row r="10" spans="1:112" ht="15" customHeight="1" x14ac:dyDescent="0.3">
      <c r="A10" s="2"/>
      <c r="C10" s="468"/>
      <c r="D10" s="470"/>
      <c r="E10" s="55" t="s">
        <v>1152</v>
      </c>
      <c r="F10" s="56">
        <f>IF(AB3="","",AB3)</f>
        <v>45498</v>
      </c>
      <c r="G10" s="2"/>
      <c r="H10" s="2"/>
      <c r="I10" s="68"/>
      <c r="J10" s="51" t="s">
        <v>1151</v>
      </c>
      <c r="K10" s="52">
        <f>+AL3</f>
        <v>0</v>
      </c>
      <c r="M10" s="51"/>
      <c r="R10" s="2"/>
      <c r="S10" s="2"/>
      <c r="T10" s="2"/>
    </row>
    <row r="11" spans="1:112" ht="15" customHeight="1" x14ac:dyDescent="0.3">
      <c r="A11" s="2"/>
      <c r="C11" s="451" t="str">
        <f>UPPER(AF3)</f>
        <v>PRESTAMO</v>
      </c>
      <c r="D11" s="452" t="str">
        <f>UPPER(E3)</f>
        <v>DISTRITO 18</v>
      </c>
      <c r="E11" s="55" t="s">
        <v>1154</v>
      </c>
      <c r="F11" s="58" t="str">
        <f>IF(AC3="","",AC3)</f>
        <v>11:00:00 a.m.</v>
      </c>
      <c r="G11" s="2"/>
      <c r="H11" s="2"/>
      <c r="I11" s="68"/>
      <c r="J11" s="51" t="s">
        <v>1153</v>
      </c>
      <c r="K11" s="57">
        <f>+AM3</f>
        <v>0</v>
      </c>
      <c r="M11" s="51"/>
      <c r="R11" s="2"/>
      <c r="S11" s="2"/>
      <c r="T11" s="2"/>
    </row>
    <row r="12" spans="1:112" ht="15" customHeight="1" x14ac:dyDescent="0.3">
      <c r="A12" s="2"/>
      <c r="C12" s="451"/>
      <c r="D12" s="452"/>
      <c r="E12" s="49" t="s">
        <v>996</v>
      </c>
      <c r="F12" s="59" t="str">
        <f>UPPER(AJ3)</f>
        <v>ELLOS</v>
      </c>
      <c r="G12" s="2"/>
      <c r="H12" s="2"/>
      <c r="I12" s="68"/>
      <c r="J12" s="51" t="s">
        <v>1155</v>
      </c>
      <c r="K12" s="57" t="str">
        <f>+AN3</f>
        <v/>
      </c>
      <c r="Q12" s="2"/>
      <c r="R12" s="2"/>
      <c r="S12" s="2"/>
      <c r="T12" s="2"/>
    </row>
    <row r="13" spans="1:112" ht="15" customHeight="1" x14ac:dyDescent="0.3">
      <c r="A13" s="2"/>
      <c r="C13" s="61" t="str">
        <f>IF(G3="","",IF(G3="LM - Lima","LIMA",IF(G3="PV - Provincia","PROVINCIA",)))</f>
        <v>LIMA</v>
      </c>
      <c r="D13" s="62" t="str">
        <f>IF(AN3="",UPPER(AG3),CONCATENATE(UPPER(AG3)," / Plan ",UPPER(AN3)))</f>
        <v>URGENTE</v>
      </c>
      <c r="E13" s="49" t="s">
        <v>1373</v>
      </c>
      <c r="F13" s="63" t="e">
        <f>IF(V567=0,"",V567)</f>
        <v>#N/A</v>
      </c>
      <c r="G13" s="2"/>
      <c r="H13" s="2"/>
      <c r="I13" s="68"/>
      <c r="J13" s="51" t="s">
        <v>1156</v>
      </c>
      <c r="K13" s="60">
        <f>+AO3</f>
        <v>0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112" s="4" customFormat="1" ht="15" customHeight="1" x14ac:dyDescent="0.3">
      <c r="A14" s="2"/>
      <c r="C14" s="453" t="str">
        <f>CONCATENATE("  NOTA ADICIONAL: ",AK3)</f>
        <v xml:space="preserve">  NOTA ADICIONAL: 0</v>
      </c>
      <c r="D14" s="453"/>
      <c r="E14" s="453"/>
      <c r="F14" s="453"/>
      <c r="G14" s="2"/>
      <c r="H14" s="2"/>
      <c r="I14" s="68"/>
      <c r="J14" s="51" t="s">
        <v>1157</v>
      </c>
      <c r="K14" s="64" t="str">
        <f>IF((2*F22+F23+F24+F25+F26+F27+F28+F51+F52+F53+F119)=0,"-",IF(2*F22+F23+F24+F25+F26+F27+F51+F52+F53+F119=F28,"ESPIGAS OK","ESPIGAS MAL"))</f>
        <v>ESPIGAS OK</v>
      </c>
      <c r="L14" s="40"/>
      <c r="M14" s="40"/>
      <c r="R14" s="2"/>
      <c r="S14" s="2"/>
      <c r="T14" s="2"/>
      <c r="U14" s="2"/>
      <c r="V14" s="2"/>
      <c r="W14" s="2"/>
      <c r="X14" s="2"/>
      <c r="Y14" s="2"/>
      <c r="Z14" s="2"/>
    </row>
    <row r="15" spans="1:112" ht="7.5" customHeight="1" x14ac:dyDescent="0.3">
      <c r="A15" s="2"/>
      <c r="F15" s="2"/>
      <c r="G15" s="2"/>
      <c r="H15" s="2"/>
      <c r="I15" s="68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112" s="68" customFormat="1" ht="15" customHeight="1" x14ac:dyDescent="0.3">
      <c r="A16" s="2"/>
      <c r="B16" s="65"/>
      <c r="C16" s="65"/>
      <c r="D16" s="65"/>
      <c r="E16" s="66"/>
      <c r="F16" s="269">
        <f>SUM(F17:F565)</f>
        <v>1336</v>
      </c>
      <c r="G16" s="2"/>
      <c r="H16" s="2"/>
      <c r="J16" s="67">
        <f>SUM(TbPrestamo[GENERAL])</f>
        <v>21</v>
      </c>
      <c r="K16" s="67">
        <f>SUM(TbPrestamo[FACHADA])</f>
        <v>0</v>
      </c>
      <c r="L16" s="67">
        <f>SUM(TbPrestamo[ AND. TRABAJO])</f>
        <v>67</v>
      </c>
      <c r="M16" s="67">
        <f>SUM(TbPrestamo[ESCALERA])</f>
        <v>67</v>
      </c>
      <c r="N16" s="67">
        <f>SUM(TbPrestamo[ESCUADRAS])</f>
        <v>0</v>
      </c>
      <c r="O16" s="67">
        <f>SUM(TbPrestamo[PUNTALES])</f>
        <v>1000</v>
      </c>
      <c r="P16" s="67">
        <f>SUM(TbPrestamo[ENCOFRADO])</f>
        <v>0</v>
      </c>
      <c r="Q16" s="67">
        <f>SUM(TbPrestamo[PLAT. DESCAR])</f>
        <v>10</v>
      </c>
      <c r="R16" s="67">
        <f>SUM(TbPrestamo[ADE])</f>
        <v>0</v>
      </c>
      <c r="S16" s="67">
        <f>SUM(TbPrestamo[ELEVADOR])</f>
        <v>582</v>
      </c>
      <c r="T16" s="262">
        <f>SUM(TbPrestamo[TOTAL])</f>
        <v>1747</v>
      </c>
      <c r="U16" s="454" t="s">
        <v>2</v>
      </c>
      <c r="V16" s="455"/>
      <c r="W16" s="456" t="s">
        <v>1158</v>
      </c>
      <c r="X16" s="457"/>
      <c r="Y16" s="443" t="s">
        <v>1159</v>
      </c>
      <c r="Z16" s="444"/>
    </row>
    <row r="17" spans="1:26" s="68" customFormat="1" ht="15" customHeight="1" x14ac:dyDescent="0.3">
      <c r="A17" s="2"/>
      <c r="B17" s="69" t="s">
        <v>1252</v>
      </c>
      <c r="C17" s="69" t="s">
        <v>1</v>
      </c>
      <c r="D17" s="445" t="s">
        <v>0</v>
      </c>
      <c r="E17" s="446"/>
      <c r="F17" s="109" t="s">
        <v>1160</v>
      </c>
      <c r="G17" s="2"/>
      <c r="H17" s="298" t="s">
        <v>1</v>
      </c>
      <c r="I17" s="261" t="s">
        <v>1161</v>
      </c>
      <c r="J17" s="254" t="s">
        <v>1270</v>
      </c>
      <c r="K17" s="253" t="s">
        <v>1271</v>
      </c>
      <c r="L17" s="253" t="s">
        <v>1273</v>
      </c>
      <c r="M17" s="253" t="s">
        <v>1274</v>
      </c>
      <c r="N17" s="251" t="s">
        <v>993</v>
      </c>
      <c r="O17" s="251" t="s">
        <v>994</v>
      </c>
      <c r="P17" s="251" t="s">
        <v>1272</v>
      </c>
      <c r="Q17" s="251" t="s">
        <v>1275</v>
      </c>
      <c r="R17" s="252" t="s">
        <v>1133</v>
      </c>
      <c r="S17" s="252" t="s">
        <v>1276</v>
      </c>
      <c r="T17" s="263" t="s">
        <v>1162</v>
      </c>
      <c r="U17" s="264" t="s">
        <v>1163</v>
      </c>
      <c r="V17" s="265" t="s">
        <v>1164</v>
      </c>
      <c r="W17" s="266" t="s">
        <v>1165</v>
      </c>
      <c r="X17" s="267" t="s">
        <v>1166</v>
      </c>
      <c r="Y17" s="268" t="s">
        <v>1167</v>
      </c>
      <c r="Z17" s="118" t="s">
        <v>1168</v>
      </c>
    </row>
    <row r="18" spans="1:26" ht="15" customHeight="1" x14ac:dyDescent="0.3">
      <c r="A18" s="2"/>
      <c r="B18" s="70">
        <v>1</v>
      </c>
      <c r="C18" s="71" t="s">
        <v>3</v>
      </c>
      <c r="D18" s="72" t="s">
        <v>4</v>
      </c>
      <c r="E18" s="73"/>
      <c r="F18" s="74">
        <f>+VLOOKUP(C18,TbPrestamo[],13,FALSE)</f>
        <v>8</v>
      </c>
      <c r="G18" s="2"/>
      <c r="H18" s="75" t="str">
        <f t="shared" ref="H18:H81" si="0">+C18</f>
        <v>AM.0100</v>
      </c>
      <c r="I18" s="59" t="str">
        <f t="shared" ref="I18:I81" si="1">+IF(C18=H18,"ok","mal")</f>
        <v>ok</v>
      </c>
      <c r="J18" s="77">
        <f>IFERROR(VLOOKUP($H18,TG[],3,FALSE),"NA")</f>
        <v>0</v>
      </c>
      <c r="K18" s="77">
        <f>IFERROR(VLOOKUP($H18,TF[],3,FALSE),"NA")</f>
        <v>0</v>
      </c>
      <c r="L18" s="77">
        <f>IFERROR(VLOOKUP($H18,TT[],3,FALSE),"NA")</f>
        <v>4</v>
      </c>
      <c r="M18" s="77">
        <f>IFERROR(VLOOKUP($H18,TES[],3,FALSE),"NA")</f>
        <v>4</v>
      </c>
      <c r="N18" s="77" t="str">
        <f>IFERROR(VLOOKUP($H18,TEC[],3,FALSE),"NA")</f>
        <v>NA</v>
      </c>
      <c r="O18" s="77" t="str">
        <f>IFERROR(VLOOKUP($H18,TP[],3,FALSE),"NA")</f>
        <v>NA</v>
      </c>
      <c r="P18" s="77" t="str">
        <f>IFERROR(VLOOKUP($H18,TEN[],3,FALSE),"NA")</f>
        <v>NA</v>
      </c>
      <c r="Q18" s="77" t="str">
        <f>IFERROR(VLOOKUP($H18,TD[],3,FALSE),"NA")</f>
        <v>NA</v>
      </c>
      <c r="R18" s="77" t="str">
        <f>IFERROR(VLOOKUP($H18,TC[],3,FALSE),"NA")</f>
        <v>NA</v>
      </c>
      <c r="S18" s="77" t="str">
        <f>IFERROR(VLOOKUP($H18,TEV[],3,FALSE),"NA")</f>
        <v>NA</v>
      </c>
      <c r="T18" s="79">
        <f>SUM(TbPrestamo[[#This Row],[GENERAL]:[ELEVADOR]])</f>
        <v>8</v>
      </c>
      <c r="U18" s="80">
        <f>IF(VLOOKUP(TbPrestamo[[#This Row],[ITEM]],TbPiezas[],5,FALSE)="NA",0,VLOOKUP(TbPrestamo[[#This Row],[ITEM]],TbPiezas[],5,FALSE))</f>
        <v>3.2999999999999972</v>
      </c>
      <c r="V18" s="81">
        <f>+TbPrestamo[[#This Row],[TOTAL]]*TbPrestamo[[#This Row],[P.U. (1)]]</f>
        <v>26.399999999999977</v>
      </c>
      <c r="W18" s="82">
        <f>+VLOOKUP(TbPrestamo[[#This Row],[ITEM]],TbPiezas[],6,FALSE)</f>
        <v>86.53</v>
      </c>
      <c r="X18" s="83">
        <f>+TbPrestamo[[#This Row],[TOTAL]]*TbPrestamo[[#This Row],[P.U. (2)]]</f>
        <v>692.24</v>
      </c>
      <c r="Y18" s="82">
        <f>+VLOOKUP(TbPrestamo[[#This Row],[ITEM]],TbPiezas[],7,FALSE)</f>
        <v>4.3265000000000002</v>
      </c>
      <c r="Z18" s="84">
        <f>+TbPrestamo[[#This Row],[TOTAL]]*TbPrestamo[[#This Row],[P.U. (3)]]</f>
        <v>34.612000000000002</v>
      </c>
    </row>
    <row r="19" spans="1:26" ht="15" customHeight="1" x14ac:dyDescent="0.3">
      <c r="A19" s="2"/>
      <c r="B19" s="85">
        <v>2</v>
      </c>
      <c r="C19" s="71" t="s">
        <v>5</v>
      </c>
      <c r="D19" s="72" t="s">
        <v>6</v>
      </c>
      <c r="E19" s="73"/>
      <c r="F19" s="74">
        <f>+VLOOKUP(C19,TbPrestamo[],13,FALSE)</f>
        <v>0</v>
      </c>
      <c r="G19" s="2"/>
      <c r="H19" s="75" t="str">
        <f t="shared" si="0"/>
        <v>AM.0200</v>
      </c>
      <c r="I19" s="59" t="str">
        <f t="shared" si="1"/>
        <v>ok</v>
      </c>
      <c r="J19" s="77">
        <f>IFERROR(VLOOKUP($H19,TG[],3,FALSE),"NA")</f>
        <v>0</v>
      </c>
      <c r="K19" s="77" t="str">
        <f>IFERROR(VLOOKUP($H19,TF[],3,FALSE),"NA")</f>
        <v>NA</v>
      </c>
      <c r="L19" s="77">
        <f>IFERROR(VLOOKUP($H19,TT[],3,FALSE),"NA")</f>
        <v>0</v>
      </c>
      <c r="M19" s="77" t="str">
        <f>IFERROR(VLOOKUP($H19,TES[],3,FALSE),"NA")</f>
        <v>NA</v>
      </c>
      <c r="N19" s="77" t="str">
        <f>IFERROR(VLOOKUP($H19,TEC[],3,FALSE),"NA")</f>
        <v>NA</v>
      </c>
      <c r="O19" s="77" t="str">
        <f>IFERROR(VLOOKUP($H19,TP[],3,FALSE),"NA")</f>
        <v>NA</v>
      </c>
      <c r="P19" s="77" t="str">
        <f>IFERROR(VLOOKUP($H19,TEN[],3,FALSE),"NA")</f>
        <v>NA</v>
      </c>
      <c r="Q19" s="77" t="str">
        <f>IFERROR(VLOOKUP($H19,TD[],3,FALSE),"NA")</f>
        <v>NA</v>
      </c>
      <c r="R19" s="77" t="str">
        <f>IFERROR(VLOOKUP($H19,TC[],3,FALSE),"NA")</f>
        <v>NA</v>
      </c>
      <c r="S19" s="77" t="str">
        <f>IFERROR(VLOOKUP($H19,TEV[],3,FALSE),"NA")</f>
        <v>NA</v>
      </c>
      <c r="T19" s="79">
        <f>SUM(TbPrestamo[[#This Row],[GENERAL]:[ELEVADOR]])</f>
        <v>0</v>
      </c>
      <c r="U19" s="80">
        <f>IF(VLOOKUP(TbPrestamo[[#This Row],[ITEM]],TbPiezas[],5,FALSE)="NA",0,VLOOKUP(TbPrestamo[[#This Row],[ITEM]],TbPiezas[],5,FALSE))</f>
        <v>5.9000000000000057</v>
      </c>
      <c r="V19" s="81">
        <f>+TbPrestamo[[#This Row],[TOTAL]]*TbPrestamo[[#This Row],[P.U. (1)]]</f>
        <v>0</v>
      </c>
      <c r="W19" s="82">
        <f>+VLOOKUP(TbPrestamo[[#This Row],[ITEM]],TbPiezas[],6,FALSE)</f>
        <v>371.46</v>
      </c>
      <c r="X19" s="83">
        <f>+TbPrestamo[[#This Row],[TOTAL]]*TbPrestamo[[#This Row],[P.U. (2)]]</f>
        <v>0</v>
      </c>
      <c r="Y19" s="82">
        <f>+VLOOKUP(TbPrestamo[[#This Row],[ITEM]],TbPiezas[],7,FALSE)</f>
        <v>18.573</v>
      </c>
      <c r="Z19" s="84">
        <f>+TbPrestamo[[#This Row],[TOTAL]]*TbPrestamo[[#This Row],[P.U. (3)]]</f>
        <v>0</v>
      </c>
    </row>
    <row r="20" spans="1:26" ht="15" customHeight="1" x14ac:dyDescent="0.3">
      <c r="A20" s="2"/>
      <c r="B20" s="85">
        <v>3</v>
      </c>
      <c r="C20" s="71" t="s">
        <v>7</v>
      </c>
      <c r="D20" s="72" t="s">
        <v>8</v>
      </c>
      <c r="E20" s="73"/>
      <c r="F20" s="74">
        <f>+VLOOKUP(C20,TbPrestamo[],13,FALSE)</f>
        <v>8</v>
      </c>
      <c r="G20" s="2"/>
      <c r="H20" s="75" t="str">
        <f t="shared" si="0"/>
        <v>AM.0300</v>
      </c>
      <c r="I20" s="59" t="str">
        <f t="shared" si="1"/>
        <v>ok</v>
      </c>
      <c r="J20" s="77">
        <f>IFERROR(VLOOKUP($H20,TG[],3,FALSE),"NA")</f>
        <v>0</v>
      </c>
      <c r="K20" s="77">
        <f>IFERROR(VLOOKUP($H20,TF[],3,FALSE),"NA")</f>
        <v>0</v>
      </c>
      <c r="L20" s="77">
        <f>IFERROR(VLOOKUP($H20,TT[],3,FALSE),"NA")</f>
        <v>4</v>
      </c>
      <c r="M20" s="77">
        <f>IFERROR(VLOOKUP($H20,TES[],3,FALSE),"NA")</f>
        <v>4</v>
      </c>
      <c r="N20" s="77" t="str">
        <f>IFERROR(VLOOKUP($H20,TEC[],3,FALSE),"NA")</f>
        <v>NA</v>
      </c>
      <c r="O20" s="77" t="str">
        <f>IFERROR(VLOOKUP($H20,TP[],3,FALSE),"NA")</f>
        <v>NA</v>
      </c>
      <c r="P20" s="77" t="str">
        <f>IFERROR(VLOOKUP($H20,TEN[],3,FALSE),"NA")</f>
        <v>NA</v>
      </c>
      <c r="Q20" s="77" t="str">
        <f>IFERROR(VLOOKUP($H20,TD[],3,FALSE),"NA")</f>
        <v>NA</v>
      </c>
      <c r="R20" s="77" t="str">
        <f>IFERROR(VLOOKUP($H20,TC[],3,FALSE),"NA")</f>
        <v>NA</v>
      </c>
      <c r="S20" s="77" t="str">
        <f>IFERROR(VLOOKUP($H20,TEV[],3,FALSE),"NA")</f>
        <v>NA</v>
      </c>
      <c r="T20" s="79">
        <f>SUM(TbPrestamo[[#This Row],[GENERAL]:[ELEVADOR]])</f>
        <v>8</v>
      </c>
      <c r="U20" s="80">
        <f>IF(VLOOKUP(TbPrestamo[[#This Row],[ITEM]],TbPiezas[],5,FALSE)="NA",0,VLOOKUP(TbPrestamo[[#This Row],[ITEM]],TbPiezas[],5,FALSE))</f>
        <v>1.8999999999999915</v>
      </c>
      <c r="V20" s="81">
        <f>+TbPrestamo[[#This Row],[TOTAL]]*TbPrestamo[[#This Row],[P.U. (1)]]</f>
        <v>15.199999999999932</v>
      </c>
      <c r="W20" s="82">
        <f>+VLOOKUP(TbPrestamo[[#This Row],[ITEM]],TbPiezas[],6,FALSE)</f>
        <v>78.02</v>
      </c>
      <c r="X20" s="83">
        <f>+TbPrestamo[[#This Row],[TOTAL]]*TbPrestamo[[#This Row],[P.U. (2)]]</f>
        <v>624.16</v>
      </c>
      <c r="Y20" s="82">
        <f>+VLOOKUP(TbPrestamo[[#This Row],[ITEM]],TbPiezas[],7,FALSE)</f>
        <v>3.9009999999999998</v>
      </c>
      <c r="Z20" s="84">
        <f>+TbPrestamo[[#This Row],[TOTAL]]*TbPrestamo[[#This Row],[P.U. (3)]]</f>
        <v>31.207999999999998</v>
      </c>
    </row>
    <row r="21" spans="1:26" ht="15" customHeight="1" x14ac:dyDescent="0.3">
      <c r="A21" s="2"/>
      <c r="B21" s="85">
        <v>4</v>
      </c>
      <c r="C21" s="71" t="s">
        <v>9</v>
      </c>
      <c r="D21" s="72" t="s">
        <v>10</v>
      </c>
      <c r="E21" s="73"/>
      <c r="F21" s="74">
        <f>+VLOOKUP(C21,TbPrestamo[],13,FALSE)</f>
        <v>6</v>
      </c>
      <c r="G21" s="2"/>
      <c r="H21" s="75" t="str">
        <f t="shared" si="0"/>
        <v>AM.0400</v>
      </c>
      <c r="I21" s="59" t="str">
        <f t="shared" si="1"/>
        <v>ok</v>
      </c>
      <c r="J21" s="77">
        <f>IFERROR(VLOOKUP($H21,TG[],3,FALSE),"NA")</f>
        <v>6</v>
      </c>
      <c r="K21" s="77">
        <f>IFERROR(VLOOKUP($H21,TF[],3,FALSE),"NA")</f>
        <v>0</v>
      </c>
      <c r="L21" s="77" t="str">
        <f>IFERROR(VLOOKUP($H21,TT[],3,FALSE),"NA")</f>
        <v>NA</v>
      </c>
      <c r="M21" s="77">
        <f>IFERROR(VLOOKUP($H21,TES[],3,FALSE),"NA")</f>
        <v>0</v>
      </c>
      <c r="N21" s="77" t="str">
        <f>IFERROR(VLOOKUP($H21,TEC[],3,FALSE),"NA")</f>
        <v>NA</v>
      </c>
      <c r="O21" s="77" t="str">
        <f>IFERROR(VLOOKUP($H21,TP[],3,FALSE),"NA")</f>
        <v>NA</v>
      </c>
      <c r="P21" s="77" t="str">
        <f>IFERROR(VLOOKUP($H21,TEN[],3,FALSE),"NA")</f>
        <v>NA</v>
      </c>
      <c r="Q21" s="77" t="str">
        <f>IFERROR(VLOOKUP($H21,TD[],3,FALSE),"NA")</f>
        <v>NA</v>
      </c>
      <c r="R21" s="77" t="str">
        <f>IFERROR(VLOOKUP($H21,TC[],3,FALSE),"NA")</f>
        <v>NA</v>
      </c>
      <c r="S21" s="77" t="str">
        <f>IFERROR(VLOOKUP($H21,TEV[],3,FALSE),"NA")</f>
        <v>NA</v>
      </c>
      <c r="T21" s="79">
        <f>SUM(TbPrestamo[[#This Row],[GENERAL]:[ELEVADOR]])</f>
        <v>6</v>
      </c>
      <c r="U21" s="80">
        <f>IF(VLOOKUP(TbPrestamo[[#This Row],[ITEM]],TbPiezas[],5,FALSE)="NA",0,VLOOKUP(TbPrestamo[[#This Row],[ITEM]],TbPiezas[],5,FALSE))</f>
        <v>44.3</v>
      </c>
      <c r="V21" s="81">
        <f>+TbPrestamo[[#This Row],[TOTAL]]*TbPrestamo[[#This Row],[P.U. (1)]]</f>
        <v>265.79999999999995</v>
      </c>
      <c r="W21" s="82">
        <f>+VLOOKUP(TbPrestamo[[#This Row],[ITEM]],TbPiezas[],6,FALSE)</f>
        <v>870.28</v>
      </c>
      <c r="X21" s="83">
        <f>+TbPrestamo[[#This Row],[TOTAL]]*TbPrestamo[[#This Row],[P.U. (2)]]</f>
        <v>5221.68</v>
      </c>
      <c r="Y21" s="82">
        <f>+VLOOKUP(TbPrestamo[[#This Row],[ITEM]],TbPiezas[],7,FALSE)</f>
        <v>43.514000000000003</v>
      </c>
      <c r="Z21" s="84">
        <f>+TbPrestamo[[#This Row],[TOTAL]]*TbPrestamo[[#This Row],[P.U. (3)]]</f>
        <v>261.084</v>
      </c>
    </row>
    <row r="22" spans="1:26" ht="15" customHeight="1" x14ac:dyDescent="0.3">
      <c r="A22" s="2"/>
      <c r="B22" s="85">
        <v>5</v>
      </c>
      <c r="C22" s="71" t="s">
        <v>11</v>
      </c>
      <c r="D22" s="72" t="s">
        <v>12</v>
      </c>
      <c r="E22" s="73"/>
      <c r="F22" s="74">
        <f>+VLOOKUP(C22,TbPrestamo[],13,FALSE)</f>
        <v>0</v>
      </c>
      <c r="G22" s="2"/>
      <c r="H22" s="75" t="str">
        <f t="shared" si="0"/>
        <v>AM.0500</v>
      </c>
      <c r="I22" s="59" t="str">
        <f t="shared" si="1"/>
        <v>ok</v>
      </c>
      <c r="J22" s="77">
        <f>IFERROR(VLOOKUP($H22,TG[],3,FALSE),"NA")</f>
        <v>0</v>
      </c>
      <c r="K22" s="77">
        <f>IFERROR(VLOOKUP($H22,TF[],3,FALSE),"NA")</f>
        <v>0</v>
      </c>
      <c r="L22" s="77" t="str">
        <f>IFERROR(VLOOKUP($H22,TT[],3,FALSE),"NA")</f>
        <v>NA</v>
      </c>
      <c r="M22" s="77" t="str">
        <f>IFERROR(VLOOKUP($H22,TES[],3,FALSE),"NA")</f>
        <v>NA</v>
      </c>
      <c r="N22" s="77" t="str">
        <f>IFERROR(VLOOKUP($H22,TEC[],3,FALSE),"NA")</f>
        <v>NA</v>
      </c>
      <c r="O22" s="77" t="str">
        <f>IFERROR(VLOOKUP($H22,TP[],3,FALSE),"NA")</f>
        <v>NA</v>
      </c>
      <c r="P22" s="77" t="str">
        <f>IFERROR(VLOOKUP($H22,TEN[],3,FALSE),"NA")</f>
        <v>NA</v>
      </c>
      <c r="Q22" s="77" t="str">
        <f>IFERROR(VLOOKUP($H22,TD[],3,FALSE),"NA")</f>
        <v>NA</v>
      </c>
      <c r="R22" s="77" t="str">
        <f>IFERROR(VLOOKUP($H22,TC[],3,FALSE),"NA")</f>
        <v>NA</v>
      </c>
      <c r="S22" s="77" t="str">
        <f>IFERROR(VLOOKUP($H22,TEV[],3,FALSE),"NA")</f>
        <v>NA</v>
      </c>
      <c r="T22" s="79">
        <f>SUM(TbPrestamo[[#This Row],[GENERAL]:[ELEVADOR]])</f>
        <v>0</v>
      </c>
      <c r="U22" s="80">
        <f>IF(VLOOKUP(TbPrestamo[[#This Row],[ITEM]],TbPiezas[],5,FALSE)="NA",0,VLOOKUP(TbPrestamo[[#This Row],[ITEM]],TbPiezas[],5,FALSE))</f>
        <v>23.899999999999991</v>
      </c>
      <c r="V22" s="81">
        <f>+TbPrestamo[[#This Row],[TOTAL]]*TbPrestamo[[#This Row],[P.U. (1)]]</f>
        <v>0</v>
      </c>
      <c r="W22" s="82">
        <f>+VLOOKUP(TbPrestamo[[#This Row],[ITEM]],TbPiezas[],6,FALSE)</f>
        <v>485.52</v>
      </c>
      <c r="X22" s="83">
        <f>+TbPrestamo[[#This Row],[TOTAL]]*TbPrestamo[[#This Row],[P.U. (2)]]</f>
        <v>0</v>
      </c>
      <c r="Y22" s="82">
        <f>+VLOOKUP(TbPrestamo[[#This Row],[ITEM]],TbPiezas[],7,FALSE)</f>
        <v>24.276</v>
      </c>
      <c r="Z22" s="84">
        <f>+TbPrestamo[[#This Row],[TOTAL]]*TbPrestamo[[#This Row],[P.U. (3)]]</f>
        <v>0</v>
      </c>
    </row>
    <row r="23" spans="1:26" ht="15" customHeight="1" x14ac:dyDescent="0.3">
      <c r="A23" s="2"/>
      <c r="B23" s="85">
        <v>6</v>
      </c>
      <c r="C23" s="71" t="s">
        <v>13</v>
      </c>
      <c r="D23" s="72" t="s">
        <v>14</v>
      </c>
      <c r="E23" s="73"/>
      <c r="F23" s="74">
        <f>+VLOOKUP(C23,TbPrestamo[],13,FALSE)</f>
        <v>0</v>
      </c>
      <c r="G23" s="2"/>
      <c r="H23" s="75" t="str">
        <f t="shared" si="0"/>
        <v>AM.0600</v>
      </c>
      <c r="I23" s="59" t="str">
        <f t="shared" si="1"/>
        <v>ok</v>
      </c>
      <c r="J23" s="77">
        <f>IFERROR(VLOOKUP($H23,TG[],3,FALSE),"NA")</f>
        <v>0</v>
      </c>
      <c r="K23" s="77" t="str">
        <f>IFERROR(VLOOKUP($H23,TF[],3,FALSE),"NA")</f>
        <v>NA</v>
      </c>
      <c r="L23" s="77">
        <f>IFERROR(VLOOKUP($H23,TT[],3,FALSE),"NA")</f>
        <v>0</v>
      </c>
      <c r="M23" s="77">
        <f>IFERROR(VLOOKUP($H23,TES[],3,FALSE),"NA")</f>
        <v>0</v>
      </c>
      <c r="N23" s="77" t="str">
        <f>IFERROR(VLOOKUP($H23,TEC[],3,FALSE),"NA")</f>
        <v>NA</v>
      </c>
      <c r="O23" s="77" t="str">
        <f>IFERROR(VLOOKUP($H23,TP[],3,FALSE),"NA")</f>
        <v>NA</v>
      </c>
      <c r="P23" s="77" t="str">
        <f>IFERROR(VLOOKUP($H23,TEN[],3,FALSE),"NA")</f>
        <v>NA</v>
      </c>
      <c r="Q23" s="77" t="str">
        <f>IFERROR(VLOOKUP($H23,TD[],3,FALSE),"NA")</f>
        <v>NA</v>
      </c>
      <c r="R23" s="77" t="str">
        <f>IFERROR(VLOOKUP($H23,TC[],3,FALSE),"NA")</f>
        <v>NA</v>
      </c>
      <c r="S23" s="77" t="str">
        <f>IFERROR(VLOOKUP($H23,TEV[],3,FALSE),"NA")</f>
        <v>NA</v>
      </c>
      <c r="T23" s="79">
        <f>SUM(TbPrestamo[[#This Row],[GENERAL]:[ELEVADOR]])</f>
        <v>0</v>
      </c>
      <c r="U23" s="80">
        <f>IF(VLOOKUP(TbPrestamo[[#This Row],[ITEM]],TbPiezas[],5,FALSE)="NA",0,VLOOKUP(TbPrestamo[[#This Row],[ITEM]],TbPiezas[],5,FALSE))</f>
        <v>11.700000000000003</v>
      </c>
      <c r="V23" s="81">
        <f>+TbPrestamo[[#This Row],[TOTAL]]*TbPrestamo[[#This Row],[P.U. (1)]]</f>
        <v>0</v>
      </c>
      <c r="W23" s="82">
        <f>+VLOOKUP(TbPrestamo[[#This Row],[ITEM]],TbPiezas[],6,FALSE)</f>
        <v>428.32</v>
      </c>
      <c r="X23" s="83">
        <f>+TbPrestamo[[#This Row],[TOTAL]]*TbPrestamo[[#This Row],[P.U. (2)]]</f>
        <v>0</v>
      </c>
      <c r="Y23" s="82">
        <f>+VLOOKUP(TbPrestamo[[#This Row],[ITEM]],TbPiezas[],7,FALSE)</f>
        <v>21.416</v>
      </c>
      <c r="Z23" s="84">
        <f>+TbPrestamo[[#This Row],[TOTAL]]*TbPrestamo[[#This Row],[P.U. (3)]]</f>
        <v>0</v>
      </c>
    </row>
    <row r="24" spans="1:26" ht="15" customHeight="1" x14ac:dyDescent="0.3">
      <c r="A24" s="2"/>
      <c r="B24" s="85">
        <v>7</v>
      </c>
      <c r="C24" s="71" t="s">
        <v>15</v>
      </c>
      <c r="D24" s="72" t="s">
        <v>16</v>
      </c>
      <c r="E24" s="73"/>
      <c r="F24" s="74">
        <f>+VLOOKUP(C24,TbPrestamo[],13,FALSE)</f>
        <v>8</v>
      </c>
      <c r="G24" s="2"/>
      <c r="H24" s="75" t="str">
        <f t="shared" si="0"/>
        <v>AM.0700</v>
      </c>
      <c r="I24" s="59" t="str">
        <f t="shared" si="1"/>
        <v>ok</v>
      </c>
      <c r="J24" s="77">
        <f>IFERROR(VLOOKUP($H24,TG[],3,FALSE),"NA")</f>
        <v>0</v>
      </c>
      <c r="K24" s="77">
        <f>IFERROR(VLOOKUP($H24,TF[],3,FALSE),"NA")</f>
        <v>0</v>
      </c>
      <c r="L24" s="77">
        <f>IFERROR(VLOOKUP($H24,TT[],3,FALSE),"NA")</f>
        <v>4</v>
      </c>
      <c r="M24" s="77">
        <f>IFERROR(VLOOKUP($H24,TES[],3,FALSE),"NA")</f>
        <v>4</v>
      </c>
      <c r="N24" s="77" t="str">
        <f>IFERROR(VLOOKUP($H24,TEC[],3,FALSE),"NA")</f>
        <v>NA</v>
      </c>
      <c r="O24" s="77" t="str">
        <f>IFERROR(VLOOKUP($H24,TP[],3,FALSE),"NA")</f>
        <v>NA</v>
      </c>
      <c r="P24" s="77" t="str">
        <f>IFERROR(VLOOKUP($H24,TEN[],3,FALSE),"NA")</f>
        <v>NA</v>
      </c>
      <c r="Q24" s="77" t="str">
        <f>IFERROR(VLOOKUP($H24,TD[],3,FALSE),"NA")</f>
        <v>NA</v>
      </c>
      <c r="R24" s="77" t="str">
        <f>IFERROR(VLOOKUP($H24,TC[],3,FALSE),"NA")</f>
        <v>NA</v>
      </c>
      <c r="S24" s="77" t="str">
        <f>IFERROR(VLOOKUP($H24,TEV[],3,FALSE),"NA")</f>
        <v>NA</v>
      </c>
      <c r="T24" s="79">
        <f>SUM(TbPrestamo[[#This Row],[GENERAL]:[ELEVADOR]])</f>
        <v>8</v>
      </c>
      <c r="U24" s="80">
        <f>IF(VLOOKUP(TbPrestamo[[#This Row],[ITEM]],TbPiezas[],5,FALSE)="NA",0,VLOOKUP(TbPrestamo[[#This Row],[ITEM]],TbPiezas[],5,FALSE))</f>
        <v>7</v>
      </c>
      <c r="V24" s="81">
        <f>+TbPrestamo[[#This Row],[TOTAL]]*TbPrestamo[[#This Row],[P.U. (1)]]</f>
        <v>56</v>
      </c>
      <c r="W24" s="82">
        <f>+VLOOKUP(TbPrestamo[[#This Row],[ITEM]],TbPiezas[],6,FALSE)</f>
        <v>261.63</v>
      </c>
      <c r="X24" s="83">
        <f>+TbPrestamo[[#This Row],[TOTAL]]*TbPrestamo[[#This Row],[P.U. (2)]]</f>
        <v>2093.04</v>
      </c>
      <c r="Y24" s="82">
        <f>+VLOOKUP(TbPrestamo[[#This Row],[ITEM]],TbPiezas[],7,FALSE)</f>
        <v>13.0815</v>
      </c>
      <c r="Z24" s="84">
        <f>+TbPrestamo[[#This Row],[TOTAL]]*TbPrestamo[[#This Row],[P.U. (3)]]</f>
        <v>104.652</v>
      </c>
    </row>
    <row r="25" spans="1:26" ht="15" customHeight="1" x14ac:dyDescent="0.3">
      <c r="A25" s="2"/>
      <c r="B25" s="85">
        <v>8</v>
      </c>
      <c r="C25" s="71" t="s">
        <v>17</v>
      </c>
      <c r="D25" s="72" t="s">
        <v>18</v>
      </c>
      <c r="E25" s="73"/>
      <c r="F25" s="74">
        <f>+VLOOKUP(C25,TbPrestamo[],13,FALSE)</f>
        <v>0</v>
      </c>
      <c r="G25" s="2"/>
      <c r="H25" s="75" t="str">
        <f t="shared" si="0"/>
        <v>AM.0900</v>
      </c>
      <c r="I25" s="59" t="str">
        <f t="shared" si="1"/>
        <v>ok</v>
      </c>
      <c r="J25" s="77">
        <f>IFERROR(VLOOKUP($H25,TG[],3,FALSE),"NA")</f>
        <v>0</v>
      </c>
      <c r="K25" s="77">
        <f>IFERROR(VLOOKUP($H25,TF[],3,FALSE),"NA")</f>
        <v>0</v>
      </c>
      <c r="L25" s="77">
        <f>IFERROR(VLOOKUP($H25,TT[],3,FALSE),"NA")</f>
        <v>0</v>
      </c>
      <c r="M25" s="77">
        <f>IFERROR(VLOOKUP($H25,TES[],3,FALSE),"NA")</f>
        <v>0</v>
      </c>
      <c r="N25" s="77" t="str">
        <f>IFERROR(VLOOKUP($H25,TEC[],3,FALSE),"NA")</f>
        <v>NA</v>
      </c>
      <c r="O25" s="77" t="str">
        <f>IFERROR(VLOOKUP($H25,TP[],3,FALSE),"NA")</f>
        <v>NA</v>
      </c>
      <c r="P25" s="77" t="str">
        <f>IFERROR(VLOOKUP($H25,TEN[],3,FALSE),"NA")</f>
        <v>NA</v>
      </c>
      <c r="Q25" s="77" t="str">
        <f>IFERROR(VLOOKUP($H25,TD[],3,FALSE),"NA")</f>
        <v>NA</v>
      </c>
      <c r="R25" s="77" t="str">
        <f>IFERROR(VLOOKUP($H25,TC[],3,FALSE),"NA")</f>
        <v>NA</v>
      </c>
      <c r="S25" s="77" t="str">
        <f>IFERROR(VLOOKUP($H25,TEV[],3,FALSE),"NA")</f>
        <v>NA</v>
      </c>
      <c r="T25" s="79">
        <f>SUM(TbPrestamo[[#This Row],[GENERAL]:[ELEVADOR]])</f>
        <v>0</v>
      </c>
      <c r="U25" s="80">
        <f>IF(VLOOKUP(TbPrestamo[[#This Row],[ITEM]],TbPiezas[],5,FALSE)="NA",0,VLOOKUP(TbPrestamo[[#This Row],[ITEM]],TbPiezas[],5,FALSE))</f>
        <v>5.9</v>
      </c>
      <c r="V25" s="81">
        <f>+TbPrestamo[[#This Row],[TOTAL]]*TbPrestamo[[#This Row],[P.U. (1)]]</f>
        <v>0</v>
      </c>
      <c r="W25" s="82">
        <f>+VLOOKUP(TbPrestamo[[#This Row],[ITEM]],TbPiezas[],6,FALSE)</f>
        <v>212.52</v>
      </c>
      <c r="X25" s="83">
        <f>+TbPrestamo[[#This Row],[TOTAL]]*TbPrestamo[[#This Row],[P.U. (2)]]</f>
        <v>0</v>
      </c>
      <c r="Y25" s="82">
        <f>+VLOOKUP(TbPrestamo[[#This Row],[ITEM]],TbPiezas[],7,FALSE)</f>
        <v>10.626000000000001</v>
      </c>
      <c r="Z25" s="84">
        <f>+TbPrestamo[[#This Row],[TOTAL]]*TbPrestamo[[#This Row],[P.U. (3)]]</f>
        <v>0</v>
      </c>
    </row>
    <row r="26" spans="1:26" ht="15" customHeight="1" x14ac:dyDescent="0.3">
      <c r="A26" s="2"/>
      <c r="B26" s="85">
        <v>9</v>
      </c>
      <c r="C26" s="71" t="s">
        <v>19</v>
      </c>
      <c r="D26" s="72" t="s">
        <v>20</v>
      </c>
      <c r="E26" s="73"/>
      <c r="F26" s="74">
        <f>+VLOOKUP(C26,TbPrestamo[],13,FALSE)</f>
        <v>9</v>
      </c>
      <c r="G26" s="2"/>
      <c r="H26" s="75" t="str">
        <f t="shared" si="0"/>
        <v>AM.1000</v>
      </c>
      <c r="I26" s="59" t="str">
        <f t="shared" si="1"/>
        <v>ok</v>
      </c>
      <c r="J26" s="77">
        <f>IFERROR(VLOOKUP($H26,TG[],3,FALSE),"NA")</f>
        <v>0</v>
      </c>
      <c r="K26" s="77">
        <f>IFERROR(VLOOKUP($H26,TF[],3,FALSE),"NA")</f>
        <v>0</v>
      </c>
      <c r="L26" s="77">
        <f>IFERROR(VLOOKUP($H26,TT[],3,FALSE),"NA")</f>
        <v>4</v>
      </c>
      <c r="M26" s="77">
        <f>IFERROR(VLOOKUP($H26,TES[],3,FALSE),"NA")</f>
        <v>5</v>
      </c>
      <c r="N26" s="77" t="str">
        <f>IFERROR(VLOOKUP($H26,TEC[],3,FALSE),"NA")</f>
        <v>NA</v>
      </c>
      <c r="O26" s="77" t="str">
        <f>IFERROR(VLOOKUP($H26,TP[],3,FALSE),"NA")</f>
        <v>NA</v>
      </c>
      <c r="P26" s="77" t="str">
        <f>IFERROR(VLOOKUP($H26,TEN[],3,FALSE),"NA")</f>
        <v>NA</v>
      </c>
      <c r="Q26" s="77" t="str">
        <f>IFERROR(VLOOKUP($H26,TD[],3,FALSE),"NA")</f>
        <v>NA</v>
      </c>
      <c r="R26" s="77" t="str">
        <f>IFERROR(VLOOKUP($H26,TC[],3,FALSE),"NA")</f>
        <v>NA</v>
      </c>
      <c r="S26" s="77" t="str">
        <f>IFERROR(VLOOKUP($H26,TEV[],3,FALSE),"NA")</f>
        <v>NA</v>
      </c>
      <c r="T26" s="79">
        <f>SUM(TbPrestamo[[#This Row],[GENERAL]:[ELEVADOR]])</f>
        <v>9</v>
      </c>
      <c r="U26" s="80">
        <f>IF(VLOOKUP(TbPrestamo[[#This Row],[ITEM]],TbPiezas[],5,FALSE)="NA",0,VLOOKUP(TbPrestamo[[#This Row],[ITEM]],TbPiezas[],5,FALSE))</f>
        <v>2.9</v>
      </c>
      <c r="V26" s="81">
        <f>+TbPrestamo[[#This Row],[TOTAL]]*TbPrestamo[[#This Row],[P.U. (1)]]</f>
        <v>26.099999999999998</v>
      </c>
      <c r="W26" s="82">
        <f>+VLOOKUP(TbPrestamo[[#This Row],[ITEM]],TbPiezas[],6,FALSE)</f>
        <v>143.16999999999999</v>
      </c>
      <c r="X26" s="83">
        <f>+TbPrestamo[[#This Row],[TOTAL]]*TbPrestamo[[#This Row],[P.U. (2)]]</f>
        <v>1288.53</v>
      </c>
      <c r="Y26" s="82">
        <f>+VLOOKUP(TbPrestamo[[#This Row],[ITEM]],TbPiezas[],7,FALSE)</f>
        <v>7.1585000000000001</v>
      </c>
      <c r="Z26" s="84">
        <f>+TbPrestamo[[#This Row],[TOTAL]]*TbPrestamo[[#This Row],[P.U. (3)]]</f>
        <v>64.426500000000004</v>
      </c>
    </row>
    <row r="27" spans="1:26" ht="15" customHeight="1" x14ac:dyDescent="0.3">
      <c r="A27" s="2"/>
      <c r="B27" s="85">
        <v>10</v>
      </c>
      <c r="C27" s="71" t="s">
        <v>21</v>
      </c>
      <c r="D27" s="72" t="s">
        <v>22</v>
      </c>
      <c r="E27" s="73"/>
      <c r="F27" s="74">
        <f>+VLOOKUP(C27,TbPrestamo[],13,FALSE)</f>
        <v>0</v>
      </c>
      <c r="G27" s="2"/>
      <c r="H27" s="75" t="str">
        <f t="shared" si="0"/>
        <v>AM.1100</v>
      </c>
      <c r="I27" s="59" t="str">
        <f t="shared" si="1"/>
        <v>ok</v>
      </c>
      <c r="J27" s="77">
        <f>IFERROR(VLOOKUP($H27,TG[],3,FALSE),"NA")</f>
        <v>0</v>
      </c>
      <c r="K27" s="77">
        <f>IFERROR(VLOOKUP($H27,TF[],3,FALSE),"NA")</f>
        <v>0</v>
      </c>
      <c r="L27" s="77">
        <f>IFERROR(VLOOKUP($H27,TT[],3,FALSE),"NA")</f>
        <v>0</v>
      </c>
      <c r="M27" s="77">
        <f>IFERROR(VLOOKUP($H27,TES[],3,FALSE),"NA")</f>
        <v>0</v>
      </c>
      <c r="N27" s="77" t="str">
        <f>IFERROR(VLOOKUP($H27,TEC[],3,FALSE),"NA")</f>
        <v>NA</v>
      </c>
      <c r="O27" s="77" t="str">
        <f>IFERROR(VLOOKUP($H27,TP[],3,FALSE),"NA")</f>
        <v>NA</v>
      </c>
      <c r="P27" s="77" t="str">
        <f>IFERROR(VLOOKUP($H27,TEN[],3,FALSE),"NA")</f>
        <v>NA</v>
      </c>
      <c r="Q27" s="77" t="str">
        <f>IFERROR(VLOOKUP($H27,TD[],3,FALSE),"NA")</f>
        <v>NA</v>
      </c>
      <c r="R27" s="77" t="str">
        <f>IFERROR(VLOOKUP($H27,TC[],3,FALSE),"NA")</f>
        <v>NA</v>
      </c>
      <c r="S27" s="77" t="str">
        <f>IFERROR(VLOOKUP($H27,TEV[],3,FALSE),"NA")</f>
        <v>NA</v>
      </c>
      <c r="T27" s="79">
        <f>SUM(TbPrestamo[[#This Row],[GENERAL]:[ELEVADOR]])</f>
        <v>0</v>
      </c>
      <c r="U27" s="80">
        <f>IF(VLOOKUP(TbPrestamo[[#This Row],[ITEM]],TbPiezas[],5,FALSE)="NA",0,VLOOKUP(TbPrestamo[[#This Row],[ITEM]],TbPiezas[],5,FALSE))</f>
        <v>1.5</v>
      </c>
      <c r="V27" s="81">
        <f>+TbPrestamo[[#This Row],[TOTAL]]*TbPrestamo[[#This Row],[P.U. (1)]]</f>
        <v>0</v>
      </c>
      <c r="W27" s="82">
        <f>+VLOOKUP(TbPrestamo[[#This Row],[ITEM]],TbPiezas[],6,FALSE)</f>
        <v>75.16</v>
      </c>
      <c r="X27" s="83">
        <f>+TbPrestamo[[#This Row],[TOTAL]]*TbPrestamo[[#This Row],[P.U. (2)]]</f>
        <v>0</v>
      </c>
      <c r="Y27" s="82">
        <f>+VLOOKUP(TbPrestamo[[#This Row],[ITEM]],TbPiezas[],7,FALSE)</f>
        <v>3.758</v>
      </c>
      <c r="Z27" s="84">
        <f>+TbPrestamo[[#This Row],[TOTAL]]*TbPrestamo[[#This Row],[P.U. (3)]]</f>
        <v>0</v>
      </c>
    </row>
    <row r="28" spans="1:26" ht="15" customHeight="1" x14ac:dyDescent="0.3">
      <c r="A28" s="2"/>
      <c r="B28" s="85">
        <v>11</v>
      </c>
      <c r="C28" s="71" t="s">
        <v>23</v>
      </c>
      <c r="D28" s="72" t="s">
        <v>24</v>
      </c>
      <c r="E28" s="73"/>
      <c r="F28" s="74">
        <f>+VLOOKUP(C28,TbPrestamo[],13,FALSE)</f>
        <v>19</v>
      </c>
      <c r="G28" s="2"/>
      <c r="H28" s="75" t="str">
        <f t="shared" si="0"/>
        <v>AM.1150</v>
      </c>
      <c r="I28" s="59" t="str">
        <f t="shared" si="1"/>
        <v>ok</v>
      </c>
      <c r="J28" s="77">
        <f>IFERROR(VLOOKUP($H28,TG[],3,FALSE),"NA")</f>
        <v>0</v>
      </c>
      <c r="K28" s="77">
        <f>IFERROR(VLOOKUP($H28,TF[],3,FALSE),"NA")</f>
        <v>0</v>
      </c>
      <c r="L28" s="77">
        <f>IFERROR(VLOOKUP($H28,TT[],3,FALSE),"NA")</f>
        <v>8</v>
      </c>
      <c r="M28" s="77">
        <f>IFERROR(VLOOKUP($H28,TES[],3,FALSE),"NA")</f>
        <v>11</v>
      </c>
      <c r="N28" s="77" t="str">
        <f>IFERROR(VLOOKUP($H28,TEC[],3,FALSE),"NA")</f>
        <v>NA</v>
      </c>
      <c r="O28" s="77" t="str">
        <f>IFERROR(VLOOKUP($H28,TP[],3,FALSE),"NA")</f>
        <v>NA</v>
      </c>
      <c r="P28" s="77" t="str">
        <f>IFERROR(VLOOKUP($H28,TEN[],3,FALSE),"NA")</f>
        <v>NA</v>
      </c>
      <c r="Q28" s="77" t="str">
        <f>IFERROR(VLOOKUP($H28,TD[],3,FALSE),"NA")</f>
        <v>NA</v>
      </c>
      <c r="R28" s="77" t="str">
        <f>IFERROR(VLOOKUP($H28,TC[],3,FALSE),"NA")</f>
        <v>NA</v>
      </c>
      <c r="S28" s="77" t="str">
        <f>IFERROR(VLOOKUP($H28,TEV[],3,FALSE),"NA")</f>
        <v>NA</v>
      </c>
      <c r="T28" s="79">
        <f>SUM(TbPrestamo[[#This Row],[GENERAL]:[ELEVADOR]])</f>
        <v>19</v>
      </c>
      <c r="U28" s="80">
        <f>IF(VLOOKUP(TbPrestamo[[#This Row],[ITEM]],TbPiezas[],5,FALSE)="NA",0,VLOOKUP(TbPrestamo[[#This Row],[ITEM]],TbPiezas[],5,FALSE))</f>
        <v>0.8</v>
      </c>
      <c r="V28" s="81">
        <f>+TbPrestamo[[#This Row],[TOTAL]]*TbPrestamo[[#This Row],[P.U. (1)]]</f>
        <v>15.200000000000001</v>
      </c>
      <c r="W28" s="82">
        <f>+VLOOKUP(TbPrestamo[[#This Row],[ITEM]],TbPiezas[],6,FALSE)</f>
        <v>76.23</v>
      </c>
      <c r="X28" s="83">
        <f>+TbPrestamo[[#This Row],[TOTAL]]*TbPrestamo[[#This Row],[P.U. (2)]]</f>
        <v>1448.3700000000001</v>
      </c>
      <c r="Y28" s="82">
        <f>+VLOOKUP(TbPrestamo[[#This Row],[ITEM]],TbPiezas[],7,FALSE)</f>
        <v>3.8115000000000006</v>
      </c>
      <c r="Z28" s="84">
        <f>+TbPrestamo[[#This Row],[TOTAL]]*TbPrestamo[[#This Row],[P.U. (3)]]</f>
        <v>72.418500000000009</v>
      </c>
    </row>
    <row r="29" spans="1:26" ht="15" customHeight="1" x14ac:dyDescent="0.3">
      <c r="A29" s="2"/>
      <c r="B29" s="85">
        <v>12</v>
      </c>
      <c r="C29" s="71" t="s">
        <v>25</v>
      </c>
      <c r="D29" s="72" t="s">
        <v>26</v>
      </c>
      <c r="E29" s="73"/>
      <c r="F29" s="74">
        <f>+VLOOKUP(C29,TbPrestamo[],13,FALSE)</f>
        <v>0</v>
      </c>
      <c r="G29" s="2"/>
      <c r="H29" s="75" t="str">
        <f t="shared" si="0"/>
        <v>AM.1200</v>
      </c>
      <c r="I29" s="59" t="str">
        <f t="shared" si="1"/>
        <v>ok</v>
      </c>
      <c r="J29" s="77">
        <f>IFERROR(VLOOKUP($H29,TG[],3,FALSE),"NA")</f>
        <v>0</v>
      </c>
      <c r="K29" s="77" t="str">
        <f>IFERROR(VLOOKUP($H29,TF[],3,FALSE),"NA")</f>
        <v>NA</v>
      </c>
      <c r="L29" s="77" t="str">
        <f>IFERROR(VLOOKUP($H29,TT[],3,FALSE),"NA")</f>
        <v>NA</v>
      </c>
      <c r="M29" s="77" t="str">
        <f>IFERROR(VLOOKUP($H29,TES[],3,FALSE),"NA")</f>
        <v>NA</v>
      </c>
      <c r="N29" s="77" t="str">
        <f>IFERROR(VLOOKUP($H29,TEC[],3,FALSE),"NA")</f>
        <v>NA</v>
      </c>
      <c r="O29" s="77" t="str">
        <f>IFERROR(VLOOKUP($H29,TP[],3,FALSE),"NA")</f>
        <v>NA</v>
      </c>
      <c r="P29" s="77" t="str">
        <f>IFERROR(VLOOKUP($H29,TEN[],3,FALSE),"NA")</f>
        <v>NA</v>
      </c>
      <c r="Q29" s="77" t="str">
        <f>IFERROR(VLOOKUP($H29,TD[],3,FALSE),"NA")</f>
        <v>NA</v>
      </c>
      <c r="R29" s="77" t="str">
        <f>IFERROR(VLOOKUP($H29,TC[],3,FALSE),"NA")</f>
        <v>NA</v>
      </c>
      <c r="S29" s="77" t="str">
        <f>IFERROR(VLOOKUP($H29,TEV[],3,FALSE),"NA")</f>
        <v>NA</v>
      </c>
      <c r="T29" s="79">
        <f>SUM(TbPrestamo[[#This Row],[GENERAL]:[ELEVADOR]])</f>
        <v>0</v>
      </c>
      <c r="U29" s="80">
        <f>IF(VLOOKUP(TbPrestamo[[#This Row],[ITEM]],TbPiezas[],5,FALSE)="NA",0,VLOOKUP(TbPrestamo[[#This Row],[ITEM]],TbPiezas[],5,FALSE))</f>
        <v>5.5</v>
      </c>
      <c r="V29" s="81">
        <f>+TbPrestamo[[#This Row],[TOTAL]]*TbPrestamo[[#This Row],[P.U. (1)]]</f>
        <v>0</v>
      </c>
      <c r="W29" s="82">
        <f>+VLOOKUP(TbPrestamo[[#This Row],[ITEM]],TbPiezas[],6,FALSE)</f>
        <v>133.75</v>
      </c>
      <c r="X29" s="83">
        <f>+TbPrestamo[[#This Row],[TOTAL]]*TbPrestamo[[#This Row],[P.U. (2)]]</f>
        <v>0</v>
      </c>
      <c r="Y29" s="82">
        <f>+VLOOKUP(TbPrestamo[[#This Row],[ITEM]],TbPiezas[],7,FALSE)</f>
        <v>6.6875</v>
      </c>
      <c r="Z29" s="84">
        <f>+TbPrestamo[[#This Row],[TOTAL]]*TbPrestamo[[#This Row],[P.U. (3)]]</f>
        <v>0</v>
      </c>
    </row>
    <row r="30" spans="1:26" ht="15" customHeight="1" x14ac:dyDescent="0.3">
      <c r="A30" s="2"/>
      <c r="B30" s="85">
        <v>13</v>
      </c>
      <c r="C30" s="71" t="s">
        <v>27</v>
      </c>
      <c r="D30" s="72" t="s">
        <v>28</v>
      </c>
      <c r="E30" s="73"/>
      <c r="F30" s="74">
        <f>+VLOOKUP(C30,TbPrestamo[],13,FALSE)</f>
        <v>10</v>
      </c>
      <c r="G30" s="2"/>
      <c r="H30" s="75" t="str">
        <f t="shared" si="0"/>
        <v>AM.1300</v>
      </c>
      <c r="I30" s="59" t="str">
        <f t="shared" si="1"/>
        <v>ok</v>
      </c>
      <c r="J30" s="77">
        <f>IFERROR(VLOOKUP($H30,TG[],3,FALSE),"NA")</f>
        <v>0</v>
      </c>
      <c r="K30" s="77">
        <f>IFERROR(VLOOKUP($H30,TF[],3,FALSE),"NA")</f>
        <v>0</v>
      </c>
      <c r="L30" s="77">
        <f>IFERROR(VLOOKUP($H30,TT[],3,FALSE),"NA")</f>
        <v>0</v>
      </c>
      <c r="M30" s="77">
        <f>IFERROR(VLOOKUP($H30,TES[],3,FALSE),"NA")</f>
        <v>10</v>
      </c>
      <c r="N30" s="77" t="str">
        <f>IFERROR(VLOOKUP($H30,TEC[],3,FALSE),"NA")</f>
        <v>NA</v>
      </c>
      <c r="O30" s="77" t="str">
        <f>IFERROR(VLOOKUP($H30,TP[],3,FALSE),"NA")</f>
        <v>NA</v>
      </c>
      <c r="P30" s="77" t="str">
        <f>IFERROR(VLOOKUP($H30,TEN[],3,FALSE),"NA")</f>
        <v>NA</v>
      </c>
      <c r="Q30" s="77" t="str">
        <f>IFERROR(VLOOKUP($H30,TD[],3,FALSE),"NA")</f>
        <v>NA</v>
      </c>
      <c r="R30" s="77" t="str">
        <f>IFERROR(VLOOKUP($H30,TC[],3,FALSE),"NA")</f>
        <v>NA</v>
      </c>
      <c r="S30" s="77" t="str">
        <f>IFERROR(VLOOKUP($H30,TEV[],3,FALSE),"NA")</f>
        <v>NA</v>
      </c>
      <c r="T30" s="79">
        <f>SUM(TbPrestamo[[#This Row],[GENERAL]:[ELEVADOR]])</f>
        <v>10</v>
      </c>
      <c r="U30" s="80">
        <f>IF(VLOOKUP(TbPrestamo[[#This Row],[ITEM]],TbPiezas[],5,FALSE)="NA",0,VLOOKUP(TbPrestamo[[#This Row],[ITEM]],TbPiezas[],5,FALSE))</f>
        <v>11.200000000000003</v>
      </c>
      <c r="V30" s="81">
        <f>+TbPrestamo[[#This Row],[TOTAL]]*TbPrestamo[[#This Row],[P.U. (1)]]</f>
        <v>112.00000000000003</v>
      </c>
      <c r="W30" s="82">
        <f>+VLOOKUP(TbPrestamo[[#This Row],[ITEM]],TbPiezas[],6,FALSE)</f>
        <v>238.1</v>
      </c>
      <c r="X30" s="83">
        <f>+TbPrestamo[[#This Row],[TOTAL]]*TbPrestamo[[#This Row],[P.U. (2)]]</f>
        <v>2381</v>
      </c>
      <c r="Y30" s="82">
        <f>+VLOOKUP(TbPrestamo[[#This Row],[ITEM]],TbPiezas[],7,FALSE)</f>
        <v>11.905000000000001</v>
      </c>
      <c r="Z30" s="84">
        <f>+TbPrestamo[[#This Row],[TOTAL]]*TbPrestamo[[#This Row],[P.U. (3)]]</f>
        <v>119.05000000000001</v>
      </c>
    </row>
    <row r="31" spans="1:26" ht="15" customHeight="1" x14ac:dyDescent="0.3">
      <c r="A31" s="2"/>
      <c r="B31" s="85">
        <v>14</v>
      </c>
      <c r="C31" s="71" t="s">
        <v>29</v>
      </c>
      <c r="D31" s="72" t="s">
        <v>30</v>
      </c>
      <c r="E31" s="73"/>
      <c r="F31" s="74">
        <f>+VLOOKUP(C31,TbPrestamo[],13,FALSE)</f>
        <v>16</v>
      </c>
      <c r="G31" s="2"/>
      <c r="H31" s="75" t="str">
        <f t="shared" si="0"/>
        <v>AM.1400</v>
      </c>
      <c r="I31" s="59" t="str">
        <f t="shared" si="1"/>
        <v>ok</v>
      </c>
      <c r="J31" s="77">
        <f>IFERROR(VLOOKUP($H31,TG[],3,FALSE),"NA")</f>
        <v>0</v>
      </c>
      <c r="K31" s="77">
        <f>IFERROR(VLOOKUP($H31,TF[],3,FALSE),"NA")</f>
        <v>0</v>
      </c>
      <c r="L31" s="77">
        <f>IFERROR(VLOOKUP($H31,TT[],3,FALSE),"NA")</f>
        <v>16</v>
      </c>
      <c r="M31" s="77">
        <f>IFERROR(VLOOKUP($H31,TES[],3,FALSE),"NA")</f>
        <v>0</v>
      </c>
      <c r="N31" s="77" t="str">
        <f>IFERROR(VLOOKUP($H31,TEC[],3,FALSE),"NA")</f>
        <v>NA</v>
      </c>
      <c r="O31" s="77" t="str">
        <f>IFERROR(VLOOKUP($H31,TP[],3,FALSE),"NA")</f>
        <v>NA</v>
      </c>
      <c r="P31" s="77" t="str">
        <f>IFERROR(VLOOKUP($H31,TEN[],3,FALSE),"NA")</f>
        <v>NA</v>
      </c>
      <c r="Q31" s="77" t="str">
        <f>IFERROR(VLOOKUP($H31,TD[],3,FALSE),"NA")</f>
        <v>NA</v>
      </c>
      <c r="R31" s="77" t="str">
        <f>IFERROR(VLOOKUP($H31,TC[],3,FALSE),"NA")</f>
        <v>NA</v>
      </c>
      <c r="S31" s="77" t="str">
        <f>IFERROR(VLOOKUP($H31,TEV[],3,FALSE),"NA")</f>
        <v>NA</v>
      </c>
      <c r="T31" s="79">
        <f>SUM(TbPrestamo[[#This Row],[GENERAL]:[ELEVADOR]])</f>
        <v>16</v>
      </c>
      <c r="U31" s="80">
        <f>IF(VLOOKUP(TbPrestamo[[#This Row],[ITEM]],TbPiezas[],5,FALSE)="NA",0,VLOOKUP(TbPrestamo[[#This Row],[ITEM]],TbPiezas[],5,FALSE))</f>
        <v>10</v>
      </c>
      <c r="V31" s="81">
        <f>+TbPrestamo[[#This Row],[TOTAL]]*TbPrestamo[[#This Row],[P.U. (1)]]</f>
        <v>160</v>
      </c>
      <c r="W31" s="82">
        <f>+VLOOKUP(TbPrestamo[[#This Row],[ITEM]],TbPiezas[],6,FALSE)</f>
        <v>226.89</v>
      </c>
      <c r="X31" s="83">
        <f>+TbPrestamo[[#This Row],[TOTAL]]*TbPrestamo[[#This Row],[P.U. (2)]]</f>
        <v>3630.24</v>
      </c>
      <c r="Y31" s="82">
        <f>+VLOOKUP(TbPrestamo[[#This Row],[ITEM]],TbPiezas[],7,FALSE)</f>
        <v>11.3445</v>
      </c>
      <c r="Z31" s="84">
        <f>+TbPrestamo[[#This Row],[TOTAL]]*TbPrestamo[[#This Row],[P.U. (3)]]</f>
        <v>181.512</v>
      </c>
    </row>
    <row r="32" spans="1:26" ht="15" customHeight="1" x14ac:dyDescent="0.3">
      <c r="A32" s="2"/>
      <c r="B32" s="85">
        <v>15</v>
      </c>
      <c r="C32" s="71" t="s">
        <v>31</v>
      </c>
      <c r="D32" s="72" t="s">
        <v>32</v>
      </c>
      <c r="E32" s="73"/>
      <c r="F32" s="74">
        <f>+VLOOKUP(C32,TbPrestamo[],13,FALSE)</f>
        <v>0</v>
      </c>
      <c r="G32" s="2"/>
      <c r="H32" s="75" t="str">
        <f t="shared" si="0"/>
        <v>AM.1500</v>
      </c>
      <c r="I32" s="59" t="str">
        <f t="shared" si="1"/>
        <v>ok</v>
      </c>
      <c r="J32" s="77">
        <f>IFERROR(VLOOKUP($H32,TG[],3,FALSE),"NA")</f>
        <v>0</v>
      </c>
      <c r="K32" s="77">
        <f>IFERROR(VLOOKUP($H32,TF[],3,FALSE),"NA")</f>
        <v>0</v>
      </c>
      <c r="L32" s="77">
        <f>IFERROR(VLOOKUP($H32,TT[],3,FALSE),"NA")</f>
        <v>0</v>
      </c>
      <c r="M32" s="77">
        <f>IFERROR(VLOOKUP($H32,TES[],3,FALSE),"NA")</f>
        <v>0</v>
      </c>
      <c r="N32" s="77" t="str">
        <f>IFERROR(VLOOKUP($H32,TEC[],3,FALSE),"NA")</f>
        <v>NA</v>
      </c>
      <c r="O32" s="77" t="str">
        <f>IFERROR(VLOOKUP($H32,TP[],3,FALSE),"NA")</f>
        <v>NA</v>
      </c>
      <c r="P32" s="77" t="str">
        <f>IFERROR(VLOOKUP($H32,TEN[],3,FALSE),"NA")</f>
        <v>NA</v>
      </c>
      <c r="Q32" s="77" t="str">
        <f>IFERROR(VLOOKUP($H32,TD[],3,FALSE),"NA")</f>
        <v>NA</v>
      </c>
      <c r="R32" s="77" t="str">
        <f>IFERROR(VLOOKUP($H32,TC[],3,FALSE),"NA")</f>
        <v>NA</v>
      </c>
      <c r="S32" s="77" t="str">
        <f>IFERROR(VLOOKUP($H32,TEV[],3,FALSE),"NA")</f>
        <v>NA</v>
      </c>
      <c r="T32" s="79">
        <f>SUM(TbPrestamo[[#This Row],[GENERAL]:[ELEVADOR]])</f>
        <v>0</v>
      </c>
      <c r="U32" s="80">
        <f>IF(VLOOKUP(TbPrestamo[[#This Row],[ITEM]],TbPiezas[],5,FALSE)="NA",0,VLOOKUP(TbPrestamo[[#This Row],[ITEM]],TbPiezas[],5,FALSE))</f>
        <v>6.2000000000000028</v>
      </c>
      <c r="V32" s="81">
        <f>+TbPrestamo[[#This Row],[TOTAL]]*TbPrestamo[[#This Row],[P.U. (1)]]</f>
        <v>0</v>
      </c>
      <c r="W32" s="82">
        <f>+VLOOKUP(TbPrestamo[[#This Row],[ITEM]],TbPiezas[],6,FALSE)</f>
        <v>225.13</v>
      </c>
      <c r="X32" s="83">
        <f>+TbPrestamo[[#This Row],[TOTAL]]*TbPrestamo[[#This Row],[P.U. (2)]]</f>
        <v>0</v>
      </c>
      <c r="Y32" s="82">
        <f>+VLOOKUP(TbPrestamo[[#This Row],[ITEM]],TbPiezas[],7,FALSE)</f>
        <v>11.256500000000001</v>
      </c>
      <c r="Z32" s="84">
        <f>+TbPrestamo[[#This Row],[TOTAL]]*TbPrestamo[[#This Row],[P.U. (3)]]</f>
        <v>0</v>
      </c>
    </row>
    <row r="33" spans="1:26" ht="15" customHeight="1" x14ac:dyDescent="0.3">
      <c r="A33" s="2"/>
      <c r="B33" s="85">
        <v>16</v>
      </c>
      <c r="C33" s="71" t="s">
        <v>33</v>
      </c>
      <c r="D33" s="72" t="s">
        <v>34</v>
      </c>
      <c r="E33" s="73"/>
      <c r="F33" s="74">
        <f>+VLOOKUP(C33,TbPrestamo[],13,FALSE)</f>
        <v>4</v>
      </c>
      <c r="G33" s="2"/>
      <c r="H33" s="75" t="str">
        <f t="shared" si="0"/>
        <v>AM.1600</v>
      </c>
      <c r="I33" s="59" t="str">
        <f t="shared" si="1"/>
        <v>ok</v>
      </c>
      <c r="J33" s="77">
        <f>IFERROR(VLOOKUP($H33,TG[],3,FALSE),"NA")</f>
        <v>0</v>
      </c>
      <c r="K33" s="77">
        <f>IFERROR(VLOOKUP($H33,TF[],3,FALSE),"NA")</f>
        <v>0</v>
      </c>
      <c r="L33" s="77">
        <f>IFERROR(VLOOKUP($H33,TT[],3,FALSE),"NA")</f>
        <v>0</v>
      </c>
      <c r="M33" s="77">
        <f>IFERROR(VLOOKUP($H33,TES[],3,FALSE),"NA")</f>
        <v>4</v>
      </c>
      <c r="N33" s="77" t="str">
        <f>IFERROR(VLOOKUP($H33,TEC[],3,FALSE),"NA")</f>
        <v>NA</v>
      </c>
      <c r="O33" s="77" t="str">
        <f>IFERROR(VLOOKUP($H33,TP[],3,FALSE),"NA")</f>
        <v>NA</v>
      </c>
      <c r="P33" s="77" t="str">
        <f>IFERROR(VLOOKUP($H33,TEN[],3,FALSE),"NA")</f>
        <v>NA</v>
      </c>
      <c r="Q33" s="77" t="str">
        <f>IFERROR(VLOOKUP($H33,TD[],3,FALSE),"NA")</f>
        <v>NA</v>
      </c>
      <c r="R33" s="77" t="str">
        <f>IFERROR(VLOOKUP($H33,TC[],3,FALSE),"NA")</f>
        <v>NA</v>
      </c>
      <c r="S33" s="77" t="str">
        <f>IFERROR(VLOOKUP($H33,TEV[],3,FALSE),"NA")</f>
        <v>NA</v>
      </c>
      <c r="T33" s="79">
        <f>SUM(TbPrestamo[[#This Row],[GENERAL]:[ELEVADOR]])</f>
        <v>4</v>
      </c>
      <c r="U33" s="80">
        <f>IF(VLOOKUP(TbPrestamo[[#This Row],[ITEM]],TbPiezas[],5,FALSE)="NA",0,VLOOKUP(TbPrestamo[[#This Row],[ITEM]],TbPiezas[],5,FALSE))</f>
        <v>4.0999999999999943</v>
      </c>
      <c r="V33" s="81">
        <f>+TbPrestamo[[#This Row],[TOTAL]]*TbPrestamo[[#This Row],[P.U. (1)]]</f>
        <v>16.399999999999977</v>
      </c>
      <c r="W33" s="82">
        <f>+VLOOKUP(TbPrestamo[[#This Row],[ITEM]],TbPiezas[],6,FALSE)</f>
        <v>204.03</v>
      </c>
      <c r="X33" s="83">
        <f>+TbPrestamo[[#This Row],[TOTAL]]*TbPrestamo[[#This Row],[P.U. (2)]]</f>
        <v>816.12</v>
      </c>
      <c r="Y33" s="82">
        <f>+VLOOKUP(TbPrestamo[[#This Row],[ITEM]],TbPiezas[],7,FALSE)</f>
        <v>10.201500000000001</v>
      </c>
      <c r="Z33" s="84">
        <f>+TbPrestamo[[#This Row],[TOTAL]]*TbPrestamo[[#This Row],[P.U. (3)]]</f>
        <v>40.806000000000004</v>
      </c>
    </row>
    <row r="34" spans="1:26" ht="15" customHeight="1" x14ac:dyDescent="0.3">
      <c r="A34" s="2"/>
      <c r="B34" s="85">
        <v>17</v>
      </c>
      <c r="C34" s="71" t="s">
        <v>35</v>
      </c>
      <c r="D34" s="72" t="s">
        <v>36</v>
      </c>
      <c r="E34" s="73"/>
      <c r="F34" s="74">
        <f>+VLOOKUP(C34,TbPrestamo[],13,FALSE)</f>
        <v>0</v>
      </c>
      <c r="G34" s="2"/>
      <c r="H34" s="75" t="str">
        <f t="shared" si="0"/>
        <v>AM.1700</v>
      </c>
      <c r="I34" s="59" t="str">
        <f t="shared" si="1"/>
        <v>ok</v>
      </c>
      <c r="J34" s="77">
        <f>IFERROR(VLOOKUP($H34,TG[],3,FALSE),"NA")</f>
        <v>0</v>
      </c>
      <c r="K34" s="77" t="str">
        <f>IFERROR(VLOOKUP($H34,TF[],3,FALSE),"NA")</f>
        <v>NA</v>
      </c>
      <c r="L34" s="77" t="str">
        <f>IFERROR(VLOOKUP($H34,TT[],3,FALSE),"NA")</f>
        <v>NA</v>
      </c>
      <c r="M34" s="77" t="str">
        <f>IFERROR(VLOOKUP($H34,TES[],3,FALSE),"NA")</f>
        <v>NA</v>
      </c>
      <c r="N34" s="77" t="str">
        <f>IFERROR(VLOOKUP($H34,TEC[],3,FALSE),"NA")</f>
        <v>NA</v>
      </c>
      <c r="O34" s="77" t="str">
        <f>IFERROR(VLOOKUP($H34,TP[],3,FALSE),"NA")</f>
        <v>NA</v>
      </c>
      <c r="P34" s="77" t="str">
        <f>IFERROR(VLOOKUP($H34,TEN[],3,FALSE),"NA")</f>
        <v>NA</v>
      </c>
      <c r="Q34" s="77" t="str">
        <f>IFERROR(VLOOKUP($H34,TD[],3,FALSE),"NA")</f>
        <v>NA</v>
      </c>
      <c r="R34" s="77" t="str">
        <f>IFERROR(VLOOKUP($H34,TC[],3,FALSE),"NA")</f>
        <v>NA</v>
      </c>
      <c r="S34" s="77" t="str">
        <f>IFERROR(VLOOKUP($H34,TEV[],3,FALSE),"NA")</f>
        <v>NA</v>
      </c>
      <c r="T34" s="79">
        <f>SUM(TbPrestamo[[#This Row],[GENERAL]:[ELEVADOR]])</f>
        <v>0</v>
      </c>
      <c r="U34" s="80">
        <f>IF(VLOOKUP(TbPrestamo[[#This Row],[ITEM]],TbPiezas[],5,FALSE)="NA",0,VLOOKUP(TbPrestamo[[#This Row],[ITEM]],TbPiezas[],5,FALSE))</f>
        <v>3.2999999999999972</v>
      </c>
      <c r="V34" s="81">
        <f>+TbPrestamo[[#This Row],[TOTAL]]*TbPrestamo[[#This Row],[P.U. (1)]]</f>
        <v>0</v>
      </c>
      <c r="W34" s="82">
        <f>+VLOOKUP(TbPrestamo[[#This Row],[ITEM]],TbPiezas[],6,FALSE)</f>
        <v>204.03</v>
      </c>
      <c r="X34" s="83">
        <f>+TbPrestamo[[#This Row],[TOTAL]]*TbPrestamo[[#This Row],[P.U. (2)]]</f>
        <v>0</v>
      </c>
      <c r="Y34" s="82">
        <f>+VLOOKUP(TbPrestamo[[#This Row],[ITEM]],TbPiezas[],7,FALSE)</f>
        <v>10.201500000000001</v>
      </c>
      <c r="Z34" s="84">
        <f>+TbPrestamo[[#This Row],[TOTAL]]*TbPrestamo[[#This Row],[P.U. (3)]]</f>
        <v>0</v>
      </c>
    </row>
    <row r="35" spans="1:26" ht="15" customHeight="1" x14ac:dyDescent="0.3">
      <c r="A35" s="2"/>
      <c r="B35" s="85">
        <v>18</v>
      </c>
      <c r="C35" s="71" t="s">
        <v>37</v>
      </c>
      <c r="D35" s="72" t="s">
        <v>38</v>
      </c>
      <c r="E35" s="73"/>
      <c r="F35" s="74">
        <f>+VLOOKUP(C35,TbPrestamo[],13,FALSE)</f>
        <v>1</v>
      </c>
      <c r="G35" s="2"/>
      <c r="H35" s="75" t="str">
        <f t="shared" si="0"/>
        <v>AM.1800</v>
      </c>
      <c r="I35" s="59" t="str">
        <f t="shared" si="1"/>
        <v>ok</v>
      </c>
      <c r="J35" s="77">
        <f>IFERROR(VLOOKUP($H35,TG[],3,FALSE),"NA")</f>
        <v>0</v>
      </c>
      <c r="K35" s="77">
        <f>IFERROR(VLOOKUP($H35,TF[],3,FALSE),"NA")</f>
        <v>0</v>
      </c>
      <c r="L35" s="77">
        <f>IFERROR(VLOOKUP($H35,TT[],3,FALSE),"NA")</f>
        <v>0</v>
      </c>
      <c r="M35" s="77">
        <f>IFERROR(VLOOKUP($H35,TES[],3,FALSE),"NA")</f>
        <v>1</v>
      </c>
      <c r="N35" s="77" t="str">
        <f>IFERROR(VLOOKUP($H35,TEC[],3,FALSE),"NA")</f>
        <v>NA</v>
      </c>
      <c r="O35" s="77" t="str">
        <f>IFERROR(VLOOKUP($H35,TP[],3,FALSE),"NA")</f>
        <v>NA</v>
      </c>
      <c r="P35" s="77" t="str">
        <f>IFERROR(VLOOKUP($H35,TEN[],3,FALSE),"NA")</f>
        <v>NA</v>
      </c>
      <c r="Q35" s="77" t="str">
        <f>IFERROR(VLOOKUP($H35,TD[],3,FALSE),"NA")</f>
        <v>NA</v>
      </c>
      <c r="R35" s="77" t="str">
        <f>IFERROR(VLOOKUP($H35,TC[],3,FALSE),"NA")</f>
        <v>NA</v>
      </c>
      <c r="S35" s="77" t="str">
        <f>IFERROR(VLOOKUP($H35,TEV[],3,FALSE),"NA")</f>
        <v>NA</v>
      </c>
      <c r="T35" s="79">
        <f>SUM(TbPrestamo[[#This Row],[GENERAL]:[ELEVADOR]])</f>
        <v>1</v>
      </c>
      <c r="U35" s="80">
        <f>IF(VLOOKUP(TbPrestamo[[#This Row],[ITEM]],TbPiezas[],5,FALSE)="NA",0,VLOOKUP(TbPrestamo[[#This Row],[ITEM]],TbPiezas[],5,FALSE))</f>
        <v>2.3999999999999915</v>
      </c>
      <c r="V35" s="81">
        <f>+TbPrestamo[[#This Row],[TOTAL]]*TbPrestamo[[#This Row],[P.U. (1)]]</f>
        <v>2.3999999999999915</v>
      </c>
      <c r="W35" s="82">
        <f>+VLOOKUP(TbPrestamo[[#This Row],[ITEM]],TbPiezas[],6,FALSE)</f>
        <v>158.74</v>
      </c>
      <c r="X35" s="83">
        <f>+TbPrestamo[[#This Row],[TOTAL]]*TbPrestamo[[#This Row],[P.U. (2)]]</f>
        <v>158.74</v>
      </c>
      <c r="Y35" s="82">
        <f>+VLOOKUP(TbPrestamo[[#This Row],[ITEM]],TbPiezas[],7,FALSE)</f>
        <v>7.9370000000000012</v>
      </c>
      <c r="Z35" s="84">
        <f>+TbPrestamo[[#This Row],[TOTAL]]*TbPrestamo[[#This Row],[P.U. (3)]]</f>
        <v>7.9370000000000012</v>
      </c>
    </row>
    <row r="36" spans="1:26" ht="15" customHeight="1" x14ac:dyDescent="0.3">
      <c r="A36" s="2"/>
      <c r="B36" s="85">
        <v>19</v>
      </c>
      <c r="C36" s="71" t="s">
        <v>39</v>
      </c>
      <c r="D36" s="72" t="s">
        <v>40</v>
      </c>
      <c r="E36" s="73"/>
      <c r="F36" s="74">
        <f>+VLOOKUP(C36,TbPrestamo[],13,FALSE)</f>
        <v>0</v>
      </c>
      <c r="G36" s="2"/>
      <c r="H36" s="75" t="str">
        <f t="shared" si="0"/>
        <v>AM.1900</v>
      </c>
      <c r="I36" s="59" t="str">
        <f t="shared" si="1"/>
        <v>ok</v>
      </c>
      <c r="J36" s="77">
        <f>IFERROR(VLOOKUP($H36,TG[],3,FALSE),"NA")</f>
        <v>0</v>
      </c>
      <c r="K36" s="77">
        <f>IFERROR(VLOOKUP($H36,TF[],3,FALSE),"NA")</f>
        <v>0</v>
      </c>
      <c r="L36" s="77">
        <f>IFERROR(VLOOKUP($H36,TT[],3,FALSE),"NA")</f>
        <v>0</v>
      </c>
      <c r="M36" s="77">
        <f>IFERROR(VLOOKUP($H36,TES[],3,FALSE),"NA")</f>
        <v>0</v>
      </c>
      <c r="N36" s="77" t="str">
        <f>IFERROR(VLOOKUP($H36,TEC[],3,FALSE),"NA")</f>
        <v>NA</v>
      </c>
      <c r="O36" s="77" t="str">
        <f>IFERROR(VLOOKUP($H36,TP[],3,FALSE),"NA")</f>
        <v>NA</v>
      </c>
      <c r="P36" s="77" t="str">
        <f>IFERROR(VLOOKUP($H36,TEN[],3,FALSE),"NA")</f>
        <v>NA</v>
      </c>
      <c r="Q36" s="77" t="str">
        <f>IFERROR(VLOOKUP($H36,TD[],3,FALSE),"NA")</f>
        <v>NA</v>
      </c>
      <c r="R36" s="77" t="str">
        <f>IFERROR(VLOOKUP($H36,TC[],3,FALSE),"NA")</f>
        <v>NA</v>
      </c>
      <c r="S36" s="77" t="str">
        <f>IFERROR(VLOOKUP($H36,TEV[],3,FALSE),"NA")</f>
        <v>NA</v>
      </c>
      <c r="T36" s="79">
        <f>SUM(TbPrestamo[[#This Row],[GENERAL]:[ELEVADOR]])</f>
        <v>0</v>
      </c>
      <c r="U36" s="80">
        <f>IF(VLOOKUP(TbPrestamo[[#This Row],[ITEM]],TbPiezas[],5,FALSE)="NA",0,VLOOKUP(TbPrestamo[[#This Row],[ITEM]],TbPiezas[],5,FALSE))</f>
        <v>4.5999999999999943</v>
      </c>
      <c r="V36" s="81">
        <f>+TbPrestamo[[#This Row],[TOTAL]]*TbPrestamo[[#This Row],[P.U. (1)]]</f>
        <v>0</v>
      </c>
      <c r="W36" s="82">
        <f>+VLOOKUP(TbPrestamo[[#This Row],[ITEM]],TbPiezas[],6,FALSE)</f>
        <v>158.74</v>
      </c>
      <c r="X36" s="83">
        <f>+TbPrestamo[[#This Row],[TOTAL]]*TbPrestamo[[#This Row],[P.U. (2)]]</f>
        <v>0</v>
      </c>
      <c r="Y36" s="82">
        <f>+VLOOKUP(TbPrestamo[[#This Row],[ITEM]],TbPiezas[],7,FALSE)</f>
        <v>7.9370000000000012</v>
      </c>
      <c r="Z36" s="84">
        <f>+TbPrestamo[[#This Row],[TOTAL]]*TbPrestamo[[#This Row],[P.U. (3)]]</f>
        <v>0</v>
      </c>
    </row>
    <row r="37" spans="1:26" ht="15" customHeight="1" x14ac:dyDescent="0.3">
      <c r="A37" s="2"/>
      <c r="B37" s="85">
        <v>20</v>
      </c>
      <c r="C37" s="71" t="s">
        <v>41</v>
      </c>
      <c r="D37" s="72" t="s">
        <v>42</v>
      </c>
      <c r="E37" s="73"/>
      <c r="F37" s="74">
        <f>+VLOOKUP(C37,TbPrestamo[],13,FALSE)</f>
        <v>2</v>
      </c>
      <c r="G37" s="2"/>
      <c r="H37" s="75" t="str">
        <f t="shared" si="0"/>
        <v>AM.2000</v>
      </c>
      <c r="I37" s="59" t="str">
        <f t="shared" si="1"/>
        <v>ok</v>
      </c>
      <c r="J37" s="77">
        <f>IFERROR(VLOOKUP($H37,TG[],3,FALSE),"NA")</f>
        <v>0</v>
      </c>
      <c r="K37" s="77">
        <f>IFERROR(VLOOKUP($H37,TF[],3,FALSE),"NA")</f>
        <v>0</v>
      </c>
      <c r="L37" s="77">
        <f>IFERROR(VLOOKUP($H37,TT[],3,FALSE),"NA")</f>
        <v>0</v>
      </c>
      <c r="M37" s="77">
        <f>IFERROR(VLOOKUP($H37,TES[],3,FALSE),"NA")</f>
        <v>2</v>
      </c>
      <c r="N37" s="77" t="str">
        <f>IFERROR(VLOOKUP($H37,TEC[],3,FALSE),"NA")</f>
        <v>NA</v>
      </c>
      <c r="O37" s="77" t="str">
        <f>IFERROR(VLOOKUP($H37,TP[],3,FALSE),"NA")</f>
        <v>NA</v>
      </c>
      <c r="P37" s="77" t="str">
        <f>IFERROR(VLOOKUP($H37,TEN[],3,FALSE),"NA")</f>
        <v>NA</v>
      </c>
      <c r="Q37" s="77" t="str">
        <f>IFERROR(VLOOKUP($H37,TD[],3,FALSE),"NA")</f>
        <v>NA</v>
      </c>
      <c r="R37" s="77" t="str">
        <f>IFERROR(VLOOKUP($H37,TC[],3,FALSE),"NA")</f>
        <v>NA</v>
      </c>
      <c r="S37" s="77" t="str">
        <f>IFERROR(VLOOKUP($H37,TEV[],3,FALSE),"NA")</f>
        <v>NA</v>
      </c>
      <c r="T37" s="79">
        <f>SUM(TbPrestamo[[#This Row],[GENERAL]:[ELEVADOR]])</f>
        <v>2</v>
      </c>
      <c r="U37" s="80">
        <f>IF(VLOOKUP(TbPrestamo[[#This Row],[ITEM]],TbPiezas[],5,FALSE)="NA",0,VLOOKUP(TbPrestamo[[#This Row],[ITEM]],TbPiezas[],5,FALSE))</f>
        <v>3.7999999999999972</v>
      </c>
      <c r="V37" s="81">
        <f>+TbPrestamo[[#This Row],[TOTAL]]*TbPrestamo[[#This Row],[P.U. (1)]]</f>
        <v>7.5999999999999943</v>
      </c>
      <c r="W37" s="82">
        <f>+VLOOKUP(TbPrestamo[[#This Row],[ITEM]],TbPiezas[],6,FALSE)</f>
        <v>132.06</v>
      </c>
      <c r="X37" s="83">
        <f>+TbPrestamo[[#This Row],[TOTAL]]*TbPrestamo[[#This Row],[P.U. (2)]]</f>
        <v>264.12</v>
      </c>
      <c r="Y37" s="82">
        <f>+VLOOKUP(TbPrestamo[[#This Row],[ITEM]],TbPiezas[],7,FALSE)</f>
        <v>6.6030000000000006</v>
      </c>
      <c r="Z37" s="84">
        <f>+TbPrestamo[[#This Row],[TOTAL]]*TbPrestamo[[#This Row],[P.U. (3)]]</f>
        <v>13.206000000000001</v>
      </c>
    </row>
    <row r="38" spans="1:26" ht="15" customHeight="1" x14ac:dyDescent="0.3">
      <c r="A38" s="2"/>
      <c r="B38" s="85">
        <v>21</v>
      </c>
      <c r="C38" s="71" t="s">
        <v>43</v>
      </c>
      <c r="D38" s="72" t="s">
        <v>44</v>
      </c>
      <c r="E38" s="73"/>
      <c r="F38" s="74">
        <f>+VLOOKUP(C38,TbPrestamo[],13,FALSE)</f>
        <v>0</v>
      </c>
      <c r="G38" s="2"/>
      <c r="H38" s="75" t="str">
        <f t="shared" si="0"/>
        <v>AM.2020</v>
      </c>
      <c r="I38" s="59" t="str">
        <f t="shared" si="1"/>
        <v>ok</v>
      </c>
      <c r="J38" s="77">
        <f>IFERROR(VLOOKUP($H38,TG[],3,FALSE),"NA")</f>
        <v>0</v>
      </c>
      <c r="K38" s="77">
        <f>IFERROR(VLOOKUP($H38,TF[],3,FALSE),"NA")</f>
        <v>0</v>
      </c>
      <c r="L38" s="77">
        <f>IFERROR(VLOOKUP($H38,TT[],3,FALSE),"NA")</f>
        <v>0</v>
      </c>
      <c r="M38" s="77">
        <f>IFERROR(VLOOKUP($H38,TES[],3,FALSE),"NA")</f>
        <v>0</v>
      </c>
      <c r="N38" s="77" t="str">
        <f>IFERROR(VLOOKUP($H38,TEC[],3,FALSE),"NA")</f>
        <v>NA</v>
      </c>
      <c r="O38" s="77" t="str">
        <f>IFERROR(VLOOKUP($H38,TP[],3,FALSE),"NA")</f>
        <v>NA</v>
      </c>
      <c r="P38" s="77" t="str">
        <f>IFERROR(VLOOKUP($H38,TEN[],3,FALSE),"NA")</f>
        <v>NA</v>
      </c>
      <c r="Q38" s="77" t="str">
        <f>IFERROR(VLOOKUP($H38,TD[],3,FALSE),"NA")</f>
        <v>NA</v>
      </c>
      <c r="R38" s="77" t="str">
        <f>IFERROR(VLOOKUP($H38,TC[],3,FALSE),"NA")</f>
        <v>NA</v>
      </c>
      <c r="S38" s="77" t="str">
        <f>IFERROR(VLOOKUP($H38,TEV[],3,FALSE),"NA")</f>
        <v>NA</v>
      </c>
      <c r="T38" s="79">
        <f>SUM(TbPrestamo[[#This Row],[GENERAL]:[ELEVADOR]])</f>
        <v>0</v>
      </c>
      <c r="U38" s="80">
        <f>IF(VLOOKUP(TbPrestamo[[#This Row],[ITEM]],TbPiezas[],5,FALSE)="NA",0,VLOOKUP(TbPrestamo[[#This Row],[ITEM]],TbPiezas[],5,FALSE))</f>
        <v>1.9</v>
      </c>
      <c r="V38" s="81">
        <f>+TbPrestamo[[#This Row],[TOTAL]]*TbPrestamo[[#This Row],[P.U. (1)]]</f>
        <v>0</v>
      </c>
      <c r="W38" s="82">
        <f>+VLOOKUP(TbPrestamo[[#This Row],[ITEM]],TbPiezas[],6,FALSE)</f>
        <v>59.5</v>
      </c>
      <c r="X38" s="83">
        <f>+TbPrestamo[[#This Row],[TOTAL]]*TbPrestamo[[#This Row],[P.U. (2)]]</f>
        <v>0</v>
      </c>
      <c r="Y38" s="82">
        <f>+VLOOKUP(TbPrestamo[[#This Row],[ITEM]],TbPiezas[],7,FALSE)</f>
        <v>2.9750000000000001</v>
      </c>
      <c r="Z38" s="84">
        <f>+TbPrestamo[[#This Row],[TOTAL]]*TbPrestamo[[#This Row],[P.U. (3)]]</f>
        <v>0</v>
      </c>
    </row>
    <row r="39" spans="1:26" ht="15" customHeight="1" x14ac:dyDescent="0.3">
      <c r="A39" s="2"/>
      <c r="B39" s="85">
        <v>22</v>
      </c>
      <c r="C39" s="71" t="s">
        <v>45</v>
      </c>
      <c r="D39" s="72" t="s">
        <v>46</v>
      </c>
      <c r="E39" s="73"/>
      <c r="F39" s="74">
        <f>+VLOOKUP(C39,TbPrestamo[],13,FALSE)</f>
        <v>0</v>
      </c>
      <c r="G39" s="2"/>
      <c r="H39" s="75" t="str">
        <f t="shared" si="0"/>
        <v>AM.2050</v>
      </c>
      <c r="I39" s="59" t="str">
        <f t="shared" si="1"/>
        <v>ok</v>
      </c>
      <c r="J39" s="77">
        <f>IFERROR(VLOOKUP($H39,TG[],3,FALSE),"NA")</f>
        <v>0</v>
      </c>
      <c r="K39" s="77">
        <f>IFERROR(VLOOKUP($H39,TF[],3,FALSE),"NA")</f>
        <v>0</v>
      </c>
      <c r="L39" s="77">
        <f>IFERROR(VLOOKUP($H39,TT[],3,FALSE),"NA")</f>
        <v>0</v>
      </c>
      <c r="M39" s="77">
        <f>IFERROR(VLOOKUP($H39,TES[],3,FALSE),"NA")</f>
        <v>0</v>
      </c>
      <c r="N39" s="77" t="str">
        <f>IFERROR(VLOOKUP($H39,TEC[],3,FALSE),"NA")</f>
        <v>NA</v>
      </c>
      <c r="O39" s="77" t="str">
        <f>IFERROR(VLOOKUP($H39,TP[],3,FALSE),"NA")</f>
        <v>NA</v>
      </c>
      <c r="P39" s="77" t="str">
        <f>IFERROR(VLOOKUP($H39,TEN[],3,FALSE),"NA")</f>
        <v>NA</v>
      </c>
      <c r="Q39" s="77" t="str">
        <f>IFERROR(VLOOKUP($H39,TD[],3,FALSE),"NA")</f>
        <v>NA</v>
      </c>
      <c r="R39" s="77" t="str">
        <f>IFERROR(VLOOKUP($H39,TC[],3,FALSE),"NA")</f>
        <v>NA</v>
      </c>
      <c r="S39" s="77" t="str">
        <f>IFERROR(VLOOKUP($H39,TEV[],3,FALSE),"NA")</f>
        <v>NA</v>
      </c>
      <c r="T39" s="79">
        <f>SUM(TbPrestamo[[#This Row],[GENERAL]:[ELEVADOR]])</f>
        <v>0</v>
      </c>
      <c r="U39" s="80">
        <f>IF(VLOOKUP(TbPrestamo[[#This Row],[ITEM]],TbPiezas[],5,FALSE)="NA",0,VLOOKUP(TbPrestamo[[#This Row],[ITEM]],TbPiezas[],5,FALSE))</f>
        <v>1.9</v>
      </c>
      <c r="V39" s="81">
        <f>+TbPrestamo[[#This Row],[TOTAL]]*TbPrestamo[[#This Row],[P.U. (1)]]</f>
        <v>0</v>
      </c>
      <c r="W39" s="82">
        <f>+VLOOKUP(TbPrestamo[[#This Row],[ITEM]],TbPiezas[],6,FALSE)</f>
        <v>59.5</v>
      </c>
      <c r="X39" s="83">
        <f>+TbPrestamo[[#This Row],[TOTAL]]*TbPrestamo[[#This Row],[P.U. (2)]]</f>
        <v>0</v>
      </c>
      <c r="Y39" s="82">
        <f>+VLOOKUP(TbPrestamo[[#This Row],[ITEM]],TbPiezas[],7,FALSE)</f>
        <v>2.9750000000000001</v>
      </c>
      <c r="Z39" s="84">
        <f>+TbPrestamo[[#This Row],[TOTAL]]*TbPrestamo[[#This Row],[P.U. (3)]]</f>
        <v>0</v>
      </c>
    </row>
    <row r="40" spans="1:26" ht="15" customHeight="1" x14ac:dyDescent="0.3">
      <c r="A40" s="2"/>
      <c r="B40" s="85">
        <v>23</v>
      </c>
      <c r="C40" s="71" t="s">
        <v>47</v>
      </c>
      <c r="D40" s="72" t="s">
        <v>48</v>
      </c>
      <c r="E40" s="73"/>
      <c r="F40" s="74">
        <f>+VLOOKUP(C40,TbPrestamo[],13,FALSE)</f>
        <v>0</v>
      </c>
      <c r="G40" s="2"/>
      <c r="H40" s="75" t="str">
        <f t="shared" si="0"/>
        <v>AM.2100</v>
      </c>
      <c r="I40" s="59" t="str">
        <f t="shared" si="1"/>
        <v>ok</v>
      </c>
      <c r="J40" s="77">
        <f>IFERROR(VLOOKUP($H40,TG[],3,FALSE),"NA")</f>
        <v>0</v>
      </c>
      <c r="K40" s="77" t="str">
        <f>IFERROR(VLOOKUP($H40,TF[],3,FALSE),"NA")</f>
        <v>NA</v>
      </c>
      <c r="L40" s="77" t="str">
        <f>IFERROR(VLOOKUP($H40,TT[],3,FALSE),"NA")</f>
        <v>NA</v>
      </c>
      <c r="M40" s="77">
        <f>IFERROR(VLOOKUP($H40,TES[],3,FALSE),"NA")</f>
        <v>0</v>
      </c>
      <c r="N40" s="77" t="str">
        <f>IFERROR(VLOOKUP($H40,TEC[],3,FALSE),"NA")</f>
        <v>NA</v>
      </c>
      <c r="O40" s="77" t="str">
        <f>IFERROR(VLOOKUP($H40,TP[],3,FALSE),"NA")</f>
        <v>NA</v>
      </c>
      <c r="P40" s="77" t="str">
        <f>IFERROR(VLOOKUP($H40,TEN[],3,FALSE),"NA")</f>
        <v>NA</v>
      </c>
      <c r="Q40" s="77" t="str">
        <f>IFERROR(VLOOKUP($H40,TD[],3,FALSE),"NA")</f>
        <v>NA</v>
      </c>
      <c r="R40" s="77" t="str">
        <f>IFERROR(VLOOKUP($H40,TC[],3,FALSE),"NA")</f>
        <v>NA</v>
      </c>
      <c r="S40" s="77" t="str">
        <f>IFERROR(VLOOKUP($H40,TEV[],3,FALSE),"NA")</f>
        <v>NA</v>
      </c>
      <c r="T40" s="79">
        <f>SUM(TbPrestamo[[#This Row],[GENERAL]:[ELEVADOR]])</f>
        <v>0</v>
      </c>
      <c r="U40" s="80">
        <f>IF(VLOOKUP(TbPrestamo[[#This Row],[ITEM]],TbPiezas[],5,FALSE)="NA",0,VLOOKUP(TbPrestamo[[#This Row],[ITEM]],TbPiezas[],5,FALSE))</f>
        <v>19.399999999999991</v>
      </c>
      <c r="V40" s="81">
        <f>+TbPrestamo[[#This Row],[TOTAL]]*TbPrestamo[[#This Row],[P.U. (1)]]</f>
        <v>0</v>
      </c>
      <c r="W40" s="82">
        <f>+VLOOKUP(TbPrestamo[[#This Row],[ITEM]],TbPiezas[],6,FALSE)</f>
        <v>324.89</v>
      </c>
      <c r="X40" s="83">
        <f>+TbPrestamo[[#This Row],[TOTAL]]*TbPrestamo[[#This Row],[P.U. (2)]]</f>
        <v>0</v>
      </c>
      <c r="Y40" s="82">
        <f>+VLOOKUP(TbPrestamo[[#This Row],[ITEM]],TbPiezas[],7,FALSE)</f>
        <v>16.244499999999999</v>
      </c>
      <c r="Z40" s="84">
        <f>+TbPrestamo[[#This Row],[TOTAL]]*TbPrestamo[[#This Row],[P.U. (3)]]</f>
        <v>0</v>
      </c>
    </row>
    <row r="41" spans="1:26" ht="15" customHeight="1" x14ac:dyDescent="0.3">
      <c r="A41" s="2"/>
      <c r="B41" s="85">
        <v>24</v>
      </c>
      <c r="C41" s="71" t="s">
        <v>49</v>
      </c>
      <c r="D41" s="72" t="s">
        <v>50</v>
      </c>
      <c r="E41" s="73"/>
      <c r="F41" s="74">
        <f>+VLOOKUP(C41,TbPrestamo[],13,FALSE)</f>
        <v>0</v>
      </c>
      <c r="G41" s="2"/>
      <c r="H41" s="75" t="str">
        <f t="shared" si="0"/>
        <v>AM.2200</v>
      </c>
      <c r="I41" s="59" t="str">
        <f t="shared" si="1"/>
        <v>ok</v>
      </c>
      <c r="J41" s="77">
        <f>IFERROR(VLOOKUP($H41,TG[],3,FALSE),"NA")</f>
        <v>0</v>
      </c>
      <c r="K41" s="77" t="str">
        <f>IFERROR(VLOOKUP($H41,TF[],3,FALSE),"NA")</f>
        <v>NA</v>
      </c>
      <c r="L41" s="77" t="str">
        <f>IFERROR(VLOOKUP($H41,TT[],3,FALSE),"NA")</f>
        <v>NA</v>
      </c>
      <c r="M41" s="77">
        <f>IFERROR(VLOOKUP($H41,TES[],3,FALSE),"NA")</f>
        <v>0</v>
      </c>
      <c r="N41" s="77" t="str">
        <f>IFERROR(VLOOKUP($H41,TEC[],3,FALSE),"NA")</f>
        <v>NA</v>
      </c>
      <c r="O41" s="77" t="str">
        <f>IFERROR(VLOOKUP($H41,TP[],3,FALSE),"NA")</f>
        <v>NA</v>
      </c>
      <c r="P41" s="77" t="str">
        <f>IFERROR(VLOOKUP($H41,TEN[],3,FALSE),"NA")</f>
        <v>NA</v>
      </c>
      <c r="Q41" s="77" t="str">
        <f>IFERROR(VLOOKUP($H41,TD[],3,FALSE),"NA")</f>
        <v>NA</v>
      </c>
      <c r="R41" s="77" t="str">
        <f>IFERROR(VLOOKUP($H41,TC[],3,FALSE),"NA")</f>
        <v>NA</v>
      </c>
      <c r="S41" s="77" t="str">
        <f>IFERROR(VLOOKUP($H41,TEV[],3,FALSE),"NA")</f>
        <v>NA</v>
      </c>
      <c r="T41" s="79">
        <f>SUM(TbPrestamo[[#This Row],[GENERAL]:[ELEVADOR]])</f>
        <v>0</v>
      </c>
      <c r="U41" s="80">
        <f>IF(VLOOKUP(TbPrestamo[[#This Row],[ITEM]],TbPiezas[],5,FALSE)="NA",0,VLOOKUP(TbPrestamo[[#This Row],[ITEM]],TbPiezas[],5,FALSE))</f>
        <v>14.399999999999991</v>
      </c>
      <c r="V41" s="81">
        <f>+TbPrestamo[[#This Row],[TOTAL]]*TbPrestamo[[#This Row],[P.U. (1)]]</f>
        <v>0</v>
      </c>
      <c r="W41" s="82">
        <f>+VLOOKUP(TbPrestamo[[#This Row],[ITEM]],TbPiezas[],6,FALSE)</f>
        <v>268.19</v>
      </c>
      <c r="X41" s="83">
        <f>+TbPrestamo[[#This Row],[TOTAL]]*TbPrestamo[[#This Row],[P.U. (2)]]</f>
        <v>0</v>
      </c>
      <c r="Y41" s="82">
        <f>+VLOOKUP(TbPrestamo[[#This Row],[ITEM]],TbPiezas[],7,FALSE)</f>
        <v>13.409500000000001</v>
      </c>
      <c r="Z41" s="84">
        <f>+TbPrestamo[[#This Row],[TOTAL]]*TbPrestamo[[#This Row],[P.U. (3)]]</f>
        <v>0</v>
      </c>
    </row>
    <row r="42" spans="1:26" ht="15" customHeight="1" x14ac:dyDescent="0.3">
      <c r="A42" s="2"/>
      <c r="B42" s="85">
        <v>25</v>
      </c>
      <c r="C42" s="71" t="s">
        <v>51</v>
      </c>
      <c r="D42" s="72" t="s">
        <v>52</v>
      </c>
      <c r="E42" s="73"/>
      <c r="F42" s="74">
        <f>+VLOOKUP(C42,TbPrestamo[],13,FALSE)</f>
        <v>0</v>
      </c>
      <c r="G42" s="2"/>
      <c r="H42" s="75" t="str">
        <f t="shared" si="0"/>
        <v>AM.2250</v>
      </c>
      <c r="I42" s="59" t="str">
        <f t="shared" si="1"/>
        <v>ok</v>
      </c>
      <c r="J42" s="77">
        <f>IFERROR(VLOOKUP($H42,TG[],3,FALSE),"NA")</f>
        <v>0</v>
      </c>
      <c r="K42" s="77" t="str">
        <f>IFERROR(VLOOKUP($H42,TF[],3,FALSE),"NA")</f>
        <v>NA</v>
      </c>
      <c r="L42" s="77" t="str">
        <f>IFERROR(VLOOKUP($H42,TT[],3,FALSE),"NA")</f>
        <v>NA</v>
      </c>
      <c r="M42" s="77">
        <f>IFERROR(VLOOKUP($H42,TES[],3,FALSE),"NA")</f>
        <v>0</v>
      </c>
      <c r="N42" s="77" t="str">
        <f>IFERROR(VLOOKUP($H42,TEC[],3,FALSE),"NA")</f>
        <v>NA</v>
      </c>
      <c r="O42" s="77" t="str">
        <f>IFERROR(VLOOKUP($H42,TP[],3,FALSE),"NA")</f>
        <v>NA</v>
      </c>
      <c r="P42" s="77" t="str">
        <f>IFERROR(VLOOKUP($H42,TEN[],3,FALSE),"NA")</f>
        <v>NA</v>
      </c>
      <c r="Q42" s="77" t="str">
        <f>IFERROR(VLOOKUP($H42,TD[],3,FALSE),"NA")</f>
        <v>NA</v>
      </c>
      <c r="R42" s="77" t="str">
        <f>IFERROR(VLOOKUP($H42,TC[],3,FALSE),"NA")</f>
        <v>NA</v>
      </c>
      <c r="S42" s="77" t="str">
        <f>IFERROR(VLOOKUP($H42,TEV[],3,FALSE),"NA")</f>
        <v>NA</v>
      </c>
      <c r="T42" s="79">
        <f>SUM(TbPrestamo[[#This Row],[GENERAL]:[ELEVADOR]])</f>
        <v>0</v>
      </c>
      <c r="U42" s="80">
        <f>IF(VLOOKUP(TbPrestamo[[#This Row],[ITEM]],TbPiezas[],5,FALSE)="NA",0,VLOOKUP(TbPrestamo[[#This Row],[ITEM]],TbPiezas[],5,FALSE))</f>
        <v>14.4</v>
      </c>
      <c r="V42" s="81">
        <f>+TbPrestamo[[#This Row],[TOTAL]]*TbPrestamo[[#This Row],[P.U. (1)]]</f>
        <v>0</v>
      </c>
      <c r="W42" s="82">
        <f>+VLOOKUP(TbPrestamo[[#This Row],[ITEM]],TbPiezas[],6,FALSE)</f>
        <v>268.19</v>
      </c>
      <c r="X42" s="83">
        <f>+TbPrestamo[[#This Row],[TOTAL]]*TbPrestamo[[#This Row],[P.U. (2)]]</f>
        <v>0</v>
      </c>
      <c r="Y42" s="82">
        <f>+VLOOKUP(TbPrestamo[[#This Row],[ITEM]],TbPiezas[],7,FALSE)</f>
        <v>13.409500000000001</v>
      </c>
      <c r="Z42" s="84">
        <f>+TbPrestamo[[#This Row],[TOTAL]]*TbPrestamo[[#This Row],[P.U. (3)]]</f>
        <v>0</v>
      </c>
    </row>
    <row r="43" spans="1:26" ht="15" customHeight="1" x14ac:dyDescent="0.3">
      <c r="A43" s="2"/>
      <c r="B43" s="85">
        <v>26</v>
      </c>
      <c r="C43" s="71" t="s">
        <v>53</v>
      </c>
      <c r="D43" s="72" t="s">
        <v>54</v>
      </c>
      <c r="E43" s="73"/>
      <c r="F43" s="74">
        <f>+VLOOKUP(C43,TbPrestamo[],13,FALSE)</f>
        <v>0</v>
      </c>
      <c r="G43" s="2"/>
      <c r="H43" s="75" t="str">
        <f t="shared" si="0"/>
        <v>AM.2300</v>
      </c>
      <c r="I43" s="59" t="str">
        <f t="shared" si="1"/>
        <v>ok</v>
      </c>
      <c r="J43" s="77">
        <f>IFERROR(VLOOKUP($H43,TG[],3,FALSE),"NA")</f>
        <v>0</v>
      </c>
      <c r="K43" s="77" t="str">
        <f>IFERROR(VLOOKUP($H43,TF[],3,FALSE),"NA")</f>
        <v>NA</v>
      </c>
      <c r="L43" s="77" t="str">
        <f>IFERROR(VLOOKUP($H43,TT[],3,FALSE),"NA")</f>
        <v>NA</v>
      </c>
      <c r="M43" s="77">
        <f>IFERROR(VLOOKUP($H43,TES[],3,FALSE),"NA")</f>
        <v>0</v>
      </c>
      <c r="N43" s="77" t="str">
        <f>IFERROR(VLOOKUP($H43,TEC[],3,FALSE),"NA")</f>
        <v>NA</v>
      </c>
      <c r="O43" s="77" t="str">
        <f>IFERROR(VLOOKUP($H43,TP[],3,FALSE),"NA")</f>
        <v>NA</v>
      </c>
      <c r="P43" s="77" t="str">
        <f>IFERROR(VLOOKUP($H43,TEN[],3,FALSE),"NA")</f>
        <v>NA</v>
      </c>
      <c r="Q43" s="77" t="str">
        <f>IFERROR(VLOOKUP($H43,TD[],3,FALSE),"NA")</f>
        <v>NA</v>
      </c>
      <c r="R43" s="77" t="str">
        <f>IFERROR(VLOOKUP($H43,TC[],3,FALSE),"NA")</f>
        <v>NA</v>
      </c>
      <c r="S43" s="77" t="str">
        <f>IFERROR(VLOOKUP($H43,TEV[],3,FALSE),"NA")</f>
        <v>NA</v>
      </c>
      <c r="T43" s="79">
        <f>SUM(TbPrestamo[[#This Row],[GENERAL]:[ELEVADOR]])</f>
        <v>0</v>
      </c>
      <c r="U43" s="80">
        <f>IF(VLOOKUP(TbPrestamo[[#This Row],[ITEM]],TbPiezas[],5,FALSE)="NA",0,VLOOKUP(TbPrestamo[[#This Row],[ITEM]],TbPiezas[],5,FALSE))</f>
        <v>75.599999999999994</v>
      </c>
      <c r="V43" s="81">
        <f>+TbPrestamo[[#This Row],[TOTAL]]*TbPrestamo[[#This Row],[P.U. (1)]]</f>
        <v>0</v>
      </c>
      <c r="W43" s="82">
        <f>+VLOOKUP(TbPrestamo[[#This Row],[ITEM]],TbPiezas[],6,FALSE)</f>
        <v>1621.32</v>
      </c>
      <c r="X43" s="83">
        <f>+TbPrestamo[[#This Row],[TOTAL]]*TbPrestamo[[#This Row],[P.U. (2)]]</f>
        <v>0</v>
      </c>
      <c r="Y43" s="82">
        <f>+VLOOKUP(TbPrestamo[[#This Row],[ITEM]],TbPiezas[],7,FALSE)</f>
        <v>81.066000000000003</v>
      </c>
      <c r="Z43" s="84">
        <f>+TbPrestamo[[#This Row],[TOTAL]]*TbPrestamo[[#This Row],[P.U. (3)]]</f>
        <v>0</v>
      </c>
    </row>
    <row r="44" spans="1:26" ht="15" customHeight="1" x14ac:dyDescent="0.3">
      <c r="A44" s="2"/>
      <c r="B44" s="85">
        <v>27</v>
      </c>
      <c r="C44" s="71" t="s">
        <v>55</v>
      </c>
      <c r="D44" s="72" t="s">
        <v>56</v>
      </c>
      <c r="E44" s="73"/>
      <c r="F44" s="74">
        <f>+VLOOKUP(C44,TbPrestamo[],13,FALSE)</f>
        <v>0</v>
      </c>
      <c r="G44" s="2"/>
      <c r="H44" s="75" t="str">
        <f t="shared" si="0"/>
        <v>AM.2400</v>
      </c>
      <c r="I44" s="59" t="str">
        <f t="shared" si="1"/>
        <v>ok</v>
      </c>
      <c r="J44" s="77">
        <f>IFERROR(VLOOKUP($H44,TG[],3,FALSE),"NA")</f>
        <v>0</v>
      </c>
      <c r="K44" s="77" t="str">
        <f>IFERROR(VLOOKUP($H44,TF[],3,FALSE),"NA")</f>
        <v>NA</v>
      </c>
      <c r="L44" s="77" t="str">
        <f>IFERROR(VLOOKUP($H44,TT[],3,FALSE),"NA")</f>
        <v>NA</v>
      </c>
      <c r="M44" s="77">
        <f>IFERROR(VLOOKUP($H44,TES[],3,FALSE),"NA")</f>
        <v>0</v>
      </c>
      <c r="N44" s="77" t="str">
        <f>IFERROR(VLOOKUP($H44,TEC[],3,FALSE),"NA")</f>
        <v>NA</v>
      </c>
      <c r="O44" s="77" t="str">
        <f>IFERROR(VLOOKUP($H44,TP[],3,FALSE),"NA")</f>
        <v>NA</v>
      </c>
      <c r="P44" s="77" t="str">
        <f>IFERROR(VLOOKUP($H44,TEN[],3,FALSE),"NA")</f>
        <v>NA</v>
      </c>
      <c r="Q44" s="77" t="str">
        <f>IFERROR(VLOOKUP($H44,TD[],3,FALSE),"NA")</f>
        <v>NA</v>
      </c>
      <c r="R44" s="77" t="str">
        <f>IFERROR(VLOOKUP($H44,TC[],3,FALSE),"NA")</f>
        <v>NA</v>
      </c>
      <c r="S44" s="77" t="str">
        <f>IFERROR(VLOOKUP($H44,TEV[],3,FALSE),"NA")</f>
        <v>NA</v>
      </c>
      <c r="T44" s="79">
        <f>SUM(TbPrestamo[[#This Row],[GENERAL]:[ELEVADOR]])</f>
        <v>0</v>
      </c>
      <c r="U44" s="80">
        <f>IF(VLOOKUP(TbPrestamo[[#This Row],[ITEM]],TbPiezas[],5,FALSE)="NA",0,VLOOKUP(TbPrestamo[[#This Row],[ITEM]],TbPiezas[],5,FALSE))</f>
        <v>63</v>
      </c>
      <c r="V44" s="81">
        <f>+TbPrestamo[[#This Row],[TOTAL]]*TbPrestamo[[#This Row],[P.U. (1)]]</f>
        <v>0</v>
      </c>
      <c r="W44" s="82">
        <f>+VLOOKUP(TbPrestamo[[#This Row],[ITEM]],TbPiezas[],6,FALSE)</f>
        <v>1351.1</v>
      </c>
      <c r="X44" s="83">
        <f>+TbPrestamo[[#This Row],[TOTAL]]*TbPrestamo[[#This Row],[P.U. (2)]]</f>
        <v>0</v>
      </c>
      <c r="Y44" s="82">
        <f>+VLOOKUP(TbPrestamo[[#This Row],[ITEM]],TbPiezas[],7,FALSE)</f>
        <v>67.554999999999993</v>
      </c>
      <c r="Z44" s="84">
        <f>+TbPrestamo[[#This Row],[TOTAL]]*TbPrestamo[[#This Row],[P.U. (3)]]</f>
        <v>0</v>
      </c>
    </row>
    <row r="45" spans="1:26" ht="15" customHeight="1" x14ac:dyDescent="0.3">
      <c r="A45" s="2"/>
      <c r="B45" s="85">
        <v>28</v>
      </c>
      <c r="C45" s="71" t="s">
        <v>57</v>
      </c>
      <c r="D45" s="72" t="s">
        <v>58</v>
      </c>
      <c r="E45" s="73"/>
      <c r="F45" s="74">
        <f>+VLOOKUP(C45,TbPrestamo[],13,FALSE)</f>
        <v>0</v>
      </c>
      <c r="G45" s="2"/>
      <c r="H45" s="75" t="str">
        <f t="shared" si="0"/>
        <v>AM.2500</v>
      </c>
      <c r="I45" s="59" t="str">
        <f t="shared" si="1"/>
        <v>ok</v>
      </c>
      <c r="J45" s="77">
        <f>IFERROR(VLOOKUP($H45,TG[],3,FALSE),"NA")</f>
        <v>0</v>
      </c>
      <c r="K45" s="77" t="str">
        <f>IFERROR(VLOOKUP($H45,TF[],3,FALSE),"NA")</f>
        <v>NA</v>
      </c>
      <c r="L45" s="77" t="str">
        <f>IFERROR(VLOOKUP($H45,TT[],3,FALSE),"NA")</f>
        <v>NA</v>
      </c>
      <c r="M45" s="77">
        <f>IFERROR(VLOOKUP($H45,TES[],3,FALSE),"NA")</f>
        <v>0</v>
      </c>
      <c r="N45" s="77" t="str">
        <f>IFERROR(VLOOKUP($H45,TEC[],3,FALSE),"NA")</f>
        <v>NA</v>
      </c>
      <c r="O45" s="77" t="str">
        <f>IFERROR(VLOOKUP($H45,TP[],3,FALSE),"NA")</f>
        <v>NA</v>
      </c>
      <c r="P45" s="77" t="str">
        <f>IFERROR(VLOOKUP($H45,TEN[],3,FALSE),"NA")</f>
        <v>NA</v>
      </c>
      <c r="Q45" s="77" t="str">
        <f>IFERROR(VLOOKUP($H45,TD[],3,FALSE),"NA")</f>
        <v>NA</v>
      </c>
      <c r="R45" s="77" t="str">
        <f>IFERROR(VLOOKUP($H45,TC[],3,FALSE),"NA")</f>
        <v>NA</v>
      </c>
      <c r="S45" s="77" t="str">
        <f>IFERROR(VLOOKUP($H45,TEV[],3,FALSE),"NA")</f>
        <v>NA</v>
      </c>
      <c r="T45" s="79">
        <f>SUM(TbPrestamo[[#This Row],[GENERAL]:[ELEVADOR]])</f>
        <v>0</v>
      </c>
      <c r="U45" s="80">
        <f>IF(VLOOKUP(TbPrestamo[[#This Row],[ITEM]],TbPiezas[],5,FALSE)="NA",0,VLOOKUP(TbPrestamo[[#This Row],[ITEM]],TbPiezas[],5,FALSE))</f>
        <v>54.6</v>
      </c>
      <c r="V45" s="81">
        <f>+TbPrestamo[[#This Row],[TOTAL]]*TbPrestamo[[#This Row],[P.U. (1)]]</f>
        <v>0</v>
      </c>
      <c r="W45" s="82">
        <f>+VLOOKUP(TbPrestamo[[#This Row],[ITEM]],TbPiezas[],6,FALSE)</f>
        <v>1170.95</v>
      </c>
      <c r="X45" s="83">
        <f>+TbPrestamo[[#This Row],[TOTAL]]*TbPrestamo[[#This Row],[P.U. (2)]]</f>
        <v>0</v>
      </c>
      <c r="Y45" s="82">
        <f>+VLOOKUP(TbPrestamo[[#This Row],[ITEM]],TbPiezas[],7,FALSE)</f>
        <v>58.547500000000007</v>
      </c>
      <c r="Z45" s="84">
        <f>+TbPrestamo[[#This Row],[TOTAL]]*TbPrestamo[[#This Row],[P.U. (3)]]</f>
        <v>0</v>
      </c>
    </row>
    <row r="46" spans="1:26" ht="15" customHeight="1" x14ac:dyDescent="0.3">
      <c r="A46" s="2"/>
      <c r="B46" s="85">
        <v>29</v>
      </c>
      <c r="C46" s="71" t="s">
        <v>59</v>
      </c>
      <c r="D46" s="72" t="s">
        <v>60</v>
      </c>
      <c r="E46" s="73"/>
      <c r="F46" s="74">
        <f>+VLOOKUP(C46,TbPrestamo[],13,FALSE)</f>
        <v>0</v>
      </c>
      <c r="G46" s="2"/>
      <c r="H46" s="75" t="str">
        <f t="shared" si="0"/>
        <v>AM.2600</v>
      </c>
      <c r="I46" s="59" t="str">
        <f t="shared" si="1"/>
        <v>ok</v>
      </c>
      <c r="J46" s="77">
        <f>IFERROR(VLOOKUP($H46,TG[],3,FALSE),"NA")</f>
        <v>0</v>
      </c>
      <c r="K46" s="77" t="str">
        <f>IFERROR(VLOOKUP($H46,TF[],3,FALSE),"NA")</f>
        <v>NA</v>
      </c>
      <c r="L46" s="77" t="str">
        <f>IFERROR(VLOOKUP($H46,TT[],3,FALSE),"NA")</f>
        <v>NA</v>
      </c>
      <c r="M46" s="77">
        <f>IFERROR(VLOOKUP($H46,TES[],3,FALSE),"NA")</f>
        <v>0</v>
      </c>
      <c r="N46" s="77" t="str">
        <f>IFERROR(VLOOKUP($H46,TEC[],3,FALSE),"NA")</f>
        <v>NA</v>
      </c>
      <c r="O46" s="77" t="str">
        <f>IFERROR(VLOOKUP($H46,TP[],3,FALSE),"NA")</f>
        <v>NA</v>
      </c>
      <c r="P46" s="77" t="str">
        <f>IFERROR(VLOOKUP($H46,TEN[],3,FALSE),"NA")</f>
        <v>NA</v>
      </c>
      <c r="Q46" s="77" t="str">
        <f>IFERROR(VLOOKUP($H46,TD[],3,FALSE),"NA")</f>
        <v>NA</v>
      </c>
      <c r="R46" s="77" t="str">
        <f>IFERROR(VLOOKUP($H46,TC[],3,FALSE),"NA")</f>
        <v>NA</v>
      </c>
      <c r="S46" s="77" t="str">
        <f>IFERROR(VLOOKUP($H46,TEV[],3,FALSE),"NA")</f>
        <v>NA</v>
      </c>
      <c r="T46" s="79">
        <f>SUM(TbPrestamo[[#This Row],[GENERAL]:[ELEVADOR]])</f>
        <v>0</v>
      </c>
      <c r="U46" s="80">
        <f>IF(VLOOKUP(TbPrestamo[[#This Row],[ITEM]],TbPiezas[],5,FALSE)="NA",0,VLOOKUP(TbPrestamo[[#This Row],[ITEM]],TbPiezas[],5,FALSE))</f>
        <v>30.399999999999991</v>
      </c>
      <c r="V46" s="81">
        <f>+TbPrestamo[[#This Row],[TOTAL]]*TbPrestamo[[#This Row],[P.U. (1)]]</f>
        <v>0</v>
      </c>
      <c r="W46" s="82">
        <f>+VLOOKUP(TbPrestamo[[#This Row],[ITEM]],TbPiezas[],6,FALSE)</f>
        <v>720.59</v>
      </c>
      <c r="X46" s="83">
        <f>+TbPrestamo[[#This Row],[TOTAL]]*TbPrestamo[[#This Row],[P.U. (2)]]</f>
        <v>0</v>
      </c>
      <c r="Y46" s="82">
        <f>+VLOOKUP(TbPrestamo[[#This Row],[ITEM]],TbPiezas[],7,FALSE)</f>
        <v>36.029500000000006</v>
      </c>
      <c r="Z46" s="84">
        <f>+TbPrestamo[[#This Row],[TOTAL]]*TbPrestamo[[#This Row],[P.U. (3)]]</f>
        <v>0</v>
      </c>
    </row>
    <row r="47" spans="1:26" ht="15" customHeight="1" x14ac:dyDescent="0.3">
      <c r="A47" s="2"/>
      <c r="B47" s="85">
        <v>30</v>
      </c>
      <c r="C47" s="71" t="s">
        <v>61</v>
      </c>
      <c r="D47" s="72" t="s">
        <v>62</v>
      </c>
      <c r="E47" s="73"/>
      <c r="F47" s="74">
        <f>+VLOOKUP(C47,TbPrestamo[],13,FALSE)</f>
        <v>0</v>
      </c>
      <c r="G47" s="2"/>
      <c r="H47" s="75" t="str">
        <f t="shared" si="0"/>
        <v>AM.2700</v>
      </c>
      <c r="I47" s="59" t="str">
        <f t="shared" si="1"/>
        <v>ok</v>
      </c>
      <c r="J47" s="77">
        <f>IFERROR(VLOOKUP($H47,TG[],3,FALSE),"NA")</f>
        <v>0</v>
      </c>
      <c r="K47" s="77" t="str">
        <f>IFERROR(VLOOKUP($H47,TF[],3,FALSE),"NA")</f>
        <v>NA</v>
      </c>
      <c r="L47" s="77" t="str">
        <f>IFERROR(VLOOKUP($H47,TT[],3,FALSE),"NA")</f>
        <v>NA</v>
      </c>
      <c r="M47" s="77">
        <f>IFERROR(VLOOKUP($H47,TES[],3,FALSE),"NA")</f>
        <v>0</v>
      </c>
      <c r="N47" s="77" t="str">
        <f>IFERROR(VLOOKUP($H47,TEC[],3,FALSE),"NA")</f>
        <v>NA</v>
      </c>
      <c r="O47" s="77" t="str">
        <f>IFERROR(VLOOKUP($H47,TP[],3,FALSE),"NA")</f>
        <v>NA</v>
      </c>
      <c r="P47" s="77" t="str">
        <f>IFERROR(VLOOKUP($H47,TEN[],3,FALSE),"NA")</f>
        <v>NA</v>
      </c>
      <c r="Q47" s="77" t="str">
        <f>IFERROR(VLOOKUP($H47,TD[],3,FALSE),"NA")</f>
        <v>NA</v>
      </c>
      <c r="R47" s="77" t="str">
        <f>IFERROR(VLOOKUP($H47,TC[],3,FALSE),"NA")</f>
        <v>NA</v>
      </c>
      <c r="S47" s="77" t="str">
        <f>IFERROR(VLOOKUP($H47,TEV[],3,FALSE),"NA")</f>
        <v>NA</v>
      </c>
      <c r="T47" s="79">
        <f>SUM(TbPrestamo[[#This Row],[GENERAL]:[ELEVADOR]])</f>
        <v>0</v>
      </c>
      <c r="U47" s="80">
        <f>IF(VLOOKUP(TbPrestamo[[#This Row],[ITEM]],TbPiezas[],5,FALSE)="NA",0,VLOOKUP(TbPrestamo[[#This Row],[ITEM]],TbPiezas[],5,FALSE))</f>
        <v>12.5</v>
      </c>
      <c r="V47" s="81">
        <f>+TbPrestamo[[#This Row],[TOTAL]]*TbPrestamo[[#This Row],[P.U. (1)]]</f>
        <v>0</v>
      </c>
      <c r="W47" s="82">
        <f>+VLOOKUP(TbPrestamo[[#This Row],[ITEM]],TbPiezas[],6,FALSE)</f>
        <v>810.02</v>
      </c>
      <c r="X47" s="83">
        <f>+TbPrestamo[[#This Row],[TOTAL]]*TbPrestamo[[#This Row],[P.U. (2)]]</f>
        <v>0</v>
      </c>
      <c r="Y47" s="82">
        <f>+VLOOKUP(TbPrestamo[[#This Row],[ITEM]],TbPiezas[],7,FALSE)</f>
        <v>40.501000000000005</v>
      </c>
      <c r="Z47" s="84">
        <f>+TbPrestamo[[#This Row],[TOTAL]]*TbPrestamo[[#This Row],[P.U. (3)]]</f>
        <v>0</v>
      </c>
    </row>
    <row r="48" spans="1:26" ht="15" customHeight="1" x14ac:dyDescent="0.3">
      <c r="A48" s="2"/>
      <c r="B48" s="85">
        <v>31</v>
      </c>
      <c r="C48" s="71" t="s">
        <v>63</v>
      </c>
      <c r="D48" s="72" t="s">
        <v>64</v>
      </c>
      <c r="E48" s="73"/>
      <c r="F48" s="74">
        <f>+VLOOKUP(C48,TbPrestamo[],13,FALSE)</f>
        <v>0</v>
      </c>
      <c r="G48" s="2"/>
      <c r="H48" s="75" t="str">
        <f t="shared" si="0"/>
        <v>AM.2800</v>
      </c>
      <c r="I48" s="59" t="str">
        <f t="shared" si="1"/>
        <v>ok</v>
      </c>
      <c r="J48" s="77">
        <f>IFERROR(VLOOKUP($H48,TG[],3,FALSE),"NA")</f>
        <v>0</v>
      </c>
      <c r="K48" s="77">
        <f>IFERROR(VLOOKUP($H48,TF[],3,FALSE),"NA")</f>
        <v>0</v>
      </c>
      <c r="L48" s="77">
        <f>IFERROR(VLOOKUP($H48,TT[],3,FALSE),"NA")</f>
        <v>0</v>
      </c>
      <c r="M48" s="77" t="str">
        <f>IFERROR(VLOOKUP($H48,TES[],3,FALSE),"NA")</f>
        <v>NA</v>
      </c>
      <c r="N48" s="77" t="str">
        <f>IFERROR(VLOOKUP($H48,TEC[],3,FALSE),"NA")</f>
        <v>NA</v>
      </c>
      <c r="O48" s="77" t="str">
        <f>IFERROR(VLOOKUP($H48,TP[],3,FALSE),"NA")</f>
        <v>NA</v>
      </c>
      <c r="P48" s="77" t="str">
        <f>IFERROR(VLOOKUP($H48,TEN[],3,FALSE),"NA")</f>
        <v>NA</v>
      </c>
      <c r="Q48" s="77" t="str">
        <f>IFERROR(VLOOKUP($H48,TD[],3,FALSE),"NA")</f>
        <v>NA</v>
      </c>
      <c r="R48" s="77" t="str">
        <f>IFERROR(VLOOKUP($H48,TC[],3,FALSE),"NA")</f>
        <v>NA</v>
      </c>
      <c r="S48" s="77" t="str">
        <f>IFERROR(VLOOKUP($H48,TEV[],3,FALSE),"NA")</f>
        <v>NA</v>
      </c>
      <c r="T48" s="79">
        <f>SUM(TbPrestamo[[#This Row],[GENERAL]:[ELEVADOR]])</f>
        <v>0</v>
      </c>
      <c r="U48" s="80">
        <f>IF(VLOOKUP(TbPrestamo[[#This Row],[ITEM]],TbPiezas[],5,FALSE)="NA",0,VLOOKUP(TbPrestamo[[#This Row],[ITEM]],TbPiezas[],5,FALSE))</f>
        <v>11.799999999999997</v>
      </c>
      <c r="V48" s="81">
        <f>+TbPrestamo[[#This Row],[TOTAL]]*TbPrestamo[[#This Row],[P.U. (1)]]</f>
        <v>0</v>
      </c>
      <c r="W48" s="82">
        <f>+VLOOKUP(TbPrestamo[[#This Row],[ITEM]],TbPiezas[],6,FALSE)</f>
        <v>276.36</v>
      </c>
      <c r="X48" s="83">
        <f>+TbPrestamo[[#This Row],[TOTAL]]*TbPrestamo[[#This Row],[P.U. (2)]]</f>
        <v>0</v>
      </c>
      <c r="Y48" s="82">
        <f>+VLOOKUP(TbPrestamo[[#This Row],[ITEM]],TbPiezas[],7,FALSE)</f>
        <v>13.818000000000001</v>
      </c>
      <c r="Z48" s="84">
        <f>+TbPrestamo[[#This Row],[TOTAL]]*TbPrestamo[[#This Row],[P.U. (3)]]</f>
        <v>0</v>
      </c>
    </row>
    <row r="49" spans="1:26" ht="15" customHeight="1" x14ac:dyDescent="0.3">
      <c r="A49" s="2"/>
      <c r="B49" s="85">
        <v>32</v>
      </c>
      <c r="C49" s="71" t="s">
        <v>65</v>
      </c>
      <c r="D49" s="72" t="s">
        <v>66</v>
      </c>
      <c r="E49" s="73"/>
      <c r="F49" s="74">
        <f>+VLOOKUP(C49,TbPrestamo[],13,FALSE)</f>
        <v>0</v>
      </c>
      <c r="G49" s="2"/>
      <c r="H49" s="75" t="str">
        <f t="shared" si="0"/>
        <v>AM.2900</v>
      </c>
      <c r="I49" s="59" t="str">
        <f t="shared" si="1"/>
        <v>ok</v>
      </c>
      <c r="J49" s="77">
        <f>IFERROR(VLOOKUP($H49,TG[],3,FALSE),"NA")</f>
        <v>0</v>
      </c>
      <c r="K49" s="77">
        <f>IFERROR(VLOOKUP($H49,TF[],3,FALSE),"NA")</f>
        <v>0</v>
      </c>
      <c r="L49" s="77">
        <f>IFERROR(VLOOKUP($H49,TT[],3,FALSE),"NA")</f>
        <v>0</v>
      </c>
      <c r="M49" s="77" t="str">
        <f>IFERROR(VLOOKUP($H49,TES[],3,FALSE),"NA")</f>
        <v>NA</v>
      </c>
      <c r="N49" s="77" t="str">
        <f>IFERROR(VLOOKUP($H49,TEC[],3,FALSE),"NA")</f>
        <v>NA</v>
      </c>
      <c r="O49" s="77" t="str">
        <f>IFERROR(VLOOKUP($H49,TP[],3,FALSE),"NA")</f>
        <v>NA</v>
      </c>
      <c r="P49" s="77" t="str">
        <f>IFERROR(VLOOKUP($H49,TEN[],3,FALSE),"NA")</f>
        <v>NA</v>
      </c>
      <c r="Q49" s="77" t="str">
        <f>IFERROR(VLOOKUP($H49,TD[],3,FALSE),"NA")</f>
        <v>NA</v>
      </c>
      <c r="R49" s="77" t="str">
        <f>IFERROR(VLOOKUP($H49,TC[],3,FALSE),"NA")</f>
        <v>NA</v>
      </c>
      <c r="S49" s="77" t="str">
        <f>IFERROR(VLOOKUP($H49,TEV[],3,FALSE),"NA")</f>
        <v>NA</v>
      </c>
      <c r="T49" s="79">
        <f>SUM(TbPrestamo[[#This Row],[GENERAL]:[ELEVADOR]])</f>
        <v>0</v>
      </c>
      <c r="U49" s="80">
        <f>IF(VLOOKUP(TbPrestamo[[#This Row],[ITEM]],TbPiezas[],5,FALSE)="NA",0,VLOOKUP(TbPrestamo[[#This Row],[ITEM]],TbPiezas[],5,FALSE))</f>
        <v>7.7999999999999972</v>
      </c>
      <c r="V49" s="81">
        <f>+TbPrestamo[[#This Row],[TOTAL]]*TbPrestamo[[#This Row],[P.U. (1)]]</f>
        <v>0</v>
      </c>
      <c r="W49" s="82">
        <f>+VLOOKUP(TbPrestamo[[#This Row],[ITEM]],TbPiezas[],6,FALSE)</f>
        <v>255.03</v>
      </c>
      <c r="X49" s="83">
        <f>+TbPrestamo[[#This Row],[TOTAL]]*TbPrestamo[[#This Row],[P.U. (2)]]</f>
        <v>0</v>
      </c>
      <c r="Y49" s="82">
        <f>+VLOOKUP(TbPrestamo[[#This Row],[ITEM]],TbPiezas[],7,FALSE)</f>
        <v>12.7515</v>
      </c>
      <c r="Z49" s="84">
        <f>+TbPrestamo[[#This Row],[TOTAL]]*TbPrestamo[[#This Row],[P.U. (3)]]</f>
        <v>0</v>
      </c>
    </row>
    <row r="50" spans="1:26" ht="15" customHeight="1" x14ac:dyDescent="0.3">
      <c r="A50" s="2"/>
      <c r="B50" s="85">
        <v>33</v>
      </c>
      <c r="C50" s="71" t="s">
        <v>67</v>
      </c>
      <c r="D50" s="72" t="s">
        <v>68</v>
      </c>
      <c r="E50" s="73"/>
      <c r="F50" s="74">
        <f>+VLOOKUP(C50,TbPrestamo[],13,FALSE)</f>
        <v>0</v>
      </c>
      <c r="G50" s="2"/>
      <c r="H50" s="75" t="str">
        <f t="shared" si="0"/>
        <v>AM.3000</v>
      </c>
      <c r="I50" s="59" t="str">
        <f t="shared" si="1"/>
        <v>ok</v>
      </c>
      <c r="J50" s="77">
        <f>IFERROR(VLOOKUP($H50,TG[],3,FALSE),"NA")</f>
        <v>0</v>
      </c>
      <c r="K50" s="77">
        <f>IFERROR(VLOOKUP($H50,TF[],3,FALSE),"NA")</f>
        <v>0</v>
      </c>
      <c r="L50" s="77">
        <f>IFERROR(VLOOKUP($H50,TT[],3,FALSE),"NA")</f>
        <v>0</v>
      </c>
      <c r="M50" s="77" t="str">
        <f>IFERROR(VLOOKUP($H50,TES[],3,FALSE),"NA")</f>
        <v>NA</v>
      </c>
      <c r="N50" s="77" t="str">
        <f>IFERROR(VLOOKUP($H50,TEC[],3,FALSE),"NA")</f>
        <v>NA</v>
      </c>
      <c r="O50" s="77" t="str">
        <f>IFERROR(VLOOKUP($H50,TP[],3,FALSE),"NA")</f>
        <v>NA</v>
      </c>
      <c r="P50" s="77" t="str">
        <f>IFERROR(VLOOKUP($H50,TEN[],3,FALSE),"NA")</f>
        <v>NA</v>
      </c>
      <c r="Q50" s="77" t="str">
        <f>IFERROR(VLOOKUP($H50,TD[],3,FALSE),"NA")</f>
        <v>NA</v>
      </c>
      <c r="R50" s="77" t="str">
        <f>IFERROR(VLOOKUP($H50,TC[],3,FALSE),"NA")</f>
        <v>NA</v>
      </c>
      <c r="S50" s="77" t="str">
        <f>IFERROR(VLOOKUP($H50,TEV[],3,FALSE),"NA")</f>
        <v>NA</v>
      </c>
      <c r="T50" s="79">
        <f>SUM(TbPrestamo[[#This Row],[GENERAL]:[ELEVADOR]])</f>
        <v>0</v>
      </c>
      <c r="U50" s="80">
        <f>IF(VLOOKUP(TbPrestamo[[#This Row],[ITEM]],TbPiezas[],5,FALSE)="NA",0,VLOOKUP(TbPrestamo[[#This Row],[ITEM]],TbPiezas[],5,FALSE))</f>
        <v>0.5</v>
      </c>
      <c r="V50" s="81">
        <f>+TbPrestamo[[#This Row],[TOTAL]]*TbPrestamo[[#This Row],[P.U. (1)]]</f>
        <v>0</v>
      </c>
      <c r="W50" s="82">
        <f>+VLOOKUP(TbPrestamo[[#This Row],[ITEM]],TbPiezas[],6,FALSE)</f>
        <v>105.43</v>
      </c>
      <c r="X50" s="83">
        <f>+TbPrestamo[[#This Row],[TOTAL]]*TbPrestamo[[#This Row],[P.U. (2)]]</f>
        <v>0</v>
      </c>
      <c r="Y50" s="82">
        <f>+VLOOKUP(TbPrestamo[[#This Row],[ITEM]],TbPiezas[],7,FALSE)</f>
        <v>5.2715000000000005</v>
      </c>
      <c r="Z50" s="84">
        <f>+TbPrestamo[[#This Row],[TOTAL]]*TbPrestamo[[#This Row],[P.U. (3)]]</f>
        <v>0</v>
      </c>
    </row>
    <row r="51" spans="1:26" ht="15" customHeight="1" x14ac:dyDescent="0.3">
      <c r="A51" s="2"/>
      <c r="B51" s="85">
        <v>34</v>
      </c>
      <c r="C51" s="71" t="s">
        <v>69</v>
      </c>
      <c r="D51" s="72" t="s">
        <v>70</v>
      </c>
      <c r="E51" s="73"/>
      <c r="F51" s="74">
        <f>+VLOOKUP(C51,TbPrestamo[],13,FALSE)</f>
        <v>0</v>
      </c>
      <c r="G51" s="2"/>
      <c r="H51" s="75" t="str">
        <f t="shared" si="0"/>
        <v>AM.3100</v>
      </c>
      <c r="I51" s="59" t="str">
        <f t="shared" si="1"/>
        <v>ok</v>
      </c>
      <c r="J51" s="77">
        <f>IFERROR(VLOOKUP($H51,TG[],3,FALSE),"NA")</f>
        <v>0</v>
      </c>
      <c r="K51" s="77">
        <f>IFERROR(VLOOKUP($H51,TF[],3,FALSE),"NA")</f>
        <v>0</v>
      </c>
      <c r="L51" s="77">
        <f>IFERROR(VLOOKUP($H51,TT[],3,FALSE),"NA")</f>
        <v>0</v>
      </c>
      <c r="M51" s="77">
        <f>IFERROR(VLOOKUP($H51,TES[],3,FALSE),"NA")</f>
        <v>0</v>
      </c>
      <c r="N51" s="77" t="str">
        <f>IFERROR(VLOOKUP($H51,TEC[],3,FALSE),"NA")</f>
        <v>NA</v>
      </c>
      <c r="O51" s="77" t="str">
        <f>IFERROR(VLOOKUP($H51,TP[],3,FALSE),"NA")</f>
        <v>NA</v>
      </c>
      <c r="P51" s="77" t="str">
        <f>IFERROR(VLOOKUP($H51,TEN[],3,FALSE),"NA")</f>
        <v>NA</v>
      </c>
      <c r="Q51" s="77" t="str">
        <f>IFERROR(VLOOKUP($H51,TD[],3,FALSE),"NA")</f>
        <v>NA</v>
      </c>
      <c r="R51" s="77" t="str">
        <f>IFERROR(VLOOKUP($H51,TC[],3,FALSE),"NA")</f>
        <v>NA</v>
      </c>
      <c r="S51" s="77" t="str">
        <f>IFERROR(VLOOKUP($H51,TEV[],3,FALSE),"NA")</f>
        <v>NA</v>
      </c>
      <c r="T51" s="79">
        <f>SUM(TbPrestamo[[#This Row],[GENERAL]:[ELEVADOR]])</f>
        <v>0</v>
      </c>
      <c r="U51" s="80">
        <f>IF(VLOOKUP(TbPrestamo[[#This Row],[ITEM]],TbPiezas[],5,FALSE)="NA",0,VLOOKUP(TbPrestamo[[#This Row],[ITEM]],TbPiezas[],5,FALSE))</f>
        <v>10.91</v>
      </c>
      <c r="V51" s="81">
        <f>+TbPrestamo[[#This Row],[TOTAL]]*TbPrestamo[[#This Row],[P.U. (1)]]</f>
        <v>0</v>
      </c>
      <c r="W51" s="82">
        <f>+VLOOKUP(TbPrestamo[[#This Row],[ITEM]],TbPiezas[],6,FALSE)</f>
        <v>808.35</v>
      </c>
      <c r="X51" s="83">
        <f>+TbPrestamo[[#This Row],[TOTAL]]*TbPrestamo[[#This Row],[P.U. (2)]]</f>
        <v>0</v>
      </c>
      <c r="Y51" s="82">
        <f>+VLOOKUP(TbPrestamo[[#This Row],[ITEM]],TbPiezas[],7,FALSE)</f>
        <v>40.417500000000004</v>
      </c>
      <c r="Z51" s="84">
        <f>+TbPrestamo[[#This Row],[TOTAL]]*TbPrestamo[[#This Row],[P.U. (3)]]</f>
        <v>0</v>
      </c>
    </row>
    <row r="52" spans="1:26" ht="15" customHeight="1" x14ac:dyDescent="0.3">
      <c r="A52" s="2"/>
      <c r="B52" s="85">
        <v>35</v>
      </c>
      <c r="C52" s="71" t="s">
        <v>71</v>
      </c>
      <c r="D52" s="72" t="s">
        <v>72</v>
      </c>
      <c r="E52" s="73"/>
      <c r="F52" s="74">
        <f>+VLOOKUP(C52,TbPrestamo[],13,FALSE)</f>
        <v>0</v>
      </c>
      <c r="G52" s="2"/>
      <c r="H52" s="75" t="str">
        <f t="shared" si="0"/>
        <v>AM.3200</v>
      </c>
      <c r="I52" s="59" t="str">
        <f t="shared" si="1"/>
        <v>ok</v>
      </c>
      <c r="J52" s="77">
        <f>IFERROR(VLOOKUP($H52,TG[],3,FALSE),"NA")</f>
        <v>0</v>
      </c>
      <c r="K52" s="77">
        <f>IFERROR(VLOOKUP($H52,TF[],3,FALSE),"NA")</f>
        <v>0</v>
      </c>
      <c r="L52" s="77">
        <f>IFERROR(VLOOKUP($H52,TT[],3,FALSE),"NA")</f>
        <v>0</v>
      </c>
      <c r="M52" s="77">
        <f>IFERROR(VLOOKUP($H52,TES[],3,FALSE),"NA")</f>
        <v>0</v>
      </c>
      <c r="N52" s="77" t="str">
        <f>IFERROR(VLOOKUP($H52,TEC[],3,FALSE),"NA")</f>
        <v>NA</v>
      </c>
      <c r="O52" s="77" t="str">
        <f>IFERROR(VLOOKUP($H52,TP[],3,FALSE),"NA")</f>
        <v>NA</v>
      </c>
      <c r="P52" s="77" t="str">
        <f>IFERROR(VLOOKUP($H52,TEN[],3,FALSE),"NA")</f>
        <v>NA</v>
      </c>
      <c r="Q52" s="77" t="str">
        <f>IFERROR(VLOOKUP($H52,TD[],3,FALSE),"NA")</f>
        <v>NA</v>
      </c>
      <c r="R52" s="77" t="str">
        <f>IFERROR(VLOOKUP($H52,TC[],3,FALSE),"NA")</f>
        <v>NA</v>
      </c>
      <c r="S52" s="77" t="str">
        <f>IFERROR(VLOOKUP($H52,TEV[],3,FALSE),"NA")</f>
        <v>NA</v>
      </c>
      <c r="T52" s="79">
        <f>SUM(TbPrestamo[[#This Row],[GENERAL]:[ELEVADOR]])</f>
        <v>0</v>
      </c>
      <c r="U52" s="80">
        <f>IF(VLOOKUP(TbPrestamo[[#This Row],[ITEM]],TbPiezas[],5,FALSE)="NA",0,VLOOKUP(TbPrestamo[[#This Row],[ITEM]],TbPiezas[],5,FALSE))</f>
        <v>4.2999999999999972</v>
      </c>
      <c r="V52" s="81">
        <f>+TbPrestamo[[#This Row],[TOTAL]]*TbPrestamo[[#This Row],[P.U. (1)]]</f>
        <v>0</v>
      </c>
      <c r="W52" s="82">
        <f>+VLOOKUP(TbPrestamo[[#This Row],[ITEM]],TbPiezas[],6,FALSE)</f>
        <v>519.13</v>
      </c>
      <c r="X52" s="83">
        <f>+TbPrestamo[[#This Row],[TOTAL]]*TbPrestamo[[#This Row],[P.U. (2)]]</f>
        <v>0</v>
      </c>
      <c r="Y52" s="82">
        <f>+VLOOKUP(TbPrestamo[[#This Row],[ITEM]],TbPiezas[],7,FALSE)</f>
        <v>25.956500000000002</v>
      </c>
      <c r="Z52" s="84">
        <f>+TbPrestamo[[#This Row],[TOTAL]]*TbPrestamo[[#This Row],[P.U. (3)]]</f>
        <v>0</v>
      </c>
    </row>
    <row r="53" spans="1:26" ht="15" customHeight="1" x14ac:dyDescent="0.3">
      <c r="A53" s="2"/>
      <c r="B53" s="85">
        <v>36</v>
      </c>
      <c r="C53" s="71" t="s">
        <v>73</v>
      </c>
      <c r="D53" s="72" t="s">
        <v>74</v>
      </c>
      <c r="E53" s="73"/>
      <c r="F53" s="74">
        <f>+VLOOKUP(C53,TbPrestamo[],13,FALSE)</f>
        <v>0</v>
      </c>
      <c r="G53" s="2"/>
      <c r="H53" s="75" t="str">
        <f t="shared" si="0"/>
        <v>AM.3300</v>
      </c>
      <c r="I53" s="59" t="str">
        <f t="shared" si="1"/>
        <v>ok</v>
      </c>
      <c r="J53" s="77">
        <f>IFERROR(VLOOKUP($H53,TG[],3,FALSE),"NA")</f>
        <v>0</v>
      </c>
      <c r="K53" s="77">
        <f>IFERROR(VLOOKUP($H53,TF[],3,FALSE),"NA")</f>
        <v>0</v>
      </c>
      <c r="L53" s="77">
        <f>IFERROR(VLOOKUP($H53,TT[],3,FALSE),"NA")</f>
        <v>0</v>
      </c>
      <c r="M53" s="77">
        <f>IFERROR(VLOOKUP($H53,TES[],3,FALSE),"NA")</f>
        <v>0</v>
      </c>
      <c r="N53" s="77" t="str">
        <f>IFERROR(VLOOKUP($H53,TEC[],3,FALSE),"NA")</f>
        <v>NA</v>
      </c>
      <c r="O53" s="77" t="str">
        <f>IFERROR(VLOOKUP($H53,TP[],3,FALSE),"NA")</f>
        <v>NA</v>
      </c>
      <c r="P53" s="77" t="str">
        <f>IFERROR(VLOOKUP($H53,TEN[],3,FALSE),"NA")</f>
        <v>NA</v>
      </c>
      <c r="Q53" s="77" t="str">
        <f>IFERROR(VLOOKUP($H53,TD[],3,FALSE),"NA")</f>
        <v>NA</v>
      </c>
      <c r="R53" s="77" t="str">
        <f>IFERROR(VLOOKUP($H53,TC[],3,FALSE),"NA")</f>
        <v>NA</v>
      </c>
      <c r="S53" s="77" t="str">
        <f>IFERROR(VLOOKUP($H53,TEV[],3,FALSE),"NA")</f>
        <v>NA</v>
      </c>
      <c r="T53" s="79">
        <f>SUM(TbPrestamo[[#This Row],[GENERAL]:[ELEVADOR]])</f>
        <v>0</v>
      </c>
      <c r="U53" s="80">
        <f>IF(VLOOKUP(TbPrestamo[[#This Row],[ITEM]],TbPiezas[],5,FALSE)="NA",0,VLOOKUP(TbPrestamo[[#This Row],[ITEM]],TbPiezas[],5,FALSE))</f>
        <v>3.2999999999999972</v>
      </c>
      <c r="V53" s="81">
        <f>+TbPrestamo[[#This Row],[TOTAL]]*TbPrestamo[[#This Row],[P.U. (1)]]</f>
        <v>0</v>
      </c>
      <c r="W53" s="82">
        <f>+VLOOKUP(TbPrestamo[[#This Row],[ITEM]],TbPiezas[],6,FALSE)</f>
        <v>259.56</v>
      </c>
      <c r="X53" s="83">
        <f>+TbPrestamo[[#This Row],[TOTAL]]*TbPrestamo[[#This Row],[P.U. (2)]]</f>
        <v>0</v>
      </c>
      <c r="Y53" s="82">
        <f>+VLOOKUP(TbPrestamo[[#This Row],[ITEM]],TbPiezas[],7,FALSE)</f>
        <v>12.978000000000002</v>
      </c>
      <c r="Z53" s="84">
        <f>+TbPrestamo[[#This Row],[TOTAL]]*TbPrestamo[[#This Row],[P.U. (3)]]</f>
        <v>0</v>
      </c>
    </row>
    <row r="54" spans="1:26" ht="15" customHeight="1" x14ac:dyDescent="0.3">
      <c r="A54" s="2"/>
      <c r="B54" s="85">
        <v>37</v>
      </c>
      <c r="C54" s="71" t="s">
        <v>75</v>
      </c>
      <c r="D54" s="72" t="s">
        <v>76</v>
      </c>
      <c r="E54" s="73"/>
      <c r="F54" s="74">
        <f>+VLOOKUP(C54,TbPrestamo[],13,FALSE)</f>
        <v>0</v>
      </c>
      <c r="G54" s="2"/>
      <c r="H54" s="75" t="str">
        <f t="shared" si="0"/>
        <v>AM.3400</v>
      </c>
      <c r="I54" s="59" t="str">
        <f t="shared" si="1"/>
        <v>ok</v>
      </c>
      <c r="J54" s="77">
        <f>IFERROR(VLOOKUP($H54,TG[],3,FALSE),"NA")</f>
        <v>0</v>
      </c>
      <c r="K54" s="77">
        <f>IFERROR(VLOOKUP($H54,TF[],3,FALSE),"NA")</f>
        <v>0</v>
      </c>
      <c r="L54" s="77">
        <f>IFERROR(VLOOKUP($H54,TT[],3,FALSE),"NA")</f>
        <v>0</v>
      </c>
      <c r="M54" s="77">
        <f>IFERROR(VLOOKUP($H54,TES[],3,FALSE),"NA")</f>
        <v>0</v>
      </c>
      <c r="N54" s="77" t="str">
        <f>IFERROR(VLOOKUP($H54,TEC[],3,FALSE),"NA")</f>
        <v>NA</v>
      </c>
      <c r="O54" s="77" t="str">
        <f>IFERROR(VLOOKUP($H54,TP[],3,FALSE),"NA")</f>
        <v>NA</v>
      </c>
      <c r="P54" s="77" t="str">
        <f>IFERROR(VLOOKUP($H54,TEN[],3,FALSE),"NA")</f>
        <v>NA</v>
      </c>
      <c r="Q54" s="77" t="str">
        <f>IFERROR(VLOOKUP($H54,TD[],3,FALSE),"NA")</f>
        <v>NA</v>
      </c>
      <c r="R54" s="77" t="str">
        <f>IFERROR(VLOOKUP($H54,TC[],3,FALSE),"NA")</f>
        <v>NA</v>
      </c>
      <c r="S54" s="77" t="str">
        <f>IFERROR(VLOOKUP($H54,TEV[],3,FALSE),"NA")</f>
        <v>NA</v>
      </c>
      <c r="T54" s="79">
        <f>SUM(TbPrestamo[[#This Row],[GENERAL]:[ELEVADOR]])</f>
        <v>0</v>
      </c>
      <c r="U54" s="80">
        <f>IF(VLOOKUP(TbPrestamo[[#This Row],[ITEM]],TbPiezas[],5,FALSE)="NA",0,VLOOKUP(TbPrestamo[[#This Row],[ITEM]],TbPiezas[],5,FALSE))</f>
        <v>5</v>
      </c>
      <c r="V54" s="81">
        <f>+TbPrestamo[[#This Row],[TOTAL]]*TbPrestamo[[#This Row],[P.U. (1)]]</f>
        <v>0</v>
      </c>
      <c r="W54" s="82">
        <f>+VLOOKUP(TbPrestamo[[#This Row],[ITEM]],TbPiezas[],6,FALSE)</f>
        <v>139.11000000000001</v>
      </c>
      <c r="X54" s="83">
        <f>+TbPrestamo[[#This Row],[TOTAL]]*TbPrestamo[[#This Row],[P.U. (2)]]</f>
        <v>0</v>
      </c>
      <c r="Y54" s="82">
        <f>+VLOOKUP(TbPrestamo[[#This Row],[ITEM]],TbPiezas[],7,FALSE)</f>
        <v>6.9555000000000007</v>
      </c>
      <c r="Z54" s="84">
        <f>+TbPrestamo[[#This Row],[TOTAL]]*TbPrestamo[[#This Row],[P.U. (3)]]</f>
        <v>0</v>
      </c>
    </row>
    <row r="55" spans="1:26" ht="15" customHeight="1" x14ac:dyDescent="0.3">
      <c r="A55" s="2"/>
      <c r="B55" s="85">
        <v>38</v>
      </c>
      <c r="C55" s="71" t="s">
        <v>77</v>
      </c>
      <c r="D55" s="72" t="s">
        <v>78</v>
      </c>
      <c r="E55" s="73"/>
      <c r="F55" s="74">
        <f>+VLOOKUP(C55,TbPrestamo[],13,FALSE)</f>
        <v>0</v>
      </c>
      <c r="G55" s="2"/>
      <c r="H55" s="75" t="str">
        <f t="shared" si="0"/>
        <v>AM.3500</v>
      </c>
      <c r="I55" s="59" t="str">
        <f t="shared" si="1"/>
        <v>ok</v>
      </c>
      <c r="J55" s="77">
        <f>IFERROR(VLOOKUP($H55,TG[],3,FALSE),"NA")</f>
        <v>0</v>
      </c>
      <c r="K55" s="77">
        <f>IFERROR(VLOOKUP($H55,TF[],3,FALSE),"NA")</f>
        <v>0</v>
      </c>
      <c r="L55" s="77">
        <f>IFERROR(VLOOKUP($H55,TT[],3,FALSE),"NA")</f>
        <v>0</v>
      </c>
      <c r="M55" s="77">
        <f>IFERROR(VLOOKUP($H55,TES[],3,FALSE),"NA")</f>
        <v>0</v>
      </c>
      <c r="N55" s="77" t="str">
        <f>IFERROR(VLOOKUP($H55,TEC[],3,FALSE),"NA")</f>
        <v>NA</v>
      </c>
      <c r="O55" s="77" t="str">
        <f>IFERROR(VLOOKUP($H55,TP[],3,FALSE),"NA")</f>
        <v>NA</v>
      </c>
      <c r="P55" s="77" t="str">
        <f>IFERROR(VLOOKUP($H55,TEN[],3,FALSE),"NA")</f>
        <v>NA</v>
      </c>
      <c r="Q55" s="77" t="str">
        <f>IFERROR(VLOOKUP($H55,TD[],3,FALSE),"NA")</f>
        <v>NA</v>
      </c>
      <c r="R55" s="77" t="str">
        <f>IFERROR(VLOOKUP($H55,TC[],3,FALSE),"NA")</f>
        <v>NA</v>
      </c>
      <c r="S55" s="77" t="str">
        <f>IFERROR(VLOOKUP($H55,TEV[],3,FALSE),"NA")</f>
        <v>NA</v>
      </c>
      <c r="T55" s="79">
        <f>SUM(TbPrestamo[[#This Row],[GENERAL]:[ELEVADOR]])</f>
        <v>0</v>
      </c>
      <c r="U55" s="80">
        <f>IF(VLOOKUP(TbPrestamo[[#This Row],[ITEM]],TbPiezas[],5,FALSE)="NA",0,VLOOKUP(TbPrestamo[[#This Row],[ITEM]],TbPiezas[],5,FALSE))</f>
        <v>3.5</v>
      </c>
      <c r="V55" s="81">
        <f>+TbPrestamo[[#This Row],[TOTAL]]*TbPrestamo[[#This Row],[P.U. (1)]]</f>
        <v>0</v>
      </c>
      <c r="W55" s="82">
        <f>+VLOOKUP(TbPrestamo[[#This Row],[ITEM]],TbPiezas[],6,FALSE)</f>
        <v>136.57</v>
      </c>
      <c r="X55" s="83">
        <f>+TbPrestamo[[#This Row],[TOTAL]]*TbPrestamo[[#This Row],[P.U. (2)]]</f>
        <v>0</v>
      </c>
      <c r="Y55" s="82">
        <f>+VLOOKUP(TbPrestamo[[#This Row],[ITEM]],TbPiezas[],7,FALSE)</f>
        <v>6.8285</v>
      </c>
      <c r="Z55" s="84">
        <f>+TbPrestamo[[#This Row],[TOTAL]]*TbPrestamo[[#This Row],[P.U. (3)]]</f>
        <v>0</v>
      </c>
    </row>
    <row r="56" spans="1:26" ht="15" customHeight="1" x14ac:dyDescent="0.3">
      <c r="A56" s="2"/>
      <c r="B56" s="85">
        <v>39</v>
      </c>
      <c r="C56" s="71" t="s">
        <v>79</v>
      </c>
      <c r="D56" s="72" t="s">
        <v>80</v>
      </c>
      <c r="E56" s="73"/>
      <c r="F56" s="74">
        <f>+VLOOKUP(C56,TbPrestamo[],13,FALSE)</f>
        <v>0</v>
      </c>
      <c r="G56" s="2"/>
      <c r="H56" s="75" t="str">
        <f t="shared" si="0"/>
        <v>AM.3600</v>
      </c>
      <c r="I56" s="59" t="str">
        <f t="shared" si="1"/>
        <v>ok</v>
      </c>
      <c r="J56" s="77">
        <f>IFERROR(VLOOKUP($H56,TG[],3,FALSE),"NA")</f>
        <v>0</v>
      </c>
      <c r="K56" s="77">
        <f>IFERROR(VLOOKUP($H56,TF[],3,FALSE),"NA")</f>
        <v>0</v>
      </c>
      <c r="L56" s="77">
        <f>IFERROR(VLOOKUP($H56,TT[],3,FALSE),"NA")</f>
        <v>0</v>
      </c>
      <c r="M56" s="77">
        <f>IFERROR(VLOOKUP($H56,TES[],3,FALSE),"NA")</f>
        <v>0</v>
      </c>
      <c r="N56" s="77" t="str">
        <f>IFERROR(VLOOKUP($H56,TEC[],3,FALSE),"NA")</f>
        <v>NA</v>
      </c>
      <c r="O56" s="77" t="str">
        <f>IFERROR(VLOOKUP($H56,TP[],3,FALSE),"NA")</f>
        <v>NA</v>
      </c>
      <c r="P56" s="77" t="str">
        <f>IFERROR(VLOOKUP($H56,TEN[],3,FALSE),"NA")</f>
        <v>NA</v>
      </c>
      <c r="Q56" s="77" t="str">
        <f>IFERROR(VLOOKUP($H56,TD[],3,FALSE),"NA")</f>
        <v>NA</v>
      </c>
      <c r="R56" s="77" t="str">
        <f>IFERROR(VLOOKUP($H56,TC[],3,FALSE),"NA")</f>
        <v>NA</v>
      </c>
      <c r="S56" s="77" t="str">
        <f>IFERROR(VLOOKUP($H56,TEV[],3,FALSE),"NA")</f>
        <v>NA</v>
      </c>
      <c r="T56" s="79">
        <f>SUM(TbPrestamo[[#This Row],[GENERAL]:[ELEVADOR]])</f>
        <v>0</v>
      </c>
      <c r="U56" s="80">
        <f>IF(VLOOKUP(TbPrestamo[[#This Row],[ITEM]],TbPiezas[],5,FALSE)="NA",0,VLOOKUP(TbPrestamo[[#This Row],[ITEM]],TbPiezas[],5,FALSE))</f>
        <v>2.5999999999999943</v>
      </c>
      <c r="V56" s="81">
        <f>+TbPrestamo[[#This Row],[TOTAL]]*TbPrestamo[[#This Row],[P.U. (1)]]</f>
        <v>0</v>
      </c>
      <c r="W56" s="82">
        <f>+VLOOKUP(TbPrestamo[[#This Row],[ITEM]],TbPiezas[],6,FALSE)</f>
        <v>128.38</v>
      </c>
      <c r="X56" s="83">
        <f>+TbPrestamo[[#This Row],[TOTAL]]*TbPrestamo[[#This Row],[P.U. (2)]]</f>
        <v>0</v>
      </c>
      <c r="Y56" s="82">
        <f>+VLOOKUP(TbPrestamo[[#This Row],[ITEM]],TbPiezas[],7,FALSE)</f>
        <v>6.4190000000000005</v>
      </c>
      <c r="Z56" s="84">
        <f>+TbPrestamo[[#This Row],[TOTAL]]*TbPrestamo[[#This Row],[P.U. (3)]]</f>
        <v>0</v>
      </c>
    </row>
    <row r="57" spans="1:26" ht="15" customHeight="1" x14ac:dyDescent="0.3">
      <c r="A57" s="2"/>
      <c r="B57" s="85">
        <v>40</v>
      </c>
      <c r="C57" s="71" t="s">
        <v>81</v>
      </c>
      <c r="D57" s="72" t="s">
        <v>82</v>
      </c>
      <c r="E57" s="73"/>
      <c r="F57" s="74">
        <f>+VLOOKUP(C57,TbPrestamo[],13,FALSE)</f>
        <v>0</v>
      </c>
      <c r="G57" s="2"/>
      <c r="H57" s="75" t="str">
        <f t="shared" si="0"/>
        <v>AM.3700</v>
      </c>
      <c r="I57" s="59" t="str">
        <f t="shared" si="1"/>
        <v>ok</v>
      </c>
      <c r="J57" s="77">
        <f>IFERROR(VLOOKUP($H57,TG[],3,FALSE),"NA")</f>
        <v>0</v>
      </c>
      <c r="K57" s="77">
        <f>IFERROR(VLOOKUP($H57,TF[],3,FALSE),"NA")</f>
        <v>0</v>
      </c>
      <c r="L57" s="77">
        <f>IFERROR(VLOOKUP($H57,TT[],3,FALSE),"NA")</f>
        <v>0</v>
      </c>
      <c r="M57" s="77">
        <f>IFERROR(VLOOKUP($H57,TES[],3,FALSE),"NA")</f>
        <v>0</v>
      </c>
      <c r="N57" s="77" t="str">
        <f>IFERROR(VLOOKUP($H57,TEC[],3,FALSE),"NA")</f>
        <v>NA</v>
      </c>
      <c r="O57" s="77" t="str">
        <f>IFERROR(VLOOKUP($H57,TP[],3,FALSE),"NA")</f>
        <v>NA</v>
      </c>
      <c r="P57" s="77" t="str">
        <f>IFERROR(VLOOKUP($H57,TEN[],3,FALSE),"NA")</f>
        <v>NA</v>
      </c>
      <c r="Q57" s="77" t="str">
        <f>IFERROR(VLOOKUP($H57,TD[],3,FALSE),"NA")</f>
        <v>NA</v>
      </c>
      <c r="R57" s="77" t="str">
        <f>IFERROR(VLOOKUP($H57,TC[],3,FALSE),"NA")</f>
        <v>NA</v>
      </c>
      <c r="S57" s="77" t="str">
        <f>IFERROR(VLOOKUP($H57,TEV[],3,FALSE),"NA")</f>
        <v>NA</v>
      </c>
      <c r="T57" s="79">
        <f>SUM(TbPrestamo[[#This Row],[GENERAL]:[ELEVADOR]])</f>
        <v>0</v>
      </c>
      <c r="U57" s="80">
        <f>IF(VLOOKUP(TbPrestamo[[#This Row],[ITEM]],TbPiezas[],5,FALSE)="NA",0,VLOOKUP(TbPrestamo[[#This Row],[ITEM]],TbPiezas[],5,FALSE))</f>
        <v>1.4000000000000057</v>
      </c>
      <c r="V57" s="81">
        <f>+TbPrestamo[[#This Row],[TOTAL]]*TbPrestamo[[#This Row],[P.U. (1)]]</f>
        <v>0</v>
      </c>
      <c r="W57" s="82">
        <f>+VLOOKUP(TbPrestamo[[#This Row],[ITEM]],TbPiezas[],6,FALSE)</f>
        <v>109.33</v>
      </c>
      <c r="X57" s="83">
        <f>+TbPrestamo[[#This Row],[TOTAL]]*TbPrestamo[[#This Row],[P.U. (2)]]</f>
        <v>0</v>
      </c>
      <c r="Y57" s="82">
        <f>+VLOOKUP(TbPrestamo[[#This Row],[ITEM]],TbPiezas[],7,FALSE)</f>
        <v>5.4664999999999999</v>
      </c>
      <c r="Z57" s="84">
        <f>+TbPrestamo[[#This Row],[TOTAL]]*TbPrestamo[[#This Row],[P.U. (3)]]</f>
        <v>0</v>
      </c>
    </row>
    <row r="58" spans="1:26" ht="15" customHeight="1" x14ac:dyDescent="0.3">
      <c r="A58" s="2"/>
      <c r="B58" s="85">
        <v>41</v>
      </c>
      <c r="C58" s="71" t="s">
        <v>83</v>
      </c>
      <c r="D58" s="72" t="s">
        <v>84</v>
      </c>
      <c r="E58" s="73"/>
      <c r="F58" s="74">
        <f>+VLOOKUP(C58,TbPrestamo[],13,FALSE)</f>
        <v>0</v>
      </c>
      <c r="G58" s="2"/>
      <c r="H58" s="75" t="str">
        <f t="shared" si="0"/>
        <v>AM.3800</v>
      </c>
      <c r="I58" s="59" t="str">
        <f t="shared" si="1"/>
        <v>ok</v>
      </c>
      <c r="J58" s="77">
        <f>IFERROR(VLOOKUP($H58,TG[],3,FALSE),"NA")</f>
        <v>0</v>
      </c>
      <c r="K58" s="77">
        <f>IFERROR(VLOOKUP($H58,TF[],3,FALSE),"NA")</f>
        <v>0</v>
      </c>
      <c r="L58" s="77">
        <f>IFERROR(VLOOKUP($H58,TT[],3,FALSE),"NA")</f>
        <v>0</v>
      </c>
      <c r="M58" s="77">
        <f>IFERROR(VLOOKUP($H58,TES[],3,FALSE),"NA")</f>
        <v>0</v>
      </c>
      <c r="N58" s="77" t="str">
        <f>IFERROR(VLOOKUP($H58,TEC[],3,FALSE),"NA")</f>
        <v>NA</v>
      </c>
      <c r="O58" s="77" t="str">
        <f>IFERROR(VLOOKUP($H58,TP[],3,FALSE),"NA")</f>
        <v>NA</v>
      </c>
      <c r="P58" s="77" t="str">
        <f>IFERROR(VLOOKUP($H58,TEN[],3,FALSE),"NA")</f>
        <v>NA</v>
      </c>
      <c r="Q58" s="77" t="str">
        <f>IFERROR(VLOOKUP($H58,TD[],3,FALSE),"NA")</f>
        <v>NA</v>
      </c>
      <c r="R58" s="77" t="str">
        <f>IFERROR(VLOOKUP($H58,TC[],3,FALSE),"NA")</f>
        <v>NA</v>
      </c>
      <c r="S58" s="77" t="str">
        <f>IFERROR(VLOOKUP($H58,TEV[],3,FALSE),"NA")</f>
        <v>NA</v>
      </c>
      <c r="T58" s="79">
        <f>SUM(TbPrestamo[[#This Row],[GENERAL]:[ELEVADOR]])</f>
        <v>0</v>
      </c>
      <c r="U58" s="80">
        <f>IF(VLOOKUP(TbPrestamo[[#This Row],[ITEM]],TbPiezas[],5,FALSE)="NA",0,VLOOKUP(TbPrestamo[[#This Row],[ITEM]],TbPiezas[],5,FALSE))</f>
        <v>0.79999999999999716</v>
      </c>
      <c r="V58" s="81">
        <f>+TbPrestamo[[#This Row],[TOTAL]]*TbPrestamo[[#This Row],[P.U. (1)]]</f>
        <v>0</v>
      </c>
      <c r="W58" s="82">
        <f>+VLOOKUP(TbPrestamo[[#This Row],[ITEM]],TbPiezas[],6,FALSE)</f>
        <v>91.83</v>
      </c>
      <c r="X58" s="83">
        <f>+TbPrestamo[[#This Row],[TOTAL]]*TbPrestamo[[#This Row],[P.U. (2)]]</f>
        <v>0</v>
      </c>
      <c r="Y58" s="82">
        <f>+VLOOKUP(TbPrestamo[[#This Row],[ITEM]],TbPiezas[],7,FALSE)</f>
        <v>4.5914999999999999</v>
      </c>
      <c r="Z58" s="84">
        <f>+TbPrestamo[[#This Row],[TOTAL]]*TbPrestamo[[#This Row],[P.U. (3)]]</f>
        <v>0</v>
      </c>
    </row>
    <row r="59" spans="1:26" ht="15" customHeight="1" x14ac:dyDescent="0.3">
      <c r="A59" s="2"/>
      <c r="B59" s="85">
        <v>42</v>
      </c>
      <c r="C59" s="71" t="s">
        <v>85</v>
      </c>
      <c r="D59" s="72" t="s">
        <v>86</v>
      </c>
      <c r="E59" s="73"/>
      <c r="F59" s="74">
        <f>+VLOOKUP(C59,TbPrestamo[],13,FALSE)</f>
        <v>0</v>
      </c>
      <c r="G59" s="2"/>
      <c r="H59" s="75" t="str">
        <f t="shared" si="0"/>
        <v>AM.3900</v>
      </c>
      <c r="I59" s="59" t="str">
        <f t="shared" si="1"/>
        <v>ok</v>
      </c>
      <c r="J59" s="77">
        <f>IFERROR(VLOOKUP($H59,TG[],3,FALSE),"NA")</f>
        <v>0</v>
      </c>
      <c r="K59" s="77">
        <f>IFERROR(VLOOKUP($H59,TF[],3,FALSE),"NA")</f>
        <v>0</v>
      </c>
      <c r="L59" s="77">
        <f>IFERROR(VLOOKUP($H59,TT[],3,FALSE),"NA")</f>
        <v>0</v>
      </c>
      <c r="M59" s="77">
        <f>IFERROR(VLOOKUP($H59,TES[],3,FALSE),"NA")</f>
        <v>0</v>
      </c>
      <c r="N59" s="77" t="str">
        <f>IFERROR(VLOOKUP($H59,TEC[],3,FALSE),"NA")</f>
        <v>NA</v>
      </c>
      <c r="O59" s="77" t="str">
        <f>IFERROR(VLOOKUP($H59,TP[],3,FALSE),"NA")</f>
        <v>NA</v>
      </c>
      <c r="P59" s="77" t="str">
        <f>IFERROR(VLOOKUP($H59,TEN[],3,FALSE),"NA")</f>
        <v>NA</v>
      </c>
      <c r="Q59" s="77" t="str">
        <f>IFERROR(VLOOKUP($H59,TD[],3,FALSE),"NA")</f>
        <v>NA</v>
      </c>
      <c r="R59" s="77" t="str">
        <f>IFERROR(VLOOKUP($H59,TC[],3,FALSE),"NA")</f>
        <v>NA</v>
      </c>
      <c r="S59" s="77" t="str">
        <f>IFERROR(VLOOKUP($H59,TEV[],3,FALSE),"NA")</f>
        <v>NA</v>
      </c>
      <c r="T59" s="79">
        <f>SUM(TbPrestamo[[#This Row],[GENERAL]:[ELEVADOR]])</f>
        <v>0</v>
      </c>
      <c r="U59" s="80">
        <f>IF(VLOOKUP(TbPrestamo[[#This Row],[ITEM]],TbPiezas[],5,FALSE)="NA",0,VLOOKUP(TbPrestamo[[#This Row],[ITEM]],TbPiezas[],5,FALSE))</f>
        <v>7.5</v>
      </c>
      <c r="V59" s="81">
        <f>+TbPrestamo[[#This Row],[TOTAL]]*TbPrestamo[[#This Row],[P.U. (1)]]</f>
        <v>0</v>
      </c>
      <c r="W59" s="82">
        <f>+VLOOKUP(TbPrestamo[[#This Row],[ITEM]],TbPiezas[],6,FALSE)</f>
        <v>139.11000000000001</v>
      </c>
      <c r="X59" s="83">
        <f>+TbPrestamo[[#This Row],[TOTAL]]*TbPrestamo[[#This Row],[P.U. (2)]]</f>
        <v>0</v>
      </c>
      <c r="Y59" s="82">
        <f>+VLOOKUP(TbPrestamo[[#This Row],[ITEM]],TbPiezas[],7,FALSE)</f>
        <v>6.9555000000000007</v>
      </c>
      <c r="Z59" s="84">
        <f>+TbPrestamo[[#This Row],[TOTAL]]*TbPrestamo[[#This Row],[P.U. (3)]]</f>
        <v>0</v>
      </c>
    </row>
    <row r="60" spans="1:26" ht="15" customHeight="1" x14ac:dyDescent="0.3">
      <c r="A60" s="2"/>
      <c r="B60" s="85">
        <v>43</v>
      </c>
      <c r="C60" s="71" t="s">
        <v>87</v>
      </c>
      <c r="D60" s="72" t="s">
        <v>88</v>
      </c>
      <c r="E60" s="73"/>
      <c r="F60" s="74">
        <f>+VLOOKUP(C60,TbPrestamo[],13,FALSE)</f>
        <v>0</v>
      </c>
      <c r="G60" s="2"/>
      <c r="H60" s="75" t="str">
        <f t="shared" si="0"/>
        <v>AM.4000</v>
      </c>
      <c r="I60" s="59" t="str">
        <f t="shared" si="1"/>
        <v>ok</v>
      </c>
      <c r="J60" s="77">
        <f>IFERROR(VLOOKUP($H60,TG[],3,FALSE),"NA")</f>
        <v>0</v>
      </c>
      <c r="K60" s="77">
        <f>IFERROR(VLOOKUP($H60,TF[],3,FALSE),"NA")</f>
        <v>0</v>
      </c>
      <c r="L60" s="77">
        <f>IFERROR(VLOOKUP($H60,TT[],3,FALSE),"NA")</f>
        <v>0</v>
      </c>
      <c r="M60" s="77">
        <f>IFERROR(VLOOKUP($H60,TES[],3,FALSE),"NA")</f>
        <v>0</v>
      </c>
      <c r="N60" s="77" t="str">
        <f>IFERROR(VLOOKUP($H60,TEC[],3,FALSE),"NA")</f>
        <v>NA</v>
      </c>
      <c r="O60" s="77" t="str">
        <f>IFERROR(VLOOKUP($H60,TP[],3,FALSE),"NA")</f>
        <v>NA</v>
      </c>
      <c r="P60" s="77" t="str">
        <f>IFERROR(VLOOKUP($H60,TEN[],3,FALSE),"NA")</f>
        <v>NA</v>
      </c>
      <c r="Q60" s="77" t="str">
        <f>IFERROR(VLOOKUP($H60,TD[],3,FALSE),"NA")</f>
        <v>NA</v>
      </c>
      <c r="R60" s="77" t="str">
        <f>IFERROR(VLOOKUP($H60,TC[],3,FALSE),"NA")</f>
        <v>NA</v>
      </c>
      <c r="S60" s="77" t="str">
        <f>IFERROR(VLOOKUP($H60,TEV[],3,FALSE),"NA")</f>
        <v>NA</v>
      </c>
      <c r="T60" s="79">
        <f>SUM(TbPrestamo[[#This Row],[GENERAL]:[ELEVADOR]])</f>
        <v>0</v>
      </c>
      <c r="U60" s="80">
        <f>IF(VLOOKUP(TbPrestamo[[#This Row],[ITEM]],TbPiezas[],5,FALSE)="NA",0,VLOOKUP(TbPrestamo[[#This Row],[ITEM]],TbPiezas[],5,FALSE))</f>
        <v>5.7999999999999972</v>
      </c>
      <c r="V60" s="81">
        <f>+TbPrestamo[[#This Row],[TOTAL]]*TbPrestamo[[#This Row],[P.U. (1)]]</f>
        <v>0</v>
      </c>
      <c r="W60" s="82">
        <f>+VLOOKUP(TbPrestamo[[#This Row],[ITEM]],TbPiezas[],6,FALSE)</f>
        <v>136.57</v>
      </c>
      <c r="X60" s="83">
        <f>+TbPrestamo[[#This Row],[TOTAL]]*TbPrestamo[[#This Row],[P.U. (2)]]</f>
        <v>0</v>
      </c>
      <c r="Y60" s="82">
        <f>+VLOOKUP(TbPrestamo[[#This Row],[ITEM]],TbPiezas[],7,FALSE)</f>
        <v>6.8285</v>
      </c>
      <c r="Z60" s="84">
        <f>+TbPrestamo[[#This Row],[TOTAL]]*TbPrestamo[[#This Row],[P.U. (3)]]</f>
        <v>0</v>
      </c>
    </row>
    <row r="61" spans="1:26" ht="15" customHeight="1" x14ac:dyDescent="0.3">
      <c r="A61" s="2"/>
      <c r="B61" s="85">
        <v>44</v>
      </c>
      <c r="C61" s="71" t="s">
        <v>89</v>
      </c>
      <c r="D61" s="72" t="s">
        <v>90</v>
      </c>
      <c r="E61" s="73"/>
      <c r="F61" s="74">
        <f>+VLOOKUP(C61,TbPrestamo[],13,FALSE)</f>
        <v>0</v>
      </c>
      <c r="G61" s="2"/>
      <c r="H61" s="75" t="str">
        <f t="shared" si="0"/>
        <v>AM.4100</v>
      </c>
      <c r="I61" s="59" t="str">
        <f t="shared" si="1"/>
        <v>ok</v>
      </c>
      <c r="J61" s="77">
        <f>IFERROR(VLOOKUP($H61,TG[],3,FALSE),"NA")</f>
        <v>0</v>
      </c>
      <c r="K61" s="77">
        <f>IFERROR(VLOOKUP($H61,TF[],3,FALSE),"NA")</f>
        <v>0</v>
      </c>
      <c r="L61" s="77">
        <f>IFERROR(VLOOKUP($H61,TT[],3,FALSE),"NA")</f>
        <v>0</v>
      </c>
      <c r="M61" s="77">
        <f>IFERROR(VLOOKUP($H61,TES[],3,FALSE),"NA")</f>
        <v>0</v>
      </c>
      <c r="N61" s="77" t="str">
        <f>IFERROR(VLOOKUP($H61,TEC[],3,FALSE),"NA")</f>
        <v>NA</v>
      </c>
      <c r="O61" s="77" t="str">
        <f>IFERROR(VLOOKUP($H61,TP[],3,FALSE),"NA")</f>
        <v>NA</v>
      </c>
      <c r="P61" s="77" t="str">
        <f>IFERROR(VLOOKUP($H61,TEN[],3,FALSE),"NA")</f>
        <v>NA</v>
      </c>
      <c r="Q61" s="77" t="str">
        <f>IFERROR(VLOOKUP($H61,TD[],3,FALSE),"NA")</f>
        <v>NA</v>
      </c>
      <c r="R61" s="77" t="str">
        <f>IFERROR(VLOOKUP($H61,TC[],3,FALSE),"NA")</f>
        <v>NA</v>
      </c>
      <c r="S61" s="77" t="str">
        <f>IFERROR(VLOOKUP($H61,TEV[],3,FALSE),"NA")</f>
        <v>NA</v>
      </c>
      <c r="T61" s="79">
        <f>SUM(TbPrestamo[[#This Row],[GENERAL]:[ELEVADOR]])</f>
        <v>0</v>
      </c>
      <c r="U61" s="80">
        <f>IF(VLOOKUP(TbPrestamo[[#This Row],[ITEM]],TbPiezas[],5,FALSE)="NA",0,VLOOKUP(TbPrestamo[[#This Row],[ITEM]],TbPiezas[],5,FALSE))</f>
        <v>4.7999999999999972</v>
      </c>
      <c r="V61" s="81">
        <f>+TbPrestamo[[#This Row],[TOTAL]]*TbPrestamo[[#This Row],[P.U. (1)]]</f>
        <v>0</v>
      </c>
      <c r="W61" s="82">
        <f>+VLOOKUP(TbPrestamo[[#This Row],[ITEM]],TbPiezas[],6,FALSE)</f>
        <v>128.38</v>
      </c>
      <c r="X61" s="83">
        <f>+TbPrestamo[[#This Row],[TOTAL]]*TbPrestamo[[#This Row],[P.U. (2)]]</f>
        <v>0</v>
      </c>
      <c r="Y61" s="82">
        <f>+VLOOKUP(TbPrestamo[[#This Row],[ITEM]],TbPiezas[],7,FALSE)</f>
        <v>6.4190000000000005</v>
      </c>
      <c r="Z61" s="84">
        <f>+TbPrestamo[[#This Row],[TOTAL]]*TbPrestamo[[#This Row],[P.U. (3)]]</f>
        <v>0</v>
      </c>
    </row>
    <row r="62" spans="1:26" ht="15" customHeight="1" x14ac:dyDescent="0.3">
      <c r="A62" s="2"/>
      <c r="B62" s="85">
        <v>45</v>
      </c>
      <c r="C62" s="71" t="s">
        <v>91</v>
      </c>
      <c r="D62" s="72" t="s">
        <v>92</v>
      </c>
      <c r="E62" s="73"/>
      <c r="F62" s="74">
        <f>+VLOOKUP(C62,TbPrestamo[],13,FALSE)</f>
        <v>0</v>
      </c>
      <c r="G62" s="2"/>
      <c r="H62" s="75" t="str">
        <f t="shared" si="0"/>
        <v>AM.4200</v>
      </c>
      <c r="I62" s="59" t="str">
        <f t="shared" si="1"/>
        <v>ok</v>
      </c>
      <c r="J62" s="77">
        <f>IFERROR(VLOOKUP($H62,TG[],3,FALSE),"NA")</f>
        <v>0</v>
      </c>
      <c r="K62" s="77">
        <f>IFERROR(VLOOKUP($H62,TF[],3,FALSE),"NA")</f>
        <v>0</v>
      </c>
      <c r="L62" s="77">
        <f>IFERROR(VLOOKUP($H62,TT[],3,FALSE),"NA")</f>
        <v>0</v>
      </c>
      <c r="M62" s="77">
        <f>IFERROR(VLOOKUP($H62,TES[],3,FALSE),"NA")</f>
        <v>0</v>
      </c>
      <c r="N62" s="77" t="str">
        <f>IFERROR(VLOOKUP($H62,TEC[],3,FALSE),"NA")</f>
        <v>NA</v>
      </c>
      <c r="O62" s="77" t="str">
        <f>IFERROR(VLOOKUP($H62,TP[],3,FALSE),"NA")</f>
        <v>NA</v>
      </c>
      <c r="P62" s="77" t="str">
        <f>IFERROR(VLOOKUP($H62,TEN[],3,FALSE),"NA")</f>
        <v>NA</v>
      </c>
      <c r="Q62" s="77" t="str">
        <f>IFERROR(VLOOKUP($H62,TD[],3,FALSE),"NA")</f>
        <v>NA</v>
      </c>
      <c r="R62" s="77" t="str">
        <f>IFERROR(VLOOKUP($H62,TC[],3,FALSE),"NA")</f>
        <v>NA</v>
      </c>
      <c r="S62" s="77" t="str">
        <f>IFERROR(VLOOKUP($H62,TEV[],3,FALSE),"NA")</f>
        <v>NA</v>
      </c>
      <c r="T62" s="79">
        <f>SUM(TbPrestamo[[#This Row],[GENERAL]:[ELEVADOR]])</f>
        <v>0</v>
      </c>
      <c r="U62" s="80">
        <f>IF(VLOOKUP(TbPrestamo[[#This Row],[ITEM]],TbPiezas[],5,FALSE)="NA",0,VLOOKUP(TbPrestamo[[#This Row],[ITEM]],TbPiezas[],5,FALSE))</f>
        <v>2.7000000000000028</v>
      </c>
      <c r="V62" s="81">
        <f>+TbPrestamo[[#This Row],[TOTAL]]*TbPrestamo[[#This Row],[P.U. (1)]]</f>
        <v>0</v>
      </c>
      <c r="W62" s="82">
        <f>+VLOOKUP(TbPrestamo[[#This Row],[ITEM]],TbPiezas[],6,FALSE)</f>
        <v>124.8</v>
      </c>
      <c r="X62" s="83">
        <f>+TbPrestamo[[#This Row],[TOTAL]]*TbPrestamo[[#This Row],[P.U. (2)]]</f>
        <v>0</v>
      </c>
      <c r="Y62" s="82">
        <f>+VLOOKUP(TbPrestamo[[#This Row],[ITEM]],TbPiezas[],7,FALSE)</f>
        <v>6.24</v>
      </c>
      <c r="Z62" s="84">
        <f>+TbPrestamo[[#This Row],[TOTAL]]*TbPrestamo[[#This Row],[P.U. (3)]]</f>
        <v>0</v>
      </c>
    </row>
    <row r="63" spans="1:26" ht="15" customHeight="1" x14ac:dyDescent="0.3">
      <c r="A63" s="2"/>
      <c r="B63" s="85">
        <v>46</v>
      </c>
      <c r="C63" s="71" t="s">
        <v>93</v>
      </c>
      <c r="D63" s="72" t="s">
        <v>94</v>
      </c>
      <c r="E63" s="73"/>
      <c r="F63" s="74">
        <f>+VLOOKUP(C63,TbPrestamo[],13,FALSE)</f>
        <v>0</v>
      </c>
      <c r="G63" s="2"/>
      <c r="H63" s="75" t="str">
        <f t="shared" si="0"/>
        <v>AM.4300</v>
      </c>
      <c r="I63" s="59" t="str">
        <f t="shared" si="1"/>
        <v>ok</v>
      </c>
      <c r="J63" s="77">
        <f>IFERROR(VLOOKUP($H63,TG[],3,FALSE),"NA")</f>
        <v>0</v>
      </c>
      <c r="K63" s="77">
        <f>IFERROR(VLOOKUP($H63,TF[],3,FALSE),"NA")</f>
        <v>0</v>
      </c>
      <c r="L63" s="77">
        <f>IFERROR(VLOOKUP($H63,TT[],3,FALSE),"NA")</f>
        <v>0</v>
      </c>
      <c r="M63" s="77">
        <f>IFERROR(VLOOKUP($H63,TES[],3,FALSE),"NA")</f>
        <v>0</v>
      </c>
      <c r="N63" s="77" t="str">
        <f>IFERROR(VLOOKUP($H63,TEC[],3,FALSE),"NA")</f>
        <v>NA</v>
      </c>
      <c r="O63" s="77" t="str">
        <f>IFERROR(VLOOKUP($H63,TP[],3,FALSE),"NA")</f>
        <v>NA</v>
      </c>
      <c r="P63" s="77" t="str">
        <f>IFERROR(VLOOKUP($H63,TEN[],3,FALSE),"NA")</f>
        <v>NA</v>
      </c>
      <c r="Q63" s="77" t="str">
        <f>IFERROR(VLOOKUP($H63,TD[],3,FALSE),"NA")</f>
        <v>NA</v>
      </c>
      <c r="R63" s="77" t="str">
        <f>IFERROR(VLOOKUP($H63,TC[],3,FALSE),"NA")</f>
        <v>NA</v>
      </c>
      <c r="S63" s="77" t="str">
        <f>IFERROR(VLOOKUP($H63,TEV[],3,FALSE),"NA")</f>
        <v>NA</v>
      </c>
      <c r="T63" s="79">
        <f>SUM(TbPrestamo[[#This Row],[GENERAL]:[ELEVADOR]])</f>
        <v>0</v>
      </c>
      <c r="U63" s="80">
        <f>IF(VLOOKUP(TbPrestamo[[#This Row],[ITEM]],TbPiezas[],5,FALSE)="NA",0,VLOOKUP(TbPrestamo[[#This Row],[ITEM]],TbPiezas[],5,FALSE))</f>
        <v>1.2999999999999972</v>
      </c>
      <c r="V63" s="81">
        <f>+TbPrestamo[[#This Row],[TOTAL]]*TbPrestamo[[#This Row],[P.U. (1)]]</f>
        <v>0</v>
      </c>
      <c r="W63" s="82">
        <f>+VLOOKUP(TbPrestamo[[#This Row],[ITEM]],TbPiezas[],6,FALSE)</f>
        <v>109.33</v>
      </c>
      <c r="X63" s="83">
        <f>+TbPrestamo[[#This Row],[TOTAL]]*TbPrestamo[[#This Row],[P.U. (2)]]</f>
        <v>0</v>
      </c>
      <c r="Y63" s="82">
        <f>+VLOOKUP(TbPrestamo[[#This Row],[ITEM]],TbPiezas[],7,FALSE)</f>
        <v>5.4664999999999999</v>
      </c>
      <c r="Z63" s="84">
        <f>+TbPrestamo[[#This Row],[TOTAL]]*TbPrestamo[[#This Row],[P.U. (3)]]</f>
        <v>0</v>
      </c>
    </row>
    <row r="64" spans="1:26" ht="15" customHeight="1" x14ac:dyDescent="0.3">
      <c r="A64" s="2"/>
      <c r="B64" s="85">
        <v>47</v>
      </c>
      <c r="C64" s="71" t="s">
        <v>95</v>
      </c>
      <c r="D64" s="72" t="s">
        <v>96</v>
      </c>
      <c r="E64" s="73"/>
      <c r="F64" s="74">
        <f>+VLOOKUP(C64,TbPrestamo[],13,FALSE)</f>
        <v>0</v>
      </c>
      <c r="G64" s="2"/>
      <c r="H64" s="75" t="str">
        <f t="shared" si="0"/>
        <v>AM.4400</v>
      </c>
      <c r="I64" s="59" t="str">
        <f t="shared" si="1"/>
        <v>ok</v>
      </c>
      <c r="J64" s="77">
        <f>IFERROR(VLOOKUP($H64,TG[],3,FALSE),"NA")</f>
        <v>0</v>
      </c>
      <c r="K64" s="77">
        <f>IFERROR(VLOOKUP($H64,TF[],3,FALSE),"NA")</f>
        <v>0</v>
      </c>
      <c r="L64" s="77">
        <f>IFERROR(VLOOKUP($H64,TT[],3,FALSE),"NA")</f>
        <v>0</v>
      </c>
      <c r="M64" s="77">
        <f>IFERROR(VLOOKUP($H64,TES[],3,FALSE),"NA")</f>
        <v>0</v>
      </c>
      <c r="N64" s="77" t="str">
        <f>IFERROR(VLOOKUP($H64,TEC[],3,FALSE),"NA")</f>
        <v>NA</v>
      </c>
      <c r="O64" s="77" t="str">
        <f>IFERROR(VLOOKUP($H64,TP[],3,FALSE),"NA")</f>
        <v>NA</v>
      </c>
      <c r="P64" s="77" t="str">
        <f>IFERROR(VLOOKUP($H64,TEN[],3,FALSE),"NA")</f>
        <v>NA</v>
      </c>
      <c r="Q64" s="77" t="str">
        <f>IFERROR(VLOOKUP($H64,TD[],3,FALSE),"NA")</f>
        <v>NA</v>
      </c>
      <c r="R64" s="77" t="str">
        <f>IFERROR(VLOOKUP($H64,TC[],3,FALSE),"NA")</f>
        <v>NA</v>
      </c>
      <c r="S64" s="77" t="str">
        <f>IFERROR(VLOOKUP($H64,TEV[],3,FALSE),"NA")</f>
        <v>NA</v>
      </c>
      <c r="T64" s="79">
        <f>SUM(TbPrestamo[[#This Row],[GENERAL]:[ELEVADOR]])</f>
        <v>0</v>
      </c>
      <c r="U64" s="80">
        <f>IF(VLOOKUP(TbPrestamo[[#This Row],[ITEM]],TbPiezas[],5,FALSE)="NA",0,VLOOKUP(TbPrestamo[[#This Row],[ITEM]],TbPiezas[],5,FALSE))</f>
        <v>2.0999999999999943</v>
      </c>
      <c r="V64" s="81">
        <f>+TbPrestamo[[#This Row],[TOTAL]]*TbPrestamo[[#This Row],[P.U. (1)]]</f>
        <v>0</v>
      </c>
      <c r="W64" s="82">
        <f>+VLOOKUP(TbPrestamo[[#This Row],[ITEM]],TbPiezas[],6,FALSE)</f>
        <v>91.83</v>
      </c>
      <c r="X64" s="83">
        <f>+TbPrestamo[[#This Row],[TOTAL]]*TbPrestamo[[#This Row],[P.U. (2)]]</f>
        <v>0</v>
      </c>
      <c r="Y64" s="82">
        <f>+VLOOKUP(TbPrestamo[[#This Row],[ITEM]],TbPiezas[],7,FALSE)</f>
        <v>4.5914999999999999</v>
      </c>
      <c r="Z64" s="84">
        <f>+TbPrestamo[[#This Row],[TOTAL]]*TbPrestamo[[#This Row],[P.U. (3)]]</f>
        <v>0</v>
      </c>
    </row>
    <row r="65" spans="1:26" ht="15" customHeight="1" x14ac:dyDescent="0.3">
      <c r="A65" s="2"/>
      <c r="B65" s="85">
        <v>48</v>
      </c>
      <c r="C65" s="71" t="s">
        <v>97</v>
      </c>
      <c r="D65" s="72" t="s">
        <v>98</v>
      </c>
      <c r="E65" s="73"/>
      <c r="F65" s="74">
        <f>+VLOOKUP(C65,TbPrestamo[],13,FALSE)</f>
        <v>0</v>
      </c>
      <c r="G65" s="2"/>
      <c r="H65" s="75" t="str">
        <f t="shared" si="0"/>
        <v>AM.4500</v>
      </c>
      <c r="I65" s="59" t="str">
        <f t="shared" si="1"/>
        <v>ok</v>
      </c>
      <c r="J65" s="77">
        <f>IFERROR(VLOOKUP($H65,TG[],3,FALSE),"NA")</f>
        <v>0</v>
      </c>
      <c r="K65" s="77">
        <f>IFERROR(VLOOKUP($H65,TF[],3,FALSE),"NA")</f>
        <v>0</v>
      </c>
      <c r="L65" s="77">
        <f>IFERROR(VLOOKUP($H65,TT[],3,FALSE),"NA")</f>
        <v>0</v>
      </c>
      <c r="M65" s="77">
        <f>IFERROR(VLOOKUP($H65,TES[],3,FALSE),"NA")</f>
        <v>0</v>
      </c>
      <c r="N65" s="77" t="str">
        <f>IFERROR(VLOOKUP($H65,TEC[],3,FALSE),"NA")</f>
        <v>NA</v>
      </c>
      <c r="O65" s="77" t="str">
        <f>IFERROR(VLOOKUP($H65,TP[],3,FALSE),"NA")</f>
        <v>NA</v>
      </c>
      <c r="P65" s="77" t="str">
        <f>IFERROR(VLOOKUP($H65,TEN[],3,FALSE),"NA")</f>
        <v>NA</v>
      </c>
      <c r="Q65" s="77" t="str">
        <f>IFERROR(VLOOKUP($H65,TD[],3,FALSE),"NA")</f>
        <v>NA</v>
      </c>
      <c r="R65" s="77" t="str">
        <f>IFERROR(VLOOKUP($H65,TC[],3,FALSE),"NA")</f>
        <v>NA</v>
      </c>
      <c r="S65" s="77" t="str">
        <f>IFERROR(VLOOKUP($H65,TEV[],3,FALSE),"NA")</f>
        <v>NA</v>
      </c>
      <c r="T65" s="79">
        <f>SUM(TbPrestamo[[#This Row],[GENERAL]:[ELEVADOR]])</f>
        <v>0</v>
      </c>
      <c r="U65" s="80">
        <f>IF(VLOOKUP(TbPrestamo[[#This Row],[ITEM]],TbPiezas[],5,FALSE)="NA",0,VLOOKUP(TbPrestamo[[#This Row],[ITEM]],TbPiezas[],5,FALSE))</f>
        <v>10.5</v>
      </c>
      <c r="V65" s="81">
        <f>+TbPrestamo[[#This Row],[TOTAL]]*TbPrestamo[[#This Row],[P.U. (1)]]</f>
        <v>0</v>
      </c>
      <c r="W65" s="82">
        <f>+VLOOKUP(TbPrestamo[[#This Row],[ITEM]],TbPiezas[],6,FALSE)</f>
        <v>139.11000000000001</v>
      </c>
      <c r="X65" s="83">
        <f>+TbPrestamo[[#This Row],[TOTAL]]*TbPrestamo[[#This Row],[P.U. (2)]]</f>
        <v>0</v>
      </c>
      <c r="Y65" s="82">
        <f>+VLOOKUP(TbPrestamo[[#This Row],[ITEM]],TbPiezas[],7,FALSE)</f>
        <v>6.9555000000000007</v>
      </c>
      <c r="Z65" s="84">
        <f>+TbPrestamo[[#This Row],[TOTAL]]*TbPrestamo[[#This Row],[P.U. (3)]]</f>
        <v>0</v>
      </c>
    </row>
    <row r="66" spans="1:26" ht="15" customHeight="1" x14ac:dyDescent="0.3">
      <c r="A66" s="2"/>
      <c r="B66" s="85">
        <v>49</v>
      </c>
      <c r="C66" s="71" t="s">
        <v>99</v>
      </c>
      <c r="D66" s="72" t="s">
        <v>100</v>
      </c>
      <c r="E66" s="73"/>
      <c r="F66" s="74">
        <f>+VLOOKUP(C66,TbPrestamo[],13,FALSE)</f>
        <v>4</v>
      </c>
      <c r="G66" s="2"/>
      <c r="H66" s="75" t="str">
        <f t="shared" si="0"/>
        <v>AM.4600</v>
      </c>
      <c r="I66" s="59" t="str">
        <f t="shared" si="1"/>
        <v>ok</v>
      </c>
      <c r="J66" s="77">
        <f>IFERROR(VLOOKUP($H66,TG[],3,FALSE),"NA")</f>
        <v>0</v>
      </c>
      <c r="K66" s="77">
        <f>IFERROR(VLOOKUP($H66,TF[],3,FALSE),"NA")</f>
        <v>0</v>
      </c>
      <c r="L66" s="77">
        <f>IFERROR(VLOOKUP($H66,TT[],3,FALSE),"NA")</f>
        <v>4</v>
      </c>
      <c r="M66" s="77">
        <f>IFERROR(VLOOKUP($H66,TES[],3,FALSE),"NA")</f>
        <v>0</v>
      </c>
      <c r="N66" s="77" t="str">
        <f>IFERROR(VLOOKUP($H66,TEC[],3,FALSE),"NA")</f>
        <v>NA</v>
      </c>
      <c r="O66" s="77" t="str">
        <f>IFERROR(VLOOKUP($H66,TP[],3,FALSE),"NA")</f>
        <v>NA</v>
      </c>
      <c r="P66" s="77" t="str">
        <f>IFERROR(VLOOKUP($H66,TEN[],3,FALSE),"NA")</f>
        <v>NA</v>
      </c>
      <c r="Q66" s="77" t="str">
        <f>IFERROR(VLOOKUP($H66,TD[],3,FALSE),"NA")</f>
        <v>NA</v>
      </c>
      <c r="R66" s="77" t="str">
        <f>IFERROR(VLOOKUP($H66,TC[],3,FALSE),"NA")</f>
        <v>NA</v>
      </c>
      <c r="S66" s="77" t="str">
        <f>IFERROR(VLOOKUP($H66,TEV[],3,FALSE),"NA")</f>
        <v>NA</v>
      </c>
      <c r="T66" s="79">
        <f>SUM(TbPrestamo[[#This Row],[GENERAL]:[ELEVADOR]])</f>
        <v>4</v>
      </c>
      <c r="U66" s="80">
        <f>IF(VLOOKUP(TbPrestamo[[#This Row],[ITEM]],TbPiezas[],5,FALSE)="NA",0,VLOOKUP(TbPrestamo[[#This Row],[ITEM]],TbPiezas[],5,FALSE))</f>
        <v>8.7999999999999972</v>
      </c>
      <c r="V66" s="81">
        <f>+TbPrestamo[[#This Row],[TOTAL]]*TbPrestamo[[#This Row],[P.U. (1)]]</f>
        <v>35.199999999999989</v>
      </c>
      <c r="W66" s="82">
        <f>+VLOOKUP(TbPrestamo[[#This Row],[ITEM]],TbPiezas[],6,FALSE)</f>
        <v>136.57</v>
      </c>
      <c r="X66" s="83">
        <f>+TbPrestamo[[#This Row],[TOTAL]]*TbPrestamo[[#This Row],[P.U. (2)]]</f>
        <v>546.28</v>
      </c>
      <c r="Y66" s="82">
        <f>+VLOOKUP(TbPrestamo[[#This Row],[ITEM]],TbPiezas[],7,FALSE)</f>
        <v>6.8285</v>
      </c>
      <c r="Z66" s="84">
        <f>+TbPrestamo[[#This Row],[TOTAL]]*TbPrestamo[[#This Row],[P.U. (3)]]</f>
        <v>27.314</v>
      </c>
    </row>
    <row r="67" spans="1:26" ht="15" customHeight="1" x14ac:dyDescent="0.3">
      <c r="A67" s="2"/>
      <c r="B67" s="85">
        <v>50</v>
      </c>
      <c r="C67" s="71" t="s">
        <v>101</v>
      </c>
      <c r="D67" s="72" t="s">
        <v>102</v>
      </c>
      <c r="E67" s="73"/>
      <c r="F67" s="74">
        <f>+VLOOKUP(C67,TbPrestamo[],13,FALSE)</f>
        <v>0</v>
      </c>
      <c r="G67" s="2"/>
      <c r="H67" s="75" t="str">
        <f t="shared" si="0"/>
        <v>AM.4700</v>
      </c>
      <c r="I67" s="59" t="str">
        <f t="shared" si="1"/>
        <v>ok</v>
      </c>
      <c r="J67" s="77">
        <f>IFERROR(VLOOKUP($H67,TG[],3,FALSE),"NA")</f>
        <v>0</v>
      </c>
      <c r="K67" s="77">
        <f>IFERROR(VLOOKUP($H67,TF[],3,FALSE),"NA")</f>
        <v>0</v>
      </c>
      <c r="L67" s="77">
        <f>IFERROR(VLOOKUP($H67,TT[],3,FALSE),"NA")</f>
        <v>0</v>
      </c>
      <c r="M67" s="77">
        <f>IFERROR(VLOOKUP($H67,TES[],3,FALSE),"NA")</f>
        <v>0</v>
      </c>
      <c r="N67" s="77" t="str">
        <f>IFERROR(VLOOKUP($H67,TEC[],3,FALSE),"NA")</f>
        <v>NA</v>
      </c>
      <c r="O67" s="77" t="str">
        <f>IFERROR(VLOOKUP($H67,TP[],3,FALSE),"NA")</f>
        <v>NA</v>
      </c>
      <c r="P67" s="77" t="str">
        <f>IFERROR(VLOOKUP($H67,TEN[],3,FALSE),"NA")</f>
        <v>NA</v>
      </c>
      <c r="Q67" s="77" t="str">
        <f>IFERROR(VLOOKUP($H67,TD[],3,FALSE),"NA")</f>
        <v>NA</v>
      </c>
      <c r="R67" s="77" t="str">
        <f>IFERROR(VLOOKUP($H67,TC[],3,FALSE),"NA")</f>
        <v>NA</v>
      </c>
      <c r="S67" s="77" t="str">
        <f>IFERROR(VLOOKUP($H67,TEV[],3,FALSE),"NA")</f>
        <v>NA</v>
      </c>
      <c r="T67" s="79">
        <f>SUM(TbPrestamo[[#This Row],[GENERAL]:[ELEVADOR]])</f>
        <v>0</v>
      </c>
      <c r="U67" s="80">
        <f>IF(VLOOKUP(TbPrestamo[[#This Row],[ITEM]],TbPiezas[],5,FALSE)="NA",0,VLOOKUP(TbPrestamo[[#This Row],[ITEM]],TbPiezas[],5,FALSE))</f>
        <v>5</v>
      </c>
      <c r="V67" s="81">
        <f>+TbPrestamo[[#This Row],[TOTAL]]*TbPrestamo[[#This Row],[P.U. (1)]]</f>
        <v>0</v>
      </c>
      <c r="W67" s="82">
        <f>+VLOOKUP(TbPrestamo[[#This Row],[ITEM]],TbPiezas[],6,FALSE)</f>
        <v>128.38</v>
      </c>
      <c r="X67" s="83">
        <f>+TbPrestamo[[#This Row],[TOTAL]]*TbPrestamo[[#This Row],[P.U. (2)]]</f>
        <v>0</v>
      </c>
      <c r="Y67" s="82">
        <f>+VLOOKUP(TbPrestamo[[#This Row],[ITEM]],TbPiezas[],7,FALSE)</f>
        <v>6.4190000000000005</v>
      </c>
      <c r="Z67" s="84">
        <f>+TbPrestamo[[#This Row],[TOTAL]]*TbPrestamo[[#This Row],[P.U. (3)]]</f>
        <v>0</v>
      </c>
    </row>
    <row r="68" spans="1:26" ht="15" customHeight="1" x14ac:dyDescent="0.3">
      <c r="A68" s="2"/>
      <c r="B68" s="85">
        <v>51</v>
      </c>
      <c r="C68" s="71" t="s">
        <v>103</v>
      </c>
      <c r="D68" s="72" t="s">
        <v>104</v>
      </c>
      <c r="E68" s="73"/>
      <c r="F68" s="74">
        <f>+VLOOKUP(C68,TbPrestamo[],13,FALSE)</f>
        <v>0</v>
      </c>
      <c r="G68" s="2"/>
      <c r="H68" s="75" t="str">
        <f t="shared" si="0"/>
        <v>AM.4800</v>
      </c>
      <c r="I68" s="59" t="str">
        <f t="shared" si="1"/>
        <v>ok</v>
      </c>
      <c r="J68" s="77">
        <f>IFERROR(VLOOKUP($H68,TG[],3,FALSE),"NA")</f>
        <v>0</v>
      </c>
      <c r="K68" s="77">
        <f>IFERROR(VLOOKUP($H68,TF[],3,FALSE),"NA")</f>
        <v>0</v>
      </c>
      <c r="L68" s="77">
        <f>IFERROR(VLOOKUP($H68,TT[],3,FALSE),"NA")</f>
        <v>0</v>
      </c>
      <c r="M68" s="77">
        <f>IFERROR(VLOOKUP($H68,TES[],3,FALSE),"NA")</f>
        <v>0</v>
      </c>
      <c r="N68" s="77" t="str">
        <f>IFERROR(VLOOKUP($H68,TEC[],3,FALSE),"NA")</f>
        <v>NA</v>
      </c>
      <c r="O68" s="77" t="str">
        <f>IFERROR(VLOOKUP($H68,TP[],3,FALSE),"NA")</f>
        <v>NA</v>
      </c>
      <c r="P68" s="77" t="str">
        <f>IFERROR(VLOOKUP($H68,TEN[],3,FALSE),"NA")</f>
        <v>NA</v>
      </c>
      <c r="Q68" s="77" t="str">
        <f>IFERROR(VLOOKUP($H68,TD[],3,FALSE),"NA")</f>
        <v>NA</v>
      </c>
      <c r="R68" s="77" t="str">
        <f>IFERROR(VLOOKUP($H68,TC[],3,FALSE),"NA")</f>
        <v>NA</v>
      </c>
      <c r="S68" s="77" t="str">
        <f>IFERROR(VLOOKUP($H68,TEV[],3,FALSE),"NA")</f>
        <v>NA</v>
      </c>
      <c r="T68" s="79">
        <f>SUM(TbPrestamo[[#This Row],[GENERAL]:[ELEVADOR]])</f>
        <v>0</v>
      </c>
      <c r="U68" s="80">
        <f>IF(VLOOKUP(TbPrestamo[[#This Row],[ITEM]],TbPiezas[],5,FALSE)="NA",0,VLOOKUP(TbPrestamo[[#This Row],[ITEM]],TbPiezas[],5,FALSE))</f>
        <v>3.3999999999999915</v>
      </c>
      <c r="V68" s="81">
        <f>+TbPrestamo[[#This Row],[TOTAL]]*TbPrestamo[[#This Row],[P.U. (1)]]</f>
        <v>0</v>
      </c>
      <c r="W68" s="82">
        <f>+VLOOKUP(TbPrestamo[[#This Row],[ITEM]],TbPiezas[],6,FALSE)</f>
        <v>124.8</v>
      </c>
      <c r="X68" s="83">
        <f>+TbPrestamo[[#This Row],[TOTAL]]*TbPrestamo[[#This Row],[P.U. (2)]]</f>
        <v>0</v>
      </c>
      <c r="Y68" s="82">
        <f>+VLOOKUP(TbPrestamo[[#This Row],[ITEM]],TbPiezas[],7,FALSE)</f>
        <v>6.24</v>
      </c>
      <c r="Z68" s="84">
        <f>+TbPrestamo[[#This Row],[TOTAL]]*TbPrestamo[[#This Row],[P.U. (3)]]</f>
        <v>0</v>
      </c>
    </row>
    <row r="69" spans="1:26" ht="15" customHeight="1" x14ac:dyDescent="0.3">
      <c r="A69" s="2"/>
      <c r="B69" s="85">
        <v>52</v>
      </c>
      <c r="C69" s="71" t="s">
        <v>105</v>
      </c>
      <c r="D69" s="72" t="s">
        <v>106</v>
      </c>
      <c r="E69" s="73"/>
      <c r="F69" s="74">
        <f>+VLOOKUP(C69,TbPrestamo[],13,FALSE)</f>
        <v>0</v>
      </c>
      <c r="G69" s="2"/>
      <c r="H69" s="75" t="str">
        <f t="shared" si="0"/>
        <v>AM.4900</v>
      </c>
      <c r="I69" s="59" t="str">
        <f t="shared" si="1"/>
        <v>ok</v>
      </c>
      <c r="J69" s="77">
        <f>IFERROR(VLOOKUP($H69,TG[],3,FALSE),"NA")</f>
        <v>0</v>
      </c>
      <c r="K69" s="77">
        <f>IFERROR(VLOOKUP($H69,TF[],3,FALSE),"NA")</f>
        <v>0</v>
      </c>
      <c r="L69" s="77">
        <f>IFERROR(VLOOKUP($H69,TT[],3,FALSE),"NA")</f>
        <v>0</v>
      </c>
      <c r="M69" s="77">
        <f>IFERROR(VLOOKUP($H69,TES[],3,FALSE),"NA")</f>
        <v>0</v>
      </c>
      <c r="N69" s="77" t="str">
        <f>IFERROR(VLOOKUP($H69,TEC[],3,FALSE),"NA")</f>
        <v>NA</v>
      </c>
      <c r="O69" s="77" t="str">
        <f>IFERROR(VLOOKUP($H69,TP[],3,FALSE),"NA")</f>
        <v>NA</v>
      </c>
      <c r="P69" s="77" t="str">
        <f>IFERROR(VLOOKUP($H69,TEN[],3,FALSE),"NA")</f>
        <v>NA</v>
      </c>
      <c r="Q69" s="77" t="str">
        <f>IFERROR(VLOOKUP($H69,TD[],3,FALSE),"NA")</f>
        <v>NA</v>
      </c>
      <c r="R69" s="77" t="str">
        <f>IFERROR(VLOOKUP($H69,TC[],3,FALSE),"NA")</f>
        <v>NA</v>
      </c>
      <c r="S69" s="77" t="str">
        <f>IFERROR(VLOOKUP($H69,TEV[],3,FALSE),"NA")</f>
        <v>NA</v>
      </c>
      <c r="T69" s="79">
        <f>SUM(TbPrestamo[[#This Row],[GENERAL]:[ELEVADOR]])</f>
        <v>0</v>
      </c>
      <c r="U69" s="80">
        <f>IF(VLOOKUP(TbPrestamo[[#This Row],[ITEM]],TbPiezas[],5,FALSE)="NA",0,VLOOKUP(TbPrestamo[[#This Row],[ITEM]],TbPiezas[],5,FALSE))</f>
        <v>4.0999999999999943</v>
      </c>
      <c r="V69" s="81">
        <f>+TbPrestamo[[#This Row],[TOTAL]]*TbPrestamo[[#This Row],[P.U. (1)]]</f>
        <v>0</v>
      </c>
      <c r="W69" s="82">
        <f>+VLOOKUP(TbPrestamo[[#This Row],[ITEM]],TbPiezas[],6,FALSE)</f>
        <v>109.33</v>
      </c>
      <c r="X69" s="83">
        <f>+TbPrestamo[[#This Row],[TOTAL]]*TbPrestamo[[#This Row],[P.U. (2)]]</f>
        <v>0</v>
      </c>
      <c r="Y69" s="82">
        <f>+VLOOKUP(TbPrestamo[[#This Row],[ITEM]],TbPiezas[],7,FALSE)</f>
        <v>5.4664999999999999</v>
      </c>
      <c r="Z69" s="84">
        <f>+TbPrestamo[[#This Row],[TOTAL]]*TbPrestamo[[#This Row],[P.U. (3)]]</f>
        <v>0</v>
      </c>
    </row>
    <row r="70" spans="1:26" ht="15" customHeight="1" x14ac:dyDescent="0.3">
      <c r="A70" s="2"/>
      <c r="B70" s="85">
        <v>53</v>
      </c>
      <c r="C70" s="71" t="s">
        <v>107</v>
      </c>
      <c r="D70" s="72" t="s">
        <v>108</v>
      </c>
      <c r="E70" s="73"/>
      <c r="F70" s="74">
        <f>+VLOOKUP(C70,TbPrestamo[],13,FALSE)</f>
        <v>0</v>
      </c>
      <c r="G70" s="2"/>
      <c r="H70" s="75" t="str">
        <f t="shared" si="0"/>
        <v>AM.5000</v>
      </c>
      <c r="I70" s="59" t="str">
        <f t="shared" si="1"/>
        <v>ok</v>
      </c>
      <c r="J70" s="77">
        <f>IFERROR(VLOOKUP($H70,TG[],3,FALSE),"NA")</f>
        <v>0</v>
      </c>
      <c r="K70" s="77">
        <f>IFERROR(VLOOKUP($H70,TF[],3,FALSE),"NA")</f>
        <v>0</v>
      </c>
      <c r="L70" s="77">
        <f>IFERROR(VLOOKUP($H70,TT[],3,FALSE),"NA")</f>
        <v>0</v>
      </c>
      <c r="M70" s="77">
        <f>IFERROR(VLOOKUP($H70,TES[],3,FALSE),"NA")</f>
        <v>0</v>
      </c>
      <c r="N70" s="77" t="str">
        <f>IFERROR(VLOOKUP($H70,TEC[],3,FALSE),"NA")</f>
        <v>NA</v>
      </c>
      <c r="O70" s="77" t="str">
        <f>IFERROR(VLOOKUP($H70,TP[],3,FALSE),"NA")</f>
        <v>NA</v>
      </c>
      <c r="P70" s="77" t="str">
        <f>IFERROR(VLOOKUP($H70,TEN[],3,FALSE),"NA")</f>
        <v>NA</v>
      </c>
      <c r="Q70" s="77" t="str">
        <f>IFERROR(VLOOKUP($H70,TD[],3,FALSE),"NA")</f>
        <v>NA</v>
      </c>
      <c r="R70" s="77" t="str">
        <f>IFERROR(VLOOKUP($H70,TC[],3,FALSE),"NA")</f>
        <v>NA</v>
      </c>
      <c r="S70" s="77" t="str">
        <f>IFERROR(VLOOKUP($H70,TEV[],3,FALSE),"NA")</f>
        <v>NA</v>
      </c>
      <c r="T70" s="79">
        <f>SUM(TbPrestamo[[#This Row],[GENERAL]:[ELEVADOR]])</f>
        <v>0</v>
      </c>
      <c r="U70" s="80">
        <f>IF(VLOOKUP(TbPrestamo[[#This Row],[ITEM]],TbPiezas[],5,FALSE)="NA",0,VLOOKUP(TbPrestamo[[#This Row],[ITEM]],TbPiezas[],5,FALSE))</f>
        <v>0.5</v>
      </c>
      <c r="V70" s="81">
        <f>+TbPrestamo[[#This Row],[TOTAL]]*TbPrestamo[[#This Row],[P.U. (1)]]</f>
        <v>0</v>
      </c>
      <c r="W70" s="82">
        <f>+VLOOKUP(TbPrestamo[[#This Row],[ITEM]],TbPiezas[],6,FALSE)</f>
        <v>91.83</v>
      </c>
      <c r="X70" s="83">
        <f>+TbPrestamo[[#This Row],[TOTAL]]*TbPrestamo[[#This Row],[P.U. (2)]]</f>
        <v>0</v>
      </c>
      <c r="Y70" s="82">
        <f>+VLOOKUP(TbPrestamo[[#This Row],[ITEM]],TbPiezas[],7,FALSE)</f>
        <v>4.5914999999999999</v>
      </c>
      <c r="Z70" s="84">
        <f>+TbPrestamo[[#This Row],[TOTAL]]*TbPrestamo[[#This Row],[P.U. (3)]]</f>
        <v>0</v>
      </c>
    </row>
    <row r="71" spans="1:26" ht="15" customHeight="1" x14ac:dyDescent="0.3">
      <c r="A71" s="2"/>
      <c r="B71" s="85">
        <v>54</v>
      </c>
      <c r="C71" s="71" t="s">
        <v>109</v>
      </c>
      <c r="D71" s="72" t="s">
        <v>110</v>
      </c>
      <c r="E71" s="73"/>
      <c r="F71" s="74">
        <f>+VLOOKUP(C71,TbPrestamo[],13,FALSE)</f>
        <v>1</v>
      </c>
      <c r="G71" s="2"/>
      <c r="H71" s="75" t="str">
        <f t="shared" si="0"/>
        <v>AM.5100</v>
      </c>
      <c r="I71" s="59" t="str">
        <f t="shared" si="1"/>
        <v>ok</v>
      </c>
      <c r="J71" s="77">
        <f>IFERROR(VLOOKUP($H71,TG[],3,FALSE),"NA")</f>
        <v>0</v>
      </c>
      <c r="K71" s="77">
        <f>IFERROR(VLOOKUP($H71,TF[],3,FALSE),"NA")</f>
        <v>0</v>
      </c>
      <c r="L71" s="77">
        <f>IFERROR(VLOOKUP($H71,TT[],3,FALSE),"NA")</f>
        <v>0</v>
      </c>
      <c r="M71" s="77">
        <f>IFERROR(VLOOKUP($H71,TES[],3,FALSE),"NA")</f>
        <v>1</v>
      </c>
      <c r="N71" s="77" t="str">
        <f>IFERROR(VLOOKUP($H71,TEC[],3,FALSE),"NA")</f>
        <v>NA</v>
      </c>
      <c r="O71" s="77" t="str">
        <f>IFERROR(VLOOKUP($H71,TP[],3,FALSE),"NA")</f>
        <v>NA</v>
      </c>
      <c r="P71" s="77" t="str">
        <f>IFERROR(VLOOKUP($H71,TEN[],3,FALSE),"NA")</f>
        <v>NA</v>
      </c>
      <c r="Q71" s="77" t="str">
        <f>IFERROR(VLOOKUP($H71,TD[],3,FALSE),"NA")</f>
        <v>NA</v>
      </c>
      <c r="R71" s="77" t="str">
        <f>IFERROR(VLOOKUP($H71,TC[],3,FALSE),"NA")</f>
        <v>NA</v>
      </c>
      <c r="S71" s="77" t="str">
        <f>IFERROR(VLOOKUP($H71,TEV[],3,FALSE),"NA")</f>
        <v>NA</v>
      </c>
      <c r="T71" s="79">
        <f>SUM(TbPrestamo[[#This Row],[GENERAL]:[ELEVADOR]])</f>
        <v>1</v>
      </c>
      <c r="U71" s="80">
        <f>IF(VLOOKUP(TbPrestamo[[#This Row],[ITEM]],TbPiezas[],5,FALSE)="NA",0,VLOOKUP(TbPrestamo[[#This Row],[ITEM]],TbPiezas[],5,FALSE))</f>
        <v>11.299999999999997</v>
      </c>
      <c r="V71" s="81">
        <f>+TbPrestamo[[#This Row],[TOTAL]]*TbPrestamo[[#This Row],[P.U. (1)]]</f>
        <v>11.299999999999997</v>
      </c>
      <c r="W71" s="82">
        <f>+VLOOKUP(TbPrestamo[[#This Row],[ITEM]],TbPiezas[],6,FALSE)</f>
        <v>316.13</v>
      </c>
      <c r="X71" s="83">
        <f>+TbPrestamo[[#This Row],[TOTAL]]*TbPrestamo[[#This Row],[P.U. (2)]]</f>
        <v>316.13</v>
      </c>
      <c r="Y71" s="82">
        <f>+VLOOKUP(TbPrestamo[[#This Row],[ITEM]],TbPiezas[],7,FALSE)</f>
        <v>15.8065</v>
      </c>
      <c r="Z71" s="84">
        <f>+TbPrestamo[[#This Row],[TOTAL]]*TbPrestamo[[#This Row],[P.U. (3)]]</f>
        <v>15.8065</v>
      </c>
    </row>
    <row r="72" spans="1:26" ht="15" customHeight="1" x14ac:dyDescent="0.3">
      <c r="A72" s="2"/>
      <c r="B72" s="85">
        <v>55</v>
      </c>
      <c r="C72" s="71" t="s">
        <v>111</v>
      </c>
      <c r="D72" s="72" t="s">
        <v>112</v>
      </c>
      <c r="E72" s="73"/>
      <c r="F72" s="74">
        <f>+VLOOKUP(C72,TbPrestamo[],13,FALSE)</f>
        <v>4</v>
      </c>
      <c r="G72" s="2"/>
      <c r="H72" s="75" t="str">
        <f t="shared" si="0"/>
        <v>AM.5200</v>
      </c>
      <c r="I72" s="59" t="str">
        <f t="shared" si="1"/>
        <v>ok</v>
      </c>
      <c r="J72" s="77">
        <f>IFERROR(VLOOKUP($H72,TG[],3,FALSE),"NA")</f>
        <v>0</v>
      </c>
      <c r="K72" s="77">
        <f>IFERROR(VLOOKUP($H72,TF[],3,FALSE),"NA")</f>
        <v>0</v>
      </c>
      <c r="L72" s="77">
        <f>IFERROR(VLOOKUP($H72,TT[],3,FALSE),"NA")</f>
        <v>4</v>
      </c>
      <c r="M72" s="77">
        <f>IFERROR(VLOOKUP($H72,TES[],3,FALSE),"NA")</f>
        <v>0</v>
      </c>
      <c r="N72" s="77" t="str">
        <f>IFERROR(VLOOKUP($H72,TEC[],3,FALSE),"NA")</f>
        <v>NA</v>
      </c>
      <c r="O72" s="77" t="str">
        <f>IFERROR(VLOOKUP($H72,TP[],3,FALSE),"NA")</f>
        <v>NA</v>
      </c>
      <c r="P72" s="77" t="str">
        <f>IFERROR(VLOOKUP($H72,TEN[],3,FALSE),"NA")</f>
        <v>NA</v>
      </c>
      <c r="Q72" s="77" t="str">
        <f>IFERROR(VLOOKUP($H72,TD[],3,FALSE),"NA")</f>
        <v>NA</v>
      </c>
      <c r="R72" s="77" t="str">
        <f>IFERROR(VLOOKUP($H72,TC[],3,FALSE),"NA")</f>
        <v>NA</v>
      </c>
      <c r="S72" s="77" t="str">
        <f>IFERROR(VLOOKUP($H72,TEV[],3,FALSE),"NA")</f>
        <v>NA</v>
      </c>
      <c r="T72" s="79">
        <f>SUM(TbPrestamo[[#This Row],[GENERAL]:[ELEVADOR]])</f>
        <v>4</v>
      </c>
      <c r="U72" s="80">
        <f>IF(VLOOKUP(TbPrestamo[[#This Row],[ITEM]],TbPiezas[],5,FALSE)="NA",0,VLOOKUP(TbPrestamo[[#This Row],[ITEM]],TbPiezas[],5,FALSE))</f>
        <v>10.899999999999991</v>
      </c>
      <c r="V72" s="81">
        <f>+TbPrestamo[[#This Row],[TOTAL]]*TbPrestamo[[#This Row],[P.U. (1)]]</f>
        <v>43.599999999999966</v>
      </c>
      <c r="W72" s="82">
        <f>+VLOOKUP(TbPrestamo[[#This Row],[ITEM]],TbPiezas[],6,FALSE)</f>
        <v>302.58</v>
      </c>
      <c r="X72" s="83">
        <f>+TbPrestamo[[#This Row],[TOTAL]]*TbPrestamo[[#This Row],[P.U. (2)]]</f>
        <v>1210.32</v>
      </c>
      <c r="Y72" s="82">
        <f>+VLOOKUP(TbPrestamo[[#This Row],[ITEM]],TbPiezas[],7,FALSE)</f>
        <v>15.129</v>
      </c>
      <c r="Z72" s="84">
        <f>+TbPrestamo[[#This Row],[TOTAL]]*TbPrestamo[[#This Row],[P.U. (3)]]</f>
        <v>60.515999999999998</v>
      </c>
    </row>
    <row r="73" spans="1:26" ht="15" customHeight="1" x14ac:dyDescent="0.3">
      <c r="A73" s="2"/>
      <c r="B73" s="85">
        <v>56</v>
      </c>
      <c r="C73" s="71" t="s">
        <v>113</v>
      </c>
      <c r="D73" s="72" t="s">
        <v>114</v>
      </c>
      <c r="E73" s="73"/>
      <c r="F73" s="74">
        <f>+VLOOKUP(C73,TbPrestamo[],13,FALSE)</f>
        <v>0</v>
      </c>
      <c r="G73" s="2"/>
      <c r="H73" s="75" t="str">
        <f t="shared" si="0"/>
        <v>AM.5300</v>
      </c>
      <c r="I73" s="59" t="str">
        <f t="shared" si="1"/>
        <v>ok</v>
      </c>
      <c r="J73" s="77">
        <f>IFERROR(VLOOKUP($H73,TG[],3,FALSE),"NA")</f>
        <v>0</v>
      </c>
      <c r="K73" s="77">
        <f>IFERROR(VLOOKUP($H73,TF[],3,FALSE),"NA")</f>
        <v>0</v>
      </c>
      <c r="L73" s="77">
        <f>IFERROR(VLOOKUP($H73,TT[],3,FALSE),"NA")</f>
        <v>0</v>
      </c>
      <c r="M73" s="77">
        <f>IFERROR(VLOOKUP($H73,TES[],3,FALSE),"NA")</f>
        <v>0</v>
      </c>
      <c r="N73" s="77" t="str">
        <f>IFERROR(VLOOKUP($H73,TEC[],3,FALSE),"NA")</f>
        <v>NA</v>
      </c>
      <c r="O73" s="77" t="str">
        <f>IFERROR(VLOOKUP($H73,TP[],3,FALSE),"NA")</f>
        <v>NA</v>
      </c>
      <c r="P73" s="77" t="str">
        <f>IFERROR(VLOOKUP($H73,TEN[],3,FALSE),"NA")</f>
        <v>NA</v>
      </c>
      <c r="Q73" s="77" t="str">
        <f>IFERROR(VLOOKUP($H73,TD[],3,FALSE),"NA")</f>
        <v>NA</v>
      </c>
      <c r="R73" s="77" t="str">
        <f>IFERROR(VLOOKUP($H73,TC[],3,FALSE),"NA")</f>
        <v>NA</v>
      </c>
      <c r="S73" s="77" t="str">
        <f>IFERROR(VLOOKUP($H73,TEV[],3,FALSE),"NA")</f>
        <v>NA</v>
      </c>
      <c r="T73" s="79">
        <f>SUM(TbPrestamo[[#This Row],[GENERAL]:[ELEVADOR]])</f>
        <v>0</v>
      </c>
      <c r="U73" s="80">
        <f>IF(VLOOKUP(TbPrestamo[[#This Row],[ITEM]],TbPiezas[],5,FALSE)="NA",0,VLOOKUP(TbPrestamo[[#This Row],[ITEM]],TbPiezas[],5,FALSE))</f>
        <v>7.5</v>
      </c>
      <c r="V73" s="81">
        <f>+TbPrestamo[[#This Row],[TOTAL]]*TbPrestamo[[#This Row],[P.U. (1)]]</f>
        <v>0</v>
      </c>
      <c r="W73" s="82">
        <f>+VLOOKUP(TbPrestamo[[#This Row],[ITEM]],TbPiezas[],6,FALSE)</f>
        <v>291.14</v>
      </c>
      <c r="X73" s="83">
        <f>+TbPrestamo[[#This Row],[TOTAL]]*TbPrestamo[[#This Row],[P.U. (2)]]</f>
        <v>0</v>
      </c>
      <c r="Y73" s="82">
        <f>+VLOOKUP(TbPrestamo[[#This Row],[ITEM]],TbPiezas[],7,FALSE)</f>
        <v>14.557</v>
      </c>
      <c r="Z73" s="84">
        <f>+TbPrestamo[[#This Row],[TOTAL]]*TbPrestamo[[#This Row],[P.U. (3)]]</f>
        <v>0</v>
      </c>
    </row>
    <row r="74" spans="1:26" ht="15" customHeight="1" x14ac:dyDescent="0.3">
      <c r="A74" s="2"/>
      <c r="B74" s="85">
        <v>57</v>
      </c>
      <c r="C74" s="71" t="s">
        <v>115</v>
      </c>
      <c r="D74" s="72" t="s">
        <v>116</v>
      </c>
      <c r="E74" s="73"/>
      <c r="F74" s="74">
        <f>+VLOOKUP(C74,TbPrestamo[],13,FALSE)</f>
        <v>1</v>
      </c>
      <c r="G74" s="2"/>
      <c r="H74" s="75" t="str">
        <f t="shared" si="0"/>
        <v>AM.5400</v>
      </c>
      <c r="I74" s="59" t="str">
        <f t="shared" si="1"/>
        <v>ok</v>
      </c>
      <c r="J74" s="77">
        <f>IFERROR(VLOOKUP($H74,TG[],3,FALSE),"NA")</f>
        <v>0</v>
      </c>
      <c r="K74" s="77">
        <f>IFERROR(VLOOKUP($H74,TF[],3,FALSE),"NA")</f>
        <v>0</v>
      </c>
      <c r="L74" s="77">
        <f>IFERROR(VLOOKUP($H74,TT[],3,FALSE),"NA")</f>
        <v>0</v>
      </c>
      <c r="M74" s="77">
        <f>IFERROR(VLOOKUP($H74,TES[],3,FALSE),"NA")</f>
        <v>1</v>
      </c>
      <c r="N74" s="77" t="str">
        <f>IFERROR(VLOOKUP($H74,TEC[],3,FALSE),"NA")</f>
        <v>NA</v>
      </c>
      <c r="O74" s="77" t="str">
        <f>IFERROR(VLOOKUP($H74,TP[],3,FALSE),"NA")</f>
        <v>NA</v>
      </c>
      <c r="P74" s="77" t="str">
        <f>IFERROR(VLOOKUP($H74,TEN[],3,FALSE),"NA")</f>
        <v>NA</v>
      </c>
      <c r="Q74" s="77" t="str">
        <f>IFERROR(VLOOKUP($H74,TD[],3,FALSE),"NA")</f>
        <v>NA</v>
      </c>
      <c r="R74" s="77" t="str">
        <f>IFERROR(VLOOKUP($H74,TC[],3,FALSE),"NA")</f>
        <v>NA</v>
      </c>
      <c r="S74" s="77" t="str">
        <f>IFERROR(VLOOKUP($H74,TEV[],3,FALSE),"NA")</f>
        <v>NA</v>
      </c>
      <c r="T74" s="79">
        <f>SUM(TbPrestamo[[#This Row],[GENERAL]:[ELEVADOR]])</f>
        <v>1</v>
      </c>
      <c r="U74" s="80">
        <f>IF(VLOOKUP(TbPrestamo[[#This Row],[ITEM]],TbPiezas[],5,FALSE)="NA",0,VLOOKUP(TbPrestamo[[#This Row],[ITEM]],TbPiezas[],5,FALSE))</f>
        <v>6.5999999999999943</v>
      </c>
      <c r="V74" s="81">
        <f>+TbPrestamo[[#This Row],[TOTAL]]*TbPrestamo[[#This Row],[P.U. (1)]]</f>
        <v>6.5999999999999943</v>
      </c>
      <c r="W74" s="82">
        <f>+VLOOKUP(TbPrestamo[[#This Row],[ITEM]],TbPiezas[],6,FALSE)</f>
        <v>280.58999999999997</v>
      </c>
      <c r="X74" s="83">
        <f>+TbPrestamo[[#This Row],[TOTAL]]*TbPrestamo[[#This Row],[P.U. (2)]]</f>
        <v>280.58999999999997</v>
      </c>
      <c r="Y74" s="82">
        <f>+VLOOKUP(TbPrestamo[[#This Row],[ITEM]],TbPiezas[],7,FALSE)</f>
        <v>14.029499999999999</v>
      </c>
      <c r="Z74" s="84">
        <f>+TbPrestamo[[#This Row],[TOTAL]]*TbPrestamo[[#This Row],[P.U. (3)]]</f>
        <v>14.029499999999999</v>
      </c>
    </row>
    <row r="75" spans="1:26" ht="15" customHeight="1" x14ac:dyDescent="0.3">
      <c r="A75" s="2"/>
      <c r="B75" s="85">
        <v>58</v>
      </c>
      <c r="C75" s="71" t="s">
        <v>117</v>
      </c>
      <c r="D75" s="72" t="s">
        <v>118</v>
      </c>
      <c r="E75" s="73"/>
      <c r="F75" s="74">
        <f>+VLOOKUP(C75,TbPrestamo[],13,FALSE)</f>
        <v>0</v>
      </c>
      <c r="G75" s="2"/>
      <c r="H75" s="75" t="str">
        <f t="shared" si="0"/>
        <v>AM.5500</v>
      </c>
      <c r="I75" s="59" t="str">
        <f t="shared" si="1"/>
        <v>ok</v>
      </c>
      <c r="J75" s="77">
        <f>IFERROR(VLOOKUP($H75,TG[],3,FALSE),"NA")</f>
        <v>0</v>
      </c>
      <c r="K75" s="77">
        <f>IFERROR(VLOOKUP($H75,TF[],3,FALSE),"NA")</f>
        <v>0</v>
      </c>
      <c r="L75" s="77">
        <f>IFERROR(VLOOKUP($H75,TT[],3,FALSE),"NA")</f>
        <v>0</v>
      </c>
      <c r="M75" s="77">
        <f>IFERROR(VLOOKUP($H75,TES[],3,FALSE),"NA")</f>
        <v>0</v>
      </c>
      <c r="N75" s="77" t="str">
        <f>IFERROR(VLOOKUP($H75,TEC[],3,FALSE),"NA")</f>
        <v>NA</v>
      </c>
      <c r="O75" s="77" t="str">
        <f>IFERROR(VLOOKUP($H75,TP[],3,FALSE),"NA")</f>
        <v>NA</v>
      </c>
      <c r="P75" s="77" t="str">
        <f>IFERROR(VLOOKUP($H75,TEN[],3,FALSE),"NA")</f>
        <v>NA</v>
      </c>
      <c r="Q75" s="77" t="str">
        <f>IFERROR(VLOOKUP($H75,TD[],3,FALSE),"NA")</f>
        <v>NA</v>
      </c>
      <c r="R75" s="77" t="str">
        <f>IFERROR(VLOOKUP($H75,TC[],3,FALSE),"NA")</f>
        <v>NA</v>
      </c>
      <c r="S75" s="77" t="str">
        <f>IFERROR(VLOOKUP($H75,TEV[],3,FALSE),"NA")</f>
        <v>NA</v>
      </c>
      <c r="T75" s="79">
        <f>SUM(TbPrestamo[[#This Row],[GENERAL]:[ELEVADOR]])</f>
        <v>0</v>
      </c>
      <c r="U75" s="80">
        <f>IF(VLOOKUP(TbPrestamo[[#This Row],[ITEM]],TbPiezas[],5,FALSE)="NA",0,VLOOKUP(TbPrestamo[[#This Row],[ITEM]],TbPiezas[],5,FALSE))</f>
        <v>6</v>
      </c>
      <c r="V75" s="81">
        <f>+TbPrestamo[[#This Row],[TOTAL]]*TbPrestamo[[#This Row],[P.U. (1)]]</f>
        <v>0</v>
      </c>
      <c r="W75" s="82">
        <f>+VLOOKUP(TbPrestamo[[#This Row],[ITEM]],TbPiezas[],6,FALSE)</f>
        <v>280.58999999999997</v>
      </c>
      <c r="X75" s="83">
        <f>+TbPrestamo[[#This Row],[TOTAL]]*TbPrestamo[[#This Row],[P.U. (2)]]</f>
        <v>0</v>
      </c>
      <c r="Y75" s="82">
        <f>+VLOOKUP(TbPrestamo[[#This Row],[ITEM]],TbPiezas[],7,FALSE)</f>
        <v>14.029499999999999</v>
      </c>
      <c r="Z75" s="84">
        <f>+TbPrestamo[[#This Row],[TOTAL]]*TbPrestamo[[#This Row],[P.U. (3)]]</f>
        <v>0</v>
      </c>
    </row>
    <row r="76" spans="1:26" ht="15" customHeight="1" x14ac:dyDescent="0.3">
      <c r="A76" s="2"/>
      <c r="B76" s="85">
        <v>59</v>
      </c>
      <c r="C76" s="71" t="s">
        <v>119</v>
      </c>
      <c r="D76" s="72" t="s">
        <v>120</v>
      </c>
      <c r="E76" s="73"/>
      <c r="F76" s="74">
        <f>+VLOOKUP(C76,TbPrestamo[],13,FALSE)</f>
        <v>0</v>
      </c>
      <c r="G76" s="2"/>
      <c r="H76" s="75" t="str">
        <f t="shared" si="0"/>
        <v>AM.5600</v>
      </c>
      <c r="I76" s="59" t="str">
        <f t="shared" si="1"/>
        <v>ok</v>
      </c>
      <c r="J76" s="77">
        <f>IFERROR(VLOOKUP($H76,TG[],3,FALSE),"NA")</f>
        <v>0</v>
      </c>
      <c r="K76" s="77">
        <f>IFERROR(VLOOKUP($H76,TF[],3,FALSE),"NA")</f>
        <v>0</v>
      </c>
      <c r="L76" s="77">
        <f>IFERROR(VLOOKUP($H76,TT[],3,FALSE),"NA")</f>
        <v>0</v>
      </c>
      <c r="M76" s="77">
        <f>IFERROR(VLOOKUP($H76,TES[],3,FALSE),"NA")</f>
        <v>0</v>
      </c>
      <c r="N76" s="77" t="str">
        <f>IFERROR(VLOOKUP($H76,TEC[],3,FALSE),"NA")</f>
        <v>NA</v>
      </c>
      <c r="O76" s="77" t="str">
        <f>IFERROR(VLOOKUP($H76,TP[],3,FALSE),"NA")</f>
        <v>NA</v>
      </c>
      <c r="P76" s="77" t="str">
        <f>IFERROR(VLOOKUP($H76,TEN[],3,FALSE),"NA")</f>
        <v>NA</v>
      </c>
      <c r="Q76" s="77" t="str">
        <f>IFERROR(VLOOKUP($H76,TD[],3,FALSE),"NA")</f>
        <v>NA</v>
      </c>
      <c r="R76" s="77" t="str">
        <f>IFERROR(VLOOKUP($H76,TC[],3,FALSE),"NA")</f>
        <v>NA</v>
      </c>
      <c r="S76" s="77" t="str">
        <f>IFERROR(VLOOKUP($H76,TEV[],3,FALSE),"NA")</f>
        <v>NA</v>
      </c>
      <c r="T76" s="79">
        <f>SUM(TbPrestamo[[#This Row],[GENERAL]:[ELEVADOR]])</f>
        <v>0</v>
      </c>
      <c r="U76" s="80">
        <f>IF(VLOOKUP(TbPrestamo[[#This Row],[ITEM]],TbPiezas[],5,FALSE)="NA",0,VLOOKUP(TbPrestamo[[#This Row],[ITEM]],TbPiezas[],5,FALSE))</f>
        <v>4.2000000000000028</v>
      </c>
      <c r="V76" s="81">
        <f>+TbPrestamo[[#This Row],[TOTAL]]*TbPrestamo[[#This Row],[P.U. (1)]]</f>
        <v>0</v>
      </c>
      <c r="W76" s="82">
        <f>+VLOOKUP(TbPrestamo[[#This Row],[ITEM]],TbPiezas[],6,FALSE)</f>
        <v>266.81</v>
      </c>
      <c r="X76" s="83">
        <f>+TbPrestamo[[#This Row],[TOTAL]]*TbPrestamo[[#This Row],[P.U. (2)]]</f>
        <v>0</v>
      </c>
      <c r="Y76" s="82">
        <f>+VLOOKUP(TbPrestamo[[#This Row],[ITEM]],TbPiezas[],7,FALSE)</f>
        <v>13.3405</v>
      </c>
      <c r="Z76" s="84">
        <f>+TbPrestamo[[#This Row],[TOTAL]]*TbPrestamo[[#This Row],[P.U. (3)]]</f>
        <v>0</v>
      </c>
    </row>
    <row r="77" spans="1:26" ht="15" customHeight="1" x14ac:dyDescent="0.3">
      <c r="A77" s="2"/>
      <c r="B77" s="85">
        <v>60</v>
      </c>
      <c r="C77" s="71" t="s">
        <v>121</v>
      </c>
      <c r="D77" s="72" t="s">
        <v>122</v>
      </c>
      <c r="E77" s="73"/>
      <c r="F77" s="74">
        <f>+VLOOKUP(C77,TbPrestamo[],13,FALSE)</f>
        <v>0</v>
      </c>
      <c r="G77" s="2"/>
      <c r="H77" s="75" t="str">
        <f t="shared" si="0"/>
        <v>AM.5700</v>
      </c>
      <c r="I77" s="59" t="str">
        <f t="shared" si="1"/>
        <v>ok</v>
      </c>
      <c r="J77" s="77">
        <f>IFERROR(VLOOKUP($H77,TG[],3,FALSE),"NA")</f>
        <v>0</v>
      </c>
      <c r="K77" s="77" t="str">
        <f>IFERROR(VLOOKUP($H77,TF[],3,FALSE),"NA")</f>
        <v>NA</v>
      </c>
      <c r="L77" s="77" t="str">
        <f>IFERROR(VLOOKUP($H77,TT[],3,FALSE),"NA")</f>
        <v>NA</v>
      </c>
      <c r="M77" s="77" t="str">
        <f>IFERROR(VLOOKUP($H77,TES[],3,FALSE),"NA")</f>
        <v>NA</v>
      </c>
      <c r="N77" s="77" t="str">
        <f>IFERROR(VLOOKUP($H77,TEC[],3,FALSE),"NA")</f>
        <v>NA</v>
      </c>
      <c r="O77" s="77" t="str">
        <f>IFERROR(VLOOKUP($H77,TP[],3,FALSE),"NA")</f>
        <v>NA</v>
      </c>
      <c r="P77" s="77" t="str">
        <f>IFERROR(VLOOKUP($H77,TEN[],3,FALSE),"NA")</f>
        <v>NA</v>
      </c>
      <c r="Q77" s="77" t="str">
        <f>IFERROR(VLOOKUP($H77,TD[],3,FALSE),"NA")</f>
        <v>NA</v>
      </c>
      <c r="R77" s="77" t="str">
        <f>IFERROR(VLOOKUP($H77,TC[],3,FALSE),"NA")</f>
        <v>NA</v>
      </c>
      <c r="S77" s="77" t="str">
        <f>IFERROR(VLOOKUP($H77,TEV[],3,FALSE),"NA")</f>
        <v>NA</v>
      </c>
      <c r="T77" s="79">
        <f>SUM(TbPrestamo[[#This Row],[GENERAL]:[ELEVADOR]])</f>
        <v>0</v>
      </c>
      <c r="U77" s="80">
        <f>IF(VLOOKUP(TbPrestamo[[#This Row],[ITEM]],TbPiezas[],5,FALSE)="NA",0,VLOOKUP(TbPrestamo[[#This Row],[ITEM]],TbPiezas[],5,FALSE))</f>
        <v>10.700000000000003</v>
      </c>
      <c r="V77" s="81">
        <f>+TbPrestamo[[#This Row],[TOTAL]]*TbPrestamo[[#This Row],[P.U. (1)]]</f>
        <v>0</v>
      </c>
      <c r="W77" s="82">
        <f>+VLOOKUP(TbPrestamo[[#This Row],[ITEM]],TbPiezas[],6,FALSE)</f>
        <v>316.13</v>
      </c>
      <c r="X77" s="83">
        <f>+TbPrestamo[[#This Row],[TOTAL]]*TbPrestamo[[#This Row],[P.U. (2)]]</f>
        <v>0</v>
      </c>
      <c r="Y77" s="82">
        <f>+VLOOKUP(TbPrestamo[[#This Row],[ITEM]],TbPiezas[],7,FALSE)</f>
        <v>15.8065</v>
      </c>
      <c r="Z77" s="84">
        <f>+TbPrestamo[[#This Row],[TOTAL]]*TbPrestamo[[#This Row],[P.U. (3)]]</f>
        <v>0</v>
      </c>
    </row>
    <row r="78" spans="1:26" ht="15" customHeight="1" x14ac:dyDescent="0.3">
      <c r="A78" s="2"/>
      <c r="B78" s="85">
        <v>61</v>
      </c>
      <c r="C78" s="71" t="s">
        <v>123</v>
      </c>
      <c r="D78" s="72" t="s">
        <v>124</v>
      </c>
      <c r="E78" s="73"/>
      <c r="F78" s="74">
        <f>+VLOOKUP(C78,TbPrestamo[],13,FALSE)</f>
        <v>0</v>
      </c>
      <c r="G78" s="2"/>
      <c r="H78" s="75" t="str">
        <f t="shared" si="0"/>
        <v>AM.5800</v>
      </c>
      <c r="I78" s="59" t="str">
        <f t="shared" si="1"/>
        <v>ok</v>
      </c>
      <c r="J78" s="77">
        <f>IFERROR(VLOOKUP($H78,TG[],3,FALSE),"NA")</f>
        <v>0</v>
      </c>
      <c r="K78" s="77" t="str">
        <f>IFERROR(VLOOKUP($H78,TF[],3,FALSE),"NA")</f>
        <v>NA</v>
      </c>
      <c r="L78" s="77" t="str">
        <f>IFERROR(VLOOKUP($H78,TT[],3,FALSE),"NA")</f>
        <v>NA</v>
      </c>
      <c r="M78" s="77" t="str">
        <f>IFERROR(VLOOKUP($H78,TES[],3,FALSE),"NA")</f>
        <v>NA</v>
      </c>
      <c r="N78" s="77" t="str">
        <f>IFERROR(VLOOKUP($H78,TEC[],3,FALSE),"NA")</f>
        <v>NA</v>
      </c>
      <c r="O78" s="77" t="str">
        <f>IFERROR(VLOOKUP($H78,TP[],3,FALSE),"NA")</f>
        <v>NA</v>
      </c>
      <c r="P78" s="77" t="str">
        <f>IFERROR(VLOOKUP($H78,TEN[],3,FALSE),"NA")</f>
        <v>NA</v>
      </c>
      <c r="Q78" s="77" t="str">
        <f>IFERROR(VLOOKUP($H78,TD[],3,FALSE),"NA")</f>
        <v>NA</v>
      </c>
      <c r="R78" s="77" t="str">
        <f>IFERROR(VLOOKUP($H78,TC[],3,FALSE),"NA")</f>
        <v>NA</v>
      </c>
      <c r="S78" s="77" t="str">
        <f>IFERROR(VLOOKUP($H78,TEV[],3,FALSE),"NA")</f>
        <v>NA</v>
      </c>
      <c r="T78" s="79">
        <f>SUM(TbPrestamo[[#This Row],[GENERAL]:[ELEVADOR]])</f>
        <v>0</v>
      </c>
      <c r="U78" s="80">
        <f>IF(VLOOKUP(TbPrestamo[[#This Row],[ITEM]],TbPiezas[],5,FALSE)="NA",0,VLOOKUP(TbPrestamo[[#This Row],[ITEM]],TbPiezas[],5,FALSE))</f>
        <v>9.2000000000000028</v>
      </c>
      <c r="V78" s="81">
        <f>+TbPrestamo[[#This Row],[TOTAL]]*TbPrestamo[[#This Row],[P.U. (1)]]</f>
        <v>0</v>
      </c>
      <c r="W78" s="82">
        <f>+VLOOKUP(TbPrestamo[[#This Row],[ITEM]],TbPiezas[],6,FALSE)</f>
        <v>302.58</v>
      </c>
      <c r="X78" s="83">
        <f>+TbPrestamo[[#This Row],[TOTAL]]*TbPrestamo[[#This Row],[P.U. (2)]]</f>
        <v>0</v>
      </c>
      <c r="Y78" s="82">
        <f>+VLOOKUP(TbPrestamo[[#This Row],[ITEM]],TbPiezas[],7,FALSE)</f>
        <v>15.129</v>
      </c>
      <c r="Z78" s="84">
        <f>+TbPrestamo[[#This Row],[TOTAL]]*TbPrestamo[[#This Row],[P.U. (3)]]</f>
        <v>0</v>
      </c>
    </row>
    <row r="79" spans="1:26" ht="15" customHeight="1" x14ac:dyDescent="0.3">
      <c r="A79" s="2"/>
      <c r="B79" s="85">
        <v>62</v>
      </c>
      <c r="C79" s="71" t="s">
        <v>125</v>
      </c>
      <c r="D79" s="72" t="s">
        <v>126</v>
      </c>
      <c r="E79" s="73"/>
      <c r="F79" s="74">
        <f>+VLOOKUP(C79,TbPrestamo[],13,FALSE)</f>
        <v>0</v>
      </c>
      <c r="G79" s="2"/>
      <c r="H79" s="75" t="str">
        <f t="shared" si="0"/>
        <v>AM.5900</v>
      </c>
      <c r="I79" s="59" t="str">
        <f t="shared" si="1"/>
        <v>ok</v>
      </c>
      <c r="J79" s="77">
        <f>IFERROR(VLOOKUP($H79,TG[],3,FALSE),"NA")</f>
        <v>0</v>
      </c>
      <c r="K79" s="77" t="str">
        <f>IFERROR(VLOOKUP($H79,TF[],3,FALSE),"NA")</f>
        <v>NA</v>
      </c>
      <c r="L79" s="77" t="str">
        <f>IFERROR(VLOOKUP($H79,TT[],3,FALSE),"NA")</f>
        <v>NA</v>
      </c>
      <c r="M79" s="77" t="str">
        <f>IFERROR(VLOOKUP($H79,TES[],3,FALSE),"NA")</f>
        <v>NA</v>
      </c>
      <c r="N79" s="77" t="str">
        <f>IFERROR(VLOOKUP($H79,TEC[],3,FALSE),"NA")</f>
        <v>NA</v>
      </c>
      <c r="O79" s="77" t="str">
        <f>IFERROR(VLOOKUP($H79,TP[],3,FALSE),"NA")</f>
        <v>NA</v>
      </c>
      <c r="P79" s="77" t="str">
        <f>IFERROR(VLOOKUP($H79,TEN[],3,FALSE),"NA")</f>
        <v>NA</v>
      </c>
      <c r="Q79" s="77" t="str">
        <f>IFERROR(VLOOKUP($H79,TD[],3,FALSE),"NA")</f>
        <v>NA</v>
      </c>
      <c r="R79" s="77" t="str">
        <f>IFERROR(VLOOKUP($H79,TC[],3,FALSE),"NA")</f>
        <v>NA</v>
      </c>
      <c r="S79" s="77" t="str">
        <f>IFERROR(VLOOKUP($H79,TEV[],3,FALSE),"NA")</f>
        <v>NA</v>
      </c>
      <c r="T79" s="79">
        <f>SUM(TbPrestamo[[#This Row],[GENERAL]:[ELEVADOR]])</f>
        <v>0</v>
      </c>
      <c r="U79" s="80">
        <f>IF(VLOOKUP(TbPrestamo[[#This Row],[ITEM]],TbPiezas[],5,FALSE)="NA",0,VLOOKUP(TbPrestamo[[#This Row],[ITEM]],TbPiezas[],5,FALSE))</f>
        <v>5.9000000000000057</v>
      </c>
      <c r="V79" s="81">
        <f>+TbPrestamo[[#This Row],[TOTAL]]*TbPrestamo[[#This Row],[P.U. (1)]]</f>
        <v>0</v>
      </c>
      <c r="W79" s="82">
        <f>+VLOOKUP(TbPrestamo[[#This Row],[ITEM]],TbPiezas[],6,FALSE)</f>
        <v>280.58999999999997</v>
      </c>
      <c r="X79" s="83">
        <f>+TbPrestamo[[#This Row],[TOTAL]]*TbPrestamo[[#This Row],[P.U. (2)]]</f>
        <v>0</v>
      </c>
      <c r="Y79" s="82">
        <f>+VLOOKUP(TbPrestamo[[#This Row],[ITEM]],TbPiezas[],7,FALSE)</f>
        <v>14.029499999999999</v>
      </c>
      <c r="Z79" s="84">
        <f>+TbPrestamo[[#This Row],[TOTAL]]*TbPrestamo[[#This Row],[P.U. (3)]]</f>
        <v>0</v>
      </c>
    </row>
    <row r="80" spans="1:26" ht="15" customHeight="1" x14ac:dyDescent="0.3">
      <c r="A80" s="2"/>
      <c r="B80" s="85">
        <v>63</v>
      </c>
      <c r="C80" s="71" t="s">
        <v>127</v>
      </c>
      <c r="D80" s="72" t="s">
        <v>128</v>
      </c>
      <c r="E80" s="73"/>
      <c r="F80" s="74">
        <f>+VLOOKUP(C80,TbPrestamo[],13,FALSE)</f>
        <v>0</v>
      </c>
      <c r="G80" s="2"/>
      <c r="H80" s="75" t="str">
        <f t="shared" si="0"/>
        <v>AM.5910</v>
      </c>
      <c r="I80" s="59" t="str">
        <f t="shared" si="1"/>
        <v>ok</v>
      </c>
      <c r="J80" s="77">
        <f>IFERROR(VLOOKUP($H80,TG[],3,FALSE),"NA")</f>
        <v>0</v>
      </c>
      <c r="K80" s="77" t="str">
        <f>IFERROR(VLOOKUP($H80,TF[],3,FALSE),"NA")</f>
        <v>NA</v>
      </c>
      <c r="L80" s="77" t="str">
        <f>IFERROR(VLOOKUP($H80,TT[],3,FALSE),"NA")</f>
        <v>NA</v>
      </c>
      <c r="M80" s="77" t="str">
        <f>IFERROR(VLOOKUP($H80,TES[],3,FALSE),"NA")</f>
        <v>NA</v>
      </c>
      <c r="N80" s="77" t="str">
        <f>IFERROR(VLOOKUP($H80,TEC[],3,FALSE),"NA")</f>
        <v>NA</v>
      </c>
      <c r="O80" s="77" t="str">
        <f>IFERROR(VLOOKUP($H80,TP[],3,FALSE),"NA")</f>
        <v>NA</v>
      </c>
      <c r="P80" s="77" t="str">
        <f>IFERROR(VLOOKUP($H80,TEN[],3,FALSE),"NA")</f>
        <v>NA</v>
      </c>
      <c r="Q80" s="77" t="str">
        <f>IFERROR(VLOOKUP($H80,TD[],3,FALSE),"NA")</f>
        <v>NA</v>
      </c>
      <c r="R80" s="77" t="str">
        <f>IFERROR(VLOOKUP($H80,TC[],3,FALSE),"NA")</f>
        <v>NA</v>
      </c>
      <c r="S80" s="77" t="str">
        <f>IFERROR(VLOOKUP($H80,TEV[],3,FALSE),"NA")</f>
        <v>NA</v>
      </c>
      <c r="T80" s="79">
        <f>SUM(TbPrestamo[[#This Row],[GENERAL]:[ELEVADOR]])</f>
        <v>0</v>
      </c>
      <c r="U80" s="80">
        <f>IF(VLOOKUP(TbPrestamo[[#This Row],[ITEM]],TbPiezas[],5,FALSE)="NA",0,VLOOKUP(TbPrestamo[[#This Row],[ITEM]],TbPiezas[],5,FALSE))</f>
        <v>5.9</v>
      </c>
      <c r="V80" s="81">
        <f>+TbPrestamo[[#This Row],[TOTAL]]*TbPrestamo[[#This Row],[P.U. (1)]]</f>
        <v>0</v>
      </c>
      <c r="W80" s="82">
        <f>+VLOOKUP(TbPrestamo[[#This Row],[ITEM]],TbPiezas[],6,FALSE)</f>
        <v>280.58999999999997</v>
      </c>
      <c r="X80" s="83">
        <f>+TbPrestamo[[#This Row],[TOTAL]]*TbPrestamo[[#This Row],[P.U. (2)]]</f>
        <v>0</v>
      </c>
      <c r="Y80" s="82">
        <f>+VLOOKUP(TbPrestamo[[#This Row],[ITEM]],TbPiezas[],7,FALSE)</f>
        <v>14.029499999999999</v>
      </c>
      <c r="Z80" s="84">
        <f>+TbPrestamo[[#This Row],[TOTAL]]*TbPrestamo[[#This Row],[P.U. (3)]]</f>
        <v>0</v>
      </c>
    </row>
    <row r="81" spans="1:26" ht="15" customHeight="1" x14ac:dyDescent="0.3">
      <c r="A81" s="2"/>
      <c r="B81" s="85">
        <v>64</v>
      </c>
      <c r="C81" s="71" t="s">
        <v>129</v>
      </c>
      <c r="D81" s="72" t="s">
        <v>130</v>
      </c>
      <c r="E81" s="73"/>
      <c r="F81" s="74">
        <f>+VLOOKUP(C81,TbPrestamo[],13,FALSE)</f>
        <v>0</v>
      </c>
      <c r="G81" s="2"/>
      <c r="H81" s="75" t="str">
        <f t="shared" si="0"/>
        <v>AM.6000</v>
      </c>
      <c r="I81" s="59" t="str">
        <f t="shared" si="1"/>
        <v>ok</v>
      </c>
      <c r="J81" s="77">
        <f>IFERROR(VLOOKUP($H81,TG[],3,FALSE),"NA")</f>
        <v>0</v>
      </c>
      <c r="K81" s="77">
        <f>IFERROR(VLOOKUP($H81,TF[],3,FALSE),"NA")</f>
        <v>0</v>
      </c>
      <c r="L81" s="77">
        <f>IFERROR(VLOOKUP($H81,TT[],3,FALSE),"NA")</f>
        <v>0</v>
      </c>
      <c r="M81" s="77">
        <f>IFERROR(VLOOKUP($H81,TES[],3,FALSE),"NA")</f>
        <v>0</v>
      </c>
      <c r="N81" s="77">
        <f>IFERROR(VLOOKUP($H81,TEC[],3,FALSE),"NA")</f>
        <v>0</v>
      </c>
      <c r="O81" s="77" t="str">
        <f>IFERROR(VLOOKUP($H81,TP[],3,FALSE),"NA")</f>
        <v>NA</v>
      </c>
      <c r="P81" s="77" t="str">
        <f>IFERROR(VLOOKUP($H81,TEN[],3,FALSE),"NA")</f>
        <v>NA</v>
      </c>
      <c r="Q81" s="77" t="str">
        <f>IFERROR(VLOOKUP($H81,TD[],3,FALSE),"NA")</f>
        <v>NA</v>
      </c>
      <c r="R81" s="77" t="str">
        <f>IFERROR(VLOOKUP($H81,TC[],3,FALSE),"NA")</f>
        <v>NA</v>
      </c>
      <c r="S81" s="77" t="str">
        <f>IFERROR(VLOOKUP($H81,TEV[],3,FALSE),"NA")</f>
        <v>NA</v>
      </c>
      <c r="T81" s="79">
        <f>SUM(TbPrestamo[[#This Row],[GENERAL]:[ELEVADOR]])</f>
        <v>0</v>
      </c>
      <c r="U81" s="80">
        <f>IF(VLOOKUP(TbPrestamo[[#This Row],[ITEM]],TbPiezas[],5,FALSE)="NA",0,VLOOKUP(TbPrestamo[[#This Row],[ITEM]],TbPiezas[],5,FALSE))</f>
        <v>18.599999999999994</v>
      </c>
      <c r="V81" s="81">
        <f>+TbPrestamo[[#This Row],[TOTAL]]*TbPrestamo[[#This Row],[P.U. (1)]]</f>
        <v>0</v>
      </c>
      <c r="W81" s="82">
        <f>+VLOOKUP(TbPrestamo[[#This Row],[ITEM]],TbPiezas[],6,FALSE)</f>
        <v>654.70000000000005</v>
      </c>
      <c r="X81" s="83">
        <f>+TbPrestamo[[#This Row],[TOTAL]]*TbPrestamo[[#This Row],[P.U. (2)]]</f>
        <v>0</v>
      </c>
      <c r="Y81" s="82">
        <f>+VLOOKUP(TbPrestamo[[#This Row],[ITEM]],TbPiezas[],7,FALSE)</f>
        <v>32.735000000000007</v>
      </c>
      <c r="Z81" s="84">
        <f>+TbPrestamo[[#This Row],[TOTAL]]*TbPrestamo[[#This Row],[P.U. (3)]]</f>
        <v>0</v>
      </c>
    </row>
    <row r="82" spans="1:26" ht="15" customHeight="1" x14ac:dyDescent="0.3">
      <c r="A82" s="2"/>
      <c r="B82" s="85">
        <v>65</v>
      </c>
      <c r="C82" s="71" t="s">
        <v>131</v>
      </c>
      <c r="D82" s="72" t="s">
        <v>132</v>
      </c>
      <c r="E82" s="73"/>
      <c r="F82" s="74">
        <f>+VLOOKUP(C82,TbPrestamo[],13,FALSE)</f>
        <v>8</v>
      </c>
      <c r="G82" s="2"/>
      <c r="H82" s="75" t="str">
        <f t="shared" ref="H82:H145" si="2">+C82</f>
        <v>AM.6100</v>
      </c>
      <c r="I82" s="59" t="str">
        <f t="shared" ref="I82:I145" si="3">+IF(C82=H82,"ok","mal")</f>
        <v>ok</v>
      </c>
      <c r="J82" s="77">
        <f>IFERROR(VLOOKUP($H82,TG[],3,FALSE),"NA")</f>
        <v>0</v>
      </c>
      <c r="K82" s="77">
        <f>IFERROR(VLOOKUP($H82,TF[],3,FALSE),"NA")</f>
        <v>0</v>
      </c>
      <c r="L82" s="77">
        <f>IFERROR(VLOOKUP($H82,TT[],3,FALSE),"NA")</f>
        <v>8</v>
      </c>
      <c r="M82" s="77">
        <f>IFERROR(VLOOKUP($H82,TES[],3,FALSE),"NA")</f>
        <v>0</v>
      </c>
      <c r="N82" s="77">
        <f>IFERROR(VLOOKUP($H82,TEC[],3,FALSE),"NA")</f>
        <v>0</v>
      </c>
      <c r="O82" s="77" t="str">
        <f>IFERROR(VLOOKUP($H82,TP[],3,FALSE),"NA")</f>
        <v>NA</v>
      </c>
      <c r="P82" s="77" t="str">
        <f>IFERROR(VLOOKUP($H82,TEN[],3,FALSE),"NA")</f>
        <v>NA</v>
      </c>
      <c r="Q82" s="77" t="str">
        <f>IFERROR(VLOOKUP($H82,TD[],3,FALSE),"NA")</f>
        <v>NA</v>
      </c>
      <c r="R82" s="77" t="str">
        <f>IFERROR(VLOOKUP($H82,TC[],3,FALSE),"NA")</f>
        <v>NA</v>
      </c>
      <c r="S82" s="77" t="str">
        <f>IFERROR(VLOOKUP($H82,TEV[],3,FALSE),"NA")</f>
        <v>NA</v>
      </c>
      <c r="T82" s="79">
        <f>SUM(TbPrestamo[[#This Row],[GENERAL]:[ELEVADOR]])</f>
        <v>8</v>
      </c>
      <c r="U82" s="80">
        <f>IF(VLOOKUP(TbPrestamo[[#This Row],[ITEM]],TbPiezas[],5,FALSE)="NA",0,VLOOKUP(TbPrestamo[[#This Row],[ITEM]],TbPiezas[],5,FALSE))</f>
        <v>15.2</v>
      </c>
      <c r="V82" s="81">
        <f>+TbPrestamo[[#This Row],[TOTAL]]*TbPrestamo[[#This Row],[P.U. (1)]]</f>
        <v>121.6</v>
      </c>
      <c r="W82" s="82">
        <f>+VLOOKUP(TbPrestamo[[#This Row],[ITEM]],TbPiezas[],6,FALSE)</f>
        <v>575.04</v>
      </c>
      <c r="X82" s="83">
        <f>+TbPrestamo[[#This Row],[TOTAL]]*TbPrestamo[[#This Row],[P.U. (2)]]</f>
        <v>4600.32</v>
      </c>
      <c r="Y82" s="82">
        <f>+VLOOKUP(TbPrestamo[[#This Row],[ITEM]],TbPiezas[],7,FALSE)</f>
        <v>28.751999999999999</v>
      </c>
      <c r="Z82" s="84">
        <f>+TbPrestamo[[#This Row],[TOTAL]]*TbPrestamo[[#This Row],[P.U. (3)]]</f>
        <v>230.01599999999999</v>
      </c>
    </row>
    <row r="83" spans="1:26" ht="15" customHeight="1" x14ac:dyDescent="0.3">
      <c r="A83" s="2"/>
      <c r="B83" s="85">
        <v>66</v>
      </c>
      <c r="C83" s="71" t="s">
        <v>133</v>
      </c>
      <c r="D83" s="72" t="s">
        <v>134</v>
      </c>
      <c r="E83" s="73"/>
      <c r="F83" s="74">
        <f>+VLOOKUP(C83,TbPrestamo[],13,FALSE)</f>
        <v>0</v>
      </c>
      <c r="G83" s="2"/>
      <c r="H83" s="75" t="str">
        <f t="shared" si="2"/>
        <v>AM.6200</v>
      </c>
      <c r="I83" s="59" t="str">
        <f t="shared" si="3"/>
        <v>ok</v>
      </c>
      <c r="J83" s="77">
        <f>IFERROR(VLOOKUP($H83,TG[],3,FALSE),"NA")</f>
        <v>0</v>
      </c>
      <c r="K83" s="77">
        <f>IFERROR(VLOOKUP($H83,TF[],3,FALSE),"NA")</f>
        <v>0</v>
      </c>
      <c r="L83" s="77">
        <f>IFERROR(VLOOKUP($H83,TT[],3,FALSE),"NA")</f>
        <v>0</v>
      </c>
      <c r="M83" s="77">
        <f>IFERROR(VLOOKUP($H83,TES[],3,FALSE),"NA")</f>
        <v>0</v>
      </c>
      <c r="N83" s="77">
        <f>IFERROR(VLOOKUP($H83,TEC[],3,FALSE),"NA")</f>
        <v>0</v>
      </c>
      <c r="O83" s="77" t="str">
        <f>IFERROR(VLOOKUP($H83,TP[],3,FALSE),"NA")</f>
        <v>NA</v>
      </c>
      <c r="P83" s="77" t="str">
        <f>IFERROR(VLOOKUP($H83,TEN[],3,FALSE),"NA")</f>
        <v>NA</v>
      </c>
      <c r="Q83" s="77" t="str">
        <f>IFERROR(VLOOKUP($H83,TD[],3,FALSE),"NA")</f>
        <v>NA</v>
      </c>
      <c r="R83" s="77" t="str">
        <f>IFERROR(VLOOKUP($H83,TC[],3,FALSE),"NA")</f>
        <v>NA</v>
      </c>
      <c r="S83" s="77" t="str">
        <f>IFERROR(VLOOKUP($H83,TEV[],3,FALSE),"NA")</f>
        <v>NA</v>
      </c>
      <c r="T83" s="79">
        <f>SUM(TbPrestamo[[#This Row],[GENERAL]:[ELEVADOR]])</f>
        <v>0</v>
      </c>
      <c r="U83" s="80">
        <f>IF(VLOOKUP(TbPrestamo[[#This Row],[ITEM]],TbPiezas[],5,FALSE)="NA",0,VLOOKUP(TbPrestamo[[#This Row],[ITEM]],TbPiezas[],5,FALSE))</f>
        <v>11.799999999999997</v>
      </c>
      <c r="V83" s="81">
        <f>+TbPrestamo[[#This Row],[TOTAL]]*TbPrestamo[[#This Row],[P.U. (1)]]</f>
        <v>0</v>
      </c>
      <c r="W83" s="82">
        <f>+VLOOKUP(TbPrestamo[[#This Row],[ITEM]],TbPiezas[],6,FALSE)</f>
        <v>496.07</v>
      </c>
      <c r="X83" s="83">
        <f>+TbPrestamo[[#This Row],[TOTAL]]*TbPrestamo[[#This Row],[P.U. (2)]]</f>
        <v>0</v>
      </c>
      <c r="Y83" s="82">
        <f>+VLOOKUP(TbPrestamo[[#This Row],[ITEM]],TbPiezas[],7,FALSE)</f>
        <v>24.8035</v>
      </c>
      <c r="Z83" s="84">
        <f>+TbPrestamo[[#This Row],[TOTAL]]*TbPrestamo[[#This Row],[P.U. (3)]]</f>
        <v>0</v>
      </c>
    </row>
    <row r="84" spans="1:26" ht="15" customHeight="1" x14ac:dyDescent="0.3">
      <c r="A84" s="2"/>
      <c r="B84" s="85">
        <v>67</v>
      </c>
      <c r="C84" s="71" t="s">
        <v>135</v>
      </c>
      <c r="D84" s="72" t="s">
        <v>136</v>
      </c>
      <c r="E84" s="73"/>
      <c r="F84" s="74">
        <f>+VLOOKUP(C84,TbPrestamo[],13,FALSE)</f>
        <v>0</v>
      </c>
      <c r="G84" s="2"/>
      <c r="H84" s="75" t="str">
        <f t="shared" si="2"/>
        <v>AM.6300</v>
      </c>
      <c r="I84" s="59" t="str">
        <f t="shared" si="3"/>
        <v>ok</v>
      </c>
      <c r="J84" s="77">
        <f>IFERROR(VLOOKUP($H84,TG[],3,FALSE),"NA")</f>
        <v>0</v>
      </c>
      <c r="K84" s="77">
        <f>IFERROR(VLOOKUP($H84,TF[],3,FALSE),"NA")</f>
        <v>0</v>
      </c>
      <c r="L84" s="77">
        <f>IFERROR(VLOOKUP($H84,TT[],3,FALSE),"NA")</f>
        <v>0</v>
      </c>
      <c r="M84" s="77">
        <f>IFERROR(VLOOKUP($H84,TES[],3,FALSE),"NA")</f>
        <v>0</v>
      </c>
      <c r="N84" s="77">
        <f>IFERROR(VLOOKUP($H84,TEC[],3,FALSE),"NA")</f>
        <v>0</v>
      </c>
      <c r="O84" s="77" t="str">
        <f>IFERROR(VLOOKUP($H84,TP[],3,FALSE),"NA")</f>
        <v>NA</v>
      </c>
      <c r="P84" s="77" t="str">
        <f>IFERROR(VLOOKUP($H84,TEN[],3,FALSE),"NA")</f>
        <v>NA</v>
      </c>
      <c r="Q84" s="77" t="str">
        <f>IFERROR(VLOOKUP($H84,TD[],3,FALSE),"NA")</f>
        <v>NA</v>
      </c>
      <c r="R84" s="77" t="str">
        <f>IFERROR(VLOOKUP($H84,TC[],3,FALSE),"NA")</f>
        <v>NA</v>
      </c>
      <c r="S84" s="77" t="str">
        <f>IFERROR(VLOOKUP($H84,TEV[],3,FALSE),"NA")</f>
        <v>NA</v>
      </c>
      <c r="T84" s="79">
        <f>SUM(TbPrestamo[[#This Row],[GENERAL]:[ELEVADOR]])</f>
        <v>0</v>
      </c>
      <c r="U84" s="80">
        <f>IF(VLOOKUP(TbPrestamo[[#This Row],[ITEM]],TbPiezas[],5,FALSE)="NA",0,VLOOKUP(TbPrestamo[[#This Row],[ITEM]],TbPiezas[],5,FALSE))</f>
        <v>9.8999999999999915</v>
      </c>
      <c r="V84" s="81">
        <f>+TbPrestamo[[#This Row],[TOTAL]]*TbPrestamo[[#This Row],[P.U. (1)]]</f>
        <v>0</v>
      </c>
      <c r="W84" s="82">
        <f>+VLOOKUP(TbPrestamo[[#This Row],[ITEM]],TbPiezas[],6,FALSE)</f>
        <v>484.34</v>
      </c>
      <c r="X84" s="83">
        <f>+TbPrestamo[[#This Row],[TOTAL]]*TbPrestamo[[#This Row],[P.U. (2)]]</f>
        <v>0</v>
      </c>
      <c r="Y84" s="82">
        <f>+VLOOKUP(TbPrestamo[[#This Row],[ITEM]],TbPiezas[],7,FALSE)</f>
        <v>24.216999999999999</v>
      </c>
      <c r="Z84" s="84">
        <f>+TbPrestamo[[#This Row],[TOTAL]]*TbPrestamo[[#This Row],[P.U. (3)]]</f>
        <v>0</v>
      </c>
    </row>
    <row r="85" spans="1:26" ht="15" customHeight="1" x14ac:dyDescent="0.3">
      <c r="A85" s="2"/>
      <c r="B85" s="85">
        <v>68</v>
      </c>
      <c r="C85" s="71" t="s">
        <v>137</v>
      </c>
      <c r="D85" s="72" t="s">
        <v>138</v>
      </c>
      <c r="E85" s="73"/>
      <c r="F85" s="74">
        <f>+VLOOKUP(C85,TbPrestamo[],13,FALSE)</f>
        <v>0</v>
      </c>
      <c r="G85" s="2"/>
      <c r="H85" s="75" t="str">
        <f t="shared" si="2"/>
        <v>AM.6400</v>
      </c>
      <c r="I85" s="59" t="str">
        <f t="shared" si="3"/>
        <v>ok</v>
      </c>
      <c r="J85" s="77">
        <f>IFERROR(VLOOKUP($H85,TG[],3,FALSE),"NA")</f>
        <v>0</v>
      </c>
      <c r="K85" s="77">
        <f>IFERROR(VLOOKUP($H85,TF[],3,FALSE),"NA")</f>
        <v>0</v>
      </c>
      <c r="L85" s="77">
        <f>IFERROR(VLOOKUP($H85,TT[],3,FALSE),"NA")</f>
        <v>0</v>
      </c>
      <c r="M85" s="77">
        <f>IFERROR(VLOOKUP($H85,TES[],3,FALSE),"NA")</f>
        <v>0</v>
      </c>
      <c r="N85" s="77">
        <f>IFERROR(VLOOKUP($H85,TEC[],3,FALSE),"NA")</f>
        <v>0</v>
      </c>
      <c r="O85" s="77" t="str">
        <f>IFERROR(VLOOKUP($H85,TP[],3,FALSE),"NA")</f>
        <v>NA</v>
      </c>
      <c r="P85" s="77" t="str">
        <f>IFERROR(VLOOKUP($H85,TEN[],3,FALSE),"NA")</f>
        <v>NA</v>
      </c>
      <c r="Q85" s="77" t="str">
        <f>IFERROR(VLOOKUP($H85,TD[],3,FALSE),"NA")</f>
        <v>NA</v>
      </c>
      <c r="R85" s="77" t="str">
        <f>IFERROR(VLOOKUP($H85,TC[],3,FALSE),"NA")</f>
        <v>NA</v>
      </c>
      <c r="S85" s="77" t="str">
        <f>IFERROR(VLOOKUP($H85,TEV[],3,FALSE),"NA")</f>
        <v>NA</v>
      </c>
      <c r="T85" s="79">
        <f>SUM(TbPrestamo[[#This Row],[GENERAL]:[ELEVADOR]])</f>
        <v>0</v>
      </c>
      <c r="U85" s="80">
        <f>IF(VLOOKUP(TbPrestamo[[#This Row],[ITEM]],TbPiezas[],5,FALSE)="NA",0,VLOOKUP(TbPrestamo[[#This Row],[ITEM]],TbPiezas[],5,FALSE))</f>
        <v>5.7999999999999972</v>
      </c>
      <c r="V85" s="81">
        <f>+TbPrestamo[[#This Row],[TOTAL]]*TbPrestamo[[#This Row],[P.U. (1)]]</f>
        <v>0</v>
      </c>
      <c r="W85" s="82">
        <f>+VLOOKUP(TbPrestamo[[#This Row],[ITEM]],TbPiezas[],6,FALSE)</f>
        <v>452.11</v>
      </c>
      <c r="X85" s="83">
        <f>+TbPrestamo[[#This Row],[TOTAL]]*TbPrestamo[[#This Row],[P.U. (2)]]</f>
        <v>0</v>
      </c>
      <c r="Y85" s="82">
        <f>+VLOOKUP(TbPrestamo[[#This Row],[ITEM]],TbPiezas[],7,FALSE)</f>
        <v>22.605500000000003</v>
      </c>
      <c r="Z85" s="84">
        <f>+TbPrestamo[[#This Row],[TOTAL]]*TbPrestamo[[#This Row],[P.U. (3)]]</f>
        <v>0</v>
      </c>
    </row>
    <row r="86" spans="1:26" ht="15" customHeight="1" x14ac:dyDescent="0.3">
      <c r="A86" s="2"/>
      <c r="B86" s="85">
        <v>69</v>
      </c>
      <c r="C86" s="71" t="s">
        <v>139</v>
      </c>
      <c r="D86" s="72" t="s">
        <v>140</v>
      </c>
      <c r="E86" s="73"/>
      <c r="F86" s="74">
        <f>+VLOOKUP(C86,TbPrestamo[],13,FALSE)</f>
        <v>0</v>
      </c>
      <c r="G86" s="2"/>
      <c r="H86" s="75" t="str">
        <f t="shared" si="2"/>
        <v>AM.6500</v>
      </c>
      <c r="I86" s="59" t="str">
        <f t="shared" si="3"/>
        <v>ok</v>
      </c>
      <c r="J86" s="77">
        <f>IFERROR(VLOOKUP($H86,TG[],3,FALSE),"NA")</f>
        <v>0</v>
      </c>
      <c r="K86" s="77">
        <f>IFERROR(VLOOKUP($H86,TF[],3,FALSE),"NA")</f>
        <v>0</v>
      </c>
      <c r="L86" s="77">
        <f>IFERROR(VLOOKUP($H86,TT[],3,FALSE),"NA")</f>
        <v>0</v>
      </c>
      <c r="M86" s="77">
        <f>IFERROR(VLOOKUP($H86,TES[],3,FALSE),"NA")</f>
        <v>0</v>
      </c>
      <c r="N86" s="77">
        <f>IFERROR(VLOOKUP($H86,TEC[],3,FALSE),"NA")</f>
        <v>0</v>
      </c>
      <c r="O86" s="77" t="str">
        <f>IFERROR(VLOOKUP($H86,TP[],3,FALSE),"NA")</f>
        <v>NA</v>
      </c>
      <c r="P86" s="77" t="str">
        <f>IFERROR(VLOOKUP($H86,TEN[],3,FALSE),"NA")</f>
        <v>NA</v>
      </c>
      <c r="Q86" s="77" t="str">
        <f>IFERROR(VLOOKUP($H86,TD[],3,FALSE),"NA")</f>
        <v>NA</v>
      </c>
      <c r="R86" s="77" t="str">
        <f>IFERROR(VLOOKUP($H86,TC[],3,FALSE),"NA")</f>
        <v>NA</v>
      </c>
      <c r="S86" s="77" t="str">
        <f>IFERROR(VLOOKUP($H86,TEV[],3,FALSE),"NA")</f>
        <v>NA</v>
      </c>
      <c r="T86" s="79">
        <f>SUM(TbPrestamo[[#This Row],[GENERAL]:[ELEVADOR]])</f>
        <v>0</v>
      </c>
      <c r="U86" s="80">
        <f>IF(VLOOKUP(TbPrestamo[[#This Row],[ITEM]],TbPiezas[],5,FALSE)="NA",0,VLOOKUP(TbPrestamo[[#This Row],[ITEM]],TbPiezas[],5,FALSE))</f>
        <v>5.0999999999999943</v>
      </c>
      <c r="V86" s="81">
        <f>+TbPrestamo[[#This Row],[TOTAL]]*TbPrestamo[[#This Row],[P.U. (1)]]</f>
        <v>0</v>
      </c>
      <c r="W86" s="82">
        <f>+VLOOKUP(TbPrestamo[[#This Row],[ITEM]],TbPiezas[],6,FALSE)</f>
        <v>408.3</v>
      </c>
      <c r="X86" s="83">
        <f>+TbPrestamo[[#This Row],[TOTAL]]*TbPrestamo[[#This Row],[P.U. (2)]]</f>
        <v>0</v>
      </c>
      <c r="Y86" s="82">
        <f>+VLOOKUP(TbPrestamo[[#This Row],[ITEM]],TbPiezas[],7,FALSE)</f>
        <v>20.415000000000003</v>
      </c>
      <c r="Z86" s="84">
        <f>+TbPrestamo[[#This Row],[TOTAL]]*TbPrestamo[[#This Row],[P.U. (3)]]</f>
        <v>0</v>
      </c>
    </row>
    <row r="87" spans="1:26" ht="15" customHeight="1" x14ac:dyDescent="0.3">
      <c r="A87" s="2"/>
      <c r="B87" s="85">
        <v>70</v>
      </c>
      <c r="C87" s="71" t="s">
        <v>141</v>
      </c>
      <c r="D87" s="72" t="s">
        <v>142</v>
      </c>
      <c r="E87" s="73"/>
      <c r="F87" s="74">
        <f>+VLOOKUP(C87,TbPrestamo[],13,FALSE)</f>
        <v>0</v>
      </c>
      <c r="G87" s="2"/>
      <c r="H87" s="75" t="str">
        <f t="shared" si="2"/>
        <v>AM.6600</v>
      </c>
      <c r="I87" s="59" t="str">
        <f t="shared" si="3"/>
        <v>ok</v>
      </c>
      <c r="J87" s="77">
        <f>IFERROR(VLOOKUP($H87,TG[],3,FALSE),"NA")</f>
        <v>0</v>
      </c>
      <c r="K87" s="77">
        <f>IFERROR(VLOOKUP($H87,TF[],3,FALSE),"NA")</f>
        <v>0</v>
      </c>
      <c r="L87" s="77">
        <f>IFERROR(VLOOKUP($H87,TT[],3,FALSE),"NA")</f>
        <v>0</v>
      </c>
      <c r="M87" s="77">
        <f>IFERROR(VLOOKUP($H87,TES[],3,FALSE),"NA")</f>
        <v>0</v>
      </c>
      <c r="N87" s="77">
        <f>IFERROR(VLOOKUP($H87,TEC[],3,FALSE),"NA")</f>
        <v>0</v>
      </c>
      <c r="O87" s="77" t="str">
        <f>IFERROR(VLOOKUP($H87,TP[],3,FALSE),"NA")</f>
        <v>NA</v>
      </c>
      <c r="P87" s="77" t="str">
        <f>IFERROR(VLOOKUP($H87,TEN[],3,FALSE),"NA")</f>
        <v>NA</v>
      </c>
      <c r="Q87" s="77" t="str">
        <f>IFERROR(VLOOKUP($H87,TD[],3,FALSE),"NA")</f>
        <v>NA</v>
      </c>
      <c r="R87" s="77" t="str">
        <f>IFERROR(VLOOKUP($H87,TC[],3,FALSE),"NA")</f>
        <v>NA</v>
      </c>
      <c r="S87" s="77" t="str">
        <f>IFERROR(VLOOKUP($H87,TEV[],3,FALSE),"NA")</f>
        <v>NA</v>
      </c>
      <c r="T87" s="79">
        <f>SUM(TbPrestamo[[#This Row],[GENERAL]:[ELEVADOR]])</f>
        <v>0</v>
      </c>
      <c r="U87" s="80">
        <f>IF(VLOOKUP(TbPrestamo[[#This Row],[ITEM]],TbPiezas[],5,FALSE)="NA",0,VLOOKUP(TbPrestamo[[#This Row],[ITEM]],TbPiezas[],5,FALSE))</f>
        <v>24</v>
      </c>
      <c r="V87" s="81">
        <f>+TbPrestamo[[#This Row],[TOTAL]]*TbPrestamo[[#This Row],[P.U. (1)]]</f>
        <v>0</v>
      </c>
      <c r="W87" s="82">
        <f>+VLOOKUP(TbPrestamo[[#This Row],[ITEM]],TbPiezas[],6,FALSE)</f>
        <v>654.70000000000005</v>
      </c>
      <c r="X87" s="83">
        <f>+TbPrestamo[[#This Row],[TOTAL]]*TbPrestamo[[#This Row],[P.U. (2)]]</f>
        <v>0</v>
      </c>
      <c r="Y87" s="82">
        <f>+VLOOKUP(TbPrestamo[[#This Row],[ITEM]],TbPiezas[],7,FALSE)</f>
        <v>32.735000000000007</v>
      </c>
      <c r="Z87" s="84">
        <f>+TbPrestamo[[#This Row],[TOTAL]]*TbPrestamo[[#This Row],[P.U. (3)]]</f>
        <v>0</v>
      </c>
    </row>
    <row r="88" spans="1:26" ht="15" customHeight="1" x14ac:dyDescent="0.3">
      <c r="A88" s="2"/>
      <c r="B88" s="85">
        <v>71</v>
      </c>
      <c r="C88" s="71" t="s">
        <v>143</v>
      </c>
      <c r="D88" s="72" t="s">
        <v>144</v>
      </c>
      <c r="E88" s="73"/>
      <c r="F88" s="74">
        <f>+VLOOKUP(C88,TbPrestamo[],13,FALSE)</f>
        <v>0</v>
      </c>
      <c r="G88" s="2"/>
      <c r="H88" s="75" t="str">
        <f t="shared" si="2"/>
        <v>AM.6700</v>
      </c>
      <c r="I88" s="59" t="str">
        <f t="shared" si="3"/>
        <v>ok</v>
      </c>
      <c r="J88" s="77">
        <f>IFERROR(VLOOKUP($H88,TG[],3,FALSE),"NA")</f>
        <v>0</v>
      </c>
      <c r="K88" s="77">
        <f>IFERROR(VLOOKUP($H88,TF[],3,FALSE),"NA")</f>
        <v>0</v>
      </c>
      <c r="L88" s="77">
        <f>IFERROR(VLOOKUP($H88,TT[],3,FALSE),"NA")</f>
        <v>0</v>
      </c>
      <c r="M88" s="77">
        <f>IFERROR(VLOOKUP($H88,TES[],3,FALSE),"NA")</f>
        <v>0</v>
      </c>
      <c r="N88" s="77">
        <f>IFERROR(VLOOKUP($H88,TEC[],3,FALSE),"NA")</f>
        <v>0</v>
      </c>
      <c r="O88" s="77" t="str">
        <f>IFERROR(VLOOKUP($H88,TP[],3,FALSE),"NA")</f>
        <v>NA</v>
      </c>
      <c r="P88" s="77" t="str">
        <f>IFERROR(VLOOKUP($H88,TEN[],3,FALSE),"NA")</f>
        <v>NA</v>
      </c>
      <c r="Q88" s="77" t="str">
        <f>IFERROR(VLOOKUP($H88,TD[],3,FALSE),"NA")</f>
        <v>NA</v>
      </c>
      <c r="R88" s="77" t="str">
        <f>IFERROR(VLOOKUP($H88,TC[],3,FALSE),"NA")</f>
        <v>NA</v>
      </c>
      <c r="S88" s="77" t="str">
        <f>IFERROR(VLOOKUP($H88,TEV[],3,FALSE),"NA")</f>
        <v>NA</v>
      </c>
      <c r="T88" s="79">
        <f>SUM(TbPrestamo[[#This Row],[GENERAL]:[ELEVADOR]])</f>
        <v>0</v>
      </c>
      <c r="U88" s="80">
        <f>IF(VLOOKUP(TbPrestamo[[#This Row],[ITEM]],TbPiezas[],5,FALSE)="NA",0,VLOOKUP(TbPrestamo[[#This Row],[ITEM]],TbPiezas[],5,FALSE))</f>
        <v>19.700000000000003</v>
      </c>
      <c r="V88" s="81">
        <f>+TbPrestamo[[#This Row],[TOTAL]]*TbPrestamo[[#This Row],[P.U. (1)]]</f>
        <v>0</v>
      </c>
      <c r="W88" s="82">
        <f>+VLOOKUP(TbPrestamo[[#This Row],[ITEM]],TbPiezas[],6,FALSE)</f>
        <v>575.04</v>
      </c>
      <c r="X88" s="83">
        <f>+TbPrestamo[[#This Row],[TOTAL]]*TbPrestamo[[#This Row],[P.U. (2)]]</f>
        <v>0</v>
      </c>
      <c r="Y88" s="82">
        <f>+VLOOKUP(TbPrestamo[[#This Row],[ITEM]],TbPiezas[],7,FALSE)</f>
        <v>28.751999999999999</v>
      </c>
      <c r="Z88" s="84">
        <f>+TbPrestamo[[#This Row],[TOTAL]]*TbPrestamo[[#This Row],[P.U. (3)]]</f>
        <v>0</v>
      </c>
    </row>
    <row r="89" spans="1:26" ht="15" customHeight="1" x14ac:dyDescent="0.3">
      <c r="A89" s="2"/>
      <c r="B89" s="85">
        <v>72</v>
      </c>
      <c r="C89" s="71" t="s">
        <v>145</v>
      </c>
      <c r="D89" s="72" t="s">
        <v>146</v>
      </c>
      <c r="E89" s="73"/>
      <c r="F89" s="74">
        <f>+VLOOKUP(C89,TbPrestamo[],13,FALSE)</f>
        <v>0</v>
      </c>
      <c r="G89" s="2"/>
      <c r="H89" s="75" t="str">
        <f t="shared" si="2"/>
        <v>AM.6800</v>
      </c>
      <c r="I89" s="59" t="str">
        <f t="shared" si="3"/>
        <v>ok</v>
      </c>
      <c r="J89" s="77">
        <f>IFERROR(VLOOKUP($H89,TG[],3,FALSE),"NA")</f>
        <v>0</v>
      </c>
      <c r="K89" s="77">
        <f>IFERROR(VLOOKUP($H89,TF[],3,FALSE),"NA")</f>
        <v>0</v>
      </c>
      <c r="L89" s="77">
        <f>IFERROR(VLOOKUP($H89,TT[],3,FALSE),"NA")</f>
        <v>0</v>
      </c>
      <c r="M89" s="77">
        <f>IFERROR(VLOOKUP($H89,TES[],3,FALSE),"NA")</f>
        <v>0</v>
      </c>
      <c r="N89" s="77">
        <f>IFERROR(VLOOKUP($H89,TEC[],3,FALSE),"NA")</f>
        <v>0</v>
      </c>
      <c r="O89" s="77" t="str">
        <f>IFERROR(VLOOKUP($H89,TP[],3,FALSE),"NA")</f>
        <v>NA</v>
      </c>
      <c r="P89" s="77" t="str">
        <f>IFERROR(VLOOKUP($H89,TEN[],3,FALSE),"NA")</f>
        <v>NA</v>
      </c>
      <c r="Q89" s="77" t="str">
        <f>IFERROR(VLOOKUP($H89,TD[],3,FALSE),"NA")</f>
        <v>NA</v>
      </c>
      <c r="R89" s="77" t="str">
        <f>IFERROR(VLOOKUP($H89,TC[],3,FALSE),"NA")</f>
        <v>NA</v>
      </c>
      <c r="S89" s="77" t="str">
        <f>IFERROR(VLOOKUP($H89,TEV[],3,FALSE),"NA")</f>
        <v>NA</v>
      </c>
      <c r="T89" s="79">
        <f>SUM(TbPrestamo[[#This Row],[GENERAL]:[ELEVADOR]])</f>
        <v>0</v>
      </c>
      <c r="U89" s="80">
        <f>IF(VLOOKUP(TbPrestamo[[#This Row],[ITEM]],TbPiezas[],5,FALSE)="NA",0,VLOOKUP(TbPrestamo[[#This Row],[ITEM]],TbPiezas[],5,FALSE))</f>
        <v>17.700000000000003</v>
      </c>
      <c r="V89" s="81">
        <f>+TbPrestamo[[#This Row],[TOTAL]]*TbPrestamo[[#This Row],[P.U. (1)]]</f>
        <v>0</v>
      </c>
      <c r="W89" s="82">
        <f>+VLOOKUP(TbPrestamo[[#This Row],[ITEM]],TbPiezas[],6,FALSE)</f>
        <v>496.07</v>
      </c>
      <c r="X89" s="83">
        <f>+TbPrestamo[[#This Row],[TOTAL]]*TbPrestamo[[#This Row],[P.U. (2)]]</f>
        <v>0</v>
      </c>
      <c r="Y89" s="82">
        <f>+VLOOKUP(TbPrestamo[[#This Row],[ITEM]],TbPiezas[],7,FALSE)</f>
        <v>24.8035</v>
      </c>
      <c r="Z89" s="84">
        <f>+TbPrestamo[[#This Row],[TOTAL]]*TbPrestamo[[#This Row],[P.U. (3)]]</f>
        <v>0</v>
      </c>
    </row>
    <row r="90" spans="1:26" ht="15" customHeight="1" x14ac:dyDescent="0.3">
      <c r="A90" s="2"/>
      <c r="B90" s="85">
        <v>73</v>
      </c>
      <c r="C90" s="71" t="s">
        <v>147</v>
      </c>
      <c r="D90" s="72" t="s">
        <v>148</v>
      </c>
      <c r="E90" s="73"/>
      <c r="F90" s="74">
        <f>+VLOOKUP(C90,TbPrestamo[],13,FALSE)</f>
        <v>0</v>
      </c>
      <c r="G90" s="2"/>
      <c r="H90" s="75" t="str">
        <f t="shared" si="2"/>
        <v>AM.6900</v>
      </c>
      <c r="I90" s="59" t="str">
        <f t="shared" si="3"/>
        <v>ok</v>
      </c>
      <c r="J90" s="77">
        <f>IFERROR(VLOOKUP($H90,TG[],3,FALSE),"NA")</f>
        <v>0</v>
      </c>
      <c r="K90" s="77">
        <f>IFERROR(VLOOKUP($H90,TF[],3,FALSE),"NA")</f>
        <v>0</v>
      </c>
      <c r="L90" s="77">
        <f>IFERROR(VLOOKUP($H90,TT[],3,FALSE),"NA")</f>
        <v>0</v>
      </c>
      <c r="M90" s="77">
        <f>IFERROR(VLOOKUP($H90,TES[],3,FALSE),"NA")</f>
        <v>0</v>
      </c>
      <c r="N90" s="77">
        <f>IFERROR(VLOOKUP($H90,TEC[],3,FALSE),"NA")</f>
        <v>0</v>
      </c>
      <c r="O90" s="77" t="str">
        <f>IFERROR(VLOOKUP($H90,TP[],3,FALSE),"NA")</f>
        <v>NA</v>
      </c>
      <c r="P90" s="77" t="str">
        <f>IFERROR(VLOOKUP($H90,TEN[],3,FALSE),"NA")</f>
        <v>NA</v>
      </c>
      <c r="Q90" s="77" t="str">
        <f>IFERROR(VLOOKUP($H90,TD[],3,FALSE),"NA")</f>
        <v>NA</v>
      </c>
      <c r="R90" s="77" t="str">
        <f>IFERROR(VLOOKUP($H90,TC[],3,FALSE),"NA")</f>
        <v>NA</v>
      </c>
      <c r="S90" s="77" t="str">
        <f>IFERROR(VLOOKUP($H90,TEV[],3,FALSE),"NA")</f>
        <v>NA</v>
      </c>
      <c r="T90" s="79">
        <f>SUM(TbPrestamo[[#This Row],[GENERAL]:[ELEVADOR]])</f>
        <v>0</v>
      </c>
      <c r="U90" s="80">
        <f>IF(VLOOKUP(TbPrestamo[[#This Row],[ITEM]],TbPiezas[],5,FALSE)="NA",0,VLOOKUP(TbPrestamo[[#This Row],[ITEM]],TbPiezas[],5,FALSE))</f>
        <v>12.200000000000003</v>
      </c>
      <c r="V90" s="81">
        <f>+TbPrestamo[[#This Row],[TOTAL]]*TbPrestamo[[#This Row],[P.U. (1)]]</f>
        <v>0</v>
      </c>
      <c r="W90" s="82">
        <f>+VLOOKUP(TbPrestamo[[#This Row],[ITEM]],TbPiezas[],6,FALSE)</f>
        <v>484.34</v>
      </c>
      <c r="X90" s="83">
        <f>+TbPrestamo[[#This Row],[TOTAL]]*TbPrestamo[[#This Row],[P.U. (2)]]</f>
        <v>0</v>
      </c>
      <c r="Y90" s="82">
        <f>+VLOOKUP(TbPrestamo[[#This Row],[ITEM]],TbPiezas[],7,FALSE)</f>
        <v>24.216999999999999</v>
      </c>
      <c r="Z90" s="84">
        <f>+TbPrestamo[[#This Row],[TOTAL]]*TbPrestamo[[#This Row],[P.U. (3)]]</f>
        <v>0</v>
      </c>
    </row>
    <row r="91" spans="1:26" ht="15" customHeight="1" x14ac:dyDescent="0.3">
      <c r="A91" s="2"/>
      <c r="B91" s="85">
        <v>74</v>
      </c>
      <c r="C91" s="71" t="s">
        <v>149</v>
      </c>
      <c r="D91" s="72" t="s">
        <v>150</v>
      </c>
      <c r="E91" s="73"/>
      <c r="F91" s="74">
        <f>+VLOOKUP(C91,TbPrestamo[],13,FALSE)</f>
        <v>0</v>
      </c>
      <c r="G91" s="2"/>
      <c r="H91" s="75" t="str">
        <f t="shared" si="2"/>
        <v>AM.7000</v>
      </c>
      <c r="I91" s="59" t="str">
        <f t="shared" si="3"/>
        <v>ok</v>
      </c>
      <c r="J91" s="77">
        <f>IFERROR(VLOOKUP($H91,TG[],3,FALSE),"NA")</f>
        <v>0</v>
      </c>
      <c r="K91" s="77">
        <f>IFERROR(VLOOKUP($H91,TF[],3,FALSE),"NA")</f>
        <v>0</v>
      </c>
      <c r="L91" s="77">
        <f>IFERROR(VLOOKUP($H91,TT[],3,FALSE),"NA")</f>
        <v>0</v>
      </c>
      <c r="M91" s="77">
        <f>IFERROR(VLOOKUP($H91,TES[],3,FALSE),"NA")</f>
        <v>0</v>
      </c>
      <c r="N91" s="77">
        <f>IFERROR(VLOOKUP($H91,TEC[],3,FALSE),"NA")</f>
        <v>0</v>
      </c>
      <c r="O91" s="77" t="str">
        <f>IFERROR(VLOOKUP($H91,TP[],3,FALSE),"NA")</f>
        <v>NA</v>
      </c>
      <c r="P91" s="77" t="str">
        <f>IFERROR(VLOOKUP($H91,TEN[],3,FALSE),"NA")</f>
        <v>NA</v>
      </c>
      <c r="Q91" s="77" t="str">
        <f>IFERROR(VLOOKUP($H91,TD[],3,FALSE),"NA")</f>
        <v>NA</v>
      </c>
      <c r="R91" s="77" t="str">
        <f>IFERROR(VLOOKUP($H91,TC[],3,FALSE),"NA")</f>
        <v>NA</v>
      </c>
      <c r="S91" s="77" t="str">
        <f>IFERROR(VLOOKUP($H91,TEV[],3,FALSE),"NA")</f>
        <v>NA</v>
      </c>
      <c r="T91" s="79">
        <f>SUM(TbPrestamo[[#This Row],[GENERAL]:[ELEVADOR]])</f>
        <v>0</v>
      </c>
      <c r="U91" s="80">
        <f>IF(VLOOKUP(TbPrestamo[[#This Row],[ITEM]],TbPiezas[],5,FALSE)="NA",0,VLOOKUP(TbPrestamo[[#This Row],[ITEM]],TbPiezas[],5,FALSE))</f>
        <v>10.399999999999991</v>
      </c>
      <c r="V91" s="81">
        <f>+TbPrestamo[[#This Row],[TOTAL]]*TbPrestamo[[#This Row],[P.U. (1)]]</f>
        <v>0</v>
      </c>
      <c r="W91" s="82">
        <f>+VLOOKUP(TbPrestamo[[#This Row],[ITEM]],TbPiezas[],6,FALSE)</f>
        <v>452.11</v>
      </c>
      <c r="X91" s="83">
        <f>+TbPrestamo[[#This Row],[TOTAL]]*TbPrestamo[[#This Row],[P.U. (2)]]</f>
        <v>0</v>
      </c>
      <c r="Y91" s="82">
        <f>+VLOOKUP(TbPrestamo[[#This Row],[ITEM]],TbPiezas[],7,FALSE)</f>
        <v>22.605500000000003</v>
      </c>
      <c r="Z91" s="84">
        <f>+TbPrestamo[[#This Row],[TOTAL]]*TbPrestamo[[#This Row],[P.U. (3)]]</f>
        <v>0</v>
      </c>
    </row>
    <row r="92" spans="1:26" ht="15" customHeight="1" x14ac:dyDescent="0.3">
      <c r="A92" s="2"/>
      <c r="B92" s="85">
        <v>75</v>
      </c>
      <c r="C92" s="71" t="s">
        <v>151</v>
      </c>
      <c r="D92" s="72" t="s">
        <v>152</v>
      </c>
      <c r="E92" s="73"/>
      <c r="F92" s="74">
        <f>+VLOOKUP(C92,TbPrestamo[],13,FALSE)</f>
        <v>0</v>
      </c>
      <c r="G92" s="2"/>
      <c r="H92" s="75" t="str">
        <f t="shared" si="2"/>
        <v>AM.7100</v>
      </c>
      <c r="I92" s="59" t="str">
        <f t="shared" si="3"/>
        <v>ok</v>
      </c>
      <c r="J92" s="77">
        <f>IFERROR(VLOOKUP($H92,TG[],3,FALSE),"NA")</f>
        <v>0</v>
      </c>
      <c r="K92" s="77">
        <f>IFERROR(VLOOKUP($H92,TF[],3,FALSE),"NA")</f>
        <v>0</v>
      </c>
      <c r="L92" s="77">
        <f>IFERROR(VLOOKUP($H92,TT[],3,FALSE),"NA")</f>
        <v>0</v>
      </c>
      <c r="M92" s="77">
        <f>IFERROR(VLOOKUP($H92,TES[],3,FALSE),"NA")</f>
        <v>0</v>
      </c>
      <c r="N92" s="77">
        <f>IFERROR(VLOOKUP($H92,TEC[],3,FALSE),"NA")</f>
        <v>0</v>
      </c>
      <c r="O92" s="77" t="str">
        <f>IFERROR(VLOOKUP($H92,TP[],3,FALSE),"NA")</f>
        <v>NA</v>
      </c>
      <c r="P92" s="77" t="str">
        <f>IFERROR(VLOOKUP($H92,TEN[],3,FALSE),"NA")</f>
        <v>NA</v>
      </c>
      <c r="Q92" s="77" t="str">
        <f>IFERROR(VLOOKUP($H92,TD[],3,FALSE),"NA")</f>
        <v>NA</v>
      </c>
      <c r="R92" s="77" t="str">
        <f>IFERROR(VLOOKUP($H92,TC[],3,FALSE),"NA")</f>
        <v>NA</v>
      </c>
      <c r="S92" s="77" t="str">
        <f>IFERROR(VLOOKUP($H92,TEV[],3,FALSE),"NA")</f>
        <v>NA</v>
      </c>
      <c r="T92" s="79">
        <f>SUM(TbPrestamo[[#This Row],[GENERAL]:[ELEVADOR]])</f>
        <v>0</v>
      </c>
      <c r="U92" s="80">
        <f>IF(VLOOKUP(TbPrestamo[[#This Row],[ITEM]],TbPiezas[],5,FALSE)="NA",0,VLOOKUP(TbPrestamo[[#This Row],[ITEM]],TbPiezas[],5,FALSE))</f>
        <v>7.9000000000000057</v>
      </c>
      <c r="V92" s="81">
        <f>+TbPrestamo[[#This Row],[TOTAL]]*TbPrestamo[[#This Row],[P.U. (1)]]</f>
        <v>0</v>
      </c>
      <c r="W92" s="82">
        <f>+VLOOKUP(TbPrestamo[[#This Row],[ITEM]],TbPiezas[],6,FALSE)</f>
        <v>408.3</v>
      </c>
      <c r="X92" s="83">
        <f>+TbPrestamo[[#This Row],[TOTAL]]*TbPrestamo[[#This Row],[P.U. (2)]]</f>
        <v>0</v>
      </c>
      <c r="Y92" s="82">
        <f>+VLOOKUP(TbPrestamo[[#This Row],[ITEM]],TbPiezas[],7,FALSE)</f>
        <v>20.415000000000003</v>
      </c>
      <c r="Z92" s="84">
        <f>+TbPrestamo[[#This Row],[TOTAL]]*TbPrestamo[[#This Row],[P.U. (3)]]</f>
        <v>0</v>
      </c>
    </row>
    <row r="93" spans="1:26" ht="15" customHeight="1" x14ac:dyDescent="0.3">
      <c r="A93" s="2"/>
      <c r="B93" s="85">
        <v>76</v>
      </c>
      <c r="C93" s="71" t="s">
        <v>153</v>
      </c>
      <c r="D93" s="72" t="s">
        <v>154</v>
      </c>
      <c r="E93" s="73"/>
      <c r="F93" s="74">
        <f>+VLOOKUP(C93,TbPrestamo[],13,FALSE)</f>
        <v>0</v>
      </c>
      <c r="G93" s="2"/>
      <c r="H93" s="75" t="str">
        <f t="shared" si="2"/>
        <v>AM.7200</v>
      </c>
      <c r="I93" s="59" t="str">
        <f t="shared" si="3"/>
        <v>ok</v>
      </c>
      <c r="J93" s="77">
        <f>IFERROR(VLOOKUP($H93,TG[],3,FALSE),"NA")</f>
        <v>0</v>
      </c>
      <c r="K93" s="77">
        <f>IFERROR(VLOOKUP($H93,TF[],3,FALSE),"NA")</f>
        <v>0</v>
      </c>
      <c r="L93" s="77">
        <f>IFERROR(VLOOKUP($H93,TT[],3,FALSE),"NA")</f>
        <v>0</v>
      </c>
      <c r="M93" s="77">
        <f>IFERROR(VLOOKUP($H93,TES[],3,FALSE),"NA")</f>
        <v>0</v>
      </c>
      <c r="N93" s="77">
        <f>IFERROR(VLOOKUP($H93,TEC[],3,FALSE),"NA")</f>
        <v>0</v>
      </c>
      <c r="O93" s="77" t="str">
        <f>IFERROR(VLOOKUP($H93,TP[],3,FALSE),"NA")</f>
        <v>NA</v>
      </c>
      <c r="P93" s="77" t="str">
        <f>IFERROR(VLOOKUP($H93,TEN[],3,FALSE),"NA")</f>
        <v>NA</v>
      </c>
      <c r="Q93" s="77" t="str">
        <f>IFERROR(VLOOKUP($H93,TD[],3,FALSE),"NA")</f>
        <v>NA</v>
      </c>
      <c r="R93" s="77" t="str">
        <f>IFERROR(VLOOKUP($H93,TC[],3,FALSE),"NA")</f>
        <v>NA</v>
      </c>
      <c r="S93" s="77" t="str">
        <f>IFERROR(VLOOKUP($H93,TEV[],3,FALSE),"NA")</f>
        <v>NA</v>
      </c>
      <c r="T93" s="79">
        <f>SUM(TbPrestamo[[#This Row],[GENERAL]:[ELEVADOR]])</f>
        <v>0</v>
      </c>
      <c r="U93" s="80">
        <f>IF(VLOOKUP(TbPrestamo[[#This Row],[ITEM]],TbPiezas[],5,FALSE)="NA",0,VLOOKUP(TbPrestamo[[#This Row],[ITEM]],TbPiezas[],5,FALSE))</f>
        <v>17.799999999999997</v>
      </c>
      <c r="V93" s="81">
        <f>+TbPrestamo[[#This Row],[TOTAL]]*TbPrestamo[[#This Row],[P.U. (1)]]</f>
        <v>0</v>
      </c>
      <c r="W93" s="82">
        <f>+VLOOKUP(TbPrestamo[[#This Row],[ITEM]],TbPiezas[],6,FALSE)</f>
        <v>654.70000000000005</v>
      </c>
      <c r="X93" s="83">
        <f>+TbPrestamo[[#This Row],[TOTAL]]*TbPrestamo[[#This Row],[P.U. (2)]]</f>
        <v>0</v>
      </c>
      <c r="Y93" s="82">
        <f>+VLOOKUP(TbPrestamo[[#This Row],[ITEM]],TbPiezas[],7,FALSE)</f>
        <v>32.735000000000007</v>
      </c>
      <c r="Z93" s="84">
        <f>+TbPrestamo[[#This Row],[TOTAL]]*TbPrestamo[[#This Row],[P.U. (3)]]</f>
        <v>0</v>
      </c>
    </row>
    <row r="94" spans="1:26" ht="15" customHeight="1" x14ac:dyDescent="0.3">
      <c r="A94" s="2"/>
      <c r="B94" s="85">
        <v>77</v>
      </c>
      <c r="C94" s="71" t="s">
        <v>155</v>
      </c>
      <c r="D94" s="72" t="s">
        <v>156</v>
      </c>
      <c r="E94" s="73"/>
      <c r="F94" s="74">
        <f>+VLOOKUP(C94,TbPrestamo[],13,FALSE)</f>
        <v>0</v>
      </c>
      <c r="G94" s="2"/>
      <c r="H94" s="75" t="str">
        <f t="shared" si="2"/>
        <v>AM.7300</v>
      </c>
      <c r="I94" s="59" t="str">
        <f t="shared" si="3"/>
        <v>ok</v>
      </c>
      <c r="J94" s="77">
        <f>IFERROR(VLOOKUP($H94,TG[],3,FALSE),"NA")</f>
        <v>0</v>
      </c>
      <c r="K94" s="77">
        <f>IFERROR(VLOOKUP($H94,TF[],3,FALSE),"NA")</f>
        <v>0</v>
      </c>
      <c r="L94" s="77">
        <f>IFERROR(VLOOKUP($H94,TT[],3,FALSE),"NA")</f>
        <v>0</v>
      </c>
      <c r="M94" s="77">
        <f>IFERROR(VLOOKUP($H94,TES[],3,FALSE),"NA")</f>
        <v>0</v>
      </c>
      <c r="N94" s="77">
        <f>IFERROR(VLOOKUP($H94,TEC[],3,FALSE),"NA")</f>
        <v>0</v>
      </c>
      <c r="O94" s="77" t="str">
        <f>IFERROR(VLOOKUP($H94,TP[],3,FALSE),"NA")</f>
        <v>NA</v>
      </c>
      <c r="P94" s="77" t="str">
        <f>IFERROR(VLOOKUP($H94,TEN[],3,FALSE),"NA")</f>
        <v>NA</v>
      </c>
      <c r="Q94" s="77" t="str">
        <f>IFERROR(VLOOKUP($H94,TD[],3,FALSE),"NA")</f>
        <v>NA</v>
      </c>
      <c r="R94" s="77" t="str">
        <f>IFERROR(VLOOKUP($H94,TC[],3,FALSE),"NA")</f>
        <v>NA</v>
      </c>
      <c r="S94" s="77" t="str">
        <f>IFERROR(VLOOKUP($H94,TEV[],3,FALSE),"NA")</f>
        <v>NA</v>
      </c>
      <c r="T94" s="79">
        <f>SUM(TbPrestamo[[#This Row],[GENERAL]:[ELEVADOR]])</f>
        <v>0</v>
      </c>
      <c r="U94" s="80">
        <f>IF(VLOOKUP(TbPrestamo[[#This Row],[ITEM]],TbPiezas[],5,FALSE)="NA",0,VLOOKUP(TbPrestamo[[#This Row],[ITEM]],TbPiezas[],5,FALSE))</f>
        <v>14.599999999999994</v>
      </c>
      <c r="V94" s="81">
        <f>+TbPrestamo[[#This Row],[TOTAL]]*TbPrestamo[[#This Row],[P.U. (1)]]</f>
        <v>0</v>
      </c>
      <c r="W94" s="82">
        <f>+VLOOKUP(TbPrestamo[[#This Row],[ITEM]],TbPiezas[],6,FALSE)</f>
        <v>575.04</v>
      </c>
      <c r="X94" s="83">
        <f>+TbPrestamo[[#This Row],[TOTAL]]*TbPrestamo[[#This Row],[P.U. (2)]]</f>
        <v>0</v>
      </c>
      <c r="Y94" s="82">
        <f>+VLOOKUP(TbPrestamo[[#This Row],[ITEM]],TbPiezas[],7,FALSE)</f>
        <v>28.751999999999999</v>
      </c>
      <c r="Z94" s="84">
        <f>+TbPrestamo[[#This Row],[TOTAL]]*TbPrestamo[[#This Row],[P.U. (3)]]</f>
        <v>0</v>
      </c>
    </row>
    <row r="95" spans="1:26" ht="15" customHeight="1" x14ac:dyDescent="0.3">
      <c r="A95" s="2"/>
      <c r="B95" s="85">
        <v>78</v>
      </c>
      <c r="C95" s="71" t="s">
        <v>157</v>
      </c>
      <c r="D95" s="72" t="s">
        <v>158</v>
      </c>
      <c r="E95" s="73"/>
      <c r="F95" s="74">
        <f>+VLOOKUP(C95,TbPrestamo[],13,FALSE)</f>
        <v>0</v>
      </c>
      <c r="G95" s="2"/>
      <c r="H95" s="75" t="str">
        <f t="shared" si="2"/>
        <v>AM.7400</v>
      </c>
      <c r="I95" s="59" t="str">
        <f t="shared" si="3"/>
        <v>ok</v>
      </c>
      <c r="J95" s="77">
        <f>IFERROR(VLOOKUP($H95,TG[],3,FALSE),"NA")</f>
        <v>0</v>
      </c>
      <c r="K95" s="77">
        <f>IFERROR(VLOOKUP($H95,TF[],3,FALSE),"NA")</f>
        <v>0</v>
      </c>
      <c r="L95" s="77">
        <f>IFERROR(VLOOKUP($H95,TT[],3,FALSE),"NA")</f>
        <v>0</v>
      </c>
      <c r="M95" s="77">
        <f>IFERROR(VLOOKUP($H95,TES[],3,FALSE),"NA")</f>
        <v>0</v>
      </c>
      <c r="N95" s="77">
        <f>IFERROR(VLOOKUP($H95,TEC[],3,FALSE),"NA")</f>
        <v>0</v>
      </c>
      <c r="O95" s="77" t="str">
        <f>IFERROR(VLOOKUP($H95,TP[],3,FALSE),"NA")</f>
        <v>NA</v>
      </c>
      <c r="P95" s="77" t="str">
        <f>IFERROR(VLOOKUP($H95,TEN[],3,FALSE),"NA")</f>
        <v>NA</v>
      </c>
      <c r="Q95" s="77" t="str">
        <f>IFERROR(VLOOKUP($H95,TD[],3,FALSE),"NA")</f>
        <v>NA</v>
      </c>
      <c r="R95" s="77" t="str">
        <f>IFERROR(VLOOKUP($H95,TC[],3,FALSE),"NA")</f>
        <v>NA</v>
      </c>
      <c r="S95" s="77" t="str">
        <f>IFERROR(VLOOKUP($H95,TEV[],3,FALSE),"NA")</f>
        <v>NA</v>
      </c>
      <c r="T95" s="79">
        <f>SUM(TbPrestamo[[#This Row],[GENERAL]:[ELEVADOR]])</f>
        <v>0</v>
      </c>
      <c r="U95" s="80">
        <f>IF(VLOOKUP(TbPrestamo[[#This Row],[ITEM]],TbPiezas[],5,FALSE)="NA",0,VLOOKUP(TbPrestamo[[#This Row],[ITEM]],TbPiezas[],5,FALSE))</f>
        <v>12.299999999999997</v>
      </c>
      <c r="V95" s="81">
        <f>+TbPrestamo[[#This Row],[TOTAL]]*TbPrestamo[[#This Row],[P.U. (1)]]</f>
        <v>0</v>
      </c>
      <c r="W95" s="82">
        <f>+VLOOKUP(TbPrestamo[[#This Row],[ITEM]],TbPiezas[],6,FALSE)</f>
        <v>496.07</v>
      </c>
      <c r="X95" s="83">
        <f>+TbPrestamo[[#This Row],[TOTAL]]*TbPrestamo[[#This Row],[P.U. (2)]]</f>
        <v>0</v>
      </c>
      <c r="Y95" s="82">
        <f>+VLOOKUP(TbPrestamo[[#This Row],[ITEM]],TbPiezas[],7,FALSE)</f>
        <v>24.8035</v>
      </c>
      <c r="Z95" s="84">
        <f>+TbPrestamo[[#This Row],[TOTAL]]*TbPrestamo[[#This Row],[P.U. (3)]]</f>
        <v>0</v>
      </c>
    </row>
    <row r="96" spans="1:26" ht="15" customHeight="1" x14ac:dyDescent="0.3">
      <c r="A96" s="2"/>
      <c r="B96" s="85">
        <v>79</v>
      </c>
      <c r="C96" s="71" t="s">
        <v>159</v>
      </c>
      <c r="D96" s="72" t="s">
        <v>160</v>
      </c>
      <c r="E96" s="73"/>
      <c r="F96" s="74">
        <f>+VLOOKUP(C96,TbPrestamo[],13,FALSE)</f>
        <v>0</v>
      </c>
      <c r="G96" s="2"/>
      <c r="H96" s="75" t="str">
        <f t="shared" si="2"/>
        <v>AM.7410</v>
      </c>
      <c r="I96" s="59" t="str">
        <f t="shared" si="3"/>
        <v>ok</v>
      </c>
      <c r="J96" s="77">
        <f>IFERROR(VLOOKUP($H96,TG[],3,FALSE),"NA")</f>
        <v>0</v>
      </c>
      <c r="K96" s="77">
        <f>IFERROR(VLOOKUP($H96,TF[],3,FALSE),"NA")</f>
        <v>0</v>
      </c>
      <c r="L96" s="77">
        <f>IFERROR(VLOOKUP($H96,TT[],3,FALSE),"NA")</f>
        <v>0</v>
      </c>
      <c r="M96" s="77">
        <f>IFERROR(VLOOKUP($H96,TES[],3,FALSE),"NA")</f>
        <v>0</v>
      </c>
      <c r="N96" s="77">
        <f>IFERROR(VLOOKUP($H96,TEC[],3,FALSE),"NA")</f>
        <v>0</v>
      </c>
      <c r="O96" s="77" t="str">
        <f>IFERROR(VLOOKUP($H96,TP[],3,FALSE),"NA")</f>
        <v>NA</v>
      </c>
      <c r="P96" s="77" t="str">
        <f>IFERROR(VLOOKUP($H96,TEN[],3,FALSE),"NA")</f>
        <v>NA</v>
      </c>
      <c r="Q96" s="77" t="str">
        <f>IFERROR(VLOOKUP($H96,TD[],3,FALSE),"NA")</f>
        <v>NA</v>
      </c>
      <c r="R96" s="77" t="str">
        <f>IFERROR(VLOOKUP($H96,TC[],3,FALSE),"NA")</f>
        <v>NA</v>
      </c>
      <c r="S96" s="77" t="str">
        <f>IFERROR(VLOOKUP($H96,TEV[],3,FALSE),"NA")</f>
        <v>NA</v>
      </c>
      <c r="T96" s="79">
        <f>SUM(TbPrestamo[[#This Row],[GENERAL]:[ELEVADOR]])</f>
        <v>0</v>
      </c>
      <c r="U96" s="80">
        <f>IF(VLOOKUP(TbPrestamo[[#This Row],[ITEM]],TbPiezas[],5,FALSE)="NA",0,VLOOKUP(TbPrestamo[[#This Row],[ITEM]],TbPiezas[],5,FALSE))</f>
        <v>9.0500000000000007</v>
      </c>
      <c r="V96" s="81">
        <f>+TbPrestamo[[#This Row],[TOTAL]]*TbPrestamo[[#This Row],[P.U. (1)]]</f>
        <v>0</v>
      </c>
      <c r="W96" s="82">
        <f>+VLOOKUP(TbPrestamo[[#This Row],[ITEM]],TbPiezas[],6,FALSE)</f>
        <v>484.34</v>
      </c>
      <c r="X96" s="83">
        <f>+TbPrestamo[[#This Row],[TOTAL]]*TbPrestamo[[#This Row],[P.U. (2)]]</f>
        <v>0</v>
      </c>
      <c r="Y96" s="82">
        <f>+VLOOKUP(TbPrestamo[[#This Row],[ITEM]],TbPiezas[],7,FALSE)</f>
        <v>24.216999999999999</v>
      </c>
      <c r="Z96" s="84">
        <f>+TbPrestamo[[#This Row],[TOTAL]]*TbPrestamo[[#This Row],[P.U. (3)]]</f>
        <v>0</v>
      </c>
    </row>
    <row r="97" spans="1:26" ht="15" customHeight="1" x14ac:dyDescent="0.3">
      <c r="A97" s="2"/>
      <c r="B97" s="85">
        <v>80</v>
      </c>
      <c r="C97" s="71" t="s">
        <v>161</v>
      </c>
      <c r="D97" s="72" t="s">
        <v>162</v>
      </c>
      <c r="E97" s="73"/>
      <c r="F97" s="74">
        <f>+VLOOKUP(C97,TbPrestamo[],13,FALSE)</f>
        <v>0</v>
      </c>
      <c r="G97" s="2"/>
      <c r="H97" s="75" t="str">
        <f t="shared" si="2"/>
        <v>AM.7420</v>
      </c>
      <c r="I97" s="59" t="str">
        <f t="shared" si="3"/>
        <v>ok</v>
      </c>
      <c r="J97" s="77">
        <f>IFERROR(VLOOKUP($H97,TG[],3,FALSE),"NA")</f>
        <v>0</v>
      </c>
      <c r="K97" s="77">
        <f>IFERROR(VLOOKUP($H97,TF[],3,FALSE),"NA")</f>
        <v>0</v>
      </c>
      <c r="L97" s="77">
        <f>IFERROR(VLOOKUP($H97,TT[],3,FALSE),"NA")</f>
        <v>0</v>
      </c>
      <c r="M97" s="77">
        <f>IFERROR(VLOOKUP($H97,TES[],3,FALSE),"NA")</f>
        <v>0</v>
      </c>
      <c r="N97" s="77">
        <f>IFERROR(VLOOKUP($H97,TEC[],3,FALSE),"NA")</f>
        <v>0</v>
      </c>
      <c r="O97" s="77" t="str">
        <f>IFERROR(VLOOKUP($H97,TP[],3,FALSE),"NA")</f>
        <v>NA</v>
      </c>
      <c r="P97" s="77" t="str">
        <f>IFERROR(VLOOKUP($H97,TEN[],3,FALSE),"NA")</f>
        <v>NA</v>
      </c>
      <c r="Q97" s="77" t="str">
        <f>IFERROR(VLOOKUP($H97,TD[],3,FALSE),"NA")</f>
        <v>NA</v>
      </c>
      <c r="R97" s="77" t="str">
        <f>IFERROR(VLOOKUP($H97,TC[],3,FALSE),"NA")</f>
        <v>NA</v>
      </c>
      <c r="S97" s="77" t="str">
        <f>IFERROR(VLOOKUP($H97,TEV[],3,FALSE),"NA")</f>
        <v>NA</v>
      </c>
      <c r="T97" s="79">
        <f>SUM(TbPrestamo[[#This Row],[GENERAL]:[ELEVADOR]])</f>
        <v>0</v>
      </c>
      <c r="U97" s="80">
        <f>IF(VLOOKUP(TbPrestamo[[#This Row],[ITEM]],TbPiezas[],5,FALSE)="NA",0,VLOOKUP(TbPrestamo[[#This Row],[ITEM]],TbPiezas[],5,FALSE))</f>
        <v>7.71</v>
      </c>
      <c r="V97" s="81">
        <f>+TbPrestamo[[#This Row],[TOTAL]]*TbPrestamo[[#This Row],[P.U. (1)]]</f>
        <v>0</v>
      </c>
      <c r="W97" s="82">
        <f>+VLOOKUP(TbPrestamo[[#This Row],[ITEM]],TbPiezas[],6,FALSE)</f>
        <v>452.11</v>
      </c>
      <c r="X97" s="83">
        <f>+TbPrestamo[[#This Row],[TOTAL]]*TbPrestamo[[#This Row],[P.U. (2)]]</f>
        <v>0</v>
      </c>
      <c r="Y97" s="82">
        <f>+VLOOKUP(TbPrestamo[[#This Row],[ITEM]],TbPiezas[],7,FALSE)</f>
        <v>22.605500000000003</v>
      </c>
      <c r="Z97" s="84">
        <f>+TbPrestamo[[#This Row],[TOTAL]]*TbPrestamo[[#This Row],[P.U. (3)]]</f>
        <v>0</v>
      </c>
    </row>
    <row r="98" spans="1:26" ht="15" customHeight="1" x14ac:dyDescent="0.3">
      <c r="A98" s="2"/>
      <c r="B98" s="85">
        <v>81</v>
      </c>
      <c r="C98" s="71" t="s">
        <v>163</v>
      </c>
      <c r="D98" s="72" t="s">
        <v>164</v>
      </c>
      <c r="E98" s="73"/>
      <c r="F98" s="74">
        <f>+VLOOKUP(C98,TbPrestamo[],13,FALSE)</f>
        <v>0</v>
      </c>
      <c r="G98" s="2"/>
      <c r="H98" s="75" t="str">
        <f t="shared" si="2"/>
        <v>AM.7430</v>
      </c>
      <c r="I98" s="59" t="str">
        <f t="shared" si="3"/>
        <v>ok</v>
      </c>
      <c r="J98" s="77">
        <f>IFERROR(VLOOKUP($H98,TG[],3,FALSE),"NA")</f>
        <v>0</v>
      </c>
      <c r="K98" s="77">
        <f>IFERROR(VLOOKUP($H98,TF[],3,FALSE),"NA")</f>
        <v>0</v>
      </c>
      <c r="L98" s="77">
        <f>IFERROR(VLOOKUP($H98,TT[],3,FALSE),"NA")</f>
        <v>0</v>
      </c>
      <c r="M98" s="77">
        <f>IFERROR(VLOOKUP($H98,TES[],3,FALSE),"NA")</f>
        <v>0</v>
      </c>
      <c r="N98" s="77">
        <f>IFERROR(VLOOKUP($H98,TEC[],3,FALSE),"NA")</f>
        <v>0</v>
      </c>
      <c r="O98" s="77" t="str">
        <f>IFERROR(VLOOKUP($H98,TP[],3,FALSE),"NA")</f>
        <v>NA</v>
      </c>
      <c r="P98" s="77" t="str">
        <f>IFERROR(VLOOKUP($H98,TEN[],3,FALSE),"NA")</f>
        <v>NA</v>
      </c>
      <c r="Q98" s="77" t="str">
        <f>IFERROR(VLOOKUP($H98,TD[],3,FALSE),"NA")</f>
        <v>NA</v>
      </c>
      <c r="R98" s="77" t="str">
        <f>IFERROR(VLOOKUP($H98,TC[],3,FALSE),"NA")</f>
        <v>NA</v>
      </c>
      <c r="S98" s="77" t="str">
        <f>IFERROR(VLOOKUP($H98,TEV[],3,FALSE),"NA")</f>
        <v>NA</v>
      </c>
      <c r="T98" s="79">
        <f>SUM(TbPrestamo[[#This Row],[GENERAL]:[ELEVADOR]])</f>
        <v>0</v>
      </c>
      <c r="U98" s="80">
        <f>IF(VLOOKUP(TbPrestamo[[#This Row],[ITEM]],TbPiezas[],5,FALSE)="NA",0,VLOOKUP(TbPrestamo[[#This Row],[ITEM]],TbPiezas[],5,FALSE))</f>
        <v>4.3</v>
      </c>
      <c r="V98" s="81">
        <f>+TbPrestamo[[#This Row],[TOTAL]]*TbPrestamo[[#This Row],[P.U. (1)]]</f>
        <v>0</v>
      </c>
      <c r="W98" s="82">
        <f>+VLOOKUP(TbPrestamo[[#This Row],[ITEM]],TbPiezas[],6,FALSE)</f>
        <v>452.11</v>
      </c>
      <c r="X98" s="83">
        <f>+TbPrestamo[[#This Row],[TOTAL]]*TbPrestamo[[#This Row],[P.U. (2)]]</f>
        <v>0</v>
      </c>
      <c r="Y98" s="82">
        <f>+VLOOKUP(TbPrestamo[[#This Row],[ITEM]],TbPiezas[],7,FALSE)</f>
        <v>22.605500000000003</v>
      </c>
      <c r="Z98" s="84">
        <f>+TbPrestamo[[#This Row],[TOTAL]]*TbPrestamo[[#This Row],[P.U. (3)]]</f>
        <v>0</v>
      </c>
    </row>
    <row r="99" spans="1:26" ht="15" customHeight="1" x14ac:dyDescent="0.3">
      <c r="A99" s="2"/>
      <c r="B99" s="85">
        <v>82</v>
      </c>
      <c r="C99" s="71" t="s">
        <v>165</v>
      </c>
      <c r="D99" s="72" t="s">
        <v>166</v>
      </c>
      <c r="E99" s="73"/>
      <c r="F99" s="74">
        <f>+VLOOKUP(C99,TbPrestamo[],13,FALSE)</f>
        <v>0</v>
      </c>
      <c r="G99" s="2"/>
      <c r="H99" s="75" t="str">
        <f t="shared" si="2"/>
        <v>AM.7440</v>
      </c>
      <c r="I99" s="59" t="str">
        <f t="shared" si="3"/>
        <v>ok</v>
      </c>
      <c r="J99" s="77">
        <f>IFERROR(VLOOKUP($H99,TG[],3,FALSE),"NA")</f>
        <v>0</v>
      </c>
      <c r="K99" s="77">
        <f>IFERROR(VLOOKUP($H99,TF[],3,FALSE),"NA")</f>
        <v>0</v>
      </c>
      <c r="L99" s="77">
        <f>IFERROR(VLOOKUP($H99,TT[],3,FALSE),"NA")</f>
        <v>0</v>
      </c>
      <c r="M99" s="77">
        <f>IFERROR(VLOOKUP($H99,TES[],3,FALSE),"NA")</f>
        <v>0</v>
      </c>
      <c r="N99" s="77">
        <f>IFERROR(VLOOKUP($H99,TEC[],3,FALSE),"NA")</f>
        <v>0</v>
      </c>
      <c r="O99" s="77" t="str">
        <f>IFERROR(VLOOKUP($H99,TP[],3,FALSE),"NA")</f>
        <v>NA</v>
      </c>
      <c r="P99" s="77" t="str">
        <f>IFERROR(VLOOKUP($H99,TEN[],3,FALSE),"NA")</f>
        <v>NA</v>
      </c>
      <c r="Q99" s="77" t="str">
        <f>IFERROR(VLOOKUP($H99,TD[],3,FALSE),"NA")</f>
        <v>NA</v>
      </c>
      <c r="R99" s="77" t="str">
        <f>IFERROR(VLOOKUP($H99,TC[],3,FALSE),"NA")</f>
        <v>NA</v>
      </c>
      <c r="S99" s="77" t="str">
        <f>IFERROR(VLOOKUP($H99,TEV[],3,FALSE),"NA")</f>
        <v>NA</v>
      </c>
      <c r="T99" s="79">
        <f>SUM(TbPrestamo[[#This Row],[GENERAL]:[ELEVADOR]])</f>
        <v>0</v>
      </c>
      <c r="U99" s="80">
        <f>IF(VLOOKUP(TbPrestamo[[#This Row],[ITEM]],TbPiezas[],5,FALSE)="NA",0,VLOOKUP(TbPrestamo[[#This Row],[ITEM]],TbPiezas[],5,FALSE))</f>
        <v>5.86</v>
      </c>
      <c r="V99" s="81">
        <f>+TbPrestamo[[#This Row],[TOTAL]]*TbPrestamo[[#This Row],[P.U. (1)]]</f>
        <v>0</v>
      </c>
      <c r="W99" s="82">
        <f>+VLOOKUP(TbPrestamo[[#This Row],[ITEM]],TbPiezas[],6,FALSE)</f>
        <v>408.3</v>
      </c>
      <c r="X99" s="83">
        <f>+TbPrestamo[[#This Row],[TOTAL]]*TbPrestamo[[#This Row],[P.U. (2)]]</f>
        <v>0</v>
      </c>
      <c r="Y99" s="82">
        <f>+VLOOKUP(TbPrestamo[[#This Row],[ITEM]],TbPiezas[],7,FALSE)</f>
        <v>20.415000000000003</v>
      </c>
      <c r="Z99" s="84">
        <f>+TbPrestamo[[#This Row],[TOTAL]]*TbPrestamo[[#This Row],[P.U. (3)]]</f>
        <v>0</v>
      </c>
    </row>
    <row r="100" spans="1:26" ht="15" customHeight="1" x14ac:dyDescent="0.3">
      <c r="A100" s="2"/>
      <c r="B100" s="85">
        <v>83</v>
      </c>
      <c r="C100" s="71" t="s">
        <v>167</v>
      </c>
      <c r="D100" s="72" t="s">
        <v>168</v>
      </c>
      <c r="E100" s="73"/>
      <c r="F100" s="74">
        <f>+VLOOKUP(C100,TbPrestamo[],13,FALSE)</f>
        <v>0</v>
      </c>
      <c r="G100" s="2"/>
      <c r="H100" s="75" t="str">
        <f t="shared" si="2"/>
        <v>AM.7450</v>
      </c>
      <c r="I100" s="59" t="str">
        <f t="shared" si="3"/>
        <v>ok</v>
      </c>
      <c r="J100" s="77">
        <f>IFERROR(VLOOKUP($H100,TG[],3,FALSE),"NA")</f>
        <v>0</v>
      </c>
      <c r="K100" s="77">
        <f>IFERROR(VLOOKUP($H100,TF[],3,FALSE),"NA")</f>
        <v>0</v>
      </c>
      <c r="L100" s="77">
        <f>IFERROR(VLOOKUP($H100,TT[],3,FALSE),"NA")</f>
        <v>0</v>
      </c>
      <c r="M100" s="77" t="str">
        <f>IFERROR(VLOOKUP($H100,TES[],3,FALSE),"NA")</f>
        <v>NA</v>
      </c>
      <c r="N100" s="77" t="str">
        <f>IFERROR(VLOOKUP($H100,TEC[],3,FALSE),"NA")</f>
        <v>NA</v>
      </c>
      <c r="O100" s="77" t="str">
        <f>IFERROR(VLOOKUP($H100,TP[],3,FALSE),"NA")</f>
        <v>NA</v>
      </c>
      <c r="P100" s="77" t="str">
        <f>IFERROR(VLOOKUP($H100,TEN[],3,FALSE),"NA")</f>
        <v>NA</v>
      </c>
      <c r="Q100" s="77" t="str">
        <f>IFERROR(VLOOKUP($H100,TD[],3,FALSE),"NA")</f>
        <v>NA</v>
      </c>
      <c r="R100" s="77" t="str">
        <f>IFERROR(VLOOKUP($H100,TC[],3,FALSE),"NA")</f>
        <v>NA</v>
      </c>
      <c r="S100" s="77" t="str">
        <f>IFERROR(VLOOKUP($H100,TEV[],3,FALSE),"NA")</f>
        <v>NA</v>
      </c>
      <c r="T100" s="79">
        <f>SUM(TbPrestamo[[#This Row],[GENERAL]:[ELEVADOR]])</f>
        <v>0</v>
      </c>
      <c r="U100" s="80">
        <f>IF(VLOOKUP(TbPrestamo[[#This Row],[ITEM]],TbPiezas[],5,FALSE)="NA",0,VLOOKUP(TbPrestamo[[#This Row],[ITEM]],TbPiezas[],5,FALSE))</f>
        <v>43.499999999999986</v>
      </c>
      <c r="V100" s="81">
        <f>+TbPrestamo[[#This Row],[TOTAL]]*TbPrestamo[[#This Row],[P.U. (1)]]</f>
        <v>0</v>
      </c>
      <c r="W100" s="82">
        <f>+VLOOKUP(TbPrestamo[[#This Row],[ITEM]],TbPiezas[],6,FALSE)</f>
        <v>2658.2</v>
      </c>
      <c r="X100" s="83">
        <f>+TbPrestamo[[#This Row],[TOTAL]]*TbPrestamo[[#This Row],[P.U. (2)]]</f>
        <v>0</v>
      </c>
      <c r="Y100" s="82">
        <f>+VLOOKUP(TbPrestamo[[#This Row],[ITEM]],TbPiezas[],7,FALSE)</f>
        <v>132.91</v>
      </c>
      <c r="Z100" s="84">
        <f>+TbPrestamo[[#This Row],[TOTAL]]*TbPrestamo[[#This Row],[P.U. (3)]]</f>
        <v>0</v>
      </c>
    </row>
    <row r="101" spans="1:26" ht="15" customHeight="1" x14ac:dyDescent="0.3">
      <c r="A101" s="2"/>
      <c r="B101" s="85">
        <v>84</v>
      </c>
      <c r="C101" s="71" t="s">
        <v>169</v>
      </c>
      <c r="D101" s="72" t="s">
        <v>170</v>
      </c>
      <c r="E101" s="73"/>
      <c r="F101" s="74">
        <f>+VLOOKUP(C101,TbPrestamo[],13,FALSE)</f>
        <v>1</v>
      </c>
      <c r="G101" s="2"/>
      <c r="H101" s="75" t="str">
        <f t="shared" si="2"/>
        <v>AM.7451</v>
      </c>
      <c r="I101" s="59" t="str">
        <f t="shared" si="3"/>
        <v>ok</v>
      </c>
      <c r="J101" s="77">
        <f>IFERROR(VLOOKUP($H101,TG[],3,FALSE),"NA")</f>
        <v>0</v>
      </c>
      <c r="K101" s="77">
        <f>IFERROR(VLOOKUP($H101,TF[],3,FALSE),"NA")</f>
        <v>0</v>
      </c>
      <c r="L101" s="77">
        <f>IFERROR(VLOOKUP($H101,TT[],3,FALSE),"NA")</f>
        <v>1</v>
      </c>
      <c r="M101" s="77" t="str">
        <f>IFERROR(VLOOKUP($H101,TES[],3,FALSE),"NA")</f>
        <v>NA</v>
      </c>
      <c r="N101" s="77" t="str">
        <f>IFERROR(VLOOKUP($H101,TEC[],3,FALSE),"NA")</f>
        <v>NA</v>
      </c>
      <c r="O101" s="77" t="str">
        <f>IFERROR(VLOOKUP($H101,TP[],3,FALSE),"NA")</f>
        <v>NA</v>
      </c>
      <c r="P101" s="77" t="str">
        <f>IFERROR(VLOOKUP($H101,TEN[],3,FALSE),"NA")</f>
        <v>NA</v>
      </c>
      <c r="Q101" s="77" t="str">
        <f>IFERROR(VLOOKUP($H101,TD[],3,FALSE),"NA")</f>
        <v>NA</v>
      </c>
      <c r="R101" s="77" t="str">
        <f>IFERROR(VLOOKUP($H101,TC[],3,FALSE),"NA")</f>
        <v>NA</v>
      </c>
      <c r="S101" s="77" t="str">
        <f>IFERROR(VLOOKUP($H101,TEV[],3,FALSE),"NA")</f>
        <v>NA</v>
      </c>
      <c r="T101" s="79">
        <f>SUM(TbPrestamo[[#This Row],[GENERAL]:[ELEVADOR]])</f>
        <v>1</v>
      </c>
      <c r="U101" s="80">
        <f>IF(VLOOKUP(TbPrestamo[[#This Row],[ITEM]],TbPiezas[],5,FALSE)="NA",0,VLOOKUP(TbPrestamo[[#This Row],[ITEM]],TbPiezas[],5,FALSE))</f>
        <v>36.599999999999994</v>
      </c>
      <c r="V101" s="81">
        <f>+TbPrestamo[[#This Row],[TOTAL]]*TbPrestamo[[#This Row],[P.U. (1)]]</f>
        <v>36.599999999999994</v>
      </c>
      <c r="W101" s="82">
        <f>+VLOOKUP(TbPrestamo[[#This Row],[ITEM]],TbPiezas[],6,FALSE)</f>
        <v>2658.2</v>
      </c>
      <c r="X101" s="83">
        <f>+TbPrestamo[[#This Row],[TOTAL]]*TbPrestamo[[#This Row],[P.U. (2)]]</f>
        <v>2658.2</v>
      </c>
      <c r="Y101" s="82">
        <f>+VLOOKUP(TbPrestamo[[#This Row],[ITEM]],TbPiezas[],7,FALSE)</f>
        <v>132.91</v>
      </c>
      <c r="Z101" s="84">
        <f>+TbPrestamo[[#This Row],[TOTAL]]*TbPrestamo[[#This Row],[P.U. (3)]]</f>
        <v>132.91</v>
      </c>
    </row>
    <row r="102" spans="1:26" ht="15" customHeight="1" x14ac:dyDescent="0.3">
      <c r="A102" s="2"/>
      <c r="B102" s="85">
        <v>85</v>
      </c>
      <c r="C102" s="71" t="s">
        <v>171</v>
      </c>
      <c r="D102" s="72" t="s">
        <v>172</v>
      </c>
      <c r="E102" s="73"/>
      <c r="F102" s="74">
        <f>+VLOOKUP(C102,TbPrestamo[],13,FALSE)</f>
        <v>0</v>
      </c>
      <c r="G102" s="2"/>
      <c r="H102" s="75" t="str">
        <f t="shared" si="2"/>
        <v>AM.7452</v>
      </c>
      <c r="I102" s="59" t="str">
        <f t="shared" si="3"/>
        <v>ok</v>
      </c>
      <c r="J102" s="77">
        <f>IFERROR(VLOOKUP($H102,TG[],3,FALSE),"NA")</f>
        <v>0</v>
      </c>
      <c r="K102" s="77">
        <f>IFERROR(VLOOKUP($H102,TF[],3,FALSE),"NA")</f>
        <v>0</v>
      </c>
      <c r="L102" s="77">
        <f>IFERROR(VLOOKUP($H102,TT[],3,FALSE),"NA")</f>
        <v>0</v>
      </c>
      <c r="M102" s="77" t="str">
        <f>IFERROR(VLOOKUP($H102,TES[],3,FALSE),"NA")</f>
        <v>NA</v>
      </c>
      <c r="N102" s="77" t="str">
        <f>IFERROR(VLOOKUP($H102,TEC[],3,FALSE),"NA")</f>
        <v>NA</v>
      </c>
      <c r="O102" s="77" t="str">
        <f>IFERROR(VLOOKUP($H102,TP[],3,FALSE),"NA")</f>
        <v>NA</v>
      </c>
      <c r="P102" s="77" t="str">
        <f>IFERROR(VLOOKUP($H102,TEN[],3,FALSE),"NA")</f>
        <v>NA</v>
      </c>
      <c r="Q102" s="77" t="str">
        <f>IFERROR(VLOOKUP($H102,TD[],3,FALSE),"NA")</f>
        <v>NA</v>
      </c>
      <c r="R102" s="77" t="str">
        <f>IFERROR(VLOOKUP($H102,TC[],3,FALSE),"NA")</f>
        <v>NA</v>
      </c>
      <c r="S102" s="77" t="str">
        <f>IFERROR(VLOOKUP($H102,TEV[],3,FALSE),"NA")</f>
        <v>NA</v>
      </c>
      <c r="T102" s="79">
        <f>SUM(TbPrestamo[[#This Row],[GENERAL]:[ELEVADOR]])</f>
        <v>0</v>
      </c>
      <c r="U102" s="80">
        <f>IF(VLOOKUP(TbPrestamo[[#This Row],[ITEM]],TbPiezas[],5,FALSE)="NA",0,VLOOKUP(TbPrestamo[[#This Row],[ITEM]],TbPiezas[],5,FALSE))</f>
        <v>31.099999999999994</v>
      </c>
      <c r="V102" s="81">
        <f>+TbPrestamo[[#This Row],[TOTAL]]*TbPrestamo[[#This Row],[P.U. (1)]]</f>
        <v>0</v>
      </c>
      <c r="W102" s="82">
        <f>+VLOOKUP(TbPrestamo[[#This Row],[ITEM]],TbPiezas[],6,FALSE)</f>
        <v>2658.2</v>
      </c>
      <c r="X102" s="83">
        <f>+TbPrestamo[[#This Row],[TOTAL]]*TbPrestamo[[#This Row],[P.U. (2)]]</f>
        <v>0</v>
      </c>
      <c r="Y102" s="82">
        <f>+VLOOKUP(TbPrestamo[[#This Row],[ITEM]],TbPiezas[],7,FALSE)</f>
        <v>132.91</v>
      </c>
      <c r="Z102" s="84">
        <f>+TbPrestamo[[#This Row],[TOTAL]]*TbPrestamo[[#This Row],[P.U. (3)]]</f>
        <v>0</v>
      </c>
    </row>
    <row r="103" spans="1:26" ht="15" customHeight="1" x14ac:dyDescent="0.3">
      <c r="A103" s="2"/>
      <c r="B103" s="85">
        <v>86</v>
      </c>
      <c r="C103" s="71" t="s">
        <v>173</v>
      </c>
      <c r="D103" s="72" t="s">
        <v>174</v>
      </c>
      <c r="E103" s="73"/>
      <c r="F103" s="74">
        <f>+VLOOKUP(C103,TbPrestamo[],13,FALSE)</f>
        <v>0</v>
      </c>
      <c r="G103" s="2"/>
      <c r="H103" s="75" t="str">
        <f t="shared" si="2"/>
        <v>AM.7453</v>
      </c>
      <c r="I103" s="59" t="str">
        <f t="shared" si="3"/>
        <v>ok</v>
      </c>
      <c r="J103" s="77">
        <f>IFERROR(VLOOKUP($H103,TG[],3,FALSE),"NA")</f>
        <v>0</v>
      </c>
      <c r="K103" s="77">
        <f>IFERROR(VLOOKUP($H103,TF[],3,FALSE),"NA")</f>
        <v>0</v>
      </c>
      <c r="L103" s="77">
        <f>IFERROR(VLOOKUP($H103,TT[],3,FALSE),"NA")</f>
        <v>0</v>
      </c>
      <c r="M103" s="77" t="str">
        <f>IFERROR(VLOOKUP($H103,TES[],3,FALSE),"NA")</f>
        <v>NA</v>
      </c>
      <c r="N103" s="77" t="str">
        <f>IFERROR(VLOOKUP($H103,TEC[],3,FALSE),"NA")</f>
        <v>NA</v>
      </c>
      <c r="O103" s="77" t="str">
        <f>IFERROR(VLOOKUP($H103,TP[],3,FALSE),"NA")</f>
        <v>NA</v>
      </c>
      <c r="P103" s="77" t="str">
        <f>IFERROR(VLOOKUP($H103,TEN[],3,FALSE),"NA")</f>
        <v>NA</v>
      </c>
      <c r="Q103" s="77" t="str">
        <f>IFERROR(VLOOKUP($H103,TD[],3,FALSE),"NA")</f>
        <v>NA</v>
      </c>
      <c r="R103" s="77" t="str">
        <f>IFERROR(VLOOKUP($H103,TC[],3,FALSE),"NA")</f>
        <v>NA</v>
      </c>
      <c r="S103" s="77" t="str">
        <f>IFERROR(VLOOKUP($H103,TEV[],3,FALSE),"NA")</f>
        <v>NA</v>
      </c>
      <c r="T103" s="79">
        <f>SUM(TbPrestamo[[#This Row],[GENERAL]:[ELEVADOR]])</f>
        <v>0</v>
      </c>
      <c r="U103" s="80">
        <f>IF(VLOOKUP(TbPrestamo[[#This Row],[ITEM]],TbPiezas[],5,FALSE)="NA",0,VLOOKUP(TbPrestamo[[#This Row],[ITEM]],TbPiezas[],5,FALSE))</f>
        <v>27</v>
      </c>
      <c r="V103" s="81">
        <f>+TbPrestamo[[#This Row],[TOTAL]]*TbPrestamo[[#This Row],[P.U. (1)]]</f>
        <v>0</v>
      </c>
      <c r="W103" s="82">
        <f>+VLOOKUP(TbPrestamo[[#This Row],[ITEM]],TbPiezas[],6,FALSE)</f>
        <v>2658.2</v>
      </c>
      <c r="X103" s="83">
        <f>+TbPrestamo[[#This Row],[TOTAL]]*TbPrestamo[[#This Row],[P.U. (2)]]</f>
        <v>0</v>
      </c>
      <c r="Y103" s="82">
        <f>+VLOOKUP(TbPrestamo[[#This Row],[ITEM]],TbPiezas[],7,FALSE)</f>
        <v>132.91</v>
      </c>
      <c r="Z103" s="84">
        <f>+TbPrestamo[[#This Row],[TOTAL]]*TbPrestamo[[#This Row],[P.U. (3)]]</f>
        <v>0</v>
      </c>
    </row>
    <row r="104" spans="1:26" ht="15" customHeight="1" x14ac:dyDescent="0.3">
      <c r="A104" s="2"/>
      <c r="B104" s="85">
        <v>87</v>
      </c>
      <c r="C104" s="71" t="s">
        <v>175</v>
      </c>
      <c r="D104" s="72" t="s">
        <v>176</v>
      </c>
      <c r="E104" s="73"/>
      <c r="F104" s="74">
        <f>+VLOOKUP(C104,TbPrestamo[],13,FALSE)</f>
        <v>0</v>
      </c>
      <c r="G104" s="2"/>
      <c r="H104" s="75" t="str">
        <f t="shared" si="2"/>
        <v>AM.7500</v>
      </c>
      <c r="I104" s="59" t="str">
        <f t="shared" si="3"/>
        <v>ok</v>
      </c>
      <c r="J104" s="77">
        <f>IFERROR(VLOOKUP($H104,TG[],3,FALSE),"NA")</f>
        <v>0</v>
      </c>
      <c r="K104" s="77" t="str">
        <f>IFERROR(VLOOKUP($H104,TF[],3,FALSE),"NA")</f>
        <v>NA</v>
      </c>
      <c r="L104" s="77" t="str">
        <f>IFERROR(VLOOKUP($H104,TT[],3,FALSE),"NA")</f>
        <v>NA</v>
      </c>
      <c r="M104" s="77" t="str">
        <f>IFERROR(VLOOKUP($H104,TES[],3,FALSE),"NA")</f>
        <v>NA</v>
      </c>
      <c r="N104" s="77" t="str">
        <f>IFERROR(VLOOKUP($H104,TEC[],3,FALSE),"NA")</f>
        <v>NA</v>
      </c>
      <c r="O104" s="77" t="str">
        <f>IFERROR(VLOOKUP($H104,TP[],3,FALSE),"NA")</f>
        <v>NA</v>
      </c>
      <c r="P104" s="77" t="str">
        <f>IFERROR(VLOOKUP($H104,TEN[],3,FALSE),"NA")</f>
        <v>NA</v>
      </c>
      <c r="Q104" s="77" t="str">
        <f>IFERROR(VLOOKUP($H104,TD[],3,FALSE),"NA")</f>
        <v>NA</v>
      </c>
      <c r="R104" s="77" t="str">
        <f>IFERROR(VLOOKUP($H104,TC[],3,FALSE),"NA")</f>
        <v>NA</v>
      </c>
      <c r="S104" s="77" t="str">
        <f>IFERROR(VLOOKUP($H104,TEV[],3,FALSE),"NA")</f>
        <v>NA</v>
      </c>
      <c r="T104" s="79">
        <f>SUM(TbPrestamo[[#This Row],[GENERAL]:[ELEVADOR]])</f>
        <v>0</v>
      </c>
      <c r="U104" s="80">
        <f>IF(VLOOKUP(TbPrestamo[[#This Row],[ITEM]],TbPiezas[],5,FALSE)="NA",0,VLOOKUP(TbPrestamo[[#This Row],[ITEM]],TbPiezas[],5,FALSE))</f>
        <v>30.399999999999991</v>
      </c>
      <c r="V104" s="81">
        <f>+TbPrestamo[[#This Row],[TOTAL]]*TbPrestamo[[#This Row],[P.U. (1)]]</f>
        <v>0</v>
      </c>
      <c r="W104" s="82">
        <f>+VLOOKUP(TbPrestamo[[#This Row],[ITEM]],TbPiezas[],6,FALSE)</f>
        <v>2101.1799999999998</v>
      </c>
      <c r="X104" s="83">
        <f>+TbPrestamo[[#This Row],[TOTAL]]*TbPrestamo[[#This Row],[P.U. (2)]]</f>
        <v>0</v>
      </c>
      <c r="Y104" s="82">
        <f>+VLOOKUP(TbPrestamo[[#This Row],[ITEM]],TbPiezas[],7,FALSE)</f>
        <v>105.059</v>
      </c>
      <c r="Z104" s="84">
        <f>+TbPrestamo[[#This Row],[TOTAL]]*TbPrestamo[[#This Row],[P.U. (3)]]</f>
        <v>0</v>
      </c>
    </row>
    <row r="105" spans="1:26" ht="15" customHeight="1" x14ac:dyDescent="0.3">
      <c r="A105" s="2"/>
      <c r="B105" s="85">
        <v>88</v>
      </c>
      <c r="C105" s="71" t="s">
        <v>177</v>
      </c>
      <c r="D105" s="72" t="s">
        <v>178</v>
      </c>
      <c r="E105" s="73"/>
      <c r="F105" s="74">
        <f>+VLOOKUP(C105,TbPrestamo[],13,FALSE)</f>
        <v>0</v>
      </c>
      <c r="G105" s="2"/>
      <c r="H105" s="75" t="str">
        <f t="shared" si="2"/>
        <v>AM.7600</v>
      </c>
      <c r="I105" s="59" t="str">
        <f t="shared" si="3"/>
        <v>ok</v>
      </c>
      <c r="J105" s="77">
        <f>IFERROR(VLOOKUP($H105,TG[],3,FALSE),"NA")</f>
        <v>0</v>
      </c>
      <c r="K105" s="77" t="str">
        <f>IFERROR(VLOOKUP($H105,TF[],3,FALSE),"NA")</f>
        <v>NA</v>
      </c>
      <c r="L105" s="77" t="str">
        <f>IFERROR(VLOOKUP($H105,TT[],3,FALSE),"NA")</f>
        <v>NA</v>
      </c>
      <c r="M105" s="77" t="str">
        <f>IFERROR(VLOOKUP($H105,TES[],3,FALSE),"NA")</f>
        <v>NA</v>
      </c>
      <c r="N105" s="77" t="str">
        <f>IFERROR(VLOOKUP($H105,TEC[],3,FALSE),"NA")</f>
        <v>NA</v>
      </c>
      <c r="O105" s="77" t="str">
        <f>IFERROR(VLOOKUP($H105,TP[],3,FALSE),"NA")</f>
        <v>NA</v>
      </c>
      <c r="P105" s="77" t="str">
        <f>IFERROR(VLOOKUP($H105,TEN[],3,FALSE),"NA")</f>
        <v>NA</v>
      </c>
      <c r="Q105" s="77" t="str">
        <f>IFERROR(VLOOKUP($H105,TD[],3,FALSE),"NA")</f>
        <v>NA</v>
      </c>
      <c r="R105" s="77" t="str">
        <f>IFERROR(VLOOKUP($H105,TC[],3,FALSE),"NA")</f>
        <v>NA</v>
      </c>
      <c r="S105" s="77" t="str">
        <f>IFERROR(VLOOKUP($H105,TEV[],3,FALSE),"NA")</f>
        <v>NA</v>
      </c>
      <c r="T105" s="79">
        <f>SUM(TbPrestamo[[#This Row],[GENERAL]:[ELEVADOR]])</f>
        <v>0</v>
      </c>
      <c r="U105" s="80">
        <f>IF(VLOOKUP(TbPrestamo[[#This Row],[ITEM]],TbPiezas[],5,FALSE)="NA",0,VLOOKUP(TbPrestamo[[#This Row],[ITEM]],TbPiezas[],5,FALSE))</f>
        <v>23.5</v>
      </c>
      <c r="V105" s="81">
        <f>+TbPrestamo[[#This Row],[TOTAL]]*TbPrestamo[[#This Row],[P.U. (1)]]</f>
        <v>0</v>
      </c>
      <c r="W105" s="82">
        <f>+VLOOKUP(TbPrestamo[[#This Row],[ITEM]],TbPiezas[],6,FALSE)</f>
        <v>2101.1799999999998</v>
      </c>
      <c r="X105" s="83">
        <f>+TbPrestamo[[#This Row],[TOTAL]]*TbPrestamo[[#This Row],[P.U. (2)]]</f>
        <v>0</v>
      </c>
      <c r="Y105" s="82">
        <f>+VLOOKUP(TbPrestamo[[#This Row],[ITEM]],TbPiezas[],7,FALSE)</f>
        <v>105.059</v>
      </c>
      <c r="Z105" s="84">
        <f>+TbPrestamo[[#This Row],[TOTAL]]*TbPrestamo[[#This Row],[P.U. (3)]]</f>
        <v>0</v>
      </c>
    </row>
    <row r="106" spans="1:26" ht="15" customHeight="1" x14ac:dyDescent="0.3">
      <c r="A106" s="2"/>
      <c r="B106" s="85">
        <v>89</v>
      </c>
      <c r="C106" s="71" t="s">
        <v>179</v>
      </c>
      <c r="D106" s="72" t="s">
        <v>180</v>
      </c>
      <c r="E106" s="73"/>
      <c r="F106" s="74">
        <f>+VLOOKUP(C106,TbPrestamo[],13,FALSE)</f>
        <v>0</v>
      </c>
      <c r="G106" s="2"/>
      <c r="H106" s="75" t="str">
        <f t="shared" si="2"/>
        <v>AM.7700</v>
      </c>
      <c r="I106" s="59" t="str">
        <f t="shared" si="3"/>
        <v>ok</v>
      </c>
      <c r="J106" s="77">
        <f>IFERROR(VLOOKUP($H106,TG[],3,FALSE),"NA")</f>
        <v>0</v>
      </c>
      <c r="K106" s="77" t="str">
        <f>IFERROR(VLOOKUP($H106,TF[],3,FALSE),"NA")</f>
        <v>NA</v>
      </c>
      <c r="L106" s="77" t="str">
        <f>IFERROR(VLOOKUP($H106,TT[],3,FALSE),"NA")</f>
        <v>NA</v>
      </c>
      <c r="M106" s="77" t="str">
        <f>IFERROR(VLOOKUP($H106,TES[],3,FALSE),"NA")</f>
        <v>NA</v>
      </c>
      <c r="N106" s="77" t="str">
        <f>IFERROR(VLOOKUP($H106,TEC[],3,FALSE),"NA")</f>
        <v>NA</v>
      </c>
      <c r="O106" s="77" t="str">
        <f>IFERROR(VLOOKUP($H106,TP[],3,FALSE),"NA")</f>
        <v>NA</v>
      </c>
      <c r="P106" s="77" t="str">
        <f>IFERROR(VLOOKUP($H106,TEN[],3,FALSE),"NA")</f>
        <v>NA</v>
      </c>
      <c r="Q106" s="77" t="str">
        <f>IFERROR(VLOOKUP($H106,TD[],3,FALSE),"NA")</f>
        <v>NA</v>
      </c>
      <c r="R106" s="77" t="str">
        <f>IFERROR(VLOOKUP($H106,TC[],3,FALSE),"NA")</f>
        <v>NA</v>
      </c>
      <c r="S106" s="77" t="str">
        <f>IFERROR(VLOOKUP($H106,TEV[],3,FALSE),"NA")</f>
        <v>NA</v>
      </c>
      <c r="T106" s="79">
        <f>SUM(TbPrestamo[[#This Row],[GENERAL]:[ELEVADOR]])</f>
        <v>0</v>
      </c>
      <c r="U106" s="80">
        <f>IF(VLOOKUP(TbPrestamo[[#This Row],[ITEM]],TbPiezas[],5,FALSE)="NA",0,VLOOKUP(TbPrestamo[[#This Row],[ITEM]],TbPiezas[],5,FALSE))</f>
        <v>18</v>
      </c>
      <c r="V106" s="81">
        <f>+TbPrestamo[[#This Row],[TOTAL]]*TbPrestamo[[#This Row],[P.U. (1)]]</f>
        <v>0</v>
      </c>
      <c r="W106" s="82">
        <f>+VLOOKUP(TbPrestamo[[#This Row],[ITEM]],TbPiezas[],6,FALSE)</f>
        <v>2101.1799999999998</v>
      </c>
      <c r="X106" s="83">
        <f>+TbPrestamo[[#This Row],[TOTAL]]*TbPrestamo[[#This Row],[P.U. (2)]]</f>
        <v>0</v>
      </c>
      <c r="Y106" s="82">
        <f>+VLOOKUP(TbPrestamo[[#This Row],[ITEM]],TbPiezas[],7,FALSE)</f>
        <v>105.059</v>
      </c>
      <c r="Z106" s="84">
        <f>+TbPrestamo[[#This Row],[TOTAL]]*TbPrestamo[[#This Row],[P.U. (3)]]</f>
        <v>0</v>
      </c>
    </row>
    <row r="107" spans="1:26" ht="15" customHeight="1" x14ac:dyDescent="0.3">
      <c r="A107" s="2"/>
      <c r="B107" s="85">
        <v>90</v>
      </c>
      <c r="C107" s="71" t="s">
        <v>181</v>
      </c>
      <c r="D107" s="72" t="s">
        <v>182</v>
      </c>
      <c r="E107" s="73"/>
      <c r="F107" s="74">
        <f>+VLOOKUP(C107,TbPrestamo[],13,FALSE)</f>
        <v>0</v>
      </c>
      <c r="G107" s="2"/>
      <c r="H107" s="75" t="str">
        <f t="shared" si="2"/>
        <v>AM.7800</v>
      </c>
      <c r="I107" s="59" t="str">
        <f t="shared" si="3"/>
        <v>ok</v>
      </c>
      <c r="J107" s="77">
        <f>IFERROR(VLOOKUP($H107,TG[],3,FALSE),"NA")</f>
        <v>0</v>
      </c>
      <c r="K107" s="77" t="str">
        <f>IFERROR(VLOOKUP($H107,TF[],3,FALSE),"NA")</f>
        <v>NA</v>
      </c>
      <c r="L107" s="77" t="str">
        <f>IFERROR(VLOOKUP($H107,TT[],3,FALSE),"NA")</f>
        <v>NA</v>
      </c>
      <c r="M107" s="77" t="str">
        <f>IFERROR(VLOOKUP($H107,TES[],3,FALSE),"NA")</f>
        <v>NA</v>
      </c>
      <c r="N107" s="77" t="str">
        <f>IFERROR(VLOOKUP($H107,TEC[],3,FALSE),"NA")</f>
        <v>NA</v>
      </c>
      <c r="O107" s="77" t="str">
        <f>IFERROR(VLOOKUP($H107,TP[],3,FALSE),"NA")</f>
        <v>NA</v>
      </c>
      <c r="P107" s="77" t="str">
        <f>IFERROR(VLOOKUP($H107,TEN[],3,FALSE),"NA")</f>
        <v>NA</v>
      </c>
      <c r="Q107" s="77" t="str">
        <f>IFERROR(VLOOKUP($H107,TD[],3,FALSE),"NA")</f>
        <v>NA</v>
      </c>
      <c r="R107" s="77" t="str">
        <f>IFERROR(VLOOKUP($H107,TC[],3,FALSE),"NA")</f>
        <v>NA</v>
      </c>
      <c r="S107" s="77" t="str">
        <f>IFERROR(VLOOKUP($H107,TEV[],3,FALSE),"NA")</f>
        <v>NA</v>
      </c>
      <c r="T107" s="79">
        <f>SUM(TbPrestamo[[#This Row],[GENERAL]:[ELEVADOR]])</f>
        <v>0</v>
      </c>
      <c r="U107" s="80">
        <f>IF(VLOOKUP(TbPrestamo[[#This Row],[ITEM]],TbPiezas[],5,FALSE)="NA",0,VLOOKUP(TbPrestamo[[#This Row],[ITEM]],TbPiezas[],5,FALSE))</f>
        <v>13.099999999999994</v>
      </c>
      <c r="V107" s="81">
        <f>+TbPrestamo[[#This Row],[TOTAL]]*TbPrestamo[[#This Row],[P.U. (1)]]</f>
        <v>0</v>
      </c>
      <c r="W107" s="82">
        <f>+VLOOKUP(TbPrestamo[[#This Row],[ITEM]],TbPiezas[],6,FALSE)</f>
        <v>557.03</v>
      </c>
      <c r="X107" s="83">
        <f>+TbPrestamo[[#This Row],[TOTAL]]*TbPrestamo[[#This Row],[P.U. (2)]]</f>
        <v>0</v>
      </c>
      <c r="Y107" s="82">
        <f>+VLOOKUP(TbPrestamo[[#This Row],[ITEM]],TbPiezas[],7,FALSE)</f>
        <v>27.851500000000001</v>
      </c>
      <c r="Z107" s="84">
        <f>+TbPrestamo[[#This Row],[TOTAL]]*TbPrestamo[[#This Row],[P.U. (3)]]</f>
        <v>0</v>
      </c>
    </row>
    <row r="108" spans="1:26" ht="15" customHeight="1" x14ac:dyDescent="0.3">
      <c r="A108" s="2"/>
      <c r="B108" s="85">
        <v>91</v>
      </c>
      <c r="C108" s="71" t="s">
        <v>183</v>
      </c>
      <c r="D108" s="72" t="s">
        <v>184</v>
      </c>
      <c r="E108" s="73"/>
      <c r="F108" s="74">
        <f>+VLOOKUP(C108,TbPrestamo[],13,FALSE)</f>
        <v>0</v>
      </c>
      <c r="G108" s="2"/>
      <c r="H108" s="75" t="str">
        <f t="shared" si="2"/>
        <v>AM.7900</v>
      </c>
      <c r="I108" s="59" t="str">
        <f t="shared" si="3"/>
        <v>ok</v>
      </c>
      <c r="J108" s="77">
        <f>IFERROR(VLOOKUP($H108,TG[],3,FALSE),"NA")</f>
        <v>0</v>
      </c>
      <c r="K108" s="77">
        <f>IFERROR(VLOOKUP($H108,TF[],3,FALSE),"NA")</f>
        <v>0</v>
      </c>
      <c r="L108" s="77">
        <f>IFERROR(VLOOKUP($H108,TT[],3,FALSE),"NA")</f>
        <v>0</v>
      </c>
      <c r="M108" s="77" t="str">
        <f>IFERROR(VLOOKUP($H108,TES[],3,FALSE),"NA")</f>
        <v>NA</v>
      </c>
      <c r="N108" s="77" t="str">
        <f>IFERROR(VLOOKUP($H108,TEC[],3,FALSE),"NA")</f>
        <v>NA</v>
      </c>
      <c r="O108" s="77" t="str">
        <f>IFERROR(VLOOKUP($H108,TP[],3,FALSE),"NA")</f>
        <v>NA</v>
      </c>
      <c r="P108" s="77" t="str">
        <f>IFERROR(VLOOKUP($H108,TEN[],3,FALSE),"NA")</f>
        <v>NA</v>
      </c>
      <c r="Q108" s="77" t="str">
        <f>IFERROR(VLOOKUP($H108,TD[],3,FALSE),"NA")</f>
        <v>NA</v>
      </c>
      <c r="R108" s="77" t="str">
        <f>IFERROR(VLOOKUP($H108,TC[],3,FALSE),"NA")</f>
        <v>NA</v>
      </c>
      <c r="S108" s="77" t="str">
        <f>IFERROR(VLOOKUP($H108,TEV[],3,FALSE),"NA")</f>
        <v>NA</v>
      </c>
      <c r="T108" s="79">
        <f>SUM(TbPrestamo[[#This Row],[GENERAL]:[ELEVADOR]])</f>
        <v>0</v>
      </c>
      <c r="U108" s="80">
        <f>IF(VLOOKUP(TbPrestamo[[#This Row],[ITEM]],TbPiezas[],5,FALSE)="NA",0,VLOOKUP(TbPrestamo[[#This Row],[ITEM]],TbPiezas[],5,FALSE))</f>
        <v>38.799999999999997</v>
      </c>
      <c r="V108" s="81">
        <f>+TbPrestamo[[#This Row],[TOTAL]]*TbPrestamo[[#This Row],[P.U. (1)]]</f>
        <v>0</v>
      </c>
      <c r="W108" s="82">
        <f>+VLOOKUP(TbPrestamo[[#This Row],[ITEM]],TbPiezas[],6,FALSE)</f>
        <v>2101.1799999999998</v>
      </c>
      <c r="X108" s="83">
        <f>+TbPrestamo[[#This Row],[TOTAL]]*TbPrestamo[[#This Row],[P.U. (2)]]</f>
        <v>0</v>
      </c>
      <c r="Y108" s="82">
        <f>+VLOOKUP(TbPrestamo[[#This Row],[ITEM]],TbPiezas[],7,FALSE)</f>
        <v>105.059</v>
      </c>
      <c r="Z108" s="84">
        <f>+TbPrestamo[[#This Row],[TOTAL]]*TbPrestamo[[#This Row],[P.U. (3)]]</f>
        <v>0</v>
      </c>
    </row>
    <row r="109" spans="1:26" ht="15" customHeight="1" x14ac:dyDescent="0.3">
      <c r="A109" s="2"/>
      <c r="B109" s="85">
        <v>92</v>
      </c>
      <c r="C109" s="71" t="s">
        <v>185</v>
      </c>
      <c r="D109" s="72" t="s">
        <v>186</v>
      </c>
      <c r="E109" s="73"/>
      <c r="F109" s="74">
        <f>+VLOOKUP(C109,TbPrestamo[],13,FALSE)</f>
        <v>0</v>
      </c>
      <c r="G109" s="2"/>
      <c r="H109" s="75" t="str">
        <f t="shared" si="2"/>
        <v>AM.8000</v>
      </c>
      <c r="I109" s="59" t="str">
        <f t="shared" si="3"/>
        <v>ok</v>
      </c>
      <c r="J109" s="77">
        <f>IFERROR(VLOOKUP($H109,TG[],3,FALSE),"NA")</f>
        <v>0</v>
      </c>
      <c r="K109" s="77">
        <f>IFERROR(VLOOKUP($H109,TF[],3,FALSE),"NA")</f>
        <v>0</v>
      </c>
      <c r="L109" s="77">
        <f>IFERROR(VLOOKUP($H109,TT[],3,FALSE),"NA")</f>
        <v>0</v>
      </c>
      <c r="M109" s="77" t="str">
        <f>IFERROR(VLOOKUP($H109,TES[],3,FALSE),"NA")</f>
        <v>NA</v>
      </c>
      <c r="N109" s="77" t="str">
        <f>IFERROR(VLOOKUP($H109,TEC[],3,FALSE),"NA")</f>
        <v>NA</v>
      </c>
      <c r="O109" s="77" t="str">
        <f>IFERROR(VLOOKUP($H109,TP[],3,FALSE),"NA")</f>
        <v>NA</v>
      </c>
      <c r="P109" s="77" t="str">
        <f>IFERROR(VLOOKUP($H109,TEN[],3,FALSE),"NA")</f>
        <v>NA</v>
      </c>
      <c r="Q109" s="77" t="str">
        <f>IFERROR(VLOOKUP($H109,TD[],3,FALSE),"NA")</f>
        <v>NA</v>
      </c>
      <c r="R109" s="77" t="str">
        <f>IFERROR(VLOOKUP($H109,TC[],3,FALSE),"NA")</f>
        <v>NA</v>
      </c>
      <c r="S109" s="77" t="str">
        <f>IFERROR(VLOOKUP($H109,TEV[],3,FALSE),"NA")</f>
        <v>NA</v>
      </c>
      <c r="T109" s="79">
        <f>SUM(TbPrestamo[[#This Row],[GENERAL]:[ELEVADOR]])</f>
        <v>0</v>
      </c>
      <c r="U109" s="80">
        <f>IF(VLOOKUP(TbPrestamo[[#This Row],[ITEM]],TbPiezas[],5,FALSE)="NA",0,VLOOKUP(TbPrestamo[[#This Row],[ITEM]],TbPiezas[],5,FALSE))</f>
        <v>29.599999999999994</v>
      </c>
      <c r="V109" s="81">
        <f>+TbPrestamo[[#This Row],[TOTAL]]*TbPrestamo[[#This Row],[P.U. (1)]]</f>
        <v>0</v>
      </c>
      <c r="W109" s="82">
        <f>+VLOOKUP(TbPrestamo[[#This Row],[ITEM]],TbPiezas[],6,FALSE)</f>
        <v>2101.1799999999998</v>
      </c>
      <c r="X109" s="83">
        <f>+TbPrestamo[[#This Row],[TOTAL]]*TbPrestamo[[#This Row],[P.U. (2)]]</f>
        <v>0</v>
      </c>
      <c r="Y109" s="82">
        <f>+VLOOKUP(TbPrestamo[[#This Row],[ITEM]],TbPiezas[],7,FALSE)</f>
        <v>105.059</v>
      </c>
      <c r="Z109" s="84">
        <f>+TbPrestamo[[#This Row],[TOTAL]]*TbPrestamo[[#This Row],[P.U. (3)]]</f>
        <v>0</v>
      </c>
    </row>
    <row r="110" spans="1:26" ht="15" customHeight="1" x14ac:dyDescent="0.3">
      <c r="A110" s="2"/>
      <c r="B110" s="85">
        <v>93</v>
      </c>
      <c r="C110" s="71" t="s">
        <v>187</v>
      </c>
      <c r="D110" s="72" t="s">
        <v>188</v>
      </c>
      <c r="E110" s="73"/>
      <c r="F110" s="74">
        <f>+VLOOKUP(C110,TbPrestamo[],13,FALSE)</f>
        <v>0</v>
      </c>
      <c r="G110" s="2"/>
      <c r="H110" s="75" t="str">
        <f t="shared" si="2"/>
        <v>AM.8100</v>
      </c>
      <c r="I110" s="59" t="str">
        <f t="shared" si="3"/>
        <v>ok</v>
      </c>
      <c r="J110" s="77">
        <f>IFERROR(VLOOKUP($H110,TG[],3,FALSE),"NA")</f>
        <v>0</v>
      </c>
      <c r="K110" s="77" t="str">
        <f>IFERROR(VLOOKUP($H110,TF[],3,FALSE),"NA")</f>
        <v>NA</v>
      </c>
      <c r="L110" s="77" t="str">
        <f>IFERROR(VLOOKUP($H110,TT[],3,FALSE),"NA")</f>
        <v>NA</v>
      </c>
      <c r="M110" s="77">
        <f>IFERROR(VLOOKUP($H110,TES[],3,FALSE),"NA")</f>
        <v>0</v>
      </c>
      <c r="N110" s="77" t="str">
        <f>IFERROR(VLOOKUP($H110,TEC[],3,FALSE),"NA")</f>
        <v>NA</v>
      </c>
      <c r="O110" s="77" t="str">
        <f>IFERROR(VLOOKUP($H110,TP[],3,FALSE),"NA")</f>
        <v>NA</v>
      </c>
      <c r="P110" s="77" t="str">
        <f>IFERROR(VLOOKUP($H110,TEN[],3,FALSE),"NA")</f>
        <v>NA</v>
      </c>
      <c r="Q110" s="77" t="str">
        <f>IFERROR(VLOOKUP($H110,TD[],3,FALSE),"NA")</f>
        <v>NA</v>
      </c>
      <c r="R110" s="77" t="str">
        <f>IFERROR(VLOOKUP($H110,TC[],3,FALSE),"NA")</f>
        <v>NA</v>
      </c>
      <c r="S110" s="77" t="str">
        <f>IFERROR(VLOOKUP($H110,TEV[],3,FALSE),"NA")</f>
        <v>NA</v>
      </c>
      <c r="T110" s="79">
        <f>SUM(TbPrestamo[[#This Row],[GENERAL]:[ELEVADOR]])</f>
        <v>0</v>
      </c>
      <c r="U110" s="80">
        <f>IF(VLOOKUP(TbPrestamo[[#This Row],[ITEM]],TbPiezas[],5,FALSE)="NA",0,VLOOKUP(TbPrestamo[[#This Row],[ITEM]],TbPiezas[],5,FALSE))</f>
        <v>19.899999999999991</v>
      </c>
      <c r="V110" s="81">
        <f>+TbPrestamo[[#This Row],[TOTAL]]*TbPrestamo[[#This Row],[P.U. (1)]]</f>
        <v>0</v>
      </c>
      <c r="W110" s="82">
        <f>+VLOOKUP(TbPrestamo[[#This Row],[ITEM]],TbPiezas[],6,FALSE)</f>
        <v>1236.3399999999999</v>
      </c>
      <c r="X110" s="83">
        <f>+TbPrestamo[[#This Row],[TOTAL]]*TbPrestamo[[#This Row],[P.U. (2)]]</f>
        <v>0</v>
      </c>
      <c r="Y110" s="82">
        <f>+VLOOKUP(TbPrestamo[[#This Row],[ITEM]],TbPiezas[],7,FALSE)</f>
        <v>61.817</v>
      </c>
      <c r="Z110" s="84">
        <f>+TbPrestamo[[#This Row],[TOTAL]]*TbPrestamo[[#This Row],[P.U. (3)]]</f>
        <v>0</v>
      </c>
    </row>
    <row r="111" spans="1:26" ht="15" customHeight="1" x14ac:dyDescent="0.3">
      <c r="A111" s="2"/>
      <c r="B111" s="85">
        <v>94</v>
      </c>
      <c r="C111" s="71" t="s">
        <v>189</v>
      </c>
      <c r="D111" s="72" t="s">
        <v>190</v>
      </c>
      <c r="E111" s="73"/>
      <c r="F111" s="74">
        <f>+VLOOKUP(C111,TbPrestamo[],13,FALSE)</f>
        <v>0</v>
      </c>
      <c r="G111" s="2"/>
      <c r="H111" s="75" t="str">
        <f t="shared" si="2"/>
        <v>AM.8200</v>
      </c>
      <c r="I111" s="59" t="str">
        <f t="shared" si="3"/>
        <v>ok</v>
      </c>
      <c r="J111" s="77">
        <f>IFERROR(VLOOKUP($H111,TG[],3,FALSE),"NA")</f>
        <v>0</v>
      </c>
      <c r="K111" s="77" t="str">
        <f>IFERROR(VLOOKUP($H111,TF[],3,FALSE),"NA")</f>
        <v>NA</v>
      </c>
      <c r="L111" s="77" t="str">
        <f>IFERROR(VLOOKUP($H111,TT[],3,FALSE),"NA")</f>
        <v>NA</v>
      </c>
      <c r="M111" s="77">
        <f>IFERROR(VLOOKUP($H111,TES[],3,FALSE),"NA")</f>
        <v>0</v>
      </c>
      <c r="N111" s="77" t="str">
        <f>IFERROR(VLOOKUP($H111,TEC[],3,FALSE),"NA")</f>
        <v>NA</v>
      </c>
      <c r="O111" s="77" t="str">
        <f>IFERROR(VLOOKUP($H111,TP[],3,FALSE),"NA")</f>
        <v>NA</v>
      </c>
      <c r="P111" s="77" t="str">
        <f>IFERROR(VLOOKUP($H111,TEN[],3,FALSE),"NA")</f>
        <v>NA</v>
      </c>
      <c r="Q111" s="77" t="str">
        <f>IFERROR(VLOOKUP($H111,TD[],3,FALSE),"NA")</f>
        <v>NA</v>
      </c>
      <c r="R111" s="77" t="str">
        <f>IFERROR(VLOOKUP($H111,TC[],3,FALSE),"NA")</f>
        <v>NA</v>
      </c>
      <c r="S111" s="77" t="str">
        <f>IFERROR(VLOOKUP($H111,TEV[],3,FALSE),"NA")</f>
        <v>NA</v>
      </c>
      <c r="T111" s="79">
        <f>SUM(TbPrestamo[[#This Row],[GENERAL]:[ELEVADOR]])</f>
        <v>0</v>
      </c>
      <c r="U111" s="80">
        <f>IF(VLOOKUP(TbPrestamo[[#This Row],[ITEM]],TbPiezas[],5,FALSE)="NA",0,VLOOKUP(TbPrestamo[[#This Row],[ITEM]],TbPiezas[],5,FALSE))</f>
        <v>9.2999999999999972</v>
      </c>
      <c r="V111" s="81">
        <f>+TbPrestamo[[#This Row],[TOTAL]]*TbPrestamo[[#This Row],[P.U. (1)]]</f>
        <v>0</v>
      </c>
      <c r="W111" s="82">
        <f>+VLOOKUP(TbPrestamo[[#This Row],[ITEM]],TbPiezas[],6,FALSE)</f>
        <v>677.95</v>
      </c>
      <c r="X111" s="83">
        <f>+TbPrestamo[[#This Row],[TOTAL]]*TbPrestamo[[#This Row],[P.U. (2)]]</f>
        <v>0</v>
      </c>
      <c r="Y111" s="82">
        <f>+VLOOKUP(TbPrestamo[[#This Row],[ITEM]],TbPiezas[],7,FALSE)</f>
        <v>33.897500000000001</v>
      </c>
      <c r="Z111" s="84">
        <f>+TbPrestamo[[#This Row],[TOTAL]]*TbPrestamo[[#This Row],[P.U. (3)]]</f>
        <v>0</v>
      </c>
    </row>
    <row r="112" spans="1:26" ht="15" customHeight="1" x14ac:dyDescent="0.3">
      <c r="A112" s="2"/>
      <c r="B112" s="85">
        <v>95</v>
      </c>
      <c r="C112" s="71" t="s">
        <v>191</v>
      </c>
      <c r="D112" s="72" t="s">
        <v>192</v>
      </c>
      <c r="E112" s="73"/>
      <c r="F112" s="74">
        <f>+VLOOKUP(C112,TbPrestamo[],13,FALSE)</f>
        <v>0</v>
      </c>
      <c r="G112" s="2"/>
      <c r="H112" s="75" t="str">
        <f t="shared" si="2"/>
        <v>AM.8300</v>
      </c>
      <c r="I112" s="59" t="str">
        <f t="shared" si="3"/>
        <v>ok</v>
      </c>
      <c r="J112" s="77">
        <f>IFERROR(VLOOKUP($H112,TG[],3,FALSE),"NA")</f>
        <v>0</v>
      </c>
      <c r="K112" s="77" t="str">
        <f>IFERROR(VLOOKUP($H112,TF[],3,FALSE),"NA")</f>
        <v>NA</v>
      </c>
      <c r="L112" s="77" t="str">
        <f>IFERROR(VLOOKUP($H112,TT[],3,FALSE),"NA")</f>
        <v>NA</v>
      </c>
      <c r="M112" s="77">
        <f>IFERROR(VLOOKUP($H112,TES[],3,FALSE),"NA")</f>
        <v>0</v>
      </c>
      <c r="N112" s="77" t="str">
        <f>IFERROR(VLOOKUP($H112,TEC[],3,FALSE),"NA")</f>
        <v>NA</v>
      </c>
      <c r="O112" s="77" t="str">
        <f>IFERROR(VLOOKUP($H112,TP[],3,FALSE),"NA")</f>
        <v>NA</v>
      </c>
      <c r="P112" s="77" t="str">
        <f>IFERROR(VLOOKUP($H112,TEN[],3,FALSE),"NA")</f>
        <v>NA</v>
      </c>
      <c r="Q112" s="77" t="str">
        <f>IFERROR(VLOOKUP($H112,TD[],3,FALSE),"NA")</f>
        <v>NA</v>
      </c>
      <c r="R112" s="77" t="str">
        <f>IFERROR(VLOOKUP($H112,TC[],3,FALSE),"NA")</f>
        <v>NA</v>
      </c>
      <c r="S112" s="77" t="str">
        <f>IFERROR(VLOOKUP($H112,TEV[],3,FALSE),"NA")</f>
        <v>NA</v>
      </c>
      <c r="T112" s="79">
        <f>SUM(TbPrestamo[[#This Row],[GENERAL]:[ELEVADOR]])</f>
        <v>0</v>
      </c>
      <c r="U112" s="80">
        <f>IF(VLOOKUP(TbPrestamo[[#This Row],[ITEM]],TbPiezas[],5,FALSE)="NA",0,VLOOKUP(TbPrestamo[[#This Row],[ITEM]],TbPiezas[],5,FALSE))</f>
        <v>6.0999999999999943</v>
      </c>
      <c r="V112" s="81">
        <f>+TbPrestamo[[#This Row],[TOTAL]]*TbPrestamo[[#This Row],[P.U. (1)]]</f>
        <v>0</v>
      </c>
      <c r="W112" s="82">
        <f>+VLOOKUP(TbPrestamo[[#This Row],[ITEM]],TbPiezas[],6,FALSE)</f>
        <v>372.73</v>
      </c>
      <c r="X112" s="83">
        <f>+TbPrestamo[[#This Row],[TOTAL]]*TbPrestamo[[#This Row],[P.U. (2)]]</f>
        <v>0</v>
      </c>
      <c r="Y112" s="82">
        <f>+VLOOKUP(TbPrestamo[[#This Row],[ITEM]],TbPiezas[],7,FALSE)</f>
        <v>18.636500000000002</v>
      </c>
      <c r="Z112" s="84">
        <f>+TbPrestamo[[#This Row],[TOTAL]]*TbPrestamo[[#This Row],[P.U. (3)]]</f>
        <v>0</v>
      </c>
    </row>
    <row r="113" spans="1:26" ht="15" customHeight="1" x14ac:dyDescent="0.3">
      <c r="A113" s="2"/>
      <c r="B113" s="85">
        <v>96</v>
      </c>
      <c r="C113" s="71" t="s">
        <v>193</v>
      </c>
      <c r="D113" s="72" t="s">
        <v>194</v>
      </c>
      <c r="E113" s="73"/>
      <c r="F113" s="74">
        <f>+VLOOKUP(C113,TbPrestamo[],13,FALSE)</f>
        <v>0</v>
      </c>
      <c r="G113" s="2"/>
      <c r="H113" s="75" t="str">
        <f t="shared" si="2"/>
        <v>AM.8400</v>
      </c>
      <c r="I113" s="59" t="str">
        <f t="shared" si="3"/>
        <v>ok</v>
      </c>
      <c r="J113" s="77">
        <f>IFERROR(VLOOKUP($H113,TG[],3,FALSE),"NA")</f>
        <v>0</v>
      </c>
      <c r="K113" s="77" t="str">
        <f>IFERROR(VLOOKUP($H113,TF[],3,FALSE),"NA")</f>
        <v>NA</v>
      </c>
      <c r="L113" s="77" t="str">
        <f>IFERROR(VLOOKUP($H113,TT[],3,FALSE),"NA")</f>
        <v>NA</v>
      </c>
      <c r="M113" s="77">
        <f>IFERROR(VLOOKUP($H113,TES[],3,FALSE),"NA")</f>
        <v>0</v>
      </c>
      <c r="N113" s="77" t="str">
        <f>IFERROR(VLOOKUP($H113,TEC[],3,FALSE),"NA")</f>
        <v>NA</v>
      </c>
      <c r="O113" s="77" t="str">
        <f>IFERROR(VLOOKUP($H113,TP[],3,FALSE),"NA")</f>
        <v>NA</v>
      </c>
      <c r="P113" s="77" t="str">
        <f>IFERROR(VLOOKUP($H113,TEN[],3,FALSE),"NA")</f>
        <v>NA</v>
      </c>
      <c r="Q113" s="77" t="str">
        <f>IFERROR(VLOOKUP($H113,TD[],3,FALSE),"NA")</f>
        <v>NA</v>
      </c>
      <c r="R113" s="77" t="str">
        <f>IFERROR(VLOOKUP($H113,TC[],3,FALSE),"NA")</f>
        <v>NA</v>
      </c>
      <c r="S113" s="77" t="str">
        <f>IFERROR(VLOOKUP($H113,TEV[],3,FALSE),"NA")</f>
        <v>NA</v>
      </c>
      <c r="T113" s="79">
        <f>SUM(TbPrestamo[[#This Row],[GENERAL]:[ELEVADOR]])</f>
        <v>0</v>
      </c>
      <c r="U113" s="80">
        <f>IF(VLOOKUP(TbPrestamo[[#This Row],[ITEM]],TbPiezas[],5,FALSE)="NA",0,VLOOKUP(TbPrestamo[[#This Row],[ITEM]],TbPiezas[],5,FALSE))</f>
        <v>1.2000000000000028</v>
      </c>
      <c r="V113" s="81">
        <f>+TbPrestamo[[#This Row],[TOTAL]]*TbPrestamo[[#This Row],[P.U. (1)]]</f>
        <v>0</v>
      </c>
      <c r="W113" s="82">
        <f>+VLOOKUP(TbPrestamo[[#This Row],[ITEM]],TbPiezas[],6,FALSE)</f>
        <v>90.1</v>
      </c>
      <c r="X113" s="83">
        <f>+TbPrestamo[[#This Row],[TOTAL]]*TbPrestamo[[#This Row],[P.U. (2)]]</f>
        <v>0</v>
      </c>
      <c r="Y113" s="82">
        <f>+VLOOKUP(TbPrestamo[[#This Row],[ITEM]],TbPiezas[],7,FALSE)</f>
        <v>4.5049999999999999</v>
      </c>
      <c r="Z113" s="84">
        <f>+TbPrestamo[[#This Row],[TOTAL]]*TbPrestamo[[#This Row],[P.U. (3)]]</f>
        <v>0</v>
      </c>
    </row>
    <row r="114" spans="1:26" ht="15" customHeight="1" x14ac:dyDescent="0.3">
      <c r="A114" s="2"/>
      <c r="B114" s="85">
        <v>97</v>
      </c>
      <c r="C114" s="71" t="s">
        <v>195</v>
      </c>
      <c r="D114" s="72" t="s">
        <v>196</v>
      </c>
      <c r="E114" s="73"/>
      <c r="F114" s="74">
        <f>+VLOOKUP(C114,TbPrestamo[],13,FALSE)</f>
        <v>4</v>
      </c>
      <c r="G114" s="2"/>
      <c r="H114" s="75" t="str">
        <f t="shared" si="2"/>
        <v>AM.8500</v>
      </c>
      <c r="I114" s="59" t="str">
        <f t="shared" si="3"/>
        <v>ok</v>
      </c>
      <c r="J114" s="77">
        <f>IFERROR(VLOOKUP($H114,TG[],3,FALSE),"NA")</f>
        <v>0</v>
      </c>
      <c r="K114" s="77">
        <f>IFERROR(VLOOKUP($H114,TF[],3,FALSE),"NA")</f>
        <v>0</v>
      </c>
      <c r="L114" s="77">
        <f>IFERROR(VLOOKUP($H114,TT[],3,FALSE),"NA")</f>
        <v>2</v>
      </c>
      <c r="M114" s="77">
        <f>IFERROR(VLOOKUP($H114,TES[],3,FALSE),"NA")</f>
        <v>2</v>
      </c>
      <c r="N114" s="77" t="str">
        <f>IFERROR(VLOOKUP($H114,TEC[],3,FALSE),"NA")</f>
        <v>NA</v>
      </c>
      <c r="O114" s="77" t="str">
        <f>IFERROR(VLOOKUP($H114,TP[],3,FALSE),"NA")</f>
        <v>NA</v>
      </c>
      <c r="P114" s="77" t="str">
        <f>IFERROR(VLOOKUP($H114,TEN[],3,FALSE),"NA")</f>
        <v>NA</v>
      </c>
      <c r="Q114" s="77" t="str">
        <f>IFERROR(VLOOKUP($H114,TD[],3,FALSE),"NA")</f>
        <v>NA</v>
      </c>
      <c r="R114" s="77" t="str">
        <f>IFERROR(VLOOKUP($H114,TC[],3,FALSE),"NA")</f>
        <v>NA</v>
      </c>
      <c r="S114" s="77" t="str">
        <f>IFERROR(VLOOKUP($H114,TEV[],3,FALSE),"NA")</f>
        <v>NA</v>
      </c>
      <c r="T114" s="79">
        <f>SUM(TbPrestamo[[#This Row],[GENERAL]:[ELEVADOR]])</f>
        <v>4</v>
      </c>
      <c r="U114" s="80">
        <f>IF(VLOOKUP(TbPrestamo[[#This Row],[ITEM]],TbPiezas[],5,FALSE)="NA",0,VLOOKUP(TbPrestamo[[#This Row],[ITEM]],TbPiezas[],5,FALSE))</f>
        <v>1.2000000000000028</v>
      </c>
      <c r="V114" s="81">
        <f>+TbPrestamo[[#This Row],[TOTAL]]*TbPrestamo[[#This Row],[P.U. (1)]]</f>
        <v>4.8000000000000114</v>
      </c>
      <c r="W114" s="82">
        <f>+VLOOKUP(TbPrestamo[[#This Row],[ITEM]],TbPiezas[],6,FALSE)</f>
        <v>118.69</v>
      </c>
      <c r="X114" s="83">
        <f>+TbPrestamo[[#This Row],[TOTAL]]*TbPrestamo[[#This Row],[P.U. (2)]]</f>
        <v>474.76</v>
      </c>
      <c r="Y114" s="82">
        <f>+VLOOKUP(TbPrestamo[[#This Row],[ITEM]],TbPiezas[],7,FALSE)</f>
        <v>5.9344999999999999</v>
      </c>
      <c r="Z114" s="84">
        <f>+TbPrestamo[[#This Row],[TOTAL]]*TbPrestamo[[#This Row],[P.U. (3)]]</f>
        <v>23.738</v>
      </c>
    </row>
    <row r="115" spans="1:26" ht="15" customHeight="1" x14ac:dyDescent="0.3">
      <c r="A115" s="2"/>
      <c r="B115" s="85">
        <v>98</v>
      </c>
      <c r="C115" s="71" t="s">
        <v>197</v>
      </c>
      <c r="D115" s="72" t="s">
        <v>198</v>
      </c>
      <c r="E115" s="73"/>
      <c r="F115" s="74">
        <f>+VLOOKUP(C115,TbPrestamo[],13,FALSE)</f>
        <v>0</v>
      </c>
      <c r="G115" s="2"/>
      <c r="H115" s="75" t="str">
        <f t="shared" si="2"/>
        <v>AM.8600</v>
      </c>
      <c r="I115" s="59" t="str">
        <f t="shared" si="3"/>
        <v>ok</v>
      </c>
      <c r="J115" s="77">
        <f>IFERROR(VLOOKUP($H115,TG[],3,FALSE),"NA")</f>
        <v>0</v>
      </c>
      <c r="K115" s="77">
        <f>IFERROR(VLOOKUP($H115,TF[],3,FALSE),"NA")</f>
        <v>0</v>
      </c>
      <c r="L115" s="77">
        <f>IFERROR(VLOOKUP($H115,TT[],3,FALSE),"NA")</f>
        <v>0</v>
      </c>
      <c r="M115" s="77">
        <f>IFERROR(VLOOKUP($H115,TES[],3,FALSE),"NA")</f>
        <v>0</v>
      </c>
      <c r="N115" s="77" t="str">
        <f>IFERROR(VLOOKUP($H115,TEC[],3,FALSE),"NA")</f>
        <v>NA</v>
      </c>
      <c r="O115" s="77" t="str">
        <f>IFERROR(VLOOKUP($H115,TP[],3,FALSE),"NA")</f>
        <v>NA</v>
      </c>
      <c r="P115" s="77" t="str">
        <f>IFERROR(VLOOKUP($H115,TEN[],3,FALSE),"NA")</f>
        <v>NA</v>
      </c>
      <c r="Q115" s="77" t="str">
        <f>IFERROR(VLOOKUP($H115,TD[],3,FALSE),"NA")</f>
        <v>NA</v>
      </c>
      <c r="R115" s="77" t="str">
        <f>IFERROR(VLOOKUP($H115,TC[],3,FALSE),"NA")</f>
        <v>NA</v>
      </c>
      <c r="S115" s="77" t="str">
        <f>IFERROR(VLOOKUP($H115,TEV[],3,FALSE),"NA")</f>
        <v>NA</v>
      </c>
      <c r="T115" s="79">
        <f>SUM(TbPrestamo[[#This Row],[GENERAL]:[ELEVADOR]])</f>
        <v>0</v>
      </c>
      <c r="U115" s="80">
        <f>IF(VLOOKUP(TbPrestamo[[#This Row],[ITEM]],TbPiezas[],5,FALSE)="NA",0,VLOOKUP(TbPrestamo[[#This Row],[ITEM]],TbPiezas[],5,FALSE))</f>
        <v>1.7000000000000028</v>
      </c>
      <c r="V115" s="81">
        <f>+TbPrestamo[[#This Row],[TOTAL]]*TbPrestamo[[#This Row],[P.U. (1)]]</f>
        <v>0</v>
      </c>
      <c r="W115" s="82">
        <f>+VLOOKUP(TbPrestamo[[#This Row],[ITEM]],TbPiezas[],6,FALSE)</f>
        <v>59.23</v>
      </c>
      <c r="X115" s="83">
        <f>+TbPrestamo[[#This Row],[TOTAL]]*TbPrestamo[[#This Row],[P.U. (2)]]</f>
        <v>0</v>
      </c>
      <c r="Y115" s="82">
        <f>+VLOOKUP(TbPrestamo[[#This Row],[ITEM]],TbPiezas[],7,FALSE)</f>
        <v>2.9615</v>
      </c>
      <c r="Z115" s="84">
        <f>+TbPrestamo[[#This Row],[TOTAL]]*TbPrestamo[[#This Row],[P.U. (3)]]</f>
        <v>0</v>
      </c>
    </row>
    <row r="116" spans="1:26" ht="15" customHeight="1" x14ac:dyDescent="0.3">
      <c r="A116" s="2"/>
      <c r="B116" s="85">
        <v>99</v>
      </c>
      <c r="C116" s="71" t="s">
        <v>199</v>
      </c>
      <c r="D116" s="72" t="s">
        <v>200</v>
      </c>
      <c r="E116" s="73"/>
      <c r="F116" s="74">
        <f>+VLOOKUP(C116,TbPrestamo[],13,FALSE)</f>
        <v>3</v>
      </c>
      <c r="G116" s="2"/>
      <c r="H116" s="75" t="str">
        <f t="shared" si="2"/>
        <v>AM.8700</v>
      </c>
      <c r="I116" s="59" t="str">
        <f t="shared" si="3"/>
        <v>ok</v>
      </c>
      <c r="J116" s="77">
        <f>IFERROR(VLOOKUP($H116,TG[],3,FALSE),"NA")</f>
        <v>3</v>
      </c>
      <c r="K116" s="77" t="str">
        <f>IFERROR(VLOOKUP($H116,TF[],3,FALSE),"NA")</f>
        <v>NA</v>
      </c>
      <c r="L116" s="77" t="str">
        <f>IFERROR(VLOOKUP($H116,TT[],3,FALSE),"NA")</f>
        <v>NA</v>
      </c>
      <c r="M116" s="77">
        <f>IFERROR(VLOOKUP($H116,TES[],3,FALSE),"NA")</f>
        <v>0</v>
      </c>
      <c r="N116" s="77" t="str">
        <f>IFERROR(VLOOKUP($H116,TEC[],3,FALSE),"NA")</f>
        <v>NA</v>
      </c>
      <c r="O116" s="77" t="str">
        <f>IFERROR(VLOOKUP($H116,TP[],3,FALSE),"NA")</f>
        <v>NA</v>
      </c>
      <c r="P116" s="77" t="str">
        <f>IFERROR(VLOOKUP($H116,TEN[],3,FALSE),"NA")</f>
        <v>NA</v>
      </c>
      <c r="Q116" s="77" t="str">
        <f>IFERROR(VLOOKUP($H116,TD[],3,FALSE),"NA")</f>
        <v>NA</v>
      </c>
      <c r="R116" s="77" t="str">
        <f>IFERROR(VLOOKUP($H116,TC[],3,FALSE),"NA")</f>
        <v>NA</v>
      </c>
      <c r="S116" s="77" t="str">
        <f>IFERROR(VLOOKUP($H116,TEV[],3,FALSE),"NA")</f>
        <v>NA</v>
      </c>
      <c r="T116" s="79">
        <f>SUM(TbPrestamo[[#This Row],[GENERAL]:[ELEVADOR]])</f>
        <v>3</v>
      </c>
      <c r="U116" s="80">
        <f>IF(VLOOKUP(TbPrestamo[[#This Row],[ITEM]],TbPiezas[],5,FALSE)="NA",0,VLOOKUP(TbPrestamo[[#This Row],[ITEM]],TbPiezas[],5,FALSE))</f>
        <v>5.7999999999999972</v>
      </c>
      <c r="V116" s="81">
        <f>+TbPrestamo[[#This Row],[TOTAL]]*TbPrestamo[[#This Row],[P.U. (1)]]</f>
        <v>17.399999999999991</v>
      </c>
      <c r="W116" s="82">
        <f>+VLOOKUP(TbPrestamo[[#This Row],[ITEM]],TbPiezas[],6,FALSE)</f>
        <v>304.92</v>
      </c>
      <c r="X116" s="83">
        <f>+TbPrestamo[[#This Row],[TOTAL]]*TbPrestamo[[#This Row],[P.U. (2)]]</f>
        <v>914.76</v>
      </c>
      <c r="Y116" s="82">
        <f>+VLOOKUP(TbPrestamo[[#This Row],[ITEM]],TbPiezas[],7,FALSE)</f>
        <v>15.246000000000002</v>
      </c>
      <c r="Z116" s="84">
        <f>+TbPrestamo[[#This Row],[TOTAL]]*TbPrestamo[[#This Row],[P.U. (3)]]</f>
        <v>45.738000000000007</v>
      </c>
    </row>
    <row r="117" spans="1:26" ht="15" customHeight="1" x14ac:dyDescent="0.3">
      <c r="A117" s="2"/>
      <c r="B117" s="85">
        <v>100</v>
      </c>
      <c r="C117" s="71" t="s">
        <v>201</v>
      </c>
      <c r="D117" s="72" t="s">
        <v>202</v>
      </c>
      <c r="E117" s="73"/>
      <c r="F117" s="74">
        <f>+VLOOKUP(C117,TbPrestamo[],13,FALSE)</f>
        <v>6</v>
      </c>
      <c r="G117" s="2"/>
      <c r="H117" s="75" t="str">
        <f t="shared" si="2"/>
        <v>AM.8800</v>
      </c>
      <c r="I117" s="59" t="str">
        <f t="shared" si="3"/>
        <v>ok</v>
      </c>
      <c r="J117" s="77">
        <f>IFERROR(VLOOKUP($H117,TG[],3,FALSE),"NA")</f>
        <v>0</v>
      </c>
      <c r="K117" s="77">
        <f>IFERROR(VLOOKUP($H117,TF[],3,FALSE),"NA")</f>
        <v>0</v>
      </c>
      <c r="L117" s="77">
        <f>IFERROR(VLOOKUP($H117,TT[],3,FALSE),"NA")</f>
        <v>2</v>
      </c>
      <c r="M117" s="77">
        <f>IFERROR(VLOOKUP($H117,TES[],3,FALSE),"NA")</f>
        <v>4</v>
      </c>
      <c r="N117" s="77" t="str">
        <f>IFERROR(VLOOKUP($H117,TEC[],3,FALSE),"NA")</f>
        <v>NA</v>
      </c>
      <c r="O117" s="77" t="str">
        <f>IFERROR(VLOOKUP($H117,TP[],3,FALSE),"NA")</f>
        <v>NA</v>
      </c>
      <c r="P117" s="77" t="str">
        <f>IFERROR(VLOOKUP($H117,TEN[],3,FALSE),"NA")</f>
        <v>NA</v>
      </c>
      <c r="Q117" s="77" t="str">
        <f>IFERROR(VLOOKUP($H117,TD[],3,FALSE),"NA")</f>
        <v>NA</v>
      </c>
      <c r="R117" s="77" t="str">
        <f>IFERROR(VLOOKUP($H117,TC[],3,FALSE),"NA")</f>
        <v>NA</v>
      </c>
      <c r="S117" s="77" t="str">
        <f>IFERROR(VLOOKUP($H117,TEV[],3,FALSE),"NA")</f>
        <v>NA</v>
      </c>
      <c r="T117" s="79">
        <f>SUM(TbPrestamo[[#This Row],[GENERAL]:[ELEVADOR]])</f>
        <v>6</v>
      </c>
      <c r="U117" s="80">
        <f>IF(VLOOKUP(TbPrestamo[[#This Row],[ITEM]],TbPiezas[],5,FALSE)="NA",0,VLOOKUP(TbPrestamo[[#This Row],[ITEM]],TbPiezas[],5,FALSE))</f>
        <v>0.4</v>
      </c>
      <c r="V117" s="81">
        <f>+TbPrestamo[[#This Row],[TOTAL]]*TbPrestamo[[#This Row],[P.U. (1)]]</f>
        <v>2.4000000000000004</v>
      </c>
      <c r="W117" s="82">
        <f>+VLOOKUP(TbPrestamo[[#This Row],[ITEM]],TbPiezas[],6,FALSE)</f>
        <v>44.75</v>
      </c>
      <c r="X117" s="83">
        <f>+TbPrestamo[[#This Row],[TOTAL]]*TbPrestamo[[#This Row],[P.U. (2)]]</f>
        <v>268.5</v>
      </c>
      <c r="Y117" s="82">
        <f>+VLOOKUP(TbPrestamo[[#This Row],[ITEM]],TbPiezas[],7,FALSE)</f>
        <v>2.2375000000000003</v>
      </c>
      <c r="Z117" s="84">
        <f>+TbPrestamo[[#This Row],[TOTAL]]*TbPrestamo[[#This Row],[P.U. (3)]]</f>
        <v>13.425000000000001</v>
      </c>
    </row>
    <row r="118" spans="1:26" ht="15" customHeight="1" x14ac:dyDescent="0.3">
      <c r="A118" s="2"/>
      <c r="B118" s="85">
        <v>101</v>
      </c>
      <c r="C118" s="71" t="s">
        <v>203</v>
      </c>
      <c r="D118" s="72" t="s">
        <v>204</v>
      </c>
      <c r="E118" s="73"/>
      <c r="F118" s="74">
        <f>+VLOOKUP(C118,TbPrestamo[],13,FALSE)</f>
        <v>0</v>
      </c>
      <c r="G118" s="2"/>
      <c r="H118" s="75" t="str">
        <f t="shared" si="2"/>
        <v>AM.8900</v>
      </c>
      <c r="I118" s="59" t="str">
        <f t="shared" si="3"/>
        <v>ok</v>
      </c>
      <c r="J118" s="77">
        <f>IFERROR(VLOOKUP($H118,TG[],3,FALSE),"NA")</f>
        <v>0</v>
      </c>
      <c r="K118" s="77">
        <f>IFERROR(VLOOKUP($H118,TF[],3,FALSE),"NA")</f>
        <v>0</v>
      </c>
      <c r="L118" s="77">
        <f>IFERROR(VLOOKUP($H118,TT[],3,FALSE),"NA")</f>
        <v>0</v>
      </c>
      <c r="M118" s="77">
        <f>IFERROR(VLOOKUP($H118,TES[],3,FALSE),"NA")</f>
        <v>0</v>
      </c>
      <c r="N118" s="77" t="str">
        <f>IFERROR(VLOOKUP($H118,TEC[],3,FALSE),"NA")</f>
        <v>NA</v>
      </c>
      <c r="O118" s="77" t="str">
        <f>IFERROR(VLOOKUP($H118,TP[],3,FALSE),"NA")</f>
        <v>NA</v>
      </c>
      <c r="P118" s="77" t="str">
        <f>IFERROR(VLOOKUP($H118,TEN[],3,FALSE),"NA")</f>
        <v>NA</v>
      </c>
      <c r="Q118" s="77" t="str">
        <f>IFERROR(VLOOKUP($H118,TD[],3,FALSE),"NA")</f>
        <v>NA</v>
      </c>
      <c r="R118" s="77" t="str">
        <f>IFERROR(VLOOKUP($H118,TC[],3,FALSE),"NA")</f>
        <v>NA</v>
      </c>
      <c r="S118" s="77" t="str">
        <f>IFERROR(VLOOKUP($H118,TEV[],3,FALSE),"NA")</f>
        <v>NA</v>
      </c>
      <c r="T118" s="79">
        <f>SUM(TbPrestamo[[#This Row],[GENERAL]:[ELEVADOR]])</f>
        <v>0</v>
      </c>
      <c r="U118" s="80">
        <f>IF(VLOOKUP(TbPrestamo[[#This Row],[ITEM]],TbPiezas[],5,FALSE)="NA",0,VLOOKUP(TbPrestamo[[#This Row],[ITEM]],TbPiezas[],5,FALSE))</f>
        <v>0.5</v>
      </c>
      <c r="V118" s="81">
        <f>+TbPrestamo[[#This Row],[TOTAL]]*TbPrestamo[[#This Row],[P.U. (1)]]</f>
        <v>0</v>
      </c>
      <c r="W118" s="82">
        <f>+VLOOKUP(TbPrestamo[[#This Row],[ITEM]],TbPiezas[],6,FALSE)</f>
        <v>44.75</v>
      </c>
      <c r="X118" s="83">
        <f>+TbPrestamo[[#This Row],[TOTAL]]*TbPrestamo[[#This Row],[P.U. (2)]]</f>
        <v>0</v>
      </c>
      <c r="Y118" s="82">
        <f>+VLOOKUP(TbPrestamo[[#This Row],[ITEM]],TbPiezas[],7,FALSE)</f>
        <v>2.2375000000000003</v>
      </c>
      <c r="Z118" s="84">
        <f>+TbPrestamo[[#This Row],[TOTAL]]*TbPrestamo[[#This Row],[P.U. (3)]]</f>
        <v>0</v>
      </c>
    </row>
    <row r="119" spans="1:26" ht="15" customHeight="1" x14ac:dyDescent="0.3">
      <c r="A119" s="2"/>
      <c r="B119" s="85">
        <v>102</v>
      </c>
      <c r="C119" s="71" t="s">
        <v>205</v>
      </c>
      <c r="D119" s="72" t="s">
        <v>206</v>
      </c>
      <c r="E119" s="73"/>
      <c r="F119" s="74">
        <f>+VLOOKUP(C119,TbPrestamo[],13,FALSE)</f>
        <v>2</v>
      </c>
      <c r="G119" s="2"/>
      <c r="H119" s="75" t="str">
        <f t="shared" si="2"/>
        <v>AM.9000</v>
      </c>
      <c r="I119" s="59" t="str">
        <f t="shared" si="3"/>
        <v>ok</v>
      </c>
      <c r="J119" s="77">
        <f>IFERROR(VLOOKUP($H119,TG[],3,FALSE),"NA")</f>
        <v>0</v>
      </c>
      <c r="K119" s="77">
        <f>IFERROR(VLOOKUP($H119,TF[],3,FALSE),"NA")</f>
        <v>0</v>
      </c>
      <c r="L119" s="77">
        <f>IFERROR(VLOOKUP($H119,TT[],3,FALSE),"NA")</f>
        <v>0</v>
      </c>
      <c r="M119" s="77">
        <f>IFERROR(VLOOKUP($H119,TES[],3,FALSE),"NA")</f>
        <v>2</v>
      </c>
      <c r="N119" s="77" t="str">
        <f>IFERROR(VLOOKUP($H119,TEC[],3,FALSE),"NA")</f>
        <v>NA</v>
      </c>
      <c r="O119" s="77" t="str">
        <f>IFERROR(VLOOKUP($H119,TP[],3,FALSE),"NA")</f>
        <v>NA</v>
      </c>
      <c r="P119" s="77" t="str">
        <f>IFERROR(VLOOKUP($H119,TEN[],3,FALSE),"NA")</f>
        <v>NA</v>
      </c>
      <c r="Q119" s="77" t="str">
        <f>IFERROR(VLOOKUP($H119,TD[],3,FALSE),"NA")</f>
        <v>NA</v>
      </c>
      <c r="R119" s="77" t="str">
        <f>IFERROR(VLOOKUP($H119,TC[],3,FALSE),"NA")</f>
        <v>NA</v>
      </c>
      <c r="S119" s="77" t="str">
        <f>IFERROR(VLOOKUP($H119,TEV[],3,FALSE),"NA")</f>
        <v>NA</v>
      </c>
      <c r="T119" s="79">
        <f>SUM(TbPrestamo[[#This Row],[GENERAL]:[ELEVADOR]])</f>
        <v>2</v>
      </c>
      <c r="U119" s="80">
        <f>IF(VLOOKUP(TbPrestamo[[#This Row],[ITEM]],TbPiezas[],5,FALSE)="NA",0,VLOOKUP(TbPrestamo[[#This Row],[ITEM]],TbPiezas[],5,FALSE))</f>
        <v>1.7999999999999972</v>
      </c>
      <c r="V119" s="81">
        <f>+TbPrestamo[[#This Row],[TOTAL]]*TbPrestamo[[#This Row],[P.U. (1)]]</f>
        <v>3.5999999999999943</v>
      </c>
      <c r="W119" s="82">
        <f>+VLOOKUP(TbPrestamo[[#This Row],[ITEM]],TbPiezas[],6,FALSE)</f>
        <v>112.93</v>
      </c>
      <c r="X119" s="83">
        <f>+TbPrestamo[[#This Row],[TOTAL]]*TbPrestamo[[#This Row],[P.U. (2)]]</f>
        <v>225.86</v>
      </c>
      <c r="Y119" s="82">
        <f>+VLOOKUP(TbPrestamo[[#This Row],[ITEM]],TbPiezas[],7,FALSE)</f>
        <v>5.6465000000000005</v>
      </c>
      <c r="Z119" s="84">
        <f>+TbPrestamo[[#This Row],[TOTAL]]*TbPrestamo[[#This Row],[P.U. (3)]]</f>
        <v>11.293000000000001</v>
      </c>
    </row>
    <row r="120" spans="1:26" ht="15" customHeight="1" x14ac:dyDescent="0.3">
      <c r="A120" s="2"/>
      <c r="B120" s="85">
        <v>103</v>
      </c>
      <c r="C120" s="71" t="s">
        <v>207</v>
      </c>
      <c r="D120" s="72" t="s">
        <v>208</v>
      </c>
      <c r="E120" s="73"/>
      <c r="F120" s="74">
        <f>+VLOOKUP(C120,TbPrestamo[],13,FALSE)</f>
        <v>0</v>
      </c>
      <c r="G120" s="2"/>
      <c r="H120" s="75" t="str">
        <f t="shared" si="2"/>
        <v>AM.9100</v>
      </c>
      <c r="I120" s="59" t="str">
        <f t="shared" si="3"/>
        <v>ok</v>
      </c>
      <c r="J120" s="77">
        <f>IFERROR(VLOOKUP($H120,TG[],3,FALSE),"NA")</f>
        <v>0</v>
      </c>
      <c r="K120" s="77">
        <f>IFERROR(VLOOKUP($H120,TF[],3,FALSE),"NA")</f>
        <v>0</v>
      </c>
      <c r="L120" s="77">
        <f>IFERROR(VLOOKUP($H120,TT[],3,FALSE),"NA")</f>
        <v>0</v>
      </c>
      <c r="M120" s="77">
        <f>IFERROR(VLOOKUP($H120,TES[],3,FALSE),"NA")</f>
        <v>0</v>
      </c>
      <c r="N120" s="77" t="str">
        <f>IFERROR(VLOOKUP($H120,TEC[],3,FALSE),"NA")</f>
        <v>NA</v>
      </c>
      <c r="O120" s="77" t="str">
        <f>IFERROR(VLOOKUP($H120,TP[],3,FALSE),"NA")</f>
        <v>NA</v>
      </c>
      <c r="P120" s="77" t="str">
        <f>IFERROR(VLOOKUP($H120,TEN[],3,FALSE),"NA")</f>
        <v>NA</v>
      </c>
      <c r="Q120" s="77" t="str">
        <f>IFERROR(VLOOKUP($H120,TD[],3,FALSE),"NA")</f>
        <v>NA</v>
      </c>
      <c r="R120" s="77" t="str">
        <f>IFERROR(VLOOKUP($H120,TC[],3,FALSE),"NA")</f>
        <v>NA</v>
      </c>
      <c r="S120" s="77" t="str">
        <f>IFERROR(VLOOKUP($H120,TEV[],3,FALSE),"NA")</f>
        <v>NA</v>
      </c>
      <c r="T120" s="79">
        <f>SUM(TbPrestamo[[#This Row],[GENERAL]:[ELEVADOR]])</f>
        <v>0</v>
      </c>
      <c r="U120" s="80">
        <f>IF(VLOOKUP(TbPrestamo[[#This Row],[ITEM]],TbPiezas[],5,FALSE)="NA",0,VLOOKUP(TbPrestamo[[#This Row],[ITEM]],TbPiezas[],5,FALSE))</f>
        <v>3.8</v>
      </c>
      <c r="V120" s="81">
        <f>+TbPrestamo[[#This Row],[TOTAL]]*TbPrestamo[[#This Row],[P.U. (1)]]</f>
        <v>0</v>
      </c>
      <c r="W120" s="82">
        <f>+VLOOKUP(TbPrestamo[[#This Row],[ITEM]],TbPiezas[],6,FALSE)</f>
        <v>173.65</v>
      </c>
      <c r="X120" s="83">
        <f>+TbPrestamo[[#This Row],[TOTAL]]*TbPrestamo[[#This Row],[P.U. (2)]]</f>
        <v>0</v>
      </c>
      <c r="Y120" s="82">
        <f>+VLOOKUP(TbPrestamo[[#This Row],[ITEM]],TbPiezas[],7,FALSE)</f>
        <v>8.682500000000001</v>
      </c>
      <c r="Z120" s="84">
        <f>+TbPrestamo[[#This Row],[TOTAL]]*TbPrestamo[[#This Row],[P.U. (3)]]</f>
        <v>0</v>
      </c>
    </row>
    <row r="121" spans="1:26" ht="15" customHeight="1" x14ac:dyDescent="0.3">
      <c r="A121" s="2"/>
      <c r="B121" s="85">
        <v>104</v>
      </c>
      <c r="C121" s="71" t="s">
        <v>209</v>
      </c>
      <c r="D121" s="72" t="s">
        <v>210</v>
      </c>
      <c r="E121" s="73"/>
      <c r="F121" s="74">
        <f>+VLOOKUP(C121,TbPrestamo[],13,FALSE)</f>
        <v>5</v>
      </c>
      <c r="G121" s="2"/>
      <c r="H121" s="75" t="str">
        <f t="shared" si="2"/>
        <v>AM.9200</v>
      </c>
      <c r="I121" s="59" t="str">
        <f t="shared" si="3"/>
        <v>ok</v>
      </c>
      <c r="J121" s="77">
        <f>IFERROR(VLOOKUP($H121,TG[],3,FALSE),"NA")</f>
        <v>0</v>
      </c>
      <c r="K121" s="77">
        <f>IFERROR(VLOOKUP($H121,TF[],3,FALSE),"NA")</f>
        <v>0</v>
      </c>
      <c r="L121" s="77">
        <f>IFERROR(VLOOKUP($H121,TT[],3,FALSE),"NA")</f>
        <v>0</v>
      </c>
      <c r="M121" s="77">
        <f>IFERROR(VLOOKUP($H121,TES[],3,FALSE),"NA")</f>
        <v>5</v>
      </c>
      <c r="N121" s="77" t="str">
        <f>IFERROR(VLOOKUP($H121,TEC[],3,FALSE),"NA")</f>
        <v>NA</v>
      </c>
      <c r="O121" s="77" t="str">
        <f>IFERROR(VLOOKUP($H121,TP[],3,FALSE),"NA")</f>
        <v>NA</v>
      </c>
      <c r="P121" s="77" t="str">
        <f>IFERROR(VLOOKUP($H121,TEN[],3,FALSE),"NA")</f>
        <v>NA</v>
      </c>
      <c r="Q121" s="77" t="str">
        <f>IFERROR(VLOOKUP($H121,TD[],3,FALSE),"NA")</f>
        <v>NA</v>
      </c>
      <c r="R121" s="77" t="str">
        <f>IFERROR(VLOOKUP($H121,TC[],3,FALSE),"NA")</f>
        <v>NA</v>
      </c>
      <c r="S121" s="77" t="str">
        <f>IFERROR(VLOOKUP($H121,TEV[],3,FALSE),"NA")</f>
        <v>NA</v>
      </c>
      <c r="T121" s="79">
        <f>SUM(TbPrestamo[[#This Row],[GENERAL]:[ELEVADOR]])</f>
        <v>5</v>
      </c>
      <c r="U121" s="80">
        <f>IF(VLOOKUP(TbPrestamo[[#This Row],[ITEM]],TbPiezas[],5,FALSE)="NA",0,VLOOKUP(TbPrestamo[[#This Row],[ITEM]],TbPiezas[],5,FALSE))</f>
        <v>9.9999999999994316E-2</v>
      </c>
      <c r="V121" s="81">
        <f>+TbPrestamo[[#This Row],[TOTAL]]*TbPrestamo[[#This Row],[P.U. (1)]]</f>
        <v>0.49999999999997158</v>
      </c>
      <c r="W121" s="82">
        <f>+VLOOKUP(TbPrestamo[[#This Row],[ITEM]],TbPiezas[],6,FALSE)</f>
        <v>9.91</v>
      </c>
      <c r="X121" s="83">
        <f>+TbPrestamo[[#This Row],[TOTAL]]*TbPrestamo[[#This Row],[P.U. (2)]]</f>
        <v>49.55</v>
      </c>
      <c r="Y121" s="82">
        <f>+VLOOKUP(TbPrestamo[[#This Row],[ITEM]],TbPiezas[],7,FALSE)</f>
        <v>0.49550000000000005</v>
      </c>
      <c r="Z121" s="84">
        <f>+TbPrestamo[[#This Row],[TOTAL]]*TbPrestamo[[#This Row],[P.U. (3)]]</f>
        <v>2.4775</v>
      </c>
    </row>
    <row r="122" spans="1:26" ht="15" customHeight="1" x14ac:dyDescent="0.3">
      <c r="A122" s="2"/>
      <c r="B122" s="85">
        <v>105</v>
      </c>
      <c r="C122" s="71" t="s">
        <v>211</v>
      </c>
      <c r="D122" s="72" t="s">
        <v>212</v>
      </c>
      <c r="E122" s="73"/>
      <c r="F122" s="74">
        <f>+VLOOKUP(C122,TbPrestamo[],13,FALSE)</f>
        <v>4</v>
      </c>
      <c r="G122" s="2"/>
      <c r="H122" s="75" t="str">
        <f t="shared" si="2"/>
        <v>AM.9300</v>
      </c>
      <c r="I122" s="59" t="str">
        <f t="shared" si="3"/>
        <v>ok</v>
      </c>
      <c r="J122" s="77">
        <f>IFERROR(VLOOKUP($H122,TG[],3,FALSE),"NA")</f>
        <v>0</v>
      </c>
      <c r="K122" s="77" t="str">
        <f>IFERROR(VLOOKUP($H122,TF[],3,FALSE),"NA")</f>
        <v>NA</v>
      </c>
      <c r="L122" s="77">
        <f>IFERROR(VLOOKUP($H122,TT[],3,FALSE),"NA")</f>
        <v>4</v>
      </c>
      <c r="M122" s="77">
        <f>IFERROR(VLOOKUP($H122,TES[],3,FALSE),"NA")</f>
        <v>0</v>
      </c>
      <c r="N122" s="77" t="str">
        <f>IFERROR(VLOOKUP($H122,TEC[],3,FALSE),"NA")</f>
        <v>NA</v>
      </c>
      <c r="O122" s="77" t="str">
        <f>IFERROR(VLOOKUP($H122,TP[],3,FALSE),"NA")</f>
        <v>NA</v>
      </c>
      <c r="P122" s="77" t="str">
        <f>IFERROR(VLOOKUP($H122,TEN[],3,FALSE),"NA")</f>
        <v>NA</v>
      </c>
      <c r="Q122" s="77" t="str">
        <f>IFERROR(VLOOKUP($H122,TD[],3,FALSE),"NA")</f>
        <v>NA</v>
      </c>
      <c r="R122" s="77" t="str">
        <f>IFERROR(VLOOKUP($H122,TC[],3,FALSE),"NA")</f>
        <v>NA</v>
      </c>
      <c r="S122" s="77" t="str">
        <f>IFERROR(VLOOKUP($H122,TEV[],3,FALSE),"NA")</f>
        <v>NA</v>
      </c>
      <c r="T122" s="79">
        <f>SUM(TbPrestamo[[#This Row],[GENERAL]:[ELEVADOR]])</f>
        <v>4</v>
      </c>
      <c r="U122" s="80">
        <f>IF(VLOOKUP(TbPrestamo[[#This Row],[ITEM]],TbPiezas[],5,FALSE)="NA",0,VLOOKUP(TbPrestamo[[#This Row],[ITEM]],TbPiezas[],5,FALSE))</f>
        <v>9.9999999999994316E-2</v>
      </c>
      <c r="V122" s="81">
        <f>+TbPrestamo[[#This Row],[TOTAL]]*TbPrestamo[[#This Row],[P.U. (1)]]</f>
        <v>0.39999999999997726</v>
      </c>
      <c r="W122" s="82">
        <f>+VLOOKUP(TbPrestamo[[#This Row],[ITEM]],TbPiezas[],6,FALSE)</f>
        <v>9.91</v>
      </c>
      <c r="X122" s="83">
        <f>+TbPrestamo[[#This Row],[TOTAL]]*TbPrestamo[[#This Row],[P.U. (2)]]</f>
        <v>39.64</v>
      </c>
      <c r="Y122" s="82">
        <f>+VLOOKUP(TbPrestamo[[#This Row],[ITEM]],TbPiezas[],7,FALSE)</f>
        <v>0.49550000000000005</v>
      </c>
      <c r="Z122" s="84">
        <f>+TbPrestamo[[#This Row],[TOTAL]]*TbPrestamo[[#This Row],[P.U. (3)]]</f>
        <v>1.9820000000000002</v>
      </c>
    </row>
    <row r="123" spans="1:26" ht="15" customHeight="1" x14ac:dyDescent="0.3">
      <c r="A123" s="2"/>
      <c r="B123" s="85">
        <v>106</v>
      </c>
      <c r="C123" s="71" t="s">
        <v>213</v>
      </c>
      <c r="D123" s="72" t="s">
        <v>214</v>
      </c>
      <c r="E123" s="73"/>
      <c r="F123" s="74">
        <f>+VLOOKUP(C123,TbPrestamo[],13,FALSE)</f>
        <v>0</v>
      </c>
      <c r="G123" s="2"/>
      <c r="H123" s="75" t="str">
        <f t="shared" si="2"/>
        <v>AM.9400</v>
      </c>
      <c r="I123" s="59" t="str">
        <f t="shared" si="3"/>
        <v>ok</v>
      </c>
      <c r="J123" s="77">
        <f>IFERROR(VLOOKUP($H123,TG[],3,FALSE),"NA")</f>
        <v>0</v>
      </c>
      <c r="K123" s="77">
        <f>IFERROR(VLOOKUP($H123,TF[],3,FALSE),"NA")</f>
        <v>0</v>
      </c>
      <c r="L123" s="77" t="str">
        <f>IFERROR(VLOOKUP($H123,TT[],3,FALSE),"NA")</f>
        <v>NA</v>
      </c>
      <c r="M123" s="77">
        <f>IFERROR(VLOOKUP($H123,TES[],3,FALSE),"NA")</f>
        <v>0</v>
      </c>
      <c r="N123" s="77" t="str">
        <f>IFERROR(VLOOKUP($H123,TEC[],3,FALSE),"NA")</f>
        <v>NA</v>
      </c>
      <c r="O123" s="77" t="str">
        <f>IFERROR(VLOOKUP($H123,TP[],3,FALSE),"NA")</f>
        <v>NA</v>
      </c>
      <c r="P123" s="77" t="str">
        <f>IFERROR(VLOOKUP($H123,TEN[],3,FALSE),"NA")</f>
        <v>NA</v>
      </c>
      <c r="Q123" s="77" t="str">
        <f>IFERROR(VLOOKUP($H123,TD[],3,FALSE),"NA")</f>
        <v>NA</v>
      </c>
      <c r="R123" s="77" t="str">
        <f>IFERROR(VLOOKUP($H123,TC[],3,FALSE),"NA")</f>
        <v>NA</v>
      </c>
      <c r="S123" s="77" t="str">
        <f>IFERROR(VLOOKUP($H123,TEV[],3,FALSE),"NA")</f>
        <v>NA</v>
      </c>
      <c r="T123" s="79">
        <f>SUM(TbPrestamo[[#This Row],[GENERAL]:[ELEVADOR]])</f>
        <v>0</v>
      </c>
      <c r="U123" s="80">
        <f>IF(VLOOKUP(TbPrestamo[[#This Row],[ITEM]],TbPiezas[],5,FALSE)="NA",0,VLOOKUP(TbPrestamo[[#This Row],[ITEM]],TbPiezas[],5,FALSE))</f>
        <v>9.9999999999994316E-2</v>
      </c>
      <c r="V123" s="81">
        <f>+TbPrestamo[[#This Row],[TOTAL]]*TbPrestamo[[#This Row],[P.U. (1)]]</f>
        <v>0</v>
      </c>
      <c r="W123" s="82">
        <f>+VLOOKUP(TbPrestamo[[#This Row],[ITEM]],TbPiezas[],6,FALSE)</f>
        <v>9.91</v>
      </c>
      <c r="X123" s="83">
        <f>+TbPrestamo[[#This Row],[TOTAL]]*TbPrestamo[[#This Row],[P.U. (2)]]</f>
        <v>0</v>
      </c>
      <c r="Y123" s="82">
        <f>+VLOOKUP(TbPrestamo[[#This Row],[ITEM]],TbPiezas[],7,FALSE)</f>
        <v>0.49550000000000005</v>
      </c>
      <c r="Z123" s="84">
        <f>+TbPrestamo[[#This Row],[TOTAL]]*TbPrestamo[[#This Row],[P.U. (3)]]</f>
        <v>0</v>
      </c>
    </row>
    <row r="124" spans="1:26" ht="15" customHeight="1" x14ac:dyDescent="0.3">
      <c r="A124" s="2"/>
      <c r="B124" s="85">
        <v>107</v>
      </c>
      <c r="C124" s="71" t="s">
        <v>215</v>
      </c>
      <c r="D124" s="72" t="s">
        <v>216</v>
      </c>
      <c r="E124" s="73"/>
      <c r="F124" s="74">
        <f>+VLOOKUP(C124,TbPrestamo[],13,FALSE)</f>
        <v>0</v>
      </c>
      <c r="G124" s="2"/>
      <c r="H124" s="75" t="str">
        <f t="shared" si="2"/>
        <v>EA.0100</v>
      </c>
      <c r="I124" s="59" t="str">
        <f t="shared" si="3"/>
        <v>ok</v>
      </c>
      <c r="J124" s="77">
        <f>IFERROR(VLOOKUP($H124,TG[],3,FALSE),"NA")</f>
        <v>0</v>
      </c>
      <c r="K124" s="77" t="str">
        <f>IFERROR(VLOOKUP($H124,TF[],3,FALSE),"NA")</f>
        <v>NA</v>
      </c>
      <c r="L124" s="77" t="str">
        <f>IFERROR(VLOOKUP($H124,TT[],3,FALSE),"NA")</f>
        <v>NA</v>
      </c>
      <c r="M124" s="77">
        <f>IFERROR(VLOOKUP($H124,TES[],3,FALSE),"NA")</f>
        <v>0</v>
      </c>
      <c r="N124" s="77" t="str">
        <f>IFERROR(VLOOKUP($H124,TEC[],3,FALSE),"NA")</f>
        <v>NA</v>
      </c>
      <c r="O124" s="77" t="str">
        <f>IFERROR(VLOOKUP($H124,TP[],3,FALSE),"NA")</f>
        <v>NA</v>
      </c>
      <c r="P124" s="77" t="str">
        <f>IFERROR(VLOOKUP($H124,TEN[],3,FALSE),"NA")</f>
        <v>NA</v>
      </c>
      <c r="Q124" s="77" t="str">
        <f>IFERROR(VLOOKUP($H124,TD[],3,FALSE),"NA")</f>
        <v>NA</v>
      </c>
      <c r="R124" s="77" t="str">
        <f>IFERROR(VLOOKUP($H124,TC[],3,FALSE),"NA")</f>
        <v>NA</v>
      </c>
      <c r="S124" s="77" t="str">
        <f>IFERROR(VLOOKUP($H124,TEV[],3,FALSE),"NA")</f>
        <v>NA</v>
      </c>
      <c r="T124" s="79">
        <f>SUM(TbPrestamo[[#This Row],[GENERAL]:[ELEVADOR]])</f>
        <v>0</v>
      </c>
      <c r="U124" s="80">
        <f>IF(VLOOKUP(TbPrestamo[[#This Row],[ITEM]],TbPiezas[],5,FALSE)="NA",0,VLOOKUP(TbPrestamo[[#This Row],[ITEM]],TbPiezas[],5,FALSE))</f>
        <v>38.200000000000003</v>
      </c>
      <c r="V124" s="81">
        <f>+TbPrestamo[[#This Row],[TOTAL]]*TbPrestamo[[#This Row],[P.U. (1)]]</f>
        <v>0</v>
      </c>
      <c r="W124" s="82">
        <f>+VLOOKUP(TbPrestamo[[#This Row],[ITEM]],TbPiezas[],6,FALSE)</f>
        <v>2188.16</v>
      </c>
      <c r="X124" s="83">
        <f>+TbPrestamo[[#This Row],[TOTAL]]*TbPrestamo[[#This Row],[P.U. (2)]]</f>
        <v>0</v>
      </c>
      <c r="Y124" s="82">
        <f>+VLOOKUP(TbPrestamo[[#This Row],[ITEM]],TbPiezas[],7,FALSE)</f>
        <v>109.408</v>
      </c>
      <c r="Z124" s="84">
        <f>+TbPrestamo[[#This Row],[TOTAL]]*TbPrestamo[[#This Row],[P.U. (3)]]</f>
        <v>0</v>
      </c>
    </row>
    <row r="125" spans="1:26" ht="15" customHeight="1" x14ac:dyDescent="0.3">
      <c r="A125" s="2"/>
      <c r="B125" s="85">
        <v>108</v>
      </c>
      <c r="C125" s="71" t="s">
        <v>217</v>
      </c>
      <c r="D125" s="72" t="s">
        <v>218</v>
      </c>
      <c r="E125" s="73"/>
      <c r="F125" s="74">
        <f>+VLOOKUP(C125,TbPrestamo[],13,FALSE)</f>
        <v>0</v>
      </c>
      <c r="G125" s="2"/>
      <c r="H125" s="75" t="str">
        <f t="shared" si="2"/>
        <v>EA.0200</v>
      </c>
      <c r="I125" s="59" t="str">
        <f t="shared" si="3"/>
        <v>ok</v>
      </c>
      <c r="J125" s="77">
        <f>IFERROR(VLOOKUP($H125,TG[],3,FALSE),"NA")</f>
        <v>0</v>
      </c>
      <c r="K125" s="77" t="str">
        <f>IFERROR(VLOOKUP($H125,TF[],3,FALSE),"NA")</f>
        <v>NA</v>
      </c>
      <c r="L125" s="77" t="str">
        <f>IFERROR(VLOOKUP($H125,TT[],3,FALSE),"NA")</f>
        <v>NA</v>
      </c>
      <c r="M125" s="77">
        <f>IFERROR(VLOOKUP($H125,TES[],3,FALSE),"NA")</f>
        <v>0</v>
      </c>
      <c r="N125" s="77" t="str">
        <f>IFERROR(VLOOKUP($H125,TEC[],3,FALSE),"NA")</f>
        <v>NA</v>
      </c>
      <c r="O125" s="77" t="str">
        <f>IFERROR(VLOOKUP($H125,TP[],3,FALSE),"NA")</f>
        <v>NA</v>
      </c>
      <c r="P125" s="77" t="str">
        <f>IFERROR(VLOOKUP($H125,TEN[],3,FALSE),"NA")</f>
        <v>NA</v>
      </c>
      <c r="Q125" s="77" t="str">
        <f>IFERROR(VLOOKUP($H125,TD[],3,FALSE),"NA")</f>
        <v>NA</v>
      </c>
      <c r="R125" s="77" t="str">
        <f>IFERROR(VLOOKUP($H125,TC[],3,FALSE),"NA")</f>
        <v>NA</v>
      </c>
      <c r="S125" s="77" t="str">
        <f>IFERROR(VLOOKUP($H125,TEV[],3,FALSE),"NA")</f>
        <v>NA</v>
      </c>
      <c r="T125" s="79">
        <f>SUM(TbPrestamo[[#This Row],[GENERAL]:[ELEVADOR]])</f>
        <v>0</v>
      </c>
      <c r="U125" s="80">
        <f>IF(VLOOKUP(TbPrestamo[[#This Row],[ITEM]],TbPiezas[],5,FALSE)="NA",0,VLOOKUP(TbPrestamo[[#This Row],[ITEM]],TbPiezas[],5,FALSE))</f>
        <v>13.099999999999994</v>
      </c>
      <c r="V125" s="81">
        <f>+TbPrestamo[[#This Row],[TOTAL]]*TbPrestamo[[#This Row],[P.U. (1)]]</f>
        <v>0</v>
      </c>
      <c r="W125" s="82">
        <f>+VLOOKUP(TbPrestamo[[#This Row],[ITEM]],TbPiezas[],6,FALSE)</f>
        <v>285.07</v>
      </c>
      <c r="X125" s="83">
        <f>+TbPrestamo[[#This Row],[TOTAL]]*TbPrestamo[[#This Row],[P.U. (2)]]</f>
        <v>0</v>
      </c>
      <c r="Y125" s="82">
        <f>+VLOOKUP(TbPrestamo[[#This Row],[ITEM]],TbPiezas[],7,FALSE)</f>
        <v>14.253500000000001</v>
      </c>
      <c r="Z125" s="84">
        <f>+TbPrestamo[[#This Row],[TOTAL]]*TbPrestamo[[#This Row],[P.U. (3)]]</f>
        <v>0</v>
      </c>
    </row>
    <row r="126" spans="1:26" ht="15" customHeight="1" x14ac:dyDescent="0.3">
      <c r="A126" s="2"/>
      <c r="B126" s="85">
        <v>109</v>
      </c>
      <c r="C126" s="71" t="s">
        <v>219</v>
      </c>
      <c r="D126" s="72" t="s">
        <v>220</v>
      </c>
      <c r="E126" s="73"/>
      <c r="F126" s="74">
        <f>+VLOOKUP(C126,TbPrestamo[],13,FALSE)</f>
        <v>0</v>
      </c>
      <c r="G126" s="2"/>
      <c r="H126" s="75" t="str">
        <f t="shared" si="2"/>
        <v>EA.0300</v>
      </c>
      <c r="I126" s="59" t="str">
        <f t="shared" si="3"/>
        <v>ok</v>
      </c>
      <c r="J126" s="77">
        <f>IFERROR(VLOOKUP($H126,TG[],3,FALSE),"NA")</f>
        <v>0</v>
      </c>
      <c r="K126" s="77" t="str">
        <f>IFERROR(VLOOKUP($H126,TF[],3,FALSE),"NA")</f>
        <v>NA</v>
      </c>
      <c r="L126" s="77" t="str">
        <f>IFERROR(VLOOKUP($H126,TT[],3,FALSE),"NA")</f>
        <v>NA</v>
      </c>
      <c r="M126" s="77">
        <f>IFERROR(VLOOKUP($H126,TES[],3,FALSE),"NA")</f>
        <v>0</v>
      </c>
      <c r="N126" s="77" t="str">
        <f>IFERROR(VLOOKUP($H126,TEC[],3,FALSE),"NA")</f>
        <v>NA</v>
      </c>
      <c r="O126" s="77" t="str">
        <f>IFERROR(VLOOKUP($H126,TP[],3,FALSE),"NA")</f>
        <v>NA</v>
      </c>
      <c r="P126" s="77" t="str">
        <f>IFERROR(VLOOKUP($H126,TEN[],3,FALSE),"NA")</f>
        <v>NA</v>
      </c>
      <c r="Q126" s="77" t="str">
        <f>IFERROR(VLOOKUP($H126,TD[],3,FALSE),"NA")</f>
        <v>NA</v>
      </c>
      <c r="R126" s="77" t="str">
        <f>IFERROR(VLOOKUP($H126,TC[],3,FALSE),"NA")</f>
        <v>NA</v>
      </c>
      <c r="S126" s="77" t="str">
        <f>IFERROR(VLOOKUP($H126,TEV[],3,FALSE),"NA")</f>
        <v>NA</v>
      </c>
      <c r="T126" s="79">
        <f>SUM(TbPrestamo[[#This Row],[GENERAL]:[ELEVADOR]])</f>
        <v>0</v>
      </c>
      <c r="U126" s="80">
        <f>IF(VLOOKUP(TbPrestamo[[#This Row],[ITEM]],TbPiezas[],5,FALSE)="NA",0,VLOOKUP(TbPrestamo[[#This Row],[ITEM]],TbPiezas[],5,FALSE))</f>
        <v>12.700000000000003</v>
      </c>
      <c r="V126" s="81">
        <f>+TbPrestamo[[#This Row],[TOTAL]]*TbPrestamo[[#This Row],[P.U. (1)]]</f>
        <v>0</v>
      </c>
      <c r="W126" s="82">
        <f>+VLOOKUP(TbPrestamo[[#This Row],[ITEM]],TbPiezas[],6,FALSE)</f>
        <v>285.07</v>
      </c>
      <c r="X126" s="83">
        <f>+TbPrestamo[[#This Row],[TOTAL]]*TbPrestamo[[#This Row],[P.U. (2)]]</f>
        <v>0</v>
      </c>
      <c r="Y126" s="82">
        <f>+VLOOKUP(TbPrestamo[[#This Row],[ITEM]],TbPiezas[],7,FALSE)</f>
        <v>14.253500000000001</v>
      </c>
      <c r="Z126" s="84">
        <f>+TbPrestamo[[#This Row],[TOTAL]]*TbPrestamo[[#This Row],[P.U. (3)]]</f>
        <v>0</v>
      </c>
    </row>
    <row r="127" spans="1:26" ht="15" customHeight="1" x14ac:dyDescent="0.3">
      <c r="A127" s="2"/>
      <c r="B127" s="85">
        <v>110</v>
      </c>
      <c r="C127" s="71" t="s">
        <v>221</v>
      </c>
      <c r="D127" s="72" t="s">
        <v>222</v>
      </c>
      <c r="E127" s="73"/>
      <c r="F127" s="74">
        <f>+VLOOKUP(C127,TbPrestamo[],13,FALSE)</f>
        <v>0</v>
      </c>
      <c r="G127" s="2"/>
      <c r="H127" s="75" t="str">
        <f t="shared" si="2"/>
        <v>EA.0400</v>
      </c>
      <c r="I127" s="59" t="str">
        <f t="shared" si="3"/>
        <v>ok</v>
      </c>
      <c r="J127" s="77">
        <f>IFERROR(VLOOKUP($H127,TG[],3,FALSE),"NA")</f>
        <v>0</v>
      </c>
      <c r="K127" s="77" t="str">
        <f>IFERROR(VLOOKUP($H127,TF[],3,FALSE),"NA")</f>
        <v>NA</v>
      </c>
      <c r="L127" s="77" t="str">
        <f>IFERROR(VLOOKUP($H127,TT[],3,FALSE),"NA")</f>
        <v>NA</v>
      </c>
      <c r="M127" s="77">
        <f>IFERROR(VLOOKUP($H127,TES[],3,FALSE),"NA")</f>
        <v>0</v>
      </c>
      <c r="N127" s="77" t="str">
        <f>IFERROR(VLOOKUP($H127,TEC[],3,FALSE),"NA")</f>
        <v>NA</v>
      </c>
      <c r="O127" s="77" t="str">
        <f>IFERROR(VLOOKUP($H127,TP[],3,FALSE),"NA")</f>
        <v>NA</v>
      </c>
      <c r="P127" s="77" t="str">
        <f>IFERROR(VLOOKUP($H127,TEN[],3,FALSE),"NA")</f>
        <v>NA</v>
      </c>
      <c r="Q127" s="77" t="str">
        <f>IFERROR(VLOOKUP($H127,TD[],3,FALSE),"NA")</f>
        <v>NA</v>
      </c>
      <c r="R127" s="77" t="str">
        <f>IFERROR(VLOOKUP($H127,TC[],3,FALSE),"NA")</f>
        <v>NA</v>
      </c>
      <c r="S127" s="77" t="str">
        <f>IFERROR(VLOOKUP($H127,TEV[],3,FALSE),"NA")</f>
        <v>NA</v>
      </c>
      <c r="T127" s="79">
        <f>SUM(TbPrestamo[[#This Row],[GENERAL]:[ELEVADOR]])</f>
        <v>0</v>
      </c>
      <c r="U127" s="80">
        <f>IF(VLOOKUP(TbPrestamo[[#This Row],[ITEM]],TbPiezas[],5,FALSE)="NA",0,VLOOKUP(TbPrestamo[[#This Row],[ITEM]],TbPiezas[],5,FALSE))</f>
        <v>46.5</v>
      </c>
      <c r="V127" s="81">
        <f>+TbPrestamo[[#This Row],[TOTAL]]*TbPrestamo[[#This Row],[P.U. (1)]]</f>
        <v>0</v>
      </c>
      <c r="W127" s="82">
        <f>+VLOOKUP(TbPrestamo[[#This Row],[ITEM]],TbPiezas[],6,FALSE)</f>
        <v>2188.16</v>
      </c>
      <c r="X127" s="83">
        <f>+TbPrestamo[[#This Row],[TOTAL]]*TbPrestamo[[#This Row],[P.U. (2)]]</f>
        <v>0</v>
      </c>
      <c r="Y127" s="82">
        <f>+VLOOKUP(TbPrestamo[[#This Row],[ITEM]],TbPiezas[],7,FALSE)</f>
        <v>109.408</v>
      </c>
      <c r="Z127" s="84">
        <f>+TbPrestamo[[#This Row],[TOTAL]]*TbPrestamo[[#This Row],[P.U. (3)]]</f>
        <v>0</v>
      </c>
    </row>
    <row r="128" spans="1:26" ht="15" customHeight="1" x14ac:dyDescent="0.3">
      <c r="A128" s="2"/>
      <c r="B128" s="85">
        <v>111</v>
      </c>
      <c r="C128" s="71" t="s">
        <v>223</v>
      </c>
      <c r="D128" s="72" t="s">
        <v>224</v>
      </c>
      <c r="E128" s="73"/>
      <c r="F128" s="74">
        <f>+VLOOKUP(C128,TbPrestamo[],13,FALSE)</f>
        <v>0</v>
      </c>
      <c r="G128" s="2"/>
      <c r="H128" s="75" t="str">
        <f t="shared" si="2"/>
        <v>EA.0500</v>
      </c>
      <c r="I128" s="59" t="str">
        <f t="shared" si="3"/>
        <v>ok</v>
      </c>
      <c r="J128" s="77">
        <f>IFERROR(VLOOKUP($H128,TG[],3,FALSE),"NA")</f>
        <v>0</v>
      </c>
      <c r="K128" s="77" t="str">
        <f>IFERROR(VLOOKUP($H128,TF[],3,FALSE),"NA")</f>
        <v>NA</v>
      </c>
      <c r="L128" s="77" t="str">
        <f>IFERROR(VLOOKUP($H128,TT[],3,FALSE),"NA")</f>
        <v>NA</v>
      </c>
      <c r="M128" s="77">
        <f>IFERROR(VLOOKUP($H128,TES[],3,FALSE),"NA")</f>
        <v>0</v>
      </c>
      <c r="N128" s="77" t="str">
        <f>IFERROR(VLOOKUP($H128,TEC[],3,FALSE),"NA")</f>
        <v>NA</v>
      </c>
      <c r="O128" s="77" t="str">
        <f>IFERROR(VLOOKUP($H128,TP[],3,FALSE),"NA")</f>
        <v>NA</v>
      </c>
      <c r="P128" s="77" t="str">
        <f>IFERROR(VLOOKUP($H128,TEN[],3,FALSE),"NA")</f>
        <v>NA</v>
      </c>
      <c r="Q128" s="77" t="str">
        <f>IFERROR(VLOOKUP($H128,TD[],3,FALSE),"NA")</f>
        <v>NA</v>
      </c>
      <c r="R128" s="77" t="str">
        <f>IFERROR(VLOOKUP($H128,TC[],3,FALSE),"NA")</f>
        <v>NA</v>
      </c>
      <c r="S128" s="77" t="str">
        <f>IFERROR(VLOOKUP($H128,TEV[],3,FALSE),"NA")</f>
        <v>NA</v>
      </c>
      <c r="T128" s="79">
        <f>SUM(TbPrestamo[[#This Row],[GENERAL]:[ELEVADOR]])</f>
        <v>0</v>
      </c>
      <c r="U128" s="80">
        <f>IF(VLOOKUP(TbPrestamo[[#This Row],[ITEM]],TbPiezas[],5,FALSE)="NA",0,VLOOKUP(TbPrestamo[[#This Row],[ITEM]],TbPiezas[],5,FALSE))</f>
        <v>6.5999999999999943</v>
      </c>
      <c r="V128" s="81">
        <f>+TbPrestamo[[#This Row],[TOTAL]]*TbPrestamo[[#This Row],[P.U. (1)]]</f>
        <v>0</v>
      </c>
      <c r="W128" s="82">
        <f>+VLOOKUP(TbPrestamo[[#This Row],[ITEM]],TbPiezas[],6,FALSE)</f>
        <v>285.07</v>
      </c>
      <c r="X128" s="83">
        <f>+TbPrestamo[[#This Row],[TOTAL]]*TbPrestamo[[#This Row],[P.U. (2)]]</f>
        <v>0</v>
      </c>
      <c r="Y128" s="82">
        <f>+VLOOKUP(TbPrestamo[[#This Row],[ITEM]],TbPiezas[],7,FALSE)</f>
        <v>14.253500000000001</v>
      </c>
      <c r="Z128" s="84">
        <f>+TbPrestamo[[#This Row],[TOTAL]]*TbPrestamo[[#This Row],[P.U. (3)]]</f>
        <v>0</v>
      </c>
    </row>
    <row r="129" spans="1:26" ht="15" customHeight="1" x14ac:dyDescent="0.3">
      <c r="A129" s="2"/>
      <c r="B129" s="85">
        <v>112</v>
      </c>
      <c r="C129" s="71" t="s">
        <v>225</v>
      </c>
      <c r="D129" s="72" t="s">
        <v>226</v>
      </c>
      <c r="E129" s="73"/>
      <c r="F129" s="74">
        <f>+VLOOKUP(C129,TbPrestamo[],13,FALSE)</f>
        <v>1</v>
      </c>
      <c r="G129" s="2"/>
      <c r="H129" s="75" t="str">
        <f t="shared" si="2"/>
        <v>EA.0600</v>
      </c>
      <c r="I129" s="59" t="str">
        <f t="shared" si="3"/>
        <v>ok</v>
      </c>
      <c r="J129" s="77">
        <f>IFERROR(VLOOKUP($H129,TG[],3,FALSE),"NA")</f>
        <v>0</v>
      </c>
      <c r="K129" s="77" t="str">
        <f>IFERROR(VLOOKUP($H129,TF[],3,FALSE),"NA")</f>
        <v>NA</v>
      </c>
      <c r="L129" s="77" t="str">
        <f>IFERROR(VLOOKUP($H129,TT[],3,FALSE),"NA")</f>
        <v>NA</v>
      </c>
      <c r="M129" s="77">
        <f>IFERROR(VLOOKUP($H129,TES[],3,FALSE),"NA")</f>
        <v>1</v>
      </c>
      <c r="N129" s="77" t="str">
        <f>IFERROR(VLOOKUP($H129,TEC[],3,FALSE),"NA")</f>
        <v>NA</v>
      </c>
      <c r="O129" s="77" t="str">
        <f>IFERROR(VLOOKUP($H129,TP[],3,FALSE),"NA")</f>
        <v>NA</v>
      </c>
      <c r="P129" s="77" t="str">
        <f>IFERROR(VLOOKUP($H129,TEN[],3,FALSE),"NA")</f>
        <v>NA</v>
      </c>
      <c r="Q129" s="77" t="str">
        <f>IFERROR(VLOOKUP($H129,TD[],3,FALSE),"NA")</f>
        <v>NA</v>
      </c>
      <c r="R129" s="77" t="str">
        <f>IFERROR(VLOOKUP($H129,TC[],3,FALSE),"NA")</f>
        <v>NA</v>
      </c>
      <c r="S129" s="77" t="str">
        <f>IFERROR(VLOOKUP($H129,TEV[],3,FALSE),"NA")</f>
        <v>NA</v>
      </c>
      <c r="T129" s="79">
        <f>SUM(TbPrestamo[[#This Row],[GENERAL]:[ELEVADOR]])</f>
        <v>1</v>
      </c>
      <c r="U129" s="80">
        <f>IF(VLOOKUP(TbPrestamo[[#This Row],[ITEM]],TbPiezas[],5,FALSE)="NA",0,VLOOKUP(TbPrestamo[[#This Row],[ITEM]],TbPiezas[],5,FALSE))</f>
        <v>68.600000000000009</v>
      </c>
      <c r="V129" s="81">
        <f>+TbPrestamo[[#This Row],[TOTAL]]*TbPrestamo[[#This Row],[P.U. (1)]]</f>
        <v>68.600000000000009</v>
      </c>
      <c r="W129" s="82">
        <f>+VLOOKUP(TbPrestamo[[#This Row],[ITEM]],TbPiezas[],6,FALSE)</f>
        <v>2188.16</v>
      </c>
      <c r="X129" s="83">
        <f>+TbPrestamo[[#This Row],[TOTAL]]*TbPrestamo[[#This Row],[P.U. (2)]]</f>
        <v>2188.16</v>
      </c>
      <c r="Y129" s="82">
        <f>+VLOOKUP(TbPrestamo[[#This Row],[ITEM]],TbPiezas[],7,FALSE)</f>
        <v>109.408</v>
      </c>
      <c r="Z129" s="84">
        <f>+TbPrestamo[[#This Row],[TOTAL]]*TbPrestamo[[#This Row],[P.U. (3)]]</f>
        <v>109.408</v>
      </c>
    </row>
    <row r="130" spans="1:26" ht="15" customHeight="1" x14ac:dyDescent="0.3">
      <c r="A130" s="2"/>
      <c r="B130" s="85">
        <v>113</v>
      </c>
      <c r="C130" s="71" t="s">
        <v>227</v>
      </c>
      <c r="D130" s="72" t="s">
        <v>228</v>
      </c>
      <c r="E130" s="73"/>
      <c r="F130" s="74">
        <f>+VLOOKUP(C130,TbPrestamo[],13,FALSE)</f>
        <v>0</v>
      </c>
      <c r="G130" s="2"/>
      <c r="H130" s="75" t="str">
        <f t="shared" si="2"/>
        <v>EA.0700</v>
      </c>
      <c r="I130" s="59" t="str">
        <f t="shared" si="3"/>
        <v>ok</v>
      </c>
      <c r="J130" s="77">
        <f>IFERROR(VLOOKUP($H130,TG[],3,FALSE),"NA")</f>
        <v>0</v>
      </c>
      <c r="K130" s="77" t="str">
        <f>IFERROR(VLOOKUP($H130,TF[],3,FALSE),"NA")</f>
        <v>NA</v>
      </c>
      <c r="L130" s="77" t="str">
        <f>IFERROR(VLOOKUP($H130,TT[],3,FALSE),"NA")</f>
        <v>NA</v>
      </c>
      <c r="M130" s="77">
        <f>IFERROR(VLOOKUP($H130,TES[],3,FALSE),"NA")</f>
        <v>0</v>
      </c>
      <c r="N130" s="77" t="str">
        <f>IFERROR(VLOOKUP($H130,TEC[],3,FALSE),"NA")</f>
        <v>NA</v>
      </c>
      <c r="O130" s="77" t="str">
        <f>IFERROR(VLOOKUP($H130,TP[],3,FALSE),"NA")</f>
        <v>NA</v>
      </c>
      <c r="P130" s="77" t="str">
        <f>IFERROR(VLOOKUP($H130,TEN[],3,FALSE),"NA")</f>
        <v>NA</v>
      </c>
      <c r="Q130" s="77" t="str">
        <f>IFERROR(VLOOKUP($H130,TD[],3,FALSE),"NA")</f>
        <v>NA</v>
      </c>
      <c r="R130" s="77" t="str">
        <f>IFERROR(VLOOKUP($H130,TC[],3,FALSE),"NA")</f>
        <v>NA</v>
      </c>
      <c r="S130" s="77" t="str">
        <f>IFERROR(VLOOKUP($H130,TEV[],3,FALSE),"NA")</f>
        <v>NA</v>
      </c>
      <c r="T130" s="79">
        <f>SUM(TbPrestamo[[#This Row],[GENERAL]:[ELEVADOR]])</f>
        <v>0</v>
      </c>
      <c r="U130" s="80">
        <f>IF(VLOOKUP(TbPrestamo[[#This Row],[ITEM]],TbPiezas[],5,FALSE)="NA",0,VLOOKUP(TbPrestamo[[#This Row],[ITEM]],TbPiezas[],5,FALSE))</f>
        <v>61.8</v>
      </c>
      <c r="V130" s="81">
        <f>+TbPrestamo[[#This Row],[TOTAL]]*TbPrestamo[[#This Row],[P.U. (1)]]</f>
        <v>0</v>
      </c>
      <c r="W130" s="82">
        <f>+VLOOKUP(TbPrestamo[[#This Row],[ITEM]],TbPiezas[],6,FALSE)</f>
        <v>2188.16</v>
      </c>
      <c r="X130" s="83">
        <f>+TbPrestamo[[#This Row],[TOTAL]]*TbPrestamo[[#This Row],[P.U. (2)]]</f>
        <v>0</v>
      </c>
      <c r="Y130" s="82">
        <f>+VLOOKUP(TbPrestamo[[#This Row],[ITEM]],TbPiezas[],7,FALSE)</f>
        <v>109.408</v>
      </c>
      <c r="Z130" s="84">
        <f>+TbPrestamo[[#This Row],[TOTAL]]*TbPrestamo[[#This Row],[P.U. (3)]]</f>
        <v>0</v>
      </c>
    </row>
    <row r="131" spans="1:26" ht="15" customHeight="1" x14ac:dyDescent="0.3">
      <c r="A131" s="2"/>
      <c r="B131" s="85">
        <v>114</v>
      </c>
      <c r="C131" s="71" t="s">
        <v>229</v>
      </c>
      <c r="D131" s="72" t="s">
        <v>230</v>
      </c>
      <c r="E131" s="73"/>
      <c r="F131" s="74">
        <f>+VLOOKUP(C131,TbPrestamo[],13,FALSE)</f>
        <v>2</v>
      </c>
      <c r="G131" s="2"/>
      <c r="H131" s="75" t="str">
        <f t="shared" si="2"/>
        <v>EA.0800</v>
      </c>
      <c r="I131" s="59" t="str">
        <f t="shared" si="3"/>
        <v>ok</v>
      </c>
      <c r="J131" s="77">
        <f>IFERROR(VLOOKUP($H131,TG[],3,FALSE),"NA")</f>
        <v>0</v>
      </c>
      <c r="K131" s="77" t="str">
        <f>IFERROR(VLOOKUP($H131,TF[],3,FALSE),"NA")</f>
        <v>NA</v>
      </c>
      <c r="L131" s="77" t="str">
        <f>IFERROR(VLOOKUP($H131,TT[],3,FALSE),"NA")</f>
        <v>NA</v>
      </c>
      <c r="M131" s="77">
        <f>IFERROR(VLOOKUP($H131,TES[],3,FALSE),"NA")</f>
        <v>2</v>
      </c>
      <c r="N131" s="77" t="str">
        <f>IFERROR(VLOOKUP($H131,TEC[],3,FALSE),"NA")</f>
        <v>NA</v>
      </c>
      <c r="O131" s="77" t="str">
        <f>IFERROR(VLOOKUP($H131,TP[],3,FALSE),"NA")</f>
        <v>NA</v>
      </c>
      <c r="P131" s="77" t="str">
        <f>IFERROR(VLOOKUP($H131,TEN[],3,FALSE),"NA")</f>
        <v>NA</v>
      </c>
      <c r="Q131" s="77" t="str">
        <f>IFERROR(VLOOKUP($H131,TD[],3,FALSE),"NA")</f>
        <v>NA</v>
      </c>
      <c r="R131" s="77" t="str">
        <f>IFERROR(VLOOKUP($H131,TC[],3,FALSE),"NA")</f>
        <v>NA</v>
      </c>
      <c r="S131" s="77" t="str">
        <f>IFERROR(VLOOKUP($H131,TEV[],3,FALSE),"NA")</f>
        <v>NA</v>
      </c>
      <c r="T131" s="79">
        <f>SUM(TbPrestamo[[#This Row],[GENERAL]:[ELEVADOR]])</f>
        <v>2</v>
      </c>
      <c r="U131" s="80">
        <f>IF(VLOOKUP(TbPrestamo[[#This Row],[ITEM]],TbPiezas[],5,FALSE)="NA",0,VLOOKUP(TbPrestamo[[#This Row],[ITEM]],TbPiezas[],5,FALSE))</f>
        <v>7.2999999999999972</v>
      </c>
      <c r="V131" s="81">
        <f>+TbPrestamo[[#This Row],[TOTAL]]*TbPrestamo[[#This Row],[P.U. (1)]]</f>
        <v>14.599999999999994</v>
      </c>
      <c r="W131" s="82">
        <f>+VLOOKUP(TbPrestamo[[#This Row],[ITEM]],TbPiezas[],6,FALSE)</f>
        <v>285.07</v>
      </c>
      <c r="X131" s="83">
        <f>+TbPrestamo[[#This Row],[TOTAL]]*TbPrestamo[[#This Row],[P.U. (2)]]</f>
        <v>570.14</v>
      </c>
      <c r="Y131" s="82">
        <f>+VLOOKUP(TbPrestamo[[#This Row],[ITEM]],TbPiezas[],7,FALSE)</f>
        <v>14.253500000000001</v>
      </c>
      <c r="Z131" s="84">
        <f>+TbPrestamo[[#This Row],[TOTAL]]*TbPrestamo[[#This Row],[P.U. (3)]]</f>
        <v>28.507000000000001</v>
      </c>
    </row>
    <row r="132" spans="1:26" ht="15" customHeight="1" x14ac:dyDescent="0.3">
      <c r="A132" s="2"/>
      <c r="B132" s="85">
        <v>115</v>
      </c>
      <c r="C132" s="71" t="s">
        <v>231</v>
      </c>
      <c r="D132" s="72" t="s">
        <v>232</v>
      </c>
      <c r="E132" s="73"/>
      <c r="F132" s="74">
        <f>+VLOOKUP(C132,TbPrestamo[],13,FALSE)</f>
        <v>0</v>
      </c>
      <c r="G132" s="2"/>
      <c r="H132" s="75" t="str">
        <f t="shared" si="2"/>
        <v>EA.0900</v>
      </c>
      <c r="I132" s="59" t="str">
        <f t="shared" si="3"/>
        <v>ok</v>
      </c>
      <c r="J132" s="77">
        <f>IFERROR(VLOOKUP($H132,TG[],3,FALSE),"NA")</f>
        <v>0</v>
      </c>
      <c r="K132" s="77" t="str">
        <f>IFERROR(VLOOKUP($H132,TF[],3,FALSE),"NA")</f>
        <v>NA</v>
      </c>
      <c r="L132" s="77" t="str">
        <f>IFERROR(VLOOKUP($H132,TT[],3,FALSE),"NA")</f>
        <v>NA</v>
      </c>
      <c r="M132" s="77">
        <f>IFERROR(VLOOKUP($H132,TES[],3,FALSE),"NA")</f>
        <v>0</v>
      </c>
      <c r="N132" s="77" t="str">
        <f>IFERROR(VLOOKUP($H132,TEC[],3,FALSE),"NA")</f>
        <v>NA</v>
      </c>
      <c r="O132" s="77" t="str">
        <f>IFERROR(VLOOKUP($H132,TP[],3,FALSE),"NA")</f>
        <v>NA</v>
      </c>
      <c r="P132" s="77" t="str">
        <f>IFERROR(VLOOKUP($H132,TEN[],3,FALSE),"NA")</f>
        <v>NA</v>
      </c>
      <c r="Q132" s="77" t="str">
        <f>IFERROR(VLOOKUP($H132,TD[],3,FALSE),"NA")</f>
        <v>NA</v>
      </c>
      <c r="R132" s="77" t="str">
        <f>IFERROR(VLOOKUP($H132,TC[],3,FALSE),"NA")</f>
        <v>NA</v>
      </c>
      <c r="S132" s="77" t="str">
        <f>IFERROR(VLOOKUP($H132,TEV[],3,FALSE),"NA")</f>
        <v>NA</v>
      </c>
      <c r="T132" s="79">
        <f>SUM(TbPrestamo[[#This Row],[GENERAL]:[ELEVADOR]])</f>
        <v>0</v>
      </c>
      <c r="U132" s="80">
        <f>IF(VLOOKUP(TbPrestamo[[#This Row],[ITEM]],TbPiezas[],5,FALSE)="NA",0,VLOOKUP(TbPrestamo[[#This Row],[ITEM]],TbPiezas[],5,FALSE))</f>
        <v>4.8999999999999915</v>
      </c>
      <c r="V132" s="81">
        <f>+TbPrestamo[[#This Row],[TOTAL]]*TbPrestamo[[#This Row],[P.U. (1)]]</f>
        <v>0</v>
      </c>
      <c r="W132" s="82">
        <f>+VLOOKUP(TbPrestamo[[#This Row],[ITEM]],TbPiezas[],6,FALSE)</f>
        <v>285.07</v>
      </c>
      <c r="X132" s="83">
        <f>+TbPrestamo[[#This Row],[TOTAL]]*TbPrestamo[[#This Row],[P.U. (2)]]</f>
        <v>0</v>
      </c>
      <c r="Y132" s="82">
        <f>+VLOOKUP(TbPrestamo[[#This Row],[ITEM]],TbPiezas[],7,FALSE)</f>
        <v>14.253500000000001</v>
      </c>
      <c r="Z132" s="84">
        <f>+TbPrestamo[[#This Row],[TOTAL]]*TbPrestamo[[#This Row],[P.U. (3)]]</f>
        <v>0</v>
      </c>
    </row>
    <row r="133" spans="1:26" ht="15" customHeight="1" x14ac:dyDescent="0.3">
      <c r="A133" s="2"/>
      <c r="B133" s="85">
        <v>116</v>
      </c>
      <c r="C133" s="71" t="s">
        <v>233</v>
      </c>
      <c r="D133" s="72" t="s">
        <v>234</v>
      </c>
      <c r="E133" s="73"/>
      <c r="F133" s="74">
        <f>+VLOOKUP(C133,TbPrestamo[],13,FALSE)</f>
        <v>0</v>
      </c>
      <c r="G133" s="2"/>
      <c r="H133" s="75" t="str">
        <f t="shared" si="2"/>
        <v>EA.1000</v>
      </c>
      <c r="I133" s="59" t="str">
        <f t="shared" si="3"/>
        <v>ok</v>
      </c>
      <c r="J133" s="77">
        <f>IFERROR(VLOOKUP($H133,TG[],3,FALSE),"NA")</f>
        <v>0</v>
      </c>
      <c r="K133" s="77" t="str">
        <f>IFERROR(VLOOKUP($H133,TF[],3,FALSE),"NA")</f>
        <v>NA</v>
      </c>
      <c r="L133" s="77" t="str">
        <f>IFERROR(VLOOKUP($H133,TT[],3,FALSE),"NA")</f>
        <v>NA</v>
      </c>
      <c r="M133" s="77">
        <f>IFERROR(VLOOKUP($H133,TES[],3,FALSE),"NA")</f>
        <v>0</v>
      </c>
      <c r="N133" s="77" t="str">
        <f>IFERROR(VLOOKUP($H133,TEC[],3,FALSE),"NA")</f>
        <v>NA</v>
      </c>
      <c r="O133" s="77" t="str">
        <f>IFERROR(VLOOKUP($H133,TP[],3,FALSE),"NA")</f>
        <v>NA</v>
      </c>
      <c r="P133" s="77" t="str">
        <f>IFERROR(VLOOKUP($H133,TEN[],3,FALSE),"NA")</f>
        <v>NA</v>
      </c>
      <c r="Q133" s="77" t="str">
        <f>IFERROR(VLOOKUP($H133,TD[],3,FALSE),"NA")</f>
        <v>NA</v>
      </c>
      <c r="R133" s="77" t="str">
        <f>IFERROR(VLOOKUP($H133,TC[],3,FALSE),"NA")</f>
        <v>NA</v>
      </c>
      <c r="S133" s="77" t="str">
        <f>IFERROR(VLOOKUP($H133,TEV[],3,FALSE),"NA")</f>
        <v>NA</v>
      </c>
      <c r="T133" s="79">
        <f>SUM(TbPrestamo[[#This Row],[GENERAL]:[ELEVADOR]])</f>
        <v>0</v>
      </c>
      <c r="U133" s="80">
        <f>IF(VLOOKUP(TbPrestamo[[#This Row],[ITEM]],TbPiezas[],5,FALSE)="NA",0,VLOOKUP(TbPrestamo[[#This Row],[ITEM]],TbPiezas[],5,FALSE))</f>
        <v>2.5</v>
      </c>
      <c r="V133" s="81">
        <f>+TbPrestamo[[#This Row],[TOTAL]]*TbPrestamo[[#This Row],[P.U. (1)]]</f>
        <v>0</v>
      </c>
      <c r="W133" s="82">
        <f>+VLOOKUP(TbPrestamo[[#This Row],[ITEM]],TbPiezas[],6,FALSE)</f>
        <v>208.2</v>
      </c>
      <c r="X133" s="83">
        <f>+TbPrestamo[[#This Row],[TOTAL]]*TbPrestamo[[#This Row],[P.U. (2)]]</f>
        <v>0</v>
      </c>
      <c r="Y133" s="82">
        <f>+VLOOKUP(TbPrestamo[[#This Row],[ITEM]],TbPiezas[],7,FALSE)</f>
        <v>10.41</v>
      </c>
      <c r="Z133" s="84">
        <f>+TbPrestamo[[#This Row],[TOTAL]]*TbPrestamo[[#This Row],[P.U. (3)]]</f>
        <v>0</v>
      </c>
    </row>
    <row r="134" spans="1:26" ht="15" customHeight="1" x14ac:dyDescent="0.3">
      <c r="A134" s="2"/>
      <c r="B134" s="85">
        <v>117</v>
      </c>
      <c r="C134" s="71" t="s">
        <v>235</v>
      </c>
      <c r="D134" s="72" t="s">
        <v>236</v>
      </c>
      <c r="E134" s="73"/>
      <c r="F134" s="74">
        <f>+VLOOKUP(C134,TbPrestamo[],13,FALSE)</f>
        <v>0</v>
      </c>
      <c r="G134" s="2"/>
      <c r="H134" s="75" t="str">
        <f t="shared" si="2"/>
        <v>EA.1100</v>
      </c>
      <c r="I134" s="59" t="str">
        <f t="shared" si="3"/>
        <v>ok</v>
      </c>
      <c r="J134" s="77">
        <f>IFERROR(VLOOKUP($H134,TG[],3,FALSE),"NA")</f>
        <v>0</v>
      </c>
      <c r="K134" s="77" t="str">
        <f>IFERROR(VLOOKUP($H134,TF[],3,FALSE),"NA")</f>
        <v>NA</v>
      </c>
      <c r="L134" s="77" t="str">
        <f>IFERROR(VLOOKUP($H134,TT[],3,FALSE),"NA")</f>
        <v>NA</v>
      </c>
      <c r="M134" s="77">
        <f>IFERROR(VLOOKUP($H134,TES[],3,FALSE),"NA")</f>
        <v>0</v>
      </c>
      <c r="N134" s="77" t="str">
        <f>IFERROR(VLOOKUP($H134,TEC[],3,FALSE),"NA")</f>
        <v>NA</v>
      </c>
      <c r="O134" s="77" t="str">
        <f>IFERROR(VLOOKUP($H134,TP[],3,FALSE),"NA")</f>
        <v>NA</v>
      </c>
      <c r="P134" s="77" t="str">
        <f>IFERROR(VLOOKUP($H134,TEN[],3,FALSE),"NA")</f>
        <v>NA</v>
      </c>
      <c r="Q134" s="77" t="str">
        <f>IFERROR(VLOOKUP($H134,TD[],3,FALSE),"NA")</f>
        <v>NA</v>
      </c>
      <c r="R134" s="77" t="str">
        <f>IFERROR(VLOOKUP($H134,TC[],3,FALSE),"NA")</f>
        <v>NA</v>
      </c>
      <c r="S134" s="77" t="str">
        <f>IFERROR(VLOOKUP($H134,TEV[],3,FALSE),"NA")</f>
        <v>NA</v>
      </c>
      <c r="T134" s="79">
        <f>SUM(TbPrestamo[[#This Row],[GENERAL]:[ELEVADOR]])</f>
        <v>0</v>
      </c>
      <c r="U134" s="80">
        <f>IF(VLOOKUP(TbPrestamo[[#This Row],[ITEM]],TbPiezas[],5,FALSE)="NA",0,VLOOKUP(TbPrestamo[[#This Row],[ITEM]],TbPiezas[],5,FALSE))</f>
        <v>3.7999999999999972</v>
      </c>
      <c r="V134" s="81">
        <f>+TbPrestamo[[#This Row],[TOTAL]]*TbPrestamo[[#This Row],[P.U. (1)]]</f>
        <v>0</v>
      </c>
      <c r="W134" s="82">
        <f>+VLOOKUP(TbPrestamo[[#This Row],[ITEM]],TbPiezas[],6,FALSE)</f>
        <v>208.2</v>
      </c>
      <c r="X134" s="83">
        <f>+TbPrestamo[[#This Row],[TOTAL]]*TbPrestamo[[#This Row],[P.U. (2)]]</f>
        <v>0</v>
      </c>
      <c r="Y134" s="82">
        <f>+VLOOKUP(TbPrestamo[[#This Row],[ITEM]],TbPiezas[],7,FALSE)</f>
        <v>10.41</v>
      </c>
      <c r="Z134" s="84">
        <f>+TbPrestamo[[#This Row],[TOTAL]]*TbPrestamo[[#This Row],[P.U. (3)]]</f>
        <v>0</v>
      </c>
    </row>
    <row r="135" spans="1:26" ht="15" customHeight="1" x14ac:dyDescent="0.3">
      <c r="A135" s="2"/>
      <c r="B135" s="85">
        <v>118</v>
      </c>
      <c r="C135" s="71" t="s">
        <v>237</v>
      </c>
      <c r="D135" s="72" t="s">
        <v>238</v>
      </c>
      <c r="E135" s="73"/>
      <c r="F135" s="74">
        <f>+VLOOKUP(C135,TbPrestamo[],13,FALSE)</f>
        <v>0</v>
      </c>
      <c r="G135" s="2"/>
      <c r="H135" s="75" t="str">
        <f t="shared" si="2"/>
        <v>EA.1200</v>
      </c>
      <c r="I135" s="59" t="str">
        <f t="shared" si="3"/>
        <v>ok</v>
      </c>
      <c r="J135" s="77">
        <f>IFERROR(VLOOKUP($H135,TG[],3,FALSE),"NA")</f>
        <v>0</v>
      </c>
      <c r="K135" s="77" t="str">
        <f>IFERROR(VLOOKUP($H135,TF[],3,FALSE),"NA")</f>
        <v>NA</v>
      </c>
      <c r="L135" s="77" t="str">
        <f>IFERROR(VLOOKUP($H135,TT[],3,FALSE),"NA")</f>
        <v>NA</v>
      </c>
      <c r="M135" s="77">
        <f>IFERROR(VLOOKUP($H135,TES[],3,FALSE),"NA")</f>
        <v>0</v>
      </c>
      <c r="N135" s="77" t="str">
        <f>IFERROR(VLOOKUP($H135,TEC[],3,FALSE),"NA")</f>
        <v>NA</v>
      </c>
      <c r="O135" s="77" t="str">
        <f>IFERROR(VLOOKUP($H135,TP[],3,FALSE),"NA")</f>
        <v>NA</v>
      </c>
      <c r="P135" s="77" t="str">
        <f>IFERROR(VLOOKUP($H135,TEN[],3,FALSE),"NA")</f>
        <v>NA</v>
      </c>
      <c r="Q135" s="77" t="str">
        <f>IFERROR(VLOOKUP($H135,TD[],3,FALSE),"NA")</f>
        <v>NA</v>
      </c>
      <c r="R135" s="77" t="str">
        <f>IFERROR(VLOOKUP($H135,TC[],3,FALSE),"NA")</f>
        <v>NA</v>
      </c>
      <c r="S135" s="77" t="str">
        <f>IFERROR(VLOOKUP($H135,TEV[],3,FALSE),"NA")</f>
        <v>NA</v>
      </c>
      <c r="T135" s="79">
        <f>SUM(TbPrestamo[[#This Row],[GENERAL]:[ELEVADOR]])</f>
        <v>0</v>
      </c>
      <c r="U135" s="80">
        <f>IF(VLOOKUP(TbPrestamo[[#This Row],[ITEM]],TbPiezas[],5,FALSE)="NA",0,VLOOKUP(TbPrestamo[[#This Row],[ITEM]],TbPiezas[],5,FALSE))</f>
        <v>1.7999999999999972</v>
      </c>
      <c r="V135" s="81">
        <f>+TbPrestamo[[#This Row],[TOTAL]]*TbPrestamo[[#This Row],[P.U. (1)]]</f>
        <v>0</v>
      </c>
      <c r="W135" s="82">
        <f>+VLOOKUP(TbPrestamo[[#This Row],[ITEM]],TbPiezas[],6,FALSE)</f>
        <v>208.2</v>
      </c>
      <c r="X135" s="83">
        <f>+TbPrestamo[[#This Row],[TOTAL]]*TbPrestamo[[#This Row],[P.U. (2)]]</f>
        <v>0</v>
      </c>
      <c r="Y135" s="82">
        <f>+VLOOKUP(TbPrestamo[[#This Row],[ITEM]],TbPiezas[],7,FALSE)</f>
        <v>10.41</v>
      </c>
      <c r="Z135" s="84">
        <f>+TbPrestamo[[#This Row],[TOTAL]]*TbPrestamo[[#This Row],[P.U. (3)]]</f>
        <v>0</v>
      </c>
    </row>
    <row r="136" spans="1:26" ht="15" customHeight="1" x14ac:dyDescent="0.3">
      <c r="A136" s="2"/>
      <c r="B136" s="85">
        <v>119</v>
      </c>
      <c r="C136" s="71" t="s">
        <v>239</v>
      </c>
      <c r="D136" s="72" t="s">
        <v>240</v>
      </c>
      <c r="E136" s="73"/>
      <c r="F136" s="74">
        <f>+VLOOKUP(C136,TbPrestamo[],13,FALSE)</f>
        <v>2</v>
      </c>
      <c r="G136" s="2"/>
      <c r="H136" s="75" t="str">
        <f t="shared" si="2"/>
        <v>EA.1300</v>
      </c>
      <c r="I136" s="59" t="str">
        <f t="shared" si="3"/>
        <v>ok</v>
      </c>
      <c r="J136" s="77">
        <f>IFERROR(VLOOKUP($H136,TG[],3,FALSE),"NA")</f>
        <v>0</v>
      </c>
      <c r="K136" s="77" t="str">
        <f>IFERROR(VLOOKUP($H136,TF[],3,FALSE),"NA")</f>
        <v>NA</v>
      </c>
      <c r="L136" s="77" t="str">
        <f>IFERROR(VLOOKUP($H136,TT[],3,FALSE),"NA")</f>
        <v>NA</v>
      </c>
      <c r="M136" s="77">
        <f>IFERROR(VLOOKUP($H136,TES[],3,FALSE),"NA")</f>
        <v>2</v>
      </c>
      <c r="N136" s="77" t="str">
        <f>IFERROR(VLOOKUP($H136,TEC[],3,FALSE),"NA")</f>
        <v>NA</v>
      </c>
      <c r="O136" s="77" t="str">
        <f>IFERROR(VLOOKUP($H136,TP[],3,FALSE),"NA")</f>
        <v>NA</v>
      </c>
      <c r="P136" s="77" t="str">
        <f>IFERROR(VLOOKUP($H136,TEN[],3,FALSE),"NA")</f>
        <v>NA</v>
      </c>
      <c r="Q136" s="77" t="str">
        <f>IFERROR(VLOOKUP($H136,TD[],3,FALSE),"NA")</f>
        <v>NA</v>
      </c>
      <c r="R136" s="77" t="str">
        <f>IFERROR(VLOOKUP($H136,TC[],3,FALSE),"NA")</f>
        <v>NA</v>
      </c>
      <c r="S136" s="77" t="str">
        <f>IFERROR(VLOOKUP($H136,TEV[],3,FALSE),"NA")</f>
        <v>NA</v>
      </c>
      <c r="T136" s="79">
        <f>SUM(TbPrestamo[[#This Row],[GENERAL]:[ELEVADOR]])</f>
        <v>2</v>
      </c>
      <c r="U136" s="80">
        <f>IF(VLOOKUP(TbPrestamo[[#This Row],[ITEM]],TbPiezas[],5,FALSE)="NA",0,VLOOKUP(TbPrestamo[[#This Row],[ITEM]],TbPiezas[],5,FALSE))</f>
        <v>3.2000000000000028</v>
      </c>
      <c r="V136" s="81">
        <f>+TbPrestamo[[#This Row],[TOTAL]]*TbPrestamo[[#This Row],[P.U. (1)]]</f>
        <v>6.4000000000000057</v>
      </c>
      <c r="W136" s="82">
        <f>+VLOOKUP(TbPrestamo[[#This Row],[ITEM]],TbPiezas[],6,FALSE)</f>
        <v>208.2</v>
      </c>
      <c r="X136" s="83">
        <f>+TbPrestamo[[#This Row],[TOTAL]]*TbPrestamo[[#This Row],[P.U. (2)]]</f>
        <v>416.4</v>
      </c>
      <c r="Y136" s="82">
        <f>+VLOOKUP(TbPrestamo[[#This Row],[ITEM]],TbPiezas[],7,FALSE)</f>
        <v>10.41</v>
      </c>
      <c r="Z136" s="84">
        <f>+TbPrestamo[[#This Row],[TOTAL]]*TbPrestamo[[#This Row],[P.U. (3)]]</f>
        <v>20.82</v>
      </c>
    </row>
    <row r="137" spans="1:26" ht="15" customHeight="1" x14ac:dyDescent="0.3">
      <c r="A137" s="2"/>
      <c r="B137" s="85">
        <v>120</v>
      </c>
      <c r="C137" s="71" t="s">
        <v>241</v>
      </c>
      <c r="D137" s="72" t="s">
        <v>242</v>
      </c>
      <c r="E137" s="73"/>
      <c r="F137" s="74">
        <f>+VLOOKUP(C137,TbPrestamo[],13,FALSE)</f>
        <v>0</v>
      </c>
      <c r="G137" s="2"/>
      <c r="H137" s="75" t="str">
        <f t="shared" si="2"/>
        <v>EA.1400</v>
      </c>
      <c r="I137" s="59" t="str">
        <f t="shared" si="3"/>
        <v>ok</v>
      </c>
      <c r="J137" s="77">
        <f>IFERROR(VLOOKUP($H137,TG[],3,FALSE),"NA")</f>
        <v>0</v>
      </c>
      <c r="K137" s="77" t="str">
        <f>IFERROR(VLOOKUP($H137,TF[],3,FALSE),"NA")</f>
        <v>NA</v>
      </c>
      <c r="L137" s="77" t="str">
        <f>IFERROR(VLOOKUP($H137,TT[],3,FALSE),"NA")</f>
        <v>NA</v>
      </c>
      <c r="M137" s="77">
        <f>IFERROR(VLOOKUP($H137,TES[],3,FALSE),"NA")</f>
        <v>0</v>
      </c>
      <c r="N137" s="77" t="str">
        <f>IFERROR(VLOOKUP($H137,TEC[],3,FALSE),"NA")</f>
        <v>NA</v>
      </c>
      <c r="O137" s="77" t="str">
        <f>IFERROR(VLOOKUP($H137,TP[],3,FALSE),"NA")</f>
        <v>NA</v>
      </c>
      <c r="P137" s="77" t="str">
        <f>IFERROR(VLOOKUP($H137,TEN[],3,FALSE),"NA")</f>
        <v>NA</v>
      </c>
      <c r="Q137" s="77" t="str">
        <f>IFERROR(VLOOKUP($H137,TD[],3,FALSE),"NA")</f>
        <v>NA</v>
      </c>
      <c r="R137" s="77" t="str">
        <f>IFERROR(VLOOKUP($H137,TC[],3,FALSE),"NA")</f>
        <v>NA</v>
      </c>
      <c r="S137" s="77" t="str">
        <f>IFERROR(VLOOKUP($H137,TEV[],3,FALSE),"NA")</f>
        <v>NA</v>
      </c>
      <c r="T137" s="79">
        <f>SUM(TbPrestamo[[#This Row],[GENERAL]:[ELEVADOR]])</f>
        <v>0</v>
      </c>
      <c r="U137" s="80">
        <f>IF(VLOOKUP(TbPrestamo[[#This Row],[ITEM]],TbPiezas[],5,FALSE)="NA",0,VLOOKUP(TbPrestamo[[#This Row],[ITEM]],TbPiezas[],5,FALSE))</f>
        <v>56.499999999999986</v>
      </c>
      <c r="V137" s="81">
        <f>+TbPrestamo[[#This Row],[TOTAL]]*TbPrestamo[[#This Row],[P.U. (1)]]</f>
        <v>0</v>
      </c>
      <c r="W137" s="82">
        <f>+VLOOKUP(TbPrestamo[[#This Row],[ITEM]],TbPiezas[],6,FALSE)</f>
        <v>2297.56</v>
      </c>
      <c r="X137" s="83">
        <f>+TbPrestamo[[#This Row],[TOTAL]]*TbPrestamo[[#This Row],[P.U. (2)]]</f>
        <v>0</v>
      </c>
      <c r="Y137" s="82">
        <f>+VLOOKUP(TbPrestamo[[#This Row],[ITEM]],TbPiezas[],7,FALSE)</f>
        <v>114.878</v>
      </c>
      <c r="Z137" s="84">
        <f>+TbPrestamo[[#This Row],[TOTAL]]*TbPrestamo[[#This Row],[P.U. (3)]]</f>
        <v>0</v>
      </c>
    </row>
    <row r="138" spans="1:26" ht="15" customHeight="1" x14ac:dyDescent="0.3">
      <c r="A138" s="2"/>
      <c r="B138" s="85">
        <v>121</v>
      </c>
      <c r="C138" s="71" t="s">
        <v>243</v>
      </c>
      <c r="D138" s="72" t="s">
        <v>244</v>
      </c>
      <c r="E138" s="73"/>
      <c r="F138" s="74">
        <f>+VLOOKUP(C138,TbPrestamo[],13,FALSE)</f>
        <v>0</v>
      </c>
      <c r="G138" s="2"/>
      <c r="H138" s="75" t="str">
        <f t="shared" si="2"/>
        <v>EA.1500</v>
      </c>
      <c r="I138" s="59" t="str">
        <f t="shared" si="3"/>
        <v>ok</v>
      </c>
      <c r="J138" s="77">
        <f>IFERROR(VLOOKUP($H138,TG[],3,FALSE),"NA")</f>
        <v>0</v>
      </c>
      <c r="K138" s="77" t="str">
        <f>IFERROR(VLOOKUP($H138,TF[],3,FALSE),"NA")</f>
        <v>NA</v>
      </c>
      <c r="L138" s="77" t="str">
        <f>IFERROR(VLOOKUP($H138,TT[],3,FALSE),"NA")</f>
        <v>NA</v>
      </c>
      <c r="M138" s="77">
        <f>IFERROR(VLOOKUP($H138,TES[],3,FALSE),"NA")</f>
        <v>0</v>
      </c>
      <c r="N138" s="77" t="str">
        <f>IFERROR(VLOOKUP($H138,TEC[],3,FALSE),"NA")</f>
        <v>NA</v>
      </c>
      <c r="O138" s="77" t="str">
        <f>IFERROR(VLOOKUP($H138,TP[],3,FALSE),"NA")</f>
        <v>NA</v>
      </c>
      <c r="P138" s="77" t="str">
        <f>IFERROR(VLOOKUP($H138,TEN[],3,FALSE),"NA")</f>
        <v>NA</v>
      </c>
      <c r="Q138" s="77" t="str">
        <f>IFERROR(VLOOKUP($H138,TD[],3,FALSE),"NA")</f>
        <v>NA</v>
      </c>
      <c r="R138" s="77" t="str">
        <f>IFERROR(VLOOKUP($H138,TC[],3,FALSE),"NA")</f>
        <v>NA</v>
      </c>
      <c r="S138" s="77" t="str">
        <f>IFERROR(VLOOKUP($H138,TEV[],3,FALSE),"NA")</f>
        <v>NA</v>
      </c>
      <c r="T138" s="79">
        <f>SUM(TbPrestamo[[#This Row],[GENERAL]:[ELEVADOR]])</f>
        <v>0</v>
      </c>
      <c r="U138" s="80">
        <f>IF(VLOOKUP(TbPrestamo[[#This Row],[ITEM]],TbPiezas[],5,FALSE)="NA",0,VLOOKUP(TbPrestamo[[#This Row],[ITEM]],TbPiezas[],5,FALSE))</f>
        <v>7.5</v>
      </c>
      <c r="V138" s="81">
        <f>+TbPrestamo[[#This Row],[TOTAL]]*TbPrestamo[[#This Row],[P.U. (1)]]</f>
        <v>0</v>
      </c>
      <c r="W138" s="82">
        <f>+VLOOKUP(TbPrestamo[[#This Row],[ITEM]],TbPiezas[],6,FALSE)</f>
        <v>299.33</v>
      </c>
      <c r="X138" s="83">
        <f>+TbPrestamo[[#This Row],[TOTAL]]*TbPrestamo[[#This Row],[P.U. (2)]]</f>
        <v>0</v>
      </c>
      <c r="Y138" s="82">
        <f>+VLOOKUP(TbPrestamo[[#This Row],[ITEM]],TbPiezas[],7,FALSE)</f>
        <v>14.9665</v>
      </c>
      <c r="Z138" s="84">
        <f>+TbPrestamo[[#This Row],[TOTAL]]*TbPrestamo[[#This Row],[P.U. (3)]]</f>
        <v>0</v>
      </c>
    </row>
    <row r="139" spans="1:26" ht="15" customHeight="1" x14ac:dyDescent="0.3">
      <c r="A139" s="2"/>
      <c r="B139" s="85">
        <v>122</v>
      </c>
      <c r="C139" s="71" t="s">
        <v>245</v>
      </c>
      <c r="D139" s="72" t="s">
        <v>246</v>
      </c>
      <c r="E139" s="73"/>
      <c r="F139" s="74">
        <f>+VLOOKUP(C139,TbPrestamo[],13,FALSE)</f>
        <v>0</v>
      </c>
      <c r="G139" s="2"/>
      <c r="H139" s="75" t="str">
        <f t="shared" si="2"/>
        <v>EA.1600</v>
      </c>
      <c r="I139" s="59" t="str">
        <f t="shared" si="3"/>
        <v>ok</v>
      </c>
      <c r="J139" s="77">
        <f>IFERROR(VLOOKUP($H139,TG[],3,FALSE),"NA")</f>
        <v>0</v>
      </c>
      <c r="K139" s="77" t="str">
        <f>IFERROR(VLOOKUP($H139,TF[],3,FALSE),"NA")</f>
        <v>NA</v>
      </c>
      <c r="L139" s="77" t="str">
        <f>IFERROR(VLOOKUP($H139,TT[],3,FALSE),"NA")</f>
        <v>NA</v>
      </c>
      <c r="M139" s="77">
        <f>IFERROR(VLOOKUP($H139,TES[],3,FALSE),"NA")</f>
        <v>0</v>
      </c>
      <c r="N139" s="77" t="str">
        <f>IFERROR(VLOOKUP($H139,TEC[],3,FALSE),"NA")</f>
        <v>NA</v>
      </c>
      <c r="O139" s="77" t="str">
        <f>IFERROR(VLOOKUP($H139,TP[],3,FALSE),"NA")</f>
        <v>NA</v>
      </c>
      <c r="P139" s="77" t="str">
        <f>IFERROR(VLOOKUP($H139,TEN[],3,FALSE),"NA")</f>
        <v>NA</v>
      </c>
      <c r="Q139" s="77" t="str">
        <f>IFERROR(VLOOKUP($H139,TD[],3,FALSE),"NA")</f>
        <v>NA</v>
      </c>
      <c r="R139" s="77" t="str">
        <f>IFERROR(VLOOKUP($H139,TC[],3,FALSE),"NA")</f>
        <v>NA</v>
      </c>
      <c r="S139" s="77" t="str">
        <f>IFERROR(VLOOKUP($H139,TEV[],3,FALSE),"NA")</f>
        <v>NA</v>
      </c>
      <c r="T139" s="79">
        <f>SUM(TbPrestamo[[#This Row],[GENERAL]:[ELEVADOR]])</f>
        <v>0</v>
      </c>
      <c r="U139" s="80">
        <f>IF(VLOOKUP(TbPrestamo[[#This Row],[ITEM]],TbPiezas[],5,FALSE)="NA",0,VLOOKUP(TbPrestamo[[#This Row],[ITEM]],TbPiezas[],5,FALSE))</f>
        <v>14.700000000000003</v>
      </c>
      <c r="V139" s="81">
        <f>+TbPrestamo[[#This Row],[TOTAL]]*TbPrestamo[[#This Row],[P.U. (1)]]</f>
        <v>0</v>
      </c>
      <c r="W139" s="82">
        <f>+VLOOKUP(TbPrestamo[[#This Row],[ITEM]],TbPiezas[],6,FALSE)</f>
        <v>864.58</v>
      </c>
      <c r="X139" s="83">
        <f>+TbPrestamo[[#This Row],[TOTAL]]*TbPrestamo[[#This Row],[P.U. (2)]]</f>
        <v>0</v>
      </c>
      <c r="Y139" s="82">
        <f>+VLOOKUP(TbPrestamo[[#This Row],[ITEM]],TbPiezas[],7,FALSE)</f>
        <v>43.229000000000006</v>
      </c>
      <c r="Z139" s="84">
        <f>+TbPrestamo[[#This Row],[TOTAL]]*TbPrestamo[[#This Row],[P.U. (3)]]</f>
        <v>0</v>
      </c>
    </row>
    <row r="140" spans="1:26" ht="15" customHeight="1" x14ac:dyDescent="0.3">
      <c r="A140" s="2"/>
      <c r="B140" s="85">
        <v>123</v>
      </c>
      <c r="C140" s="71" t="s">
        <v>247</v>
      </c>
      <c r="D140" s="72" t="s">
        <v>248</v>
      </c>
      <c r="E140" s="73"/>
      <c r="F140" s="74">
        <f>+VLOOKUP(C140,TbPrestamo[],13,FALSE)</f>
        <v>0</v>
      </c>
      <c r="G140" s="2"/>
      <c r="H140" s="75" t="str">
        <f t="shared" si="2"/>
        <v>EA.1650</v>
      </c>
      <c r="I140" s="59" t="str">
        <f t="shared" si="3"/>
        <v>ok</v>
      </c>
      <c r="J140" s="77">
        <f>IFERROR(VLOOKUP($H140,TG[],3,FALSE),"NA")</f>
        <v>0</v>
      </c>
      <c r="K140" s="77" t="str">
        <f>IFERROR(VLOOKUP($H140,TF[],3,FALSE),"NA")</f>
        <v>NA</v>
      </c>
      <c r="L140" s="77" t="str">
        <f>IFERROR(VLOOKUP($H140,TT[],3,FALSE),"NA")</f>
        <v>NA</v>
      </c>
      <c r="M140" s="77">
        <f>IFERROR(VLOOKUP($H140,TES[],3,FALSE),"NA")</f>
        <v>0</v>
      </c>
      <c r="N140" s="77" t="str">
        <f>IFERROR(VLOOKUP($H140,TEC[],3,FALSE),"NA")</f>
        <v>NA</v>
      </c>
      <c r="O140" s="77" t="str">
        <f>IFERROR(VLOOKUP($H140,TP[],3,FALSE),"NA")</f>
        <v>NA</v>
      </c>
      <c r="P140" s="77" t="str">
        <f>IFERROR(VLOOKUP($H140,TEN[],3,FALSE),"NA")</f>
        <v>NA</v>
      </c>
      <c r="Q140" s="77" t="str">
        <f>IFERROR(VLOOKUP($H140,TD[],3,FALSE),"NA")</f>
        <v>NA</v>
      </c>
      <c r="R140" s="77" t="str">
        <f>IFERROR(VLOOKUP($H140,TC[],3,FALSE),"NA")</f>
        <v>NA</v>
      </c>
      <c r="S140" s="77" t="str">
        <f>IFERROR(VLOOKUP($H140,TEV[],3,FALSE),"NA")</f>
        <v>NA</v>
      </c>
      <c r="T140" s="79">
        <f>SUM(TbPrestamo[[#This Row],[GENERAL]:[ELEVADOR]])</f>
        <v>0</v>
      </c>
      <c r="U140" s="80">
        <f>IF(VLOOKUP(TbPrestamo[[#This Row],[ITEM]],TbPiezas[],5,FALSE)="NA",0,VLOOKUP(TbPrestamo[[#This Row],[ITEM]],TbPiezas[],5,FALSE))</f>
        <v>8.6</v>
      </c>
      <c r="V140" s="81">
        <f>+TbPrestamo[[#This Row],[TOTAL]]*TbPrestamo[[#This Row],[P.U. (1)]]</f>
        <v>0</v>
      </c>
      <c r="W140" s="82">
        <f>+VLOOKUP(TbPrestamo[[#This Row],[ITEM]],TbPiezas[],6,FALSE)</f>
        <v>446.77</v>
      </c>
      <c r="X140" s="83">
        <f>+TbPrestamo[[#This Row],[TOTAL]]*TbPrestamo[[#This Row],[P.U. (2)]]</f>
        <v>0</v>
      </c>
      <c r="Y140" s="82">
        <f>+VLOOKUP(TbPrestamo[[#This Row],[ITEM]],TbPiezas[],7,FALSE)</f>
        <v>22.3385</v>
      </c>
      <c r="Z140" s="84">
        <f>+TbPrestamo[[#This Row],[TOTAL]]*TbPrestamo[[#This Row],[P.U. (3)]]</f>
        <v>0</v>
      </c>
    </row>
    <row r="141" spans="1:26" ht="15" customHeight="1" x14ac:dyDescent="0.3">
      <c r="A141" s="2"/>
      <c r="B141" s="85">
        <v>124</v>
      </c>
      <c r="C141" s="71" t="s">
        <v>249</v>
      </c>
      <c r="D141" s="72" t="s">
        <v>250</v>
      </c>
      <c r="E141" s="73"/>
      <c r="F141" s="74">
        <f>+VLOOKUP(C141,TbPrestamo[],13,FALSE)</f>
        <v>0</v>
      </c>
      <c r="G141" s="2"/>
      <c r="H141" s="75" t="str">
        <f t="shared" si="2"/>
        <v>EA.1700</v>
      </c>
      <c r="I141" s="59" t="str">
        <f t="shared" si="3"/>
        <v>ok</v>
      </c>
      <c r="J141" s="77">
        <f>IFERROR(VLOOKUP($H141,TG[],3,FALSE),"NA")</f>
        <v>0</v>
      </c>
      <c r="K141" s="77" t="str">
        <f>IFERROR(VLOOKUP($H141,TF[],3,FALSE),"NA")</f>
        <v>NA</v>
      </c>
      <c r="L141" s="77" t="str">
        <f>IFERROR(VLOOKUP($H141,TT[],3,FALSE),"NA")</f>
        <v>NA</v>
      </c>
      <c r="M141" s="77">
        <f>IFERROR(VLOOKUP($H141,TES[],3,FALSE),"NA")</f>
        <v>0</v>
      </c>
      <c r="N141" s="77" t="str">
        <f>IFERROR(VLOOKUP($H141,TEC[],3,FALSE),"NA")</f>
        <v>NA</v>
      </c>
      <c r="O141" s="77" t="str">
        <f>IFERROR(VLOOKUP($H141,TP[],3,FALSE),"NA")</f>
        <v>NA</v>
      </c>
      <c r="P141" s="77" t="str">
        <f>IFERROR(VLOOKUP($H141,TEN[],3,FALSE),"NA")</f>
        <v>NA</v>
      </c>
      <c r="Q141" s="77" t="str">
        <f>IFERROR(VLOOKUP($H141,TD[],3,FALSE),"NA")</f>
        <v>NA</v>
      </c>
      <c r="R141" s="77" t="str">
        <f>IFERROR(VLOOKUP($H141,TC[],3,FALSE),"NA")</f>
        <v>NA</v>
      </c>
      <c r="S141" s="77" t="str">
        <f>IFERROR(VLOOKUP($H141,TEV[],3,FALSE),"NA")</f>
        <v>NA</v>
      </c>
      <c r="T141" s="79">
        <f>SUM(TbPrestamo[[#This Row],[GENERAL]:[ELEVADOR]])</f>
        <v>0</v>
      </c>
      <c r="U141" s="80">
        <f>IF(VLOOKUP(TbPrestamo[[#This Row],[ITEM]],TbPiezas[],5,FALSE)="NA",0,VLOOKUP(TbPrestamo[[#This Row],[ITEM]],TbPiezas[],5,FALSE))</f>
        <v>14.700000000000003</v>
      </c>
      <c r="V141" s="81">
        <f>+TbPrestamo[[#This Row],[TOTAL]]*TbPrestamo[[#This Row],[P.U. (1)]]</f>
        <v>0</v>
      </c>
      <c r="W141" s="82">
        <f>+VLOOKUP(TbPrestamo[[#This Row],[ITEM]],TbPiezas[],6,FALSE)</f>
        <v>864.58</v>
      </c>
      <c r="X141" s="83">
        <f>+TbPrestamo[[#This Row],[TOTAL]]*TbPrestamo[[#This Row],[P.U. (2)]]</f>
        <v>0</v>
      </c>
      <c r="Y141" s="82">
        <f>+VLOOKUP(TbPrestamo[[#This Row],[ITEM]],TbPiezas[],7,FALSE)</f>
        <v>43.229000000000006</v>
      </c>
      <c r="Z141" s="84">
        <f>+TbPrestamo[[#This Row],[TOTAL]]*TbPrestamo[[#This Row],[P.U. (3)]]</f>
        <v>0</v>
      </c>
    </row>
    <row r="142" spans="1:26" ht="15" customHeight="1" x14ac:dyDescent="0.3">
      <c r="A142" s="2"/>
      <c r="B142" s="85">
        <v>125</v>
      </c>
      <c r="C142" s="71" t="s">
        <v>251</v>
      </c>
      <c r="D142" s="72" t="s">
        <v>252</v>
      </c>
      <c r="E142" s="73"/>
      <c r="F142" s="74">
        <f>+VLOOKUP(C142,TbPrestamo[],13,FALSE)</f>
        <v>0</v>
      </c>
      <c r="G142" s="2"/>
      <c r="H142" s="75" t="str">
        <f t="shared" si="2"/>
        <v>EA.1750</v>
      </c>
      <c r="I142" s="59" t="str">
        <f t="shared" si="3"/>
        <v>ok</v>
      </c>
      <c r="J142" s="77">
        <f>IFERROR(VLOOKUP($H142,TG[],3,FALSE),"NA")</f>
        <v>0</v>
      </c>
      <c r="K142" s="77" t="str">
        <f>IFERROR(VLOOKUP($H142,TF[],3,FALSE),"NA")</f>
        <v>NA</v>
      </c>
      <c r="L142" s="77" t="str">
        <f>IFERROR(VLOOKUP($H142,TT[],3,FALSE),"NA")</f>
        <v>NA</v>
      </c>
      <c r="M142" s="77">
        <f>IFERROR(VLOOKUP($H142,TES[],3,FALSE),"NA")</f>
        <v>0</v>
      </c>
      <c r="N142" s="77" t="str">
        <f>IFERROR(VLOOKUP($H142,TEC[],3,FALSE),"NA")</f>
        <v>NA</v>
      </c>
      <c r="O142" s="77" t="str">
        <f>IFERROR(VLOOKUP($H142,TP[],3,FALSE),"NA")</f>
        <v>NA</v>
      </c>
      <c r="P142" s="77" t="str">
        <f>IFERROR(VLOOKUP($H142,TEN[],3,FALSE),"NA")</f>
        <v>NA</v>
      </c>
      <c r="Q142" s="77" t="str">
        <f>IFERROR(VLOOKUP($H142,TD[],3,FALSE),"NA")</f>
        <v>NA</v>
      </c>
      <c r="R142" s="77" t="str">
        <f>IFERROR(VLOOKUP($H142,TC[],3,FALSE),"NA")</f>
        <v>NA</v>
      </c>
      <c r="S142" s="77" t="str">
        <f>IFERROR(VLOOKUP($H142,TEV[],3,FALSE),"NA")</f>
        <v>NA</v>
      </c>
      <c r="T142" s="79">
        <f>SUM(TbPrestamo[[#This Row],[GENERAL]:[ELEVADOR]])</f>
        <v>0</v>
      </c>
      <c r="U142" s="80">
        <f>IF(VLOOKUP(TbPrestamo[[#This Row],[ITEM]],TbPiezas[],5,FALSE)="NA",0,VLOOKUP(TbPrestamo[[#This Row],[ITEM]],TbPiezas[],5,FALSE))</f>
        <v>8.6</v>
      </c>
      <c r="V142" s="81">
        <f>+TbPrestamo[[#This Row],[TOTAL]]*TbPrestamo[[#This Row],[P.U. (1)]]</f>
        <v>0</v>
      </c>
      <c r="W142" s="82">
        <f>+VLOOKUP(TbPrestamo[[#This Row],[ITEM]],TbPiezas[],6,FALSE)</f>
        <v>446.77</v>
      </c>
      <c r="X142" s="83">
        <f>+TbPrestamo[[#This Row],[TOTAL]]*TbPrestamo[[#This Row],[P.U. (2)]]</f>
        <v>0</v>
      </c>
      <c r="Y142" s="82">
        <f>+VLOOKUP(TbPrestamo[[#This Row],[ITEM]],TbPiezas[],7,FALSE)</f>
        <v>22.3385</v>
      </c>
      <c r="Z142" s="84">
        <f>+TbPrestamo[[#This Row],[TOTAL]]*TbPrestamo[[#This Row],[P.U. (3)]]</f>
        <v>0</v>
      </c>
    </row>
    <row r="143" spans="1:26" ht="15" customHeight="1" x14ac:dyDescent="0.3">
      <c r="A143" s="2"/>
      <c r="B143" s="85">
        <v>126</v>
      </c>
      <c r="C143" s="71" t="s">
        <v>253</v>
      </c>
      <c r="D143" s="72" t="s">
        <v>254</v>
      </c>
      <c r="E143" s="73"/>
      <c r="F143" s="74">
        <f>+VLOOKUP(C143,TbPrestamo[],13,FALSE)</f>
        <v>0</v>
      </c>
      <c r="G143" s="2"/>
      <c r="H143" s="75" t="str">
        <f t="shared" si="2"/>
        <v>EA.1800</v>
      </c>
      <c r="I143" s="59" t="str">
        <f t="shared" si="3"/>
        <v>ok</v>
      </c>
      <c r="J143" s="77">
        <f>IFERROR(VLOOKUP($H143,TG[],3,FALSE),"NA")</f>
        <v>0</v>
      </c>
      <c r="K143" s="77" t="str">
        <f>IFERROR(VLOOKUP($H143,TF[],3,FALSE),"NA")</f>
        <v>NA</v>
      </c>
      <c r="L143" s="77" t="str">
        <f>IFERROR(VLOOKUP($H143,TT[],3,FALSE),"NA")</f>
        <v>NA</v>
      </c>
      <c r="M143" s="77">
        <f>IFERROR(VLOOKUP($H143,TES[],3,FALSE),"NA")</f>
        <v>0</v>
      </c>
      <c r="N143" s="77" t="str">
        <f>IFERROR(VLOOKUP($H143,TEC[],3,FALSE),"NA")</f>
        <v>NA</v>
      </c>
      <c r="O143" s="77" t="str">
        <f>IFERROR(VLOOKUP($H143,TP[],3,FALSE),"NA")</f>
        <v>NA</v>
      </c>
      <c r="P143" s="77" t="str">
        <f>IFERROR(VLOOKUP($H143,TEN[],3,FALSE),"NA")</f>
        <v>NA</v>
      </c>
      <c r="Q143" s="77" t="str">
        <f>IFERROR(VLOOKUP($H143,TD[],3,FALSE),"NA")</f>
        <v>NA</v>
      </c>
      <c r="R143" s="77" t="str">
        <f>IFERROR(VLOOKUP($H143,TC[],3,FALSE),"NA")</f>
        <v>NA</v>
      </c>
      <c r="S143" s="77" t="str">
        <f>IFERROR(VLOOKUP($H143,TEV[],3,FALSE),"NA")</f>
        <v>NA</v>
      </c>
      <c r="T143" s="79">
        <f>SUM(TbPrestamo[[#This Row],[GENERAL]:[ELEVADOR]])</f>
        <v>0</v>
      </c>
      <c r="U143" s="80">
        <f>IF(VLOOKUP(TbPrestamo[[#This Row],[ITEM]],TbPiezas[],5,FALSE)="NA",0,VLOOKUP(TbPrestamo[[#This Row],[ITEM]],TbPiezas[],5,FALSE))</f>
        <v>3.3999999999999915</v>
      </c>
      <c r="V143" s="81">
        <f>+TbPrestamo[[#This Row],[TOTAL]]*TbPrestamo[[#This Row],[P.U. (1)]]</f>
        <v>0</v>
      </c>
      <c r="W143" s="82">
        <f>+VLOOKUP(TbPrestamo[[#This Row],[ITEM]],TbPiezas[],6,FALSE)</f>
        <v>241.71</v>
      </c>
      <c r="X143" s="83">
        <f>+TbPrestamo[[#This Row],[TOTAL]]*TbPrestamo[[#This Row],[P.U. (2)]]</f>
        <v>0</v>
      </c>
      <c r="Y143" s="82">
        <f>+VLOOKUP(TbPrestamo[[#This Row],[ITEM]],TbPiezas[],7,FALSE)</f>
        <v>12.085500000000001</v>
      </c>
      <c r="Z143" s="84">
        <f>+TbPrestamo[[#This Row],[TOTAL]]*TbPrestamo[[#This Row],[P.U. (3)]]</f>
        <v>0</v>
      </c>
    </row>
    <row r="144" spans="1:26" ht="15" customHeight="1" x14ac:dyDescent="0.3">
      <c r="A144" s="2"/>
      <c r="B144" s="85">
        <v>127</v>
      </c>
      <c r="C144" s="71" t="s">
        <v>255</v>
      </c>
      <c r="D144" s="72" t="s">
        <v>256</v>
      </c>
      <c r="E144" s="73"/>
      <c r="F144" s="74">
        <f>+VLOOKUP(C144,TbPrestamo[],13,FALSE)</f>
        <v>0</v>
      </c>
      <c r="G144" s="2"/>
      <c r="H144" s="75" t="str">
        <f t="shared" si="2"/>
        <v>EA.1850</v>
      </c>
      <c r="I144" s="59" t="str">
        <f t="shared" si="3"/>
        <v>ok</v>
      </c>
      <c r="J144" s="77">
        <f>IFERROR(VLOOKUP($H144,TG[],3,FALSE),"NA")</f>
        <v>0</v>
      </c>
      <c r="K144" s="77" t="str">
        <f>IFERROR(VLOOKUP($H144,TF[],3,FALSE),"NA")</f>
        <v>NA</v>
      </c>
      <c r="L144" s="77" t="str">
        <f>IFERROR(VLOOKUP($H144,TT[],3,FALSE),"NA")</f>
        <v>NA</v>
      </c>
      <c r="M144" s="77">
        <f>IFERROR(VLOOKUP($H144,TES[],3,FALSE),"NA")</f>
        <v>0</v>
      </c>
      <c r="N144" s="77" t="str">
        <f>IFERROR(VLOOKUP($H144,TEC[],3,FALSE),"NA")</f>
        <v>NA</v>
      </c>
      <c r="O144" s="77" t="str">
        <f>IFERROR(VLOOKUP($H144,TP[],3,FALSE),"NA")</f>
        <v>NA</v>
      </c>
      <c r="P144" s="77" t="str">
        <f>IFERROR(VLOOKUP($H144,TEN[],3,FALSE),"NA")</f>
        <v>NA</v>
      </c>
      <c r="Q144" s="77" t="str">
        <f>IFERROR(VLOOKUP($H144,TD[],3,FALSE),"NA")</f>
        <v>NA</v>
      </c>
      <c r="R144" s="77" t="str">
        <f>IFERROR(VLOOKUP($H144,TC[],3,FALSE),"NA")</f>
        <v>NA</v>
      </c>
      <c r="S144" s="77" t="str">
        <f>IFERROR(VLOOKUP($H144,TEV[],3,FALSE),"NA")</f>
        <v>NA</v>
      </c>
      <c r="T144" s="79">
        <f>SUM(TbPrestamo[[#This Row],[GENERAL]:[ELEVADOR]])</f>
        <v>0</v>
      </c>
      <c r="U144" s="80">
        <f>IF(VLOOKUP(TbPrestamo[[#This Row],[ITEM]],TbPiezas[],5,FALSE)="NA",0,VLOOKUP(TbPrestamo[[#This Row],[ITEM]],TbPiezas[],5,FALSE))</f>
        <v>4</v>
      </c>
      <c r="V144" s="81">
        <f>+TbPrestamo[[#This Row],[TOTAL]]*TbPrestamo[[#This Row],[P.U. (1)]]</f>
        <v>0</v>
      </c>
      <c r="W144" s="82">
        <f>+VLOOKUP(TbPrestamo[[#This Row],[ITEM]],TbPiezas[],6,FALSE)</f>
        <v>110</v>
      </c>
      <c r="X144" s="83">
        <f>+TbPrestamo[[#This Row],[TOTAL]]*TbPrestamo[[#This Row],[P.U. (2)]]</f>
        <v>0</v>
      </c>
      <c r="Y144" s="82">
        <f>+VLOOKUP(TbPrestamo[[#This Row],[ITEM]],TbPiezas[],7,FALSE)</f>
        <v>5.5</v>
      </c>
      <c r="Z144" s="84">
        <f>+TbPrestamo[[#This Row],[TOTAL]]*TbPrestamo[[#This Row],[P.U. (3)]]</f>
        <v>0</v>
      </c>
    </row>
    <row r="145" spans="1:26" ht="15" customHeight="1" x14ac:dyDescent="0.3">
      <c r="A145" s="2"/>
      <c r="B145" s="85">
        <v>128</v>
      </c>
      <c r="C145" s="71" t="s">
        <v>257</v>
      </c>
      <c r="D145" s="72" t="s">
        <v>258</v>
      </c>
      <c r="E145" s="73"/>
      <c r="F145" s="74">
        <f>+VLOOKUP(C145,TbPrestamo[],13,FALSE)</f>
        <v>0</v>
      </c>
      <c r="G145" s="2"/>
      <c r="H145" s="75" t="str">
        <f t="shared" si="2"/>
        <v>EA.1900</v>
      </c>
      <c r="I145" s="59" t="str">
        <f t="shared" si="3"/>
        <v>ok</v>
      </c>
      <c r="J145" s="77">
        <f>IFERROR(VLOOKUP($H145,TG[],3,FALSE),"NA")</f>
        <v>0</v>
      </c>
      <c r="K145" s="77" t="str">
        <f>IFERROR(VLOOKUP($H145,TF[],3,FALSE),"NA")</f>
        <v>NA</v>
      </c>
      <c r="L145" s="77" t="str">
        <f>IFERROR(VLOOKUP($H145,TT[],3,FALSE),"NA")</f>
        <v>NA</v>
      </c>
      <c r="M145" s="77">
        <f>IFERROR(VLOOKUP($H145,TES[],3,FALSE),"NA")</f>
        <v>0</v>
      </c>
      <c r="N145" s="77" t="str">
        <f>IFERROR(VLOOKUP($H145,TEC[],3,FALSE),"NA")</f>
        <v>NA</v>
      </c>
      <c r="O145" s="77" t="str">
        <f>IFERROR(VLOOKUP($H145,TP[],3,FALSE),"NA")</f>
        <v>NA</v>
      </c>
      <c r="P145" s="77" t="str">
        <f>IFERROR(VLOOKUP($H145,TEN[],3,FALSE),"NA")</f>
        <v>NA</v>
      </c>
      <c r="Q145" s="77" t="str">
        <f>IFERROR(VLOOKUP($H145,TD[],3,FALSE),"NA")</f>
        <v>NA</v>
      </c>
      <c r="R145" s="77" t="str">
        <f>IFERROR(VLOOKUP($H145,TC[],3,FALSE),"NA")</f>
        <v>NA</v>
      </c>
      <c r="S145" s="77" t="str">
        <f>IFERROR(VLOOKUP($H145,TEV[],3,FALSE),"NA")</f>
        <v>NA</v>
      </c>
      <c r="T145" s="79">
        <f>SUM(TbPrestamo[[#This Row],[GENERAL]:[ELEVADOR]])</f>
        <v>0</v>
      </c>
      <c r="U145" s="80">
        <f>IF(VLOOKUP(TbPrestamo[[#This Row],[ITEM]],TbPiezas[],5,FALSE)="NA",0,VLOOKUP(TbPrestamo[[#This Row],[ITEM]],TbPiezas[],5,FALSE))</f>
        <v>10.200000000000003</v>
      </c>
      <c r="V145" s="81">
        <f>+TbPrestamo[[#This Row],[TOTAL]]*TbPrestamo[[#This Row],[P.U. (1)]]</f>
        <v>0</v>
      </c>
      <c r="W145" s="82">
        <f>+VLOOKUP(TbPrestamo[[#This Row],[ITEM]],TbPiezas[],6,FALSE)</f>
        <v>864.58</v>
      </c>
      <c r="X145" s="83">
        <f>+TbPrestamo[[#This Row],[TOTAL]]*TbPrestamo[[#This Row],[P.U. (2)]]</f>
        <v>0</v>
      </c>
      <c r="Y145" s="82">
        <f>+VLOOKUP(TbPrestamo[[#This Row],[ITEM]],TbPiezas[],7,FALSE)</f>
        <v>43.229000000000006</v>
      </c>
      <c r="Z145" s="84">
        <f>+TbPrestamo[[#This Row],[TOTAL]]*TbPrestamo[[#This Row],[P.U. (3)]]</f>
        <v>0</v>
      </c>
    </row>
    <row r="146" spans="1:26" ht="15" customHeight="1" x14ac:dyDescent="0.3">
      <c r="A146" s="2"/>
      <c r="B146" s="85">
        <v>129</v>
      </c>
      <c r="C146" s="71" t="s">
        <v>259</v>
      </c>
      <c r="D146" s="72" t="s">
        <v>260</v>
      </c>
      <c r="E146" s="73"/>
      <c r="F146" s="74">
        <f>+VLOOKUP(C146,TbPrestamo[],13,FALSE)</f>
        <v>0</v>
      </c>
      <c r="G146" s="2"/>
      <c r="H146" s="75" t="str">
        <f t="shared" ref="H146:H209" si="4">+C146</f>
        <v>EA.1950</v>
      </c>
      <c r="I146" s="59" t="str">
        <f t="shared" ref="I146:I209" si="5">+IF(C146=H146,"ok","mal")</f>
        <v>ok</v>
      </c>
      <c r="J146" s="77">
        <f>IFERROR(VLOOKUP($H146,TG[],3,FALSE),"NA")</f>
        <v>0</v>
      </c>
      <c r="K146" s="77" t="str">
        <f>IFERROR(VLOOKUP($H146,TF[],3,FALSE),"NA")</f>
        <v>NA</v>
      </c>
      <c r="L146" s="77" t="str">
        <f>IFERROR(VLOOKUP($H146,TT[],3,FALSE),"NA")</f>
        <v>NA</v>
      </c>
      <c r="M146" s="77">
        <f>IFERROR(VLOOKUP($H146,TES[],3,FALSE),"NA")</f>
        <v>0</v>
      </c>
      <c r="N146" s="77" t="str">
        <f>IFERROR(VLOOKUP($H146,TEC[],3,FALSE),"NA")</f>
        <v>NA</v>
      </c>
      <c r="O146" s="77" t="str">
        <f>IFERROR(VLOOKUP($H146,TP[],3,FALSE),"NA")</f>
        <v>NA</v>
      </c>
      <c r="P146" s="77" t="str">
        <f>IFERROR(VLOOKUP($H146,TEN[],3,FALSE),"NA")</f>
        <v>NA</v>
      </c>
      <c r="Q146" s="77" t="str">
        <f>IFERROR(VLOOKUP($H146,TD[],3,FALSE),"NA")</f>
        <v>NA</v>
      </c>
      <c r="R146" s="77" t="str">
        <f>IFERROR(VLOOKUP($H146,TC[],3,FALSE),"NA")</f>
        <v>NA</v>
      </c>
      <c r="S146" s="77" t="str">
        <f>IFERROR(VLOOKUP($H146,TEV[],3,FALSE),"NA")</f>
        <v>NA</v>
      </c>
      <c r="T146" s="79">
        <f>SUM(TbPrestamo[[#This Row],[GENERAL]:[ELEVADOR]])</f>
        <v>0</v>
      </c>
      <c r="U146" s="80">
        <f>IF(VLOOKUP(TbPrestamo[[#This Row],[ITEM]],TbPiezas[],5,FALSE)="NA",0,VLOOKUP(TbPrestamo[[#This Row],[ITEM]],TbPiezas[],5,FALSE))</f>
        <v>6.3</v>
      </c>
      <c r="V146" s="81">
        <f>+TbPrestamo[[#This Row],[TOTAL]]*TbPrestamo[[#This Row],[P.U. (1)]]</f>
        <v>0</v>
      </c>
      <c r="W146" s="82">
        <f>+VLOOKUP(TbPrestamo[[#This Row],[ITEM]],TbPiezas[],6,FALSE)</f>
        <v>446.77</v>
      </c>
      <c r="X146" s="83">
        <f>+TbPrestamo[[#This Row],[TOTAL]]*TbPrestamo[[#This Row],[P.U. (2)]]</f>
        <v>0</v>
      </c>
      <c r="Y146" s="82">
        <f>+VLOOKUP(TbPrestamo[[#This Row],[ITEM]],TbPiezas[],7,FALSE)</f>
        <v>22.3385</v>
      </c>
      <c r="Z146" s="84">
        <f>+TbPrestamo[[#This Row],[TOTAL]]*TbPrestamo[[#This Row],[P.U. (3)]]</f>
        <v>0</v>
      </c>
    </row>
    <row r="147" spans="1:26" ht="15" customHeight="1" x14ac:dyDescent="0.3">
      <c r="A147" s="2"/>
      <c r="B147" s="85">
        <v>130</v>
      </c>
      <c r="C147" s="71" t="s">
        <v>261</v>
      </c>
      <c r="D147" s="72" t="s">
        <v>262</v>
      </c>
      <c r="E147" s="73"/>
      <c r="F147" s="74">
        <f>+VLOOKUP(C147,TbPrestamo[],13,FALSE)</f>
        <v>0</v>
      </c>
      <c r="G147" s="2"/>
      <c r="H147" s="75" t="str">
        <f t="shared" si="4"/>
        <v>EA.2000</v>
      </c>
      <c r="I147" s="59" t="str">
        <f t="shared" si="5"/>
        <v>ok</v>
      </c>
      <c r="J147" s="77">
        <f>IFERROR(VLOOKUP($H147,TG[],3,FALSE),"NA")</f>
        <v>0</v>
      </c>
      <c r="K147" s="77" t="str">
        <f>IFERROR(VLOOKUP($H147,TF[],3,FALSE),"NA")</f>
        <v>NA</v>
      </c>
      <c r="L147" s="77" t="str">
        <f>IFERROR(VLOOKUP($H147,TT[],3,FALSE),"NA")</f>
        <v>NA</v>
      </c>
      <c r="M147" s="77">
        <f>IFERROR(VLOOKUP($H147,TES[],3,FALSE),"NA")</f>
        <v>0</v>
      </c>
      <c r="N147" s="77" t="str">
        <f>IFERROR(VLOOKUP($H147,TEC[],3,FALSE),"NA")</f>
        <v>NA</v>
      </c>
      <c r="O147" s="77" t="str">
        <f>IFERROR(VLOOKUP($H147,TP[],3,FALSE),"NA")</f>
        <v>NA</v>
      </c>
      <c r="P147" s="77" t="str">
        <f>IFERROR(VLOOKUP($H147,TEN[],3,FALSE),"NA")</f>
        <v>NA</v>
      </c>
      <c r="Q147" s="77" t="str">
        <f>IFERROR(VLOOKUP($H147,TD[],3,FALSE),"NA")</f>
        <v>NA</v>
      </c>
      <c r="R147" s="77" t="str">
        <f>IFERROR(VLOOKUP($H147,TC[],3,FALSE),"NA")</f>
        <v>NA</v>
      </c>
      <c r="S147" s="77" t="str">
        <f>IFERROR(VLOOKUP($H147,TEV[],3,FALSE),"NA")</f>
        <v>NA</v>
      </c>
      <c r="T147" s="79">
        <f>SUM(TbPrestamo[[#This Row],[GENERAL]:[ELEVADOR]])</f>
        <v>0</v>
      </c>
      <c r="U147" s="80">
        <f>IF(VLOOKUP(TbPrestamo[[#This Row],[ITEM]],TbPiezas[],5,FALSE)="NA",0,VLOOKUP(TbPrestamo[[#This Row],[ITEM]],TbPiezas[],5,FALSE))</f>
        <v>9.9999999999994316E-2</v>
      </c>
      <c r="V147" s="81">
        <f>+TbPrestamo[[#This Row],[TOTAL]]*TbPrestamo[[#This Row],[P.U. (1)]]</f>
        <v>0</v>
      </c>
      <c r="W147" s="82">
        <f>+VLOOKUP(TbPrestamo[[#This Row],[ITEM]],TbPiezas[],6,FALSE)</f>
        <v>10.16</v>
      </c>
      <c r="X147" s="83">
        <f>+TbPrestamo[[#This Row],[TOTAL]]*TbPrestamo[[#This Row],[P.U. (2)]]</f>
        <v>0</v>
      </c>
      <c r="Y147" s="82">
        <f>+VLOOKUP(TbPrestamo[[#This Row],[ITEM]],TbPiezas[],7,FALSE)</f>
        <v>0.50800000000000001</v>
      </c>
      <c r="Z147" s="84">
        <f>+TbPrestamo[[#This Row],[TOTAL]]*TbPrestamo[[#This Row],[P.U. (3)]]</f>
        <v>0</v>
      </c>
    </row>
    <row r="148" spans="1:26" ht="15" customHeight="1" x14ac:dyDescent="0.3">
      <c r="A148" s="2"/>
      <c r="B148" s="85">
        <v>131</v>
      </c>
      <c r="C148" s="71" t="s">
        <v>263</v>
      </c>
      <c r="D148" s="72" t="s">
        <v>264</v>
      </c>
      <c r="E148" s="73"/>
      <c r="F148" s="74">
        <f>+VLOOKUP(C148,TbPrestamo[],13,FALSE)</f>
        <v>6</v>
      </c>
      <c r="G148" s="2"/>
      <c r="H148" s="75" t="str">
        <f t="shared" si="4"/>
        <v>EC.0100</v>
      </c>
      <c r="I148" s="59" t="str">
        <f t="shared" si="5"/>
        <v>ok</v>
      </c>
      <c r="J148" s="77">
        <f>IFERROR(VLOOKUP($H148,TG[],3,FALSE),"NA")</f>
        <v>6</v>
      </c>
      <c r="K148" s="77" t="str">
        <f>IFERROR(VLOOKUP($H148,TF[],3,FALSE),"NA")</f>
        <v>NA</v>
      </c>
      <c r="L148" s="77" t="str">
        <f>IFERROR(VLOOKUP($H148,TT[],3,FALSE),"NA")</f>
        <v>NA</v>
      </c>
      <c r="M148" s="77" t="str">
        <f>IFERROR(VLOOKUP($H148,TES[],3,FALSE),"NA")</f>
        <v>NA</v>
      </c>
      <c r="N148" s="77">
        <f>IFERROR(VLOOKUP($H148,TEC[],3,FALSE),"NA")</f>
        <v>0</v>
      </c>
      <c r="O148" s="77" t="str">
        <f>IFERROR(VLOOKUP($H148,TP[],3,FALSE),"NA")</f>
        <v>NA</v>
      </c>
      <c r="P148" s="77" t="str">
        <f>IFERROR(VLOOKUP($H148,TEN[],3,FALSE),"NA")</f>
        <v>NA</v>
      </c>
      <c r="Q148" s="77" t="str">
        <f>IFERROR(VLOOKUP($H148,TD[],3,FALSE),"NA")</f>
        <v>NA</v>
      </c>
      <c r="R148" s="77" t="str">
        <f>IFERROR(VLOOKUP($H148,TC[],3,FALSE),"NA")</f>
        <v>NA</v>
      </c>
      <c r="S148" s="77" t="str">
        <f>IFERROR(VLOOKUP($H148,TEV[],3,FALSE),"NA")</f>
        <v>NA</v>
      </c>
      <c r="T148" s="79">
        <f>SUM(TbPrestamo[[#This Row],[GENERAL]:[ELEVADOR]])</f>
        <v>6</v>
      </c>
      <c r="U148" s="80">
        <f>IF(VLOOKUP(TbPrestamo[[#This Row],[ITEM]],TbPiezas[],5,FALSE)="NA",0,VLOOKUP(TbPrestamo[[#This Row],[ITEM]],TbPiezas[],5,FALSE))</f>
        <v>32.799999999999997</v>
      </c>
      <c r="V148" s="81">
        <f>+TbPrestamo[[#This Row],[TOTAL]]*TbPrestamo[[#This Row],[P.U. (1)]]</f>
        <v>196.79999999999998</v>
      </c>
      <c r="W148" s="82">
        <f>+VLOOKUP(TbPrestamo[[#This Row],[ITEM]],TbPiezas[],6,FALSE)</f>
        <v>1969.28</v>
      </c>
      <c r="X148" s="83">
        <f>+TbPrestamo[[#This Row],[TOTAL]]*TbPrestamo[[#This Row],[P.U. (2)]]</f>
        <v>11815.68</v>
      </c>
      <c r="Y148" s="82">
        <f>+VLOOKUP(TbPrestamo[[#This Row],[ITEM]],TbPiezas[],7,FALSE)</f>
        <v>70</v>
      </c>
      <c r="Z148" s="84">
        <f>+TbPrestamo[[#This Row],[TOTAL]]*TbPrestamo[[#This Row],[P.U. (3)]]</f>
        <v>420</v>
      </c>
    </row>
    <row r="149" spans="1:26" ht="15" customHeight="1" x14ac:dyDescent="0.3">
      <c r="A149" s="2"/>
      <c r="B149" s="85">
        <v>132</v>
      </c>
      <c r="C149" s="71" t="s">
        <v>265</v>
      </c>
      <c r="D149" s="72" t="s">
        <v>266</v>
      </c>
      <c r="E149" s="73"/>
      <c r="F149" s="74">
        <f>+VLOOKUP(C149,TbPrestamo[],13,FALSE)</f>
        <v>0</v>
      </c>
      <c r="G149" s="2"/>
      <c r="H149" s="75" t="str">
        <f t="shared" si="4"/>
        <v>EC.0200</v>
      </c>
      <c r="I149" s="59" t="str">
        <f t="shared" si="5"/>
        <v>ok</v>
      </c>
      <c r="J149" s="77">
        <f>IFERROR(VLOOKUP($H149,TG[],3,FALSE),"NA")</f>
        <v>0</v>
      </c>
      <c r="K149" s="77" t="str">
        <f>IFERROR(VLOOKUP($H149,TF[],3,FALSE),"NA")</f>
        <v>NA</v>
      </c>
      <c r="L149" s="77" t="str">
        <f>IFERROR(VLOOKUP($H149,TT[],3,FALSE),"NA")</f>
        <v>NA</v>
      </c>
      <c r="M149" s="77" t="str">
        <f>IFERROR(VLOOKUP($H149,TES[],3,FALSE),"NA")</f>
        <v>NA</v>
      </c>
      <c r="N149" s="77" t="str">
        <f>IFERROR(VLOOKUP($H149,TEC[],3,FALSE),"NA")</f>
        <v>NA</v>
      </c>
      <c r="O149" s="77" t="str">
        <f>IFERROR(VLOOKUP($H149,TP[],3,FALSE),"NA")</f>
        <v>NA</v>
      </c>
      <c r="P149" s="77" t="str">
        <f>IFERROR(VLOOKUP($H149,TEN[],3,FALSE),"NA")</f>
        <v>NA</v>
      </c>
      <c r="Q149" s="77" t="str">
        <f>IFERROR(VLOOKUP($H149,TD[],3,FALSE),"NA")</f>
        <v>NA</v>
      </c>
      <c r="R149" s="77" t="str">
        <f>IFERROR(VLOOKUP($H149,TC[],3,FALSE),"NA")</f>
        <v>NA</v>
      </c>
      <c r="S149" s="77" t="str">
        <f>IFERROR(VLOOKUP($H149,TEV[],3,FALSE),"NA")</f>
        <v>NA</v>
      </c>
      <c r="T149" s="79">
        <f>SUM(TbPrestamo[[#This Row],[GENERAL]:[ELEVADOR]])</f>
        <v>0</v>
      </c>
      <c r="U149" s="80">
        <f>IF(VLOOKUP(TbPrestamo[[#This Row],[ITEM]],TbPiezas[],5,FALSE)="NA",0,VLOOKUP(TbPrestamo[[#This Row],[ITEM]],TbPiezas[],5,FALSE))</f>
        <v>10.7</v>
      </c>
      <c r="V149" s="81">
        <f>+TbPrestamo[[#This Row],[TOTAL]]*TbPrestamo[[#This Row],[P.U. (1)]]</f>
        <v>0</v>
      </c>
      <c r="W149" s="82">
        <f>+VLOOKUP(TbPrestamo[[#This Row],[ITEM]],TbPiezas[],6,FALSE)</f>
        <v>457.38</v>
      </c>
      <c r="X149" s="83">
        <f>+TbPrestamo[[#This Row],[TOTAL]]*TbPrestamo[[#This Row],[P.U. (2)]]</f>
        <v>0</v>
      </c>
      <c r="Y149" s="82">
        <f>+VLOOKUP(TbPrestamo[[#This Row],[ITEM]],TbPiezas[],7,FALSE)</f>
        <v>25</v>
      </c>
      <c r="Z149" s="84">
        <f>+TbPrestamo[[#This Row],[TOTAL]]*TbPrestamo[[#This Row],[P.U. (3)]]</f>
        <v>0</v>
      </c>
    </row>
    <row r="150" spans="1:26" ht="15" customHeight="1" x14ac:dyDescent="0.3">
      <c r="A150" s="2"/>
      <c r="B150" s="85">
        <v>133</v>
      </c>
      <c r="C150" s="71" t="s">
        <v>267</v>
      </c>
      <c r="D150" s="72" t="s">
        <v>268</v>
      </c>
      <c r="E150" s="73"/>
      <c r="F150" s="74">
        <f>+VLOOKUP(C150,TbPrestamo[],13,FALSE)</f>
        <v>6</v>
      </c>
      <c r="G150" s="2"/>
      <c r="H150" s="75" t="str">
        <f t="shared" si="4"/>
        <v>EC.0300</v>
      </c>
      <c r="I150" s="59" t="str">
        <f t="shared" si="5"/>
        <v>ok</v>
      </c>
      <c r="J150" s="77">
        <f>IFERROR(VLOOKUP($H150,TG[],3,FALSE),"NA")</f>
        <v>6</v>
      </c>
      <c r="K150" s="77" t="str">
        <f>IFERROR(VLOOKUP($H150,TF[],3,FALSE),"NA")</f>
        <v>NA</v>
      </c>
      <c r="L150" s="77" t="str">
        <f>IFERROR(VLOOKUP($H150,TT[],3,FALSE),"NA")</f>
        <v>NA</v>
      </c>
      <c r="M150" s="77" t="str">
        <f>IFERROR(VLOOKUP($H150,TES[],3,FALSE),"NA")</f>
        <v>NA</v>
      </c>
      <c r="N150" s="77">
        <f>IFERROR(VLOOKUP($H150,TEC[],3,FALSE),"NA")</f>
        <v>0</v>
      </c>
      <c r="O150" s="77" t="str">
        <f>IFERROR(VLOOKUP($H150,TP[],3,FALSE),"NA")</f>
        <v>NA</v>
      </c>
      <c r="P150" s="77" t="str">
        <f>IFERROR(VLOOKUP($H150,TEN[],3,FALSE),"NA")</f>
        <v>NA</v>
      </c>
      <c r="Q150" s="77" t="str">
        <f>IFERROR(VLOOKUP($H150,TD[],3,FALSE),"NA")</f>
        <v>NA</v>
      </c>
      <c r="R150" s="77" t="str">
        <f>IFERROR(VLOOKUP($H150,TC[],3,FALSE),"NA")</f>
        <v>NA</v>
      </c>
      <c r="S150" s="77" t="str">
        <f>IFERROR(VLOOKUP($H150,TEV[],3,FALSE),"NA")</f>
        <v>NA</v>
      </c>
      <c r="T150" s="79">
        <f>SUM(TbPrestamo[[#This Row],[GENERAL]:[ELEVADOR]])</f>
        <v>6</v>
      </c>
      <c r="U150" s="80">
        <f>IF(VLOOKUP(TbPrestamo[[#This Row],[ITEM]],TbPiezas[],5,FALSE)="NA",0,VLOOKUP(TbPrestamo[[#This Row],[ITEM]],TbPiezas[],5,FALSE))</f>
        <v>13.9</v>
      </c>
      <c r="V150" s="81">
        <f>+TbPrestamo[[#This Row],[TOTAL]]*TbPrestamo[[#This Row],[P.U. (1)]]</f>
        <v>83.4</v>
      </c>
      <c r="W150" s="82">
        <f>+VLOOKUP(TbPrestamo[[#This Row],[ITEM]],TbPiezas[],6,FALSE)</f>
        <v>457.38</v>
      </c>
      <c r="X150" s="83">
        <f>+TbPrestamo[[#This Row],[TOTAL]]*TbPrestamo[[#This Row],[P.U. (2)]]</f>
        <v>2744.2799999999997</v>
      </c>
      <c r="Y150" s="82">
        <f>+VLOOKUP(TbPrestamo[[#This Row],[ITEM]],TbPiezas[],7,FALSE)</f>
        <v>25</v>
      </c>
      <c r="Z150" s="84">
        <f>+TbPrestamo[[#This Row],[TOTAL]]*TbPrestamo[[#This Row],[P.U. (3)]]</f>
        <v>150</v>
      </c>
    </row>
    <row r="151" spans="1:26" ht="15" customHeight="1" x14ac:dyDescent="0.3">
      <c r="A151" s="2"/>
      <c r="B151" s="85">
        <v>134</v>
      </c>
      <c r="C151" s="71" t="s">
        <v>269</v>
      </c>
      <c r="D151" s="72" t="s">
        <v>270</v>
      </c>
      <c r="E151" s="73"/>
      <c r="F151" s="74">
        <f>+VLOOKUP(C151,TbPrestamo[],13,FALSE)</f>
        <v>0</v>
      </c>
      <c r="G151" s="2"/>
      <c r="H151" s="75" t="str">
        <f t="shared" si="4"/>
        <v>EC.0400</v>
      </c>
      <c r="I151" s="59" t="str">
        <f t="shared" si="5"/>
        <v>ok</v>
      </c>
      <c r="J151" s="77">
        <f>IFERROR(VLOOKUP($H151,TG[],3,FALSE),"NA")</f>
        <v>0</v>
      </c>
      <c r="K151" s="77" t="str">
        <f>IFERROR(VLOOKUP($H151,TF[],3,FALSE),"NA")</f>
        <v>NA</v>
      </c>
      <c r="L151" s="77" t="str">
        <f>IFERROR(VLOOKUP($H151,TT[],3,FALSE),"NA")</f>
        <v>NA</v>
      </c>
      <c r="M151" s="77" t="str">
        <f>IFERROR(VLOOKUP($H151,TES[],3,FALSE),"NA")</f>
        <v>NA</v>
      </c>
      <c r="N151" s="77" t="str">
        <f>IFERROR(VLOOKUP($H151,TEC[],3,FALSE),"NA")</f>
        <v>NA</v>
      </c>
      <c r="O151" s="77" t="str">
        <f>IFERROR(VLOOKUP($H151,TP[],3,FALSE),"NA")</f>
        <v>NA</v>
      </c>
      <c r="P151" s="77" t="str">
        <f>IFERROR(VLOOKUP($H151,TEN[],3,FALSE),"NA")</f>
        <v>NA</v>
      </c>
      <c r="Q151" s="77" t="str">
        <f>IFERROR(VLOOKUP($H151,TD[],3,FALSE),"NA")</f>
        <v>NA</v>
      </c>
      <c r="R151" s="77" t="str">
        <f>IFERROR(VLOOKUP($H151,TC[],3,FALSE),"NA")</f>
        <v>NA</v>
      </c>
      <c r="S151" s="77" t="str">
        <f>IFERROR(VLOOKUP($H151,TEV[],3,FALSE),"NA")</f>
        <v>NA</v>
      </c>
      <c r="T151" s="79">
        <f>SUM(TbPrestamo[[#This Row],[GENERAL]:[ELEVADOR]])</f>
        <v>0</v>
      </c>
      <c r="U151" s="80">
        <f>IF(VLOOKUP(TbPrestamo[[#This Row],[ITEM]],TbPiezas[],5,FALSE)="NA",0,VLOOKUP(TbPrestamo[[#This Row],[ITEM]],TbPiezas[],5,FALSE))</f>
        <v>20.700000000000003</v>
      </c>
      <c r="V151" s="81">
        <f>+TbPrestamo[[#This Row],[TOTAL]]*TbPrestamo[[#This Row],[P.U. (1)]]</f>
        <v>0</v>
      </c>
      <c r="W151" s="82">
        <f>+VLOOKUP(TbPrestamo[[#This Row],[ITEM]],TbPiezas[],6,FALSE)</f>
        <v>635.25</v>
      </c>
      <c r="X151" s="83">
        <f>+TbPrestamo[[#This Row],[TOTAL]]*TbPrestamo[[#This Row],[P.U. (2)]]</f>
        <v>0</v>
      </c>
      <c r="Y151" s="82">
        <f>+VLOOKUP(TbPrestamo[[#This Row],[ITEM]],TbPiezas[],7,FALSE)</f>
        <v>25</v>
      </c>
      <c r="Z151" s="84">
        <f>+TbPrestamo[[#This Row],[TOTAL]]*TbPrestamo[[#This Row],[P.U. (3)]]</f>
        <v>0</v>
      </c>
    </row>
    <row r="152" spans="1:26" ht="15" customHeight="1" x14ac:dyDescent="0.3">
      <c r="A152" s="2"/>
      <c r="B152" s="85">
        <v>135</v>
      </c>
      <c r="C152" s="71" t="s">
        <v>271</v>
      </c>
      <c r="D152" s="72" t="s">
        <v>272</v>
      </c>
      <c r="E152" s="73"/>
      <c r="F152" s="74">
        <f>+VLOOKUP(C152,TbPrestamo[],13,FALSE)</f>
        <v>0</v>
      </c>
      <c r="G152" s="2"/>
      <c r="H152" s="75" t="str">
        <f t="shared" si="4"/>
        <v>EC.0500</v>
      </c>
      <c r="I152" s="59" t="str">
        <f t="shared" si="5"/>
        <v>ok</v>
      </c>
      <c r="J152" s="77">
        <f>IFERROR(VLOOKUP($H152,TG[],3,FALSE),"NA")</f>
        <v>0</v>
      </c>
      <c r="K152" s="77" t="str">
        <f>IFERROR(VLOOKUP($H152,TF[],3,FALSE),"NA")</f>
        <v>NA</v>
      </c>
      <c r="L152" s="77" t="str">
        <f>IFERROR(VLOOKUP($H152,TT[],3,FALSE),"NA")</f>
        <v>NA</v>
      </c>
      <c r="M152" s="77" t="str">
        <f>IFERROR(VLOOKUP($H152,TES[],3,FALSE),"NA")</f>
        <v>NA</v>
      </c>
      <c r="N152" s="77" t="str">
        <f>IFERROR(VLOOKUP($H152,TEC[],3,FALSE),"NA")</f>
        <v>NA</v>
      </c>
      <c r="O152" s="77" t="str">
        <f>IFERROR(VLOOKUP($H152,TP[],3,FALSE),"NA")</f>
        <v>NA</v>
      </c>
      <c r="P152" s="77" t="str">
        <f>IFERROR(VLOOKUP($H152,TEN[],3,FALSE),"NA")</f>
        <v>NA</v>
      </c>
      <c r="Q152" s="77" t="str">
        <f>IFERROR(VLOOKUP($H152,TD[],3,FALSE),"NA")</f>
        <v>NA</v>
      </c>
      <c r="R152" s="77" t="str">
        <f>IFERROR(VLOOKUP($H152,TC[],3,FALSE),"NA")</f>
        <v>NA</v>
      </c>
      <c r="S152" s="77" t="str">
        <f>IFERROR(VLOOKUP($H152,TEV[],3,FALSE),"NA")</f>
        <v>NA</v>
      </c>
      <c r="T152" s="79">
        <f>SUM(TbPrestamo[[#This Row],[GENERAL]:[ELEVADOR]])</f>
        <v>0</v>
      </c>
      <c r="U152" s="80">
        <f>IF(VLOOKUP(TbPrestamo[[#This Row],[ITEM]],TbPiezas[],5,FALSE)="NA",0,VLOOKUP(TbPrestamo[[#This Row],[ITEM]],TbPiezas[],5,FALSE))</f>
        <v>7.5</v>
      </c>
      <c r="V152" s="81">
        <f>+TbPrestamo[[#This Row],[TOTAL]]*TbPrestamo[[#This Row],[P.U. (1)]]</f>
        <v>0</v>
      </c>
      <c r="W152" s="82">
        <f>+VLOOKUP(TbPrestamo[[#This Row],[ITEM]],TbPiezas[],6,FALSE)</f>
        <v>670.32</v>
      </c>
      <c r="X152" s="83">
        <f>+TbPrestamo[[#This Row],[TOTAL]]*TbPrestamo[[#This Row],[P.U. (2)]]</f>
        <v>0</v>
      </c>
      <c r="Y152" s="82">
        <f>+VLOOKUP(TbPrestamo[[#This Row],[ITEM]],TbPiezas[],7,FALSE)</f>
        <v>25</v>
      </c>
      <c r="Z152" s="84">
        <f>+TbPrestamo[[#This Row],[TOTAL]]*TbPrestamo[[#This Row],[P.U. (3)]]</f>
        <v>0</v>
      </c>
    </row>
    <row r="153" spans="1:26" ht="15" customHeight="1" x14ac:dyDescent="0.3">
      <c r="A153" s="2"/>
      <c r="B153" s="85">
        <v>136</v>
      </c>
      <c r="C153" s="71" t="s">
        <v>273</v>
      </c>
      <c r="D153" s="72" t="s">
        <v>274</v>
      </c>
      <c r="E153" s="73"/>
      <c r="F153" s="74">
        <f>+VLOOKUP(C153,TbPrestamo[],13,FALSE)</f>
        <v>0</v>
      </c>
      <c r="G153" s="2"/>
      <c r="H153" s="75" t="str">
        <f t="shared" si="4"/>
        <v>EC.0600</v>
      </c>
      <c r="I153" s="59" t="str">
        <f t="shared" si="5"/>
        <v>ok</v>
      </c>
      <c r="J153" s="77">
        <f>IFERROR(VLOOKUP($H153,TG[],3,FALSE),"NA")</f>
        <v>0</v>
      </c>
      <c r="K153" s="77" t="str">
        <f>IFERROR(VLOOKUP($H153,TF[],3,FALSE),"NA")</f>
        <v>NA</v>
      </c>
      <c r="L153" s="77" t="str">
        <f>IFERROR(VLOOKUP($H153,TT[],3,FALSE),"NA")</f>
        <v>NA</v>
      </c>
      <c r="M153" s="77" t="str">
        <f>IFERROR(VLOOKUP($H153,TES[],3,FALSE),"NA")</f>
        <v>NA</v>
      </c>
      <c r="N153" s="77" t="str">
        <f>IFERROR(VLOOKUP($H153,TEC[],3,FALSE),"NA")</f>
        <v>NA</v>
      </c>
      <c r="O153" s="77" t="str">
        <f>IFERROR(VLOOKUP($H153,TP[],3,FALSE),"NA")</f>
        <v>NA</v>
      </c>
      <c r="P153" s="77" t="str">
        <f>IFERROR(VLOOKUP($H153,TEN[],3,FALSE),"NA")</f>
        <v>NA</v>
      </c>
      <c r="Q153" s="77">
        <f>IFERROR(VLOOKUP($H153,TD[],3,FALSE),"NA")</f>
        <v>0</v>
      </c>
      <c r="R153" s="77" t="str">
        <f>IFERROR(VLOOKUP($H153,TC[],3,FALSE),"NA")</f>
        <v>NA</v>
      </c>
      <c r="S153" s="77" t="str">
        <f>IFERROR(VLOOKUP($H153,TEV[],3,FALSE),"NA")</f>
        <v>NA</v>
      </c>
      <c r="T153" s="79">
        <f>SUM(TbPrestamo[[#This Row],[GENERAL]:[ELEVADOR]])</f>
        <v>0</v>
      </c>
      <c r="U153" s="80">
        <f>IF(VLOOKUP(TbPrestamo[[#This Row],[ITEM]],TbPiezas[],5,FALSE)="NA",0,VLOOKUP(TbPrestamo[[#This Row],[ITEM]],TbPiezas[],5,FALSE))</f>
        <v>203</v>
      </c>
      <c r="V153" s="81">
        <f>+TbPrestamo[[#This Row],[TOTAL]]*TbPrestamo[[#This Row],[P.U. (1)]]</f>
        <v>0</v>
      </c>
      <c r="W153" s="82">
        <f>+VLOOKUP(TbPrestamo[[#This Row],[ITEM]],TbPiezas[],6,FALSE)</f>
        <v>6098.4</v>
      </c>
      <c r="X153" s="83">
        <f>+TbPrestamo[[#This Row],[TOTAL]]*TbPrestamo[[#This Row],[P.U. (2)]]</f>
        <v>0</v>
      </c>
      <c r="Y153" s="82">
        <f>+VLOOKUP(TbPrestamo[[#This Row],[ITEM]],TbPiezas[],7,FALSE)</f>
        <v>304.92</v>
      </c>
      <c r="Z153" s="84">
        <f>+TbPrestamo[[#This Row],[TOTAL]]*TbPrestamo[[#This Row],[P.U. (3)]]</f>
        <v>0</v>
      </c>
    </row>
    <row r="154" spans="1:26" ht="15" customHeight="1" x14ac:dyDescent="0.3">
      <c r="A154" s="2"/>
      <c r="B154" s="85">
        <v>137</v>
      </c>
      <c r="C154" s="71" t="s">
        <v>275</v>
      </c>
      <c r="D154" s="72" t="s">
        <v>276</v>
      </c>
      <c r="E154" s="73"/>
      <c r="F154" s="74">
        <f>+VLOOKUP(C154,TbPrestamo[],13,FALSE)</f>
        <v>0</v>
      </c>
      <c r="G154" s="2"/>
      <c r="H154" s="75" t="str">
        <f t="shared" si="4"/>
        <v>EC.0700</v>
      </c>
      <c r="I154" s="59" t="str">
        <f t="shared" si="5"/>
        <v>ok</v>
      </c>
      <c r="J154" s="77">
        <f>IFERROR(VLOOKUP($H154,TG[],3,FALSE),"NA")</f>
        <v>0</v>
      </c>
      <c r="K154" s="77" t="str">
        <f>IFERROR(VLOOKUP($H154,TF[],3,FALSE),"NA")</f>
        <v>NA</v>
      </c>
      <c r="L154" s="77" t="str">
        <f>IFERROR(VLOOKUP($H154,TT[],3,FALSE),"NA")</f>
        <v>NA</v>
      </c>
      <c r="M154" s="77" t="str">
        <f>IFERROR(VLOOKUP($H154,TES[],3,FALSE),"NA")</f>
        <v>NA</v>
      </c>
      <c r="N154" s="77" t="str">
        <f>IFERROR(VLOOKUP($H154,TEC[],3,FALSE),"NA")</f>
        <v>NA</v>
      </c>
      <c r="O154" s="77" t="str">
        <f>IFERROR(VLOOKUP($H154,TP[],3,FALSE),"NA")</f>
        <v>NA</v>
      </c>
      <c r="P154" s="77" t="str">
        <f>IFERROR(VLOOKUP($H154,TEN[],3,FALSE),"NA")</f>
        <v>NA</v>
      </c>
      <c r="Q154" s="77">
        <f>IFERROR(VLOOKUP($H154,TD[],3,FALSE),"NA")</f>
        <v>0</v>
      </c>
      <c r="R154" s="77" t="str">
        <f>IFERROR(VLOOKUP($H154,TC[],3,FALSE),"NA")</f>
        <v>NA</v>
      </c>
      <c r="S154" s="77" t="str">
        <f>IFERROR(VLOOKUP($H154,TEV[],3,FALSE),"NA")</f>
        <v>NA</v>
      </c>
      <c r="T154" s="79">
        <f>SUM(TbPrestamo[[#This Row],[GENERAL]:[ELEVADOR]])</f>
        <v>0</v>
      </c>
      <c r="U154" s="80">
        <f>IF(VLOOKUP(TbPrestamo[[#This Row],[ITEM]],TbPiezas[],5,FALSE)="NA",0,VLOOKUP(TbPrestamo[[#This Row],[ITEM]],TbPiezas[],5,FALSE))</f>
        <v>290</v>
      </c>
      <c r="V154" s="81">
        <f>+TbPrestamo[[#This Row],[TOTAL]]*TbPrestamo[[#This Row],[P.U. (1)]]</f>
        <v>0</v>
      </c>
      <c r="W154" s="82">
        <f>+VLOOKUP(TbPrestamo[[#This Row],[ITEM]],TbPiezas[],6,FALSE)</f>
        <v>8639.4</v>
      </c>
      <c r="X154" s="83">
        <f>+TbPrestamo[[#This Row],[TOTAL]]*TbPrestamo[[#This Row],[P.U. (2)]]</f>
        <v>0</v>
      </c>
      <c r="Y154" s="82">
        <f>+VLOOKUP(TbPrestamo[[#This Row],[ITEM]],TbPiezas[],7,FALSE)</f>
        <v>431.97</v>
      </c>
      <c r="Z154" s="84">
        <f>+TbPrestamo[[#This Row],[TOTAL]]*TbPrestamo[[#This Row],[P.U. (3)]]</f>
        <v>0</v>
      </c>
    </row>
    <row r="155" spans="1:26" ht="15" customHeight="1" x14ac:dyDescent="0.3">
      <c r="A155" s="2"/>
      <c r="B155" s="85">
        <v>138</v>
      </c>
      <c r="C155" s="71" t="s">
        <v>277</v>
      </c>
      <c r="D155" s="72" t="s">
        <v>278</v>
      </c>
      <c r="E155" s="73"/>
      <c r="F155" s="74">
        <f>+VLOOKUP(C155,TbPrestamo[],13,FALSE)</f>
        <v>4</v>
      </c>
      <c r="G155" s="2"/>
      <c r="H155" s="75" t="str">
        <f t="shared" si="4"/>
        <v>EC.0710</v>
      </c>
      <c r="I155" s="59" t="str">
        <f t="shared" si="5"/>
        <v>ok</v>
      </c>
      <c r="J155" s="77">
        <f>IFERROR(VLOOKUP($H155,TG[],3,FALSE),"NA")</f>
        <v>0</v>
      </c>
      <c r="K155" s="77" t="str">
        <f>IFERROR(VLOOKUP($H155,TF[],3,FALSE),"NA")</f>
        <v>NA</v>
      </c>
      <c r="L155" s="77" t="str">
        <f>IFERROR(VLOOKUP($H155,TT[],3,FALSE),"NA")</f>
        <v>NA</v>
      </c>
      <c r="M155" s="77" t="str">
        <f>IFERROR(VLOOKUP($H155,TES[],3,FALSE),"NA")</f>
        <v>NA</v>
      </c>
      <c r="N155" s="77" t="str">
        <f>IFERROR(VLOOKUP($H155,TEC[],3,FALSE),"NA")</f>
        <v>NA</v>
      </c>
      <c r="O155" s="77" t="str">
        <f>IFERROR(VLOOKUP($H155,TP[],3,FALSE),"NA")</f>
        <v>NA</v>
      </c>
      <c r="P155" s="77" t="str">
        <f>IFERROR(VLOOKUP($H155,TEN[],3,FALSE),"NA")</f>
        <v>NA</v>
      </c>
      <c r="Q155" s="77">
        <f>IFERROR(VLOOKUP($H155,TD[],3,FALSE),"NA")</f>
        <v>4</v>
      </c>
      <c r="R155" s="77" t="str">
        <f>IFERROR(VLOOKUP($H155,TC[],3,FALSE),"NA")</f>
        <v>NA</v>
      </c>
      <c r="S155" s="77" t="str">
        <f>IFERROR(VLOOKUP($H155,TEV[],3,FALSE),"NA")</f>
        <v>NA</v>
      </c>
      <c r="T155" s="79">
        <f>SUM(TbPrestamo[[#This Row],[GENERAL]:[ELEVADOR]])</f>
        <v>4</v>
      </c>
      <c r="U155" s="80">
        <f>IF(VLOOKUP(TbPrestamo[[#This Row],[ITEM]],TbPiezas[],5,FALSE)="NA",0,VLOOKUP(TbPrestamo[[#This Row],[ITEM]],TbPiezas[],5,FALSE))</f>
        <v>13.1</v>
      </c>
      <c r="V155" s="81">
        <f>+TbPrestamo[[#This Row],[TOTAL]]*TbPrestamo[[#This Row],[P.U. (1)]]</f>
        <v>52.4</v>
      </c>
      <c r="W155" s="82">
        <f>+VLOOKUP(TbPrestamo[[#This Row],[ITEM]],TbPiezas[],6,FALSE)</f>
        <v>825.83</v>
      </c>
      <c r="X155" s="83">
        <f>+TbPrestamo[[#This Row],[TOTAL]]*TbPrestamo[[#This Row],[P.U. (2)]]</f>
        <v>3303.32</v>
      </c>
      <c r="Y155" s="82">
        <f>+VLOOKUP(TbPrestamo[[#This Row],[ITEM]],TbPiezas[],7,FALSE)</f>
        <v>41.291500000000006</v>
      </c>
      <c r="Z155" s="84">
        <f>+TbPrestamo[[#This Row],[TOTAL]]*TbPrestamo[[#This Row],[P.U. (3)]]</f>
        <v>165.16600000000003</v>
      </c>
    </row>
    <row r="156" spans="1:26" ht="15" customHeight="1" x14ac:dyDescent="0.3">
      <c r="A156" s="2"/>
      <c r="B156" s="85">
        <v>139</v>
      </c>
      <c r="C156" s="71" t="s">
        <v>279</v>
      </c>
      <c r="D156" s="72" t="s">
        <v>280</v>
      </c>
      <c r="E156" s="73"/>
      <c r="F156" s="74">
        <f>+VLOOKUP(C156,TbPrestamo[],13,FALSE)</f>
        <v>0</v>
      </c>
      <c r="G156" s="2"/>
      <c r="H156" s="75" t="str">
        <f t="shared" si="4"/>
        <v>EC.0711</v>
      </c>
      <c r="I156" s="59" t="str">
        <f t="shared" si="5"/>
        <v>ok</v>
      </c>
      <c r="J156" s="77">
        <f>IFERROR(VLOOKUP($H156,TG[],3,FALSE),"NA")</f>
        <v>0</v>
      </c>
      <c r="K156" s="77" t="str">
        <f>IFERROR(VLOOKUP($H156,TF[],3,FALSE),"NA")</f>
        <v>NA</v>
      </c>
      <c r="L156" s="77" t="str">
        <f>IFERROR(VLOOKUP($H156,TT[],3,FALSE),"NA")</f>
        <v>NA</v>
      </c>
      <c r="M156" s="77" t="str">
        <f>IFERROR(VLOOKUP($H156,TES[],3,FALSE),"NA")</f>
        <v>NA</v>
      </c>
      <c r="N156" s="77" t="str">
        <f>IFERROR(VLOOKUP($H156,TEC[],3,FALSE),"NA")</f>
        <v>NA</v>
      </c>
      <c r="O156" s="77" t="str">
        <f>IFERROR(VLOOKUP($H156,TP[],3,FALSE),"NA")</f>
        <v>NA</v>
      </c>
      <c r="P156" s="77" t="str">
        <f>IFERROR(VLOOKUP($H156,TEN[],3,FALSE),"NA")</f>
        <v>NA</v>
      </c>
      <c r="Q156" s="77">
        <f>IFERROR(VLOOKUP($H156,TD[],3,FALSE),"NA")</f>
        <v>0</v>
      </c>
      <c r="R156" s="77" t="str">
        <f>IFERROR(VLOOKUP($H156,TC[],3,FALSE),"NA")</f>
        <v>NA</v>
      </c>
      <c r="S156" s="77" t="str">
        <f>IFERROR(VLOOKUP($H156,TEV[],3,FALSE),"NA")</f>
        <v>NA</v>
      </c>
      <c r="T156" s="79">
        <f>SUM(TbPrestamo[[#This Row],[GENERAL]:[ELEVADOR]])</f>
        <v>0</v>
      </c>
      <c r="U156" s="80">
        <f>IF(VLOOKUP(TbPrestamo[[#This Row],[ITEM]],TbPiezas[],5,FALSE)="NA",0,VLOOKUP(TbPrestamo[[#This Row],[ITEM]],TbPiezas[],5,FALSE))</f>
        <v>12.2</v>
      </c>
      <c r="V156" s="81">
        <f>+TbPrestamo[[#This Row],[TOTAL]]*TbPrestamo[[#This Row],[P.U. (1)]]</f>
        <v>0</v>
      </c>
      <c r="W156" s="82">
        <f>+VLOOKUP(TbPrestamo[[#This Row],[ITEM]],TbPiezas[],6,FALSE)</f>
        <v>974.64</v>
      </c>
      <c r="X156" s="83">
        <f>+TbPrestamo[[#This Row],[TOTAL]]*TbPrestamo[[#This Row],[P.U. (2)]]</f>
        <v>0</v>
      </c>
      <c r="Y156" s="82">
        <f>+VLOOKUP(TbPrestamo[[#This Row],[ITEM]],TbPiezas[],7,FALSE)</f>
        <v>48.731999999999999</v>
      </c>
      <c r="Z156" s="84">
        <f>+TbPrestamo[[#This Row],[TOTAL]]*TbPrestamo[[#This Row],[P.U. (3)]]</f>
        <v>0</v>
      </c>
    </row>
    <row r="157" spans="1:26" ht="15" customHeight="1" x14ac:dyDescent="0.3">
      <c r="A157" s="2"/>
      <c r="B157" s="85">
        <v>140</v>
      </c>
      <c r="C157" s="71" t="s">
        <v>281</v>
      </c>
      <c r="D157" s="72" t="s">
        <v>282</v>
      </c>
      <c r="E157" s="73"/>
      <c r="F157" s="74">
        <f>+VLOOKUP(C157,TbPrestamo[],13,FALSE)</f>
        <v>0</v>
      </c>
      <c r="G157" s="2"/>
      <c r="H157" s="75" t="str">
        <f t="shared" si="4"/>
        <v>EC.0712</v>
      </c>
      <c r="I157" s="59" t="str">
        <f t="shared" si="5"/>
        <v>ok</v>
      </c>
      <c r="J157" s="77">
        <f>IFERROR(VLOOKUP($H157,TG[],3,FALSE),"NA")</f>
        <v>0</v>
      </c>
      <c r="K157" s="77" t="str">
        <f>IFERROR(VLOOKUP($H157,TF[],3,FALSE),"NA")</f>
        <v>NA</v>
      </c>
      <c r="L157" s="77" t="str">
        <f>IFERROR(VLOOKUP($H157,TT[],3,FALSE),"NA")</f>
        <v>NA</v>
      </c>
      <c r="M157" s="77" t="str">
        <f>IFERROR(VLOOKUP($H157,TES[],3,FALSE),"NA")</f>
        <v>NA</v>
      </c>
      <c r="N157" s="77" t="str">
        <f>IFERROR(VLOOKUP($H157,TEC[],3,FALSE),"NA")</f>
        <v>NA</v>
      </c>
      <c r="O157" s="77" t="str">
        <f>IFERROR(VLOOKUP($H157,TP[],3,FALSE),"NA")</f>
        <v>NA</v>
      </c>
      <c r="P157" s="77" t="str">
        <f>IFERROR(VLOOKUP($H157,TEN[],3,FALSE),"NA")</f>
        <v>NA</v>
      </c>
      <c r="Q157" s="77">
        <f>IFERROR(VLOOKUP($H157,TD[],3,FALSE),"NA")</f>
        <v>0</v>
      </c>
      <c r="R157" s="77" t="str">
        <f>IFERROR(VLOOKUP($H157,TC[],3,FALSE),"NA")</f>
        <v>NA</v>
      </c>
      <c r="S157" s="77" t="str">
        <f>IFERROR(VLOOKUP($H157,TEV[],3,FALSE),"NA")</f>
        <v>NA</v>
      </c>
      <c r="T157" s="79">
        <f>SUM(TbPrestamo[[#This Row],[GENERAL]:[ELEVADOR]])</f>
        <v>0</v>
      </c>
      <c r="U157" s="80">
        <f>IF(VLOOKUP(TbPrestamo[[#This Row],[ITEM]],TbPiezas[],5,FALSE)="NA",0,VLOOKUP(TbPrestamo[[#This Row],[ITEM]],TbPiezas[],5,FALSE))</f>
        <v>12.2</v>
      </c>
      <c r="V157" s="81">
        <f>+TbPrestamo[[#This Row],[TOTAL]]*TbPrestamo[[#This Row],[P.U. (1)]]</f>
        <v>0</v>
      </c>
      <c r="W157" s="82">
        <f>+VLOOKUP(TbPrestamo[[#This Row],[ITEM]],TbPiezas[],6,FALSE)</f>
        <v>974.64</v>
      </c>
      <c r="X157" s="83">
        <f>+TbPrestamo[[#This Row],[TOTAL]]*TbPrestamo[[#This Row],[P.U. (2)]]</f>
        <v>0</v>
      </c>
      <c r="Y157" s="82">
        <f>+VLOOKUP(TbPrestamo[[#This Row],[ITEM]],TbPiezas[],7,FALSE)</f>
        <v>48.731999999999999</v>
      </c>
      <c r="Z157" s="84">
        <f>+TbPrestamo[[#This Row],[TOTAL]]*TbPrestamo[[#This Row],[P.U. (3)]]</f>
        <v>0</v>
      </c>
    </row>
    <row r="158" spans="1:26" ht="15" customHeight="1" x14ac:dyDescent="0.3">
      <c r="A158" s="2"/>
      <c r="B158" s="85">
        <v>141</v>
      </c>
      <c r="C158" s="71" t="s">
        <v>283</v>
      </c>
      <c r="D158" s="72" t="s">
        <v>284</v>
      </c>
      <c r="E158" s="73"/>
      <c r="F158" s="74">
        <f>+VLOOKUP(C158,TbPrestamo[],13,FALSE)</f>
        <v>4</v>
      </c>
      <c r="G158" s="2"/>
      <c r="H158" s="75" t="str">
        <f t="shared" si="4"/>
        <v>EC.0713</v>
      </c>
      <c r="I158" s="59" t="str">
        <f t="shared" si="5"/>
        <v>ok</v>
      </c>
      <c r="J158" s="77">
        <f>IFERROR(VLOOKUP($H158,TG[],3,FALSE),"NA")</f>
        <v>0</v>
      </c>
      <c r="K158" s="77" t="str">
        <f>IFERROR(VLOOKUP($H158,TF[],3,FALSE),"NA")</f>
        <v>NA</v>
      </c>
      <c r="L158" s="77" t="str">
        <f>IFERROR(VLOOKUP($H158,TT[],3,FALSE),"NA")</f>
        <v>NA</v>
      </c>
      <c r="M158" s="77" t="str">
        <f>IFERROR(VLOOKUP($H158,TES[],3,FALSE),"NA")</f>
        <v>NA</v>
      </c>
      <c r="N158" s="77" t="str">
        <f>IFERROR(VLOOKUP($H158,TEC[],3,FALSE),"NA")</f>
        <v>NA</v>
      </c>
      <c r="O158" s="77" t="str">
        <f>IFERROR(VLOOKUP($H158,TP[],3,FALSE),"NA")</f>
        <v>NA</v>
      </c>
      <c r="P158" s="77" t="str">
        <f>IFERROR(VLOOKUP($H158,TEN[],3,FALSE),"NA")</f>
        <v>NA</v>
      </c>
      <c r="Q158" s="77">
        <f>IFERROR(VLOOKUP($H158,TD[],3,FALSE),"NA")</f>
        <v>4</v>
      </c>
      <c r="R158" s="77" t="str">
        <f>IFERROR(VLOOKUP($H158,TC[],3,FALSE),"NA")</f>
        <v>NA</v>
      </c>
      <c r="S158" s="77" t="str">
        <f>IFERROR(VLOOKUP($H158,TEV[],3,FALSE),"NA")</f>
        <v>NA</v>
      </c>
      <c r="T158" s="79">
        <f>SUM(TbPrestamo[[#This Row],[GENERAL]:[ELEVADOR]])</f>
        <v>4</v>
      </c>
      <c r="U158" s="80">
        <f>IF(VLOOKUP(TbPrestamo[[#This Row],[ITEM]],TbPiezas[],5,FALSE)="NA",0,VLOOKUP(TbPrestamo[[#This Row],[ITEM]],TbPiezas[],5,FALSE))</f>
        <v>12</v>
      </c>
      <c r="V158" s="81">
        <f>+TbPrestamo[[#This Row],[TOTAL]]*TbPrestamo[[#This Row],[P.U. (1)]]</f>
        <v>48</v>
      </c>
      <c r="W158" s="82">
        <f>+VLOOKUP(TbPrestamo[[#This Row],[ITEM]],TbPiezas[],6,FALSE)</f>
        <v>947.63</v>
      </c>
      <c r="X158" s="83">
        <f>+TbPrestamo[[#This Row],[TOTAL]]*TbPrestamo[[#This Row],[P.U. (2)]]</f>
        <v>3790.52</v>
      </c>
      <c r="Y158" s="82">
        <f>+VLOOKUP(TbPrestamo[[#This Row],[ITEM]],TbPiezas[],7,FALSE)</f>
        <v>47.381500000000003</v>
      </c>
      <c r="Z158" s="84">
        <f>+TbPrestamo[[#This Row],[TOTAL]]*TbPrestamo[[#This Row],[P.U. (3)]]</f>
        <v>189.52600000000001</v>
      </c>
    </row>
    <row r="159" spans="1:26" ht="15" customHeight="1" x14ac:dyDescent="0.3">
      <c r="A159" s="2"/>
      <c r="B159" s="85">
        <v>142</v>
      </c>
      <c r="C159" s="71" t="s">
        <v>285</v>
      </c>
      <c r="D159" s="72" t="s">
        <v>286</v>
      </c>
      <c r="E159" s="73"/>
      <c r="F159" s="74">
        <f>+VLOOKUP(C159,TbPrestamo[],13,FALSE)</f>
        <v>0</v>
      </c>
      <c r="G159" s="2"/>
      <c r="H159" s="75" t="str">
        <f t="shared" si="4"/>
        <v>EC.0714</v>
      </c>
      <c r="I159" s="59" t="str">
        <f t="shared" si="5"/>
        <v>ok</v>
      </c>
      <c r="J159" s="77">
        <f>IFERROR(VLOOKUP($H159,TG[],3,FALSE),"NA")</f>
        <v>0</v>
      </c>
      <c r="K159" s="77" t="str">
        <f>IFERROR(VLOOKUP($H159,TF[],3,FALSE),"NA")</f>
        <v>NA</v>
      </c>
      <c r="L159" s="77" t="str">
        <f>IFERROR(VLOOKUP($H159,TT[],3,FALSE),"NA")</f>
        <v>NA</v>
      </c>
      <c r="M159" s="77" t="str">
        <f>IFERROR(VLOOKUP($H159,TES[],3,FALSE),"NA")</f>
        <v>NA</v>
      </c>
      <c r="N159" s="77" t="str">
        <f>IFERROR(VLOOKUP($H159,TEC[],3,FALSE),"NA")</f>
        <v>NA</v>
      </c>
      <c r="O159" s="77" t="str">
        <f>IFERROR(VLOOKUP($H159,TP[],3,FALSE),"NA")</f>
        <v>NA</v>
      </c>
      <c r="P159" s="77" t="str">
        <f>IFERROR(VLOOKUP($H159,TEN[],3,FALSE),"NA")</f>
        <v>NA</v>
      </c>
      <c r="Q159" s="77">
        <f>IFERROR(VLOOKUP($H159,TD[],3,FALSE),"NA")</f>
        <v>0</v>
      </c>
      <c r="R159" s="77" t="str">
        <f>IFERROR(VLOOKUP($H159,TC[],3,FALSE),"NA")</f>
        <v>NA</v>
      </c>
      <c r="S159" s="77" t="str">
        <f>IFERROR(VLOOKUP($H159,TEV[],3,FALSE),"NA")</f>
        <v>NA</v>
      </c>
      <c r="T159" s="79">
        <f>SUM(TbPrestamo[[#This Row],[GENERAL]:[ELEVADOR]])</f>
        <v>0</v>
      </c>
      <c r="U159" s="80">
        <f>IF(VLOOKUP(TbPrestamo[[#This Row],[ITEM]],TbPiezas[],5,FALSE)="NA",0,VLOOKUP(TbPrestamo[[#This Row],[ITEM]],TbPiezas[],5,FALSE))</f>
        <v>13.1</v>
      </c>
      <c r="V159" s="81">
        <f>+TbPrestamo[[#This Row],[TOTAL]]*TbPrestamo[[#This Row],[P.U. (1)]]</f>
        <v>0</v>
      </c>
      <c r="W159" s="82">
        <f>+VLOOKUP(TbPrestamo[[#This Row],[ITEM]],TbPiezas[],6,FALSE)</f>
        <v>1114.8599999999999</v>
      </c>
      <c r="X159" s="83">
        <f>+TbPrestamo[[#This Row],[TOTAL]]*TbPrestamo[[#This Row],[P.U. (2)]]</f>
        <v>0</v>
      </c>
      <c r="Y159" s="82">
        <f>+VLOOKUP(TbPrestamo[[#This Row],[ITEM]],TbPiezas[],7,FALSE)</f>
        <v>55.742999999999995</v>
      </c>
      <c r="Z159" s="84">
        <f>+TbPrestamo[[#This Row],[TOTAL]]*TbPrestamo[[#This Row],[P.U. (3)]]</f>
        <v>0</v>
      </c>
    </row>
    <row r="160" spans="1:26" ht="15" customHeight="1" x14ac:dyDescent="0.3">
      <c r="A160" s="2"/>
      <c r="B160" s="85">
        <v>143</v>
      </c>
      <c r="C160" s="71" t="s">
        <v>287</v>
      </c>
      <c r="D160" s="72" t="s">
        <v>288</v>
      </c>
      <c r="E160" s="73"/>
      <c r="F160" s="74">
        <f>+VLOOKUP(C160,TbPrestamo[],13,FALSE)</f>
        <v>0</v>
      </c>
      <c r="G160" s="2"/>
      <c r="H160" s="75" t="str">
        <f t="shared" si="4"/>
        <v>EC.0720</v>
      </c>
      <c r="I160" s="59" t="str">
        <f t="shared" si="5"/>
        <v>ok</v>
      </c>
      <c r="J160" s="77">
        <f>IFERROR(VLOOKUP($H160,TG[],3,FALSE),"NA")</f>
        <v>0</v>
      </c>
      <c r="K160" s="77" t="str">
        <f>IFERROR(VLOOKUP($H160,TF[],3,FALSE),"NA")</f>
        <v>NA</v>
      </c>
      <c r="L160" s="77" t="str">
        <f>IFERROR(VLOOKUP($H160,TT[],3,FALSE),"NA")</f>
        <v>NA</v>
      </c>
      <c r="M160" s="77" t="str">
        <f>IFERROR(VLOOKUP($H160,TES[],3,FALSE),"NA")</f>
        <v>NA</v>
      </c>
      <c r="N160" s="77" t="str">
        <f>IFERROR(VLOOKUP($H160,TEC[],3,FALSE),"NA")</f>
        <v>NA</v>
      </c>
      <c r="O160" s="77" t="str">
        <f>IFERROR(VLOOKUP($H160,TP[],3,FALSE),"NA")</f>
        <v>NA</v>
      </c>
      <c r="P160" s="77" t="str">
        <f>IFERROR(VLOOKUP($H160,TEN[],3,FALSE),"NA")</f>
        <v>NA</v>
      </c>
      <c r="Q160" s="77">
        <f>IFERROR(VLOOKUP($H160,TD[],3,FALSE),"NA")</f>
        <v>0</v>
      </c>
      <c r="R160" s="77" t="str">
        <f>IFERROR(VLOOKUP($H160,TC[],3,FALSE),"NA")</f>
        <v>NA</v>
      </c>
      <c r="S160" s="77" t="str">
        <f>IFERROR(VLOOKUP($H160,TEV[],3,FALSE),"NA")</f>
        <v>NA</v>
      </c>
      <c r="T160" s="79">
        <f>SUM(TbPrestamo[[#This Row],[GENERAL]:[ELEVADOR]])</f>
        <v>0</v>
      </c>
      <c r="U160" s="80">
        <f>IF(VLOOKUP(TbPrestamo[[#This Row],[ITEM]],TbPiezas[],5,FALSE)="NA",0,VLOOKUP(TbPrestamo[[#This Row],[ITEM]],TbPiezas[],5,FALSE))</f>
        <v>3.4</v>
      </c>
      <c r="V160" s="81">
        <f>+TbPrestamo[[#This Row],[TOTAL]]*TbPrestamo[[#This Row],[P.U. (1)]]</f>
        <v>0</v>
      </c>
      <c r="W160" s="82">
        <f>+VLOOKUP(TbPrestamo[[#This Row],[ITEM]],TbPiezas[],6,FALSE)</f>
        <v>228.69</v>
      </c>
      <c r="X160" s="83">
        <f>+TbPrestamo[[#This Row],[TOTAL]]*TbPrestamo[[#This Row],[P.U. (2)]]</f>
        <v>0</v>
      </c>
      <c r="Y160" s="82">
        <f>+VLOOKUP(TbPrestamo[[#This Row],[ITEM]],TbPiezas[],7,FALSE)</f>
        <v>11.4345</v>
      </c>
      <c r="Z160" s="84">
        <f>+TbPrestamo[[#This Row],[TOTAL]]*TbPrestamo[[#This Row],[P.U. (3)]]</f>
        <v>0</v>
      </c>
    </row>
    <row r="161" spans="1:26" ht="15" customHeight="1" x14ac:dyDescent="0.3">
      <c r="A161" s="2"/>
      <c r="B161" s="85">
        <v>144</v>
      </c>
      <c r="C161" s="71" t="s">
        <v>289</v>
      </c>
      <c r="D161" s="72" t="s">
        <v>290</v>
      </c>
      <c r="E161" s="73"/>
      <c r="F161" s="74">
        <f>+VLOOKUP(C161,TbPrestamo[],13,FALSE)</f>
        <v>0</v>
      </c>
      <c r="G161" s="2"/>
      <c r="H161" s="75" t="str">
        <f t="shared" si="4"/>
        <v>EC.0730</v>
      </c>
      <c r="I161" s="59" t="str">
        <f t="shared" si="5"/>
        <v>ok</v>
      </c>
      <c r="J161" s="77">
        <f>IFERROR(VLOOKUP($H161,TG[],3,FALSE),"NA")</f>
        <v>0</v>
      </c>
      <c r="K161" s="77" t="str">
        <f>IFERROR(VLOOKUP($H161,TF[],3,FALSE),"NA")</f>
        <v>NA</v>
      </c>
      <c r="L161" s="77" t="str">
        <f>IFERROR(VLOOKUP($H161,TT[],3,FALSE),"NA")</f>
        <v>NA</v>
      </c>
      <c r="M161" s="77" t="str">
        <f>IFERROR(VLOOKUP($H161,TES[],3,FALSE),"NA")</f>
        <v>NA</v>
      </c>
      <c r="N161" s="77" t="str">
        <f>IFERROR(VLOOKUP($H161,TEC[],3,FALSE),"NA")</f>
        <v>NA</v>
      </c>
      <c r="O161" s="77" t="str">
        <f>IFERROR(VLOOKUP($H161,TP[],3,FALSE),"NA")</f>
        <v>NA</v>
      </c>
      <c r="P161" s="77" t="str">
        <f>IFERROR(VLOOKUP($H161,TEN[],3,FALSE),"NA")</f>
        <v>NA</v>
      </c>
      <c r="Q161" s="77">
        <f>IFERROR(VLOOKUP($H161,TD[],3,FALSE),"NA")</f>
        <v>0</v>
      </c>
      <c r="R161" s="77" t="str">
        <f>IFERROR(VLOOKUP($H161,TC[],3,FALSE),"NA")</f>
        <v>NA</v>
      </c>
      <c r="S161" s="77" t="str">
        <f>IFERROR(VLOOKUP($H161,TEV[],3,FALSE),"NA")</f>
        <v>NA</v>
      </c>
      <c r="T161" s="79">
        <f>SUM(TbPrestamo[[#This Row],[GENERAL]:[ELEVADOR]])</f>
        <v>0</v>
      </c>
      <c r="U161" s="80">
        <f>IF(VLOOKUP(TbPrestamo[[#This Row],[ITEM]],TbPiezas[],5,FALSE)="NA",0,VLOOKUP(TbPrestamo[[#This Row],[ITEM]],TbPiezas[],5,FALSE))</f>
        <v>0.15</v>
      </c>
      <c r="V161" s="81">
        <f>+TbPrestamo[[#This Row],[TOTAL]]*TbPrestamo[[#This Row],[P.U. (1)]]</f>
        <v>0</v>
      </c>
      <c r="W161" s="82">
        <f>+VLOOKUP(TbPrestamo[[#This Row],[ITEM]],TbPiezas[],6,FALSE)</f>
        <v>19.059999999999999</v>
      </c>
      <c r="X161" s="83">
        <f>+TbPrestamo[[#This Row],[TOTAL]]*TbPrestamo[[#This Row],[P.U. (2)]]</f>
        <v>0</v>
      </c>
      <c r="Y161" s="82">
        <f>+VLOOKUP(TbPrestamo[[#This Row],[ITEM]],TbPiezas[],7,FALSE)</f>
        <v>0.95299999999999996</v>
      </c>
      <c r="Z161" s="84">
        <f>+TbPrestamo[[#This Row],[TOTAL]]*TbPrestamo[[#This Row],[P.U. (3)]]</f>
        <v>0</v>
      </c>
    </row>
    <row r="162" spans="1:26" ht="15" customHeight="1" x14ac:dyDescent="0.3">
      <c r="A162" s="2"/>
      <c r="B162" s="85">
        <v>145</v>
      </c>
      <c r="C162" s="71" t="s">
        <v>291</v>
      </c>
      <c r="D162" s="72" t="s">
        <v>292</v>
      </c>
      <c r="E162" s="73"/>
      <c r="F162" s="74">
        <f>+VLOOKUP(C162,TbPrestamo[],13,FALSE)</f>
        <v>0</v>
      </c>
      <c r="G162" s="2"/>
      <c r="H162" s="75" t="str">
        <f t="shared" si="4"/>
        <v>EC.0800</v>
      </c>
      <c r="I162" s="59" t="str">
        <f t="shared" si="5"/>
        <v>ok</v>
      </c>
      <c r="J162" s="77">
        <f>IFERROR(VLOOKUP($H162,TG[],3,FALSE),"NA")</f>
        <v>0</v>
      </c>
      <c r="K162" s="77" t="str">
        <f>IFERROR(VLOOKUP($H162,TF[],3,FALSE),"NA")</f>
        <v>NA</v>
      </c>
      <c r="L162" s="77" t="str">
        <f>IFERROR(VLOOKUP($H162,TT[],3,FALSE),"NA")</f>
        <v>NA</v>
      </c>
      <c r="M162" s="77" t="str">
        <f>IFERROR(VLOOKUP($H162,TES[],3,FALSE),"NA")</f>
        <v>NA</v>
      </c>
      <c r="N162" s="77">
        <f>IFERROR(VLOOKUP($H162,TEC[],3,FALSE),"NA")</f>
        <v>0</v>
      </c>
      <c r="O162" s="77" t="str">
        <f>IFERROR(VLOOKUP($H162,TP[],3,FALSE),"NA")</f>
        <v>NA</v>
      </c>
      <c r="P162" s="77" t="str">
        <f>IFERROR(VLOOKUP($H162,TEN[],3,FALSE),"NA")</f>
        <v>NA</v>
      </c>
      <c r="Q162" s="77" t="str">
        <f>IFERROR(VLOOKUP($H162,TD[],3,FALSE),"NA")</f>
        <v>NA</v>
      </c>
      <c r="R162" s="77" t="str">
        <f>IFERROR(VLOOKUP($H162,TC[],3,FALSE),"NA")</f>
        <v>NA</v>
      </c>
      <c r="S162" s="77" t="str">
        <f>IFERROR(VLOOKUP($H162,TEV[],3,FALSE),"NA")</f>
        <v>NA</v>
      </c>
      <c r="T162" s="79">
        <f>SUM(TbPrestamo[[#This Row],[GENERAL]:[ELEVADOR]])</f>
        <v>0</v>
      </c>
      <c r="U162" s="80">
        <f>IF(VLOOKUP(TbPrestamo[[#This Row],[ITEM]],TbPiezas[],5,FALSE)="NA",0,VLOOKUP(TbPrestamo[[#This Row],[ITEM]],TbPiezas[],5,FALSE))</f>
        <v>2.9000000000000057</v>
      </c>
      <c r="V162" s="81">
        <f>+TbPrestamo[[#This Row],[TOTAL]]*TbPrestamo[[#This Row],[P.U. (1)]]</f>
        <v>0</v>
      </c>
      <c r="W162" s="82">
        <f>+VLOOKUP(TbPrestamo[[#This Row],[ITEM]],TbPiezas[],6,FALSE)</f>
        <v>190.58</v>
      </c>
      <c r="X162" s="83">
        <f>+TbPrestamo[[#This Row],[TOTAL]]*TbPrestamo[[#This Row],[P.U. (2)]]</f>
        <v>0</v>
      </c>
      <c r="Y162" s="82">
        <f>+VLOOKUP(TbPrestamo[[#This Row],[ITEM]],TbPiezas[],7,FALSE)</f>
        <v>9.5290000000000017</v>
      </c>
      <c r="Z162" s="84">
        <f>+TbPrestamo[[#This Row],[TOTAL]]*TbPrestamo[[#This Row],[P.U. (3)]]</f>
        <v>0</v>
      </c>
    </row>
    <row r="163" spans="1:26" ht="15" customHeight="1" x14ac:dyDescent="0.3">
      <c r="A163" s="2"/>
      <c r="B163" s="85">
        <v>146</v>
      </c>
      <c r="C163" s="71" t="s">
        <v>293</v>
      </c>
      <c r="D163" s="72" t="s">
        <v>294</v>
      </c>
      <c r="E163" s="73"/>
      <c r="F163" s="74">
        <f>+VLOOKUP(C163,TbPrestamo[],13,FALSE)</f>
        <v>2</v>
      </c>
      <c r="G163" s="2"/>
      <c r="H163" s="75" t="str">
        <f t="shared" si="4"/>
        <v>EC.0900</v>
      </c>
      <c r="I163" s="59" t="str">
        <f t="shared" si="5"/>
        <v>ok</v>
      </c>
      <c r="J163" s="77">
        <f>IFERROR(VLOOKUP($H163,TG[],3,FALSE),"NA")</f>
        <v>0</v>
      </c>
      <c r="K163" s="77" t="str">
        <f>IFERROR(VLOOKUP($H163,TF[],3,FALSE),"NA")</f>
        <v>NA</v>
      </c>
      <c r="L163" s="77" t="str">
        <f>IFERROR(VLOOKUP($H163,TT[],3,FALSE),"NA")</f>
        <v>NA</v>
      </c>
      <c r="M163" s="77" t="str">
        <f>IFERROR(VLOOKUP($H163,TES[],3,FALSE),"NA")</f>
        <v>NA</v>
      </c>
      <c r="N163" s="77" t="str">
        <f>IFERROR(VLOOKUP($H163,TEC[],3,FALSE),"NA")</f>
        <v>NA</v>
      </c>
      <c r="O163" s="77" t="str">
        <f>IFERROR(VLOOKUP($H163,TP[],3,FALSE),"NA")</f>
        <v>NA</v>
      </c>
      <c r="P163" s="77" t="str">
        <f>IFERROR(VLOOKUP($H163,TEN[],3,FALSE),"NA")</f>
        <v>NA</v>
      </c>
      <c r="Q163" s="77">
        <f>IFERROR(VLOOKUP($H163,TD[],3,FALSE),"NA")</f>
        <v>2</v>
      </c>
      <c r="R163" s="77" t="str">
        <f>IFERROR(VLOOKUP($H163,TC[],3,FALSE),"NA")</f>
        <v>NA</v>
      </c>
      <c r="S163" s="77" t="str">
        <f>IFERROR(VLOOKUP($H163,TEV[],3,FALSE),"NA")</f>
        <v>NA</v>
      </c>
      <c r="T163" s="79">
        <f>SUM(TbPrestamo[[#This Row],[GENERAL]:[ELEVADOR]])</f>
        <v>2</v>
      </c>
      <c r="U163" s="80">
        <f>IF(VLOOKUP(TbPrestamo[[#This Row],[ITEM]],TbPiezas[],5,FALSE)="NA",0,VLOOKUP(TbPrestamo[[#This Row],[ITEM]],TbPiezas[],5,FALSE))</f>
        <v>170</v>
      </c>
      <c r="V163" s="81">
        <f>+TbPrestamo[[#This Row],[TOTAL]]*TbPrestamo[[#This Row],[P.U. (1)]]</f>
        <v>340</v>
      </c>
      <c r="W163" s="82">
        <f>+VLOOKUP(TbPrestamo[[#This Row],[ITEM]],TbPiezas[],6,FALSE)</f>
        <v>8639.4</v>
      </c>
      <c r="X163" s="83">
        <f>+TbPrestamo[[#This Row],[TOTAL]]*TbPrestamo[[#This Row],[P.U. (2)]]</f>
        <v>17278.8</v>
      </c>
      <c r="Y163" s="82">
        <f>+VLOOKUP(TbPrestamo[[#This Row],[ITEM]],TbPiezas[],7,FALSE)</f>
        <v>431.97</v>
      </c>
      <c r="Z163" s="84">
        <f>+TbPrestamo[[#This Row],[TOTAL]]*TbPrestamo[[#This Row],[P.U. (3)]]</f>
        <v>863.94</v>
      </c>
    </row>
    <row r="164" spans="1:26" ht="15" customHeight="1" x14ac:dyDescent="0.3">
      <c r="A164" s="2"/>
      <c r="B164" s="85">
        <v>147</v>
      </c>
      <c r="C164" s="71" t="s">
        <v>295</v>
      </c>
      <c r="D164" s="72" t="s">
        <v>296</v>
      </c>
      <c r="E164" s="73"/>
      <c r="F164" s="74">
        <f>+VLOOKUP(C164,TbPrestamo[],13,FALSE)</f>
        <v>0</v>
      </c>
      <c r="G164" s="2"/>
      <c r="H164" s="75" t="str">
        <f t="shared" si="4"/>
        <v>AA.0100</v>
      </c>
      <c r="I164" s="59" t="str">
        <f t="shared" si="5"/>
        <v>ok</v>
      </c>
      <c r="J164" s="77">
        <f>IFERROR(VLOOKUP($H164,TG[],3,FALSE),"NA")</f>
        <v>0</v>
      </c>
      <c r="K164" s="77" t="str">
        <f>IFERROR(VLOOKUP($H164,TF[],3,FALSE),"NA")</f>
        <v>NA</v>
      </c>
      <c r="L164" s="77" t="str">
        <f>IFERROR(VLOOKUP($H164,TT[],3,FALSE),"NA")</f>
        <v>NA</v>
      </c>
      <c r="M164" s="77" t="str">
        <f>IFERROR(VLOOKUP($H164,TES[],3,FALSE),"NA")</f>
        <v>NA</v>
      </c>
      <c r="N164" s="77" t="str">
        <f>IFERROR(VLOOKUP($H164,TEC[],3,FALSE),"NA")</f>
        <v>NA</v>
      </c>
      <c r="O164" s="77" t="str">
        <f>IFERROR(VLOOKUP($H164,TP[],3,FALSE),"NA")</f>
        <v>NA</v>
      </c>
      <c r="P164" s="77" t="str">
        <f>IFERROR(VLOOKUP($H164,TEN[],3,FALSE),"NA")</f>
        <v>NA</v>
      </c>
      <c r="Q164" s="77" t="str">
        <f>IFERROR(VLOOKUP($H164,TD[],3,FALSE),"NA")</f>
        <v>NA</v>
      </c>
      <c r="R164" s="77" t="str">
        <f>IFERROR(VLOOKUP($H164,TC[],3,FALSE),"NA")</f>
        <v>NA</v>
      </c>
      <c r="S164" s="77" t="str">
        <f>IFERROR(VLOOKUP($H164,TEV[],3,FALSE),"NA")</f>
        <v>NA</v>
      </c>
      <c r="T164" s="79">
        <f>SUM(TbPrestamo[[#This Row],[GENERAL]:[ELEVADOR]])</f>
        <v>0</v>
      </c>
      <c r="U164" s="80">
        <f>IF(VLOOKUP(TbPrestamo[[#This Row],[ITEM]],TbPiezas[],5,FALSE)="NA",0,VLOOKUP(TbPrestamo[[#This Row],[ITEM]],TbPiezas[],5,FALSE))</f>
        <v>6.5</v>
      </c>
      <c r="V164" s="81">
        <f>+TbPrestamo[[#This Row],[TOTAL]]*TbPrestamo[[#This Row],[P.U. (1)]]</f>
        <v>0</v>
      </c>
      <c r="W164" s="82">
        <f>+VLOOKUP(TbPrestamo[[#This Row],[ITEM]],TbPiezas[],6,FALSE)</f>
        <v>76.23</v>
      </c>
      <c r="X164" s="83">
        <f>+TbPrestamo[[#This Row],[TOTAL]]*TbPrestamo[[#This Row],[P.U. (2)]]</f>
        <v>0</v>
      </c>
      <c r="Y164" s="82">
        <f>+VLOOKUP(TbPrestamo[[#This Row],[ITEM]],TbPiezas[],7,FALSE)</f>
        <v>3.8115000000000006</v>
      </c>
      <c r="Z164" s="84">
        <f>+TbPrestamo[[#This Row],[TOTAL]]*TbPrestamo[[#This Row],[P.U. (3)]]</f>
        <v>0</v>
      </c>
    </row>
    <row r="165" spans="1:26" ht="15" customHeight="1" x14ac:dyDescent="0.3">
      <c r="A165" s="2"/>
      <c r="B165" s="85">
        <v>148</v>
      </c>
      <c r="C165" s="71" t="s">
        <v>297</v>
      </c>
      <c r="D165" s="72" t="s">
        <v>298</v>
      </c>
      <c r="E165" s="73"/>
      <c r="F165" s="74">
        <f>+VLOOKUP(C165,TbPrestamo[],13,FALSE)</f>
        <v>0</v>
      </c>
      <c r="G165" s="2"/>
      <c r="H165" s="75" t="str">
        <f t="shared" si="4"/>
        <v>AA.0200</v>
      </c>
      <c r="I165" s="59" t="str">
        <f t="shared" si="5"/>
        <v>ok</v>
      </c>
      <c r="J165" s="77">
        <f>IFERROR(VLOOKUP($H165,TG[],3,FALSE),"NA")</f>
        <v>0</v>
      </c>
      <c r="K165" s="77" t="str">
        <f>IFERROR(VLOOKUP($H165,TF[],3,FALSE),"NA")</f>
        <v>NA</v>
      </c>
      <c r="L165" s="77" t="str">
        <f>IFERROR(VLOOKUP($H165,TT[],3,FALSE),"NA")</f>
        <v>NA</v>
      </c>
      <c r="M165" s="77" t="str">
        <f>IFERROR(VLOOKUP($H165,TES[],3,FALSE),"NA")</f>
        <v>NA</v>
      </c>
      <c r="N165" s="77" t="str">
        <f>IFERROR(VLOOKUP($H165,TEC[],3,FALSE),"NA")</f>
        <v>NA</v>
      </c>
      <c r="O165" s="77" t="str">
        <f>IFERROR(VLOOKUP($H165,TP[],3,FALSE),"NA")</f>
        <v>NA</v>
      </c>
      <c r="P165" s="77" t="str">
        <f>IFERROR(VLOOKUP($H165,TEN[],3,FALSE),"NA")</f>
        <v>NA</v>
      </c>
      <c r="Q165" s="77" t="str">
        <f>IFERROR(VLOOKUP($H165,TD[],3,FALSE),"NA")</f>
        <v>NA</v>
      </c>
      <c r="R165" s="77" t="str">
        <f>IFERROR(VLOOKUP($H165,TC[],3,FALSE),"NA")</f>
        <v>NA</v>
      </c>
      <c r="S165" s="77" t="str">
        <f>IFERROR(VLOOKUP($H165,TEV[],3,FALSE),"NA")</f>
        <v>NA</v>
      </c>
      <c r="T165" s="79">
        <f>SUM(TbPrestamo[[#This Row],[GENERAL]:[ELEVADOR]])</f>
        <v>0</v>
      </c>
      <c r="U165" s="80">
        <f>IF(VLOOKUP(TbPrestamo[[#This Row],[ITEM]],TbPiezas[],5,FALSE)="NA",0,VLOOKUP(TbPrestamo[[#This Row],[ITEM]],TbPiezas[],5,FALSE))</f>
        <v>14.5</v>
      </c>
      <c r="V165" s="81">
        <f>+TbPrestamo[[#This Row],[TOTAL]]*TbPrestamo[[#This Row],[P.U. (1)]]</f>
        <v>0</v>
      </c>
      <c r="W165" s="82">
        <f>+VLOOKUP(TbPrestamo[[#This Row],[ITEM]],TbPiezas[],6,FALSE)</f>
        <v>241.4</v>
      </c>
      <c r="X165" s="83">
        <f>+TbPrestamo[[#This Row],[TOTAL]]*TbPrestamo[[#This Row],[P.U. (2)]]</f>
        <v>0</v>
      </c>
      <c r="Y165" s="82">
        <f>+VLOOKUP(TbPrestamo[[#This Row],[ITEM]],TbPiezas[],7,FALSE)</f>
        <v>12.07</v>
      </c>
      <c r="Z165" s="84">
        <f>+TbPrestamo[[#This Row],[TOTAL]]*TbPrestamo[[#This Row],[P.U. (3)]]</f>
        <v>0</v>
      </c>
    </row>
    <row r="166" spans="1:26" ht="15" customHeight="1" x14ac:dyDescent="0.3">
      <c r="A166" s="2"/>
      <c r="B166" s="85"/>
      <c r="C166" s="71" t="s">
        <v>299</v>
      </c>
      <c r="D166" s="72" t="s">
        <v>300</v>
      </c>
      <c r="E166" s="73"/>
      <c r="F166" s="74">
        <f>+VLOOKUP(C166,TbPrestamo[],13,FALSE)</f>
        <v>4</v>
      </c>
      <c r="G166" s="2"/>
      <c r="H166" s="75" t="str">
        <f t="shared" si="4"/>
        <v>CON.0100</v>
      </c>
      <c r="I166" s="59" t="str">
        <f t="shared" si="5"/>
        <v>ok</v>
      </c>
      <c r="J166" s="77">
        <f>IFERROR(VLOOKUP($H166,TG[],3,FALSE),"NA")</f>
        <v>0</v>
      </c>
      <c r="K166" s="77">
        <f>IFERROR(VLOOKUP($H166,TF[],3,FALSE),"NA")</f>
        <v>0</v>
      </c>
      <c r="L166" s="77">
        <f>IFERROR(VLOOKUP($H166,TT[],3,FALSE),"NA")</f>
        <v>2</v>
      </c>
      <c r="M166" s="77">
        <f>IFERROR(VLOOKUP($H166,TES[],3,FALSE),"NA")</f>
        <v>2</v>
      </c>
      <c r="N166" s="77" t="str">
        <f>IFERROR(VLOOKUP($H166,TEC[],3,FALSE),"NA")</f>
        <v>NA</v>
      </c>
      <c r="O166" s="77" t="str">
        <f>IFERROR(VLOOKUP($H166,TP[],3,FALSE),"NA")</f>
        <v>NA</v>
      </c>
      <c r="P166" s="77" t="str">
        <f>IFERROR(VLOOKUP($H166,TEN[],3,FALSE),"NA")</f>
        <v>NA</v>
      </c>
      <c r="Q166" s="77" t="str">
        <f>IFERROR(VLOOKUP($H166,TD[],3,FALSE),"NA")</f>
        <v>NA</v>
      </c>
      <c r="R166" s="77" t="str">
        <f>IFERROR(VLOOKUP($H166,TC[],3,FALSE),"NA")</f>
        <v>NA</v>
      </c>
      <c r="S166" s="77" t="str">
        <f>IFERROR(VLOOKUP($H166,TEV[],3,FALSE),"NA")</f>
        <v>NA</v>
      </c>
      <c r="T166" s="78">
        <f>SUM(TbPrestamo[[#This Row],[GENERAL]:[ELEVADOR]])</f>
        <v>4</v>
      </c>
      <c r="U166" s="295">
        <f>IF(VLOOKUP(TbPrestamo[[#This Row],[ITEM]],TbPiezas[],5,FALSE)="NA",0,VLOOKUP(TbPrestamo[[#This Row],[ITEM]],TbPiezas[],5,FALSE))</f>
        <v>0.15000000000000568</v>
      </c>
      <c r="V166" s="295">
        <f>+TbPrestamo[[#This Row],[TOTAL]]*TbPrestamo[[#This Row],[P.U. (1)]]</f>
        <v>0.60000000000002274</v>
      </c>
      <c r="W166" s="84">
        <f>+VLOOKUP(TbPrestamo[[#This Row],[ITEM]],TbPiezas[],6,FALSE)</f>
        <v>0</v>
      </c>
      <c r="X166" s="296">
        <f>+TbPrestamo[[#This Row],[TOTAL]]*TbPrestamo[[#This Row],[P.U. (2)]]</f>
        <v>0</v>
      </c>
      <c r="Y166" s="84">
        <f>+VLOOKUP(TbPrestamo[[#This Row],[ITEM]],TbPiezas[],7,FALSE)</f>
        <v>0</v>
      </c>
      <c r="Z166" s="296">
        <f>+TbPrestamo[[#This Row],[TOTAL]]*TbPrestamo[[#This Row],[P.U. (3)]]</f>
        <v>0</v>
      </c>
    </row>
    <row r="167" spans="1:26" ht="15" customHeight="1" x14ac:dyDescent="0.3">
      <c r="A167" s="2"/>
      <c r="B167" s="85"/>
      <c r="C167" s="71" t="s">
        <v>301</v>
      </c>
      <c r="D167" s="72" t="s">
        <v>302</v>
      </c>
      <c r="E167" s="73"/>
      <c r="F167" s="74">
        <f>+VLOOKUP(C167,TbPrestamo[],13,FALSE)</f>
        <v>0</v>
      </c>
      <c r="G167" s="2"/>
      <c r="H167" s="75" t="str">
        <f t="shared" si="4"/>
        <v>CON.0200</v>
      </c>
      <c r="I167" s="59" t="str">
        <f t="shared" si="5"/>
        <v>ok</v>
      </c>
      <c r="J167" s="77">
        <f>IFERROR(VLOOKUP($H167,TG[],3,FALSE),"NA")</f>
        <v>0</v>
      </c>
      <c r="K167" s="77" t="str">
        <f>IFERROR(VLOOKUP($H167,TF[],3,FALSE),"NA")</f>
        <v>NA</v>
      </c>
      <c r="L167" s="77">
        <f>IFERROR(VLOOKUP($H167,TT[],3,FALSE),"NA")</f>
        <v>0</v>
      </c>
      <c r="M167" s="77">
        <f>IFERROR(VLOOKUP($H167,TES[],3,FALSE),"NA")</f>
        <v>0</v>
      </c>
      <c r="N167" s="77">
        <f>IFERROR(VLOOKUP($H167,TEC[],3,FALSE),"NA")</f>
        <v>0</v>
      </c>
      <c r="O167" s="77" t="str">
        <f>IFERROR(VLOOKUP($H167,TP[],3,FALSE),"NA")</f>
        <v>NA</v>
      </c>
      <c r="P167" s="77" t="str">
        <f>IFERROR(VLOOKUP($H167,TEN[],3,FALSE),"NA")</f>
        <v>NA</v>
      </c>
      <c r="Q167" s="77" t="str">
        <f>IFERROR(VLOOKUP($H167,TD[],3,FALSE),"NA")</f>
        <v>NA</v>
      </c>
      <c r="R167" s="77" t="str">
        <f>IFERROR(VLOOKUP($H167,TC[],3,FALSE),"NA")</f>
        <v>NA</v>
      </c>
      <c r="S167" s="77" t="str">
        <f>IFERROR(VLOOKUP($H167,TEV[],3,FALSE),"NA")</f>
        <v>NA</v>
      </c>
      <c r="T167" s="78">
        <f>SUM(TbPrestamo[[#This Row],[GENERAL]:[ELEVADOR]])</f>
        <v>0</v>
      </c>
      <c r="U167" s="295">
        <f>IF(VLOOKUP(TbPrestamo[[#This Row],[ITEM]],TbPiezas[],5,FALSE)="NA",0,VLOOKUP(TbPrestamo[[#This Row],[ITEM]],TbPiezas[],5,FALSE))</f>
        <v>0.25</v>
      </c>
      <c r="V167" s="295">
        <f>+TbPrestamo[[#This Row],[TOTAL]]*TbPrestamo[[#This Row],[P.U. (1)]]</f>
        <v>0</v>
      </c>
      <c r="W167" s="84">
        <f>+VLOOKUP(TbPrestamo[[#This Row],[ITEM]],TbPiezas[],6,FALSE)</f>
        <v>0</v>
      </c>
      <c r="X167" s="296">
        <f>+TbPrestamo[[#This Row],[TOTAL]]*TbPrestamo[[#This Row],[P.U. (2)]]</f>
        <v>0</v>
      </c>
      <c r="Y167" s="84">
        <f>+VLOOKUP(TbPrestamo[[#This Row],[ITEM]],TbPiezas[],7,FALSE)</f>
        <v>0</v>
      </c>
      <c r="Z167" s="296">
        <f>+TbPrestamo[[#This Row],[TOTAL]]*TbPrestamo[[#This Row],[P.U. (3)]]</f>
        <v>0</v>
      </c>
    </row>
    <row r="168" spans="1:26" ht="15" customHeight="1" x14ac:dyDescent="0.3">
      <c r="A168" s="2"/>
      <c r="B168" s="85">
        <v>151</v>
      </c>
      <c r="C168" s="71" t="s">
        <v>303</v>
      </c>
      <c r="D168" s="72" t="s">
        <v>304</v>
      </c>
      <c r="E168" s="73"/>
      <c r="F168" s="74">
        <f>+VLOOKUP(C168,TbPrestamo[],13,FALSE)</f>
        <v>0</v>
      </c>
      <c r="G168" s="2"/>
      <c r="H168" s="75" t="str">
        <f t="shared" si="4"/>
        <v>CON.0300</v>
      </c>
      <c r="I168" s="59" t="str">
        <f t="shared" si="5"/>
        <v>ok</v>
      </c>
      <c r="J168" s="77">
        <f>IFERROR(VLOOKUP($H168,TG[],3,FALSE),"NA")</f>
        <v>0</v>
      </c>
      <c r="K168" s="77" t="str">
        <f>IFERROR(VLOOKUP($H168,TF[],3,FALSE),"NA")</f>
        <v>NA</v>
      </c>
      <c r="L168" s="77" t="str">
        <f>IFERROR(VLOOKUP($H168,TT[],3,FALSE),"NA")</f>
        <v>NA</v>
      </c>
      <c r="M168" s="77" t="str">
        <f>IFERROR(VLOOKUP($H168,TES[],3,FALSE),"NA")</f>
        <v>NA</v>
      </c>
      <c r="N168" s="77">
        <f>IFERROR(VLOOKUP($H168,TEC[],3,FALSE),"NA")</f>
        <v>0</v>
      </c>
      <c r="O168" s="77" t="str">
        <f>IFERROR(VLOOKUP($H168,TP[],3,FALSE),"NA")</f>
        <v>NA</v>
      </c>
      <c r="P168" s="77" t="str">
        <f>IFERROR(VLOOKUP($H168,TEN[],3,FALSE),"NA")</f>
        <v>NA</v>
      </c>
      <c r="Q168" s="77" t="str">
        <f>IFERROR(VLOOKUP($H168,TD[],3,FALSE),"NA")</f>
        <v>NA</v>
      </c>
      <c r="R168" s="77" t="str">
        <f>IFERROR(VLOOKUP($H168,TC[],3,FALSE),"NA")</f>
        <v>NA</v>
      </c>
      <c r="S168" s="77" t="str">
        <f>IFERROR(VLOOKUP($H168,TEV[],3,FALSE),"NA")</f>
        <v>NA</v>
      </c>
      <c r="T168" s="79">
        <f>SUM(TbPrestamo[[#This Row],[GENERAL]:[ELEVADOR]])</f>
        <v>0</v>
      </c>
      <c r="U168" s="80">
        <f>IF(VLOOKUP(TbPrestamo[[#This Row],[ITEM]],TbPiezas[],5,FALSE)="NA",0,VLOOKUP(TbPrestamo[[#This Row],[ITEM]],TbPiezas[],5,FALSE))</f>
        <v>0.1</v>
      </c>
      <c r="V168" s="81">
        <f>+TbPrestamo[[#This Row],[TOTAL]]*TbPrestamo[[#This Row],[P.U. (1)]]</f>
        <v>0</v>
      </c>
      <c r="W168" s="82">
        <f>+VLOOKUP(TbPrestamo[[#This Row],[ITEM]],TbPiezas[],6,FALSE)</f>
        <v>10.16</v>
      </c>
      <c r="X168" s="83">
        <f>+TbPrestamo[[#This Row],[TOTAL]]*TbPrestamo[[#This Row],[P.U. (2)]]</f>
        <v>0</v>
      </c>
      <c r="Y168" s="82">
        <f>+VLOOKUP(TbPrestamo[[#This Row],[ITEM]],TbPiezas[],7,FALSE)</f>
        <v>0.50800000000000001</v>
      </c>
      <c r="Z168" s="84">
        <f>+TbPrestamo[[#This Row],[TOTAL]]*TbPrestamo[[#This Row],[P.U. (3)]]</f>
        <v>0</v>
      </c>
    </row>
    <row r="169" spans="1:26" ht="15" customHeight="1" x14ac:dyDescent="0.3">
      <c r="A169" s="2"/>
      <c r="B169" s="85">
        <v>152</v>
      </c>
      <c r="C169" s="71" t="s">
        <v>305</v>
      </c>
      <c r="D169" s="72" t="s">
        <v>306</v>
      </c>
      <c r="E169" s="73"/>
      <c r="F169" s="74">
        <f>+VLOOKUP(C169,TbPrestamo[],13,FALSE)</f>
        <v>0</v>
      </c>
      <c r="G169" s="2"/>
      <c r="H169" s="75" t="str">
        <f t="shared" si="4"/>
        <v>CON.0400</v>
      </c>
      <c r="I169" s="59" t="str">
        <f t="shared" si="5"/>
        <v>ok</v>
      </c>
      <c r="J169" s="77">
        <f>IFERROR(VLOOKUP($H169,TG[],3,FALSE),"NA")</f>
        <v>0</v>
      </c>
      <c r="K169" s="77" t="str">
        <f>IFERROR(VLOOKUP($H169,TF[],3,FALSE),"NA")</f>
        <v>NA</v>
      </c>
      <c r="L169" s="77" t="str">
        <f>IFERROR(VLOOKUP($H169,TT[],3,FALSE),"NA")</f>
        <v>NA</v>
      </c>
      <c r="M169" s="77" t="str">
        <f>IFERROR(VLOOKUP($H169,TES[],3,FALSE),"NA")</f>
        <v>NA</v>
      </c>
      <c r="N169" s="77" t="str">
        <f>IFERROR(VLOOKUP($H169,TEC[],3,FALSE),"NA")</f>
        <v>NA</v>
      </c>
      <c r="O169" s="77" t="str">
        <f>IFERROR(VLOOKUP($H169,TP[],3,FALSE),"NA")</f>
        <v>NA</v>
      </c>
      <c r="P169" s="77" t="str">
        <f>IFERROR(VLOOKUP($H169,TEN[],3,FALSE),"NA")</f>
        <v>NA</v>
      </c>
      <c r="Q169" s="77" t="str">
        <f>IFERROR(VLOOKUP($H169,TD[],3,FALSE),"NA")</f>
        <v>NA</v>
      </c>
      <c r="R169" s="77" t="str">
        <f>IFERROR(VLOOKUP($H169,TC[],3,FALSE),"NA")</f>
        <v>NA</v>
      </c>
      <c r="S169" s="77" t="str">
        <f>IFERROR(VLOOKUP($H169,TEV[],3,FALSE),"NA")</f>
        <v>NA</v>
      </c>
      <c r="T169" s="79">
        <f>SUM(TbPrestamo[[#This Row],[GENERAL]:[ELEVADOR]])</f>
        <v>0</v>
      </c>
      <c r="U169" s="80">
        <f>IF(VLOOKUP(TbPrestamo[[#This Row],[ITEM]],TbPiezas[],5,FALSE)="NA",0,VLOOKUP(TbPrestamo[[#This Row],[ITEM]],TbPiezas[],5,FALSE))</f>
        <v>0.1</v>
      </c>
      <c r="V169" s="81">
        <f>+TbPrestamo[[#This Row],[TOTAL]]*TbPrestamo[[#This Row],[P.U. (1)]]</f>
        <v>0</v>
      </c>
      <c r="W169" s="82">
        <f>+VLOOKUP(TbPrestamo[[#This Row],[ITEM]],TbPiezas[],6,FALSE)</f>
        <v>10.16</v>
      </c>
      <c r="X169" s="83">
        <f>+TbPrestamo[[#This Row],[TOTAL]]*TbPrestamo[[#This Row],[P.U. (2)]]</f>
        <v>0</v>
      </c>
      <c r="Y169" s="82">
        <f>+VLOOKUP(TbPrestamo[[#This Row],[ITEM]],TbPiezas[],7,FALSE)</f>
        <v>0.50800000000000001</v>
      </c>
      <c r="Z169" s="84">
        <f>+TbPrestamo[[#This Row],[TOTAL]]*TbPrestamo[[#This Row],[P.U. (3)]]</f>
        <v>0</v>
      </c>
    </row>
    <row r="170" spans="1:26" ht="15" customHeight="1" x14ac:dyDescent="0.3">
      <c r="A170" s="2"/>
      <c r="B170" s="85">
        <v>153</v>
      </c>
      <c r="C170" s="71" t="s">
        <v>307</v>
      </c>
      <c r="D170" s="72" t="s">
        <v>308</v>
      </c>
      <c r="E170" s="73"/>
      <c r="F170" s="74">
        <f>+VLOOKUP(C170,TbPrestamo[],13,FALSE)</f>
        <v>0</v>
      </c>
      <c r="G170" s="2"/>
      <c r="H170" s="75" t="str">
        <f t="shared" si="4"/>
        <v>CON.0500</v>
      </c>
      <c r="I170" s="59" t="str">
        <f t="shared" si="5"/>
        <v>ok</v>
      </c>
      <c r="J170" s="77">
        <f>IFERROR(VLOOKUP($H170,TG[],3,FALSE),"NA")</f>
        <v>0</v>
      </c>
      <c r="K170" s="77" t="str">
        <f>IFERROR(VLOOKUP($H170,TF[],3,FALSE),"NA")</f>
        <v>NA</v>
      </c>
      <c r="L170" s="77" t="str">
        <f>IFERROR(VLOOKUP($H170,TT[],3,FALSE),"NA")</f>
        <v>NA</v>
      </c>
      <c r="M170" s="77" t="str">
        <f>IFERROR(VLOOKUP($H170,TES[],3,FALSE),"NA")</f>
        <v>NA</v>
      </c>
      <c r="N170" s="77" t="str">
        <f>IFERROR(VLOOKUP($H170,TEC[],3,FALSE),"NA")</f>
        <v>NA</v>
      </c>
      <c r="O170" s="77" t="str">
        <f>IFERROR(VLOOKUP($H170,TP[],3,FALSE),"NA")</f>
        <v>NA</v>
      </c>
      <c r="P170" s="77" t="str">
        <f>IFERROR(VLOOKUP($H170,TEN[],3,FALSE),"NA")</f>
        <v>NA</v>
      </c>
      <c r="Q170" s="77" t="str">
        <f>IFERROR(VLOOKUP($H170,TD[],3,FALSE),"NA")</f>
        <v>NA</v>
      </c>
      <c r="R170" s="77" t="str">
        <f>IFERROR(VLOOKUP($H170,TC[],3,FALSE),"NA")</f>
        <v>NA</v>
      </c>
      <c r="S170" s="77" t="str">
        <f>IFERROR(VLOOKUP($H170,TEV[],3,FALSE),"NA")</f>
        <v>NA</v>
      </c>
      <c r="T170" s="79">
        <f>SUM(TbPrestamo[[#This Row],[GENERAL]:[ELEVADOR]])</f>
        <v>0</v>
      </c>
      <c r="U170" s="80">
        <f>IF(VLOOKUP(TbPrestamo[[#This Row],[ITEM]],TbPiezas[],5,FALSE)="NA",0,VLOOKUP(TbPrestamo[[#This Row],[ITEM]],TbPiezas[],5,FALSE))</f>
        <v>1</v>
      </c>
      <c r="V170" s="81">
        <f>+TbPrestamo[[#This Row],[TOTAL]]*TbPrestamo[[#This Row],[P.U. (1)]]</f>
        <v>0</v>
      </c>
      <c r="W170" s="82">
        <f>+VLOOKUP(TbPrestamo[[#This Row],[ITEM]],TbPiezas[],6,FALSE)</f>
        <v>82.58</v>
      </c>
      <c r="X170" s="83">
        <f>+TbPrestamo[[#This Row],[TOTAL]]*TbPrestamo[[#This Row],[P.U. (2)]]</f>
        <v>0</v>
      </c>
      <c r="Y170" s="82">
        <f>+VLOOKUP(TbPrestamo[[#This Row],[ITEM]],TbPiezas[],7,FALSE)</f>
        <v>4.1290000000000004</v>
      </c>
      <c r="Z170" s="84">
        <f>+TbPrestamo[[#This Row],[TOTAL]]*TbPrestamo[[#This Row],[P.U. (3)]]</f>
        <v>0</v>
      </c>
    </row>
    <row r="171" spans="1:26" ht="15" customHeight="1" x14ac:dyDescent="0.3">
      <c r="A171" s="2"/>
      <c r="B171" s="85">
        <v>154</v>
      </c>
      <c r="C171" s="71" t="s">
        <v>309</v>
      </c>
      <c r="D171" s="72" t="s">
        <v>310</v>
      </c>
      <c r="E171" s="73"/>
      <c r="F171" s="74">
        <f>+VLOOKUP(C171,TbPrestamo[],13,FALSE)</f>
        <v>0</v>
      </c>
      <c r="G171" s="2"/>
      <c r="H171" s="75" t="str">
        <f t="shared" si="4"/>
        <v>CON.0600</v>
      </c>
      <c r="I171" s="59" t="str">
        <f t="shared" si="5"/>
        <v>ok</v>
      </c>
      <c r="J171" s="77">
        <f>IFERROR(VLOOKUP($H171,TG[],3,FALSE),"NA")</f>
        <v>0</v>
      </c>
      <c r="K171" s="77" t="str">
        <f>IFERROR(VLOOKUP($H171,TF[],3,FALSE),"NA")</f>
        <v>NA</v>
      </c>
      <c r="L171" s="77" t="str">
        <f>IFERROR(VLOOKUP($H171,TT[],3,FALSE),"NA")</f>
        <v>NA</v>
      </c>
      <c r="M171" s="77" t="str">
        <f>IFERROR(VLOOKUP($H171,TES[],3,FALSE),"NA")</f>
        <v>NA</v>
      </c>
      <c r="N171" s="77" t="str">
        <f>IFERROR(VLOOKUP($H171,TEC[],3,FALSE),"NA")</f>
        <v>NA</v>
      </c>
      <c r="O171" s="77" t="str">
        <f>IFERROR(VLOOKUP($H171,TP[],3,FALSE),"NA")</f>
        <v>NA</v>
      </c>
      <c r="P171" s="77" t="str">
        <f>IFERROR(VLOOKUP($H171,TEN[],3,FALSE),"NA")</f>
        <v>NA</v>
      </c>
      <c r="Q171" s="77" t="str">
        <f>IFERROR(VLOOKUP($H171,TD[],3,FALSE),"NA")</f>
        <v>NA</v>
      </c>
      <c r="R171" s="77" t="str">
        <f>IFERROR(VLOOKUP($H171,TC[],3,FALSE),"NA")</f>
        <v>NA</v>
      </c>
      <c r="S171" s="77" t="str">
        <f>IFERROR(VLOOKUP($H171,TEV[],3,FALSE),"NA")</f>
        <v>NA</v>
      </c>
      <c r="T171" s="79">
        <f>SUM(TbPrestamo[[#This Row],[GENERAL]:[ELEVADOR]])</f>
        <v>0</v>
      </c>
      <c r="U171" s="80">
        <f>IF(VLOOKUP(TbPrestamo[[#This Row],[ITEM]],TbPiezas[],5,FALSE)="NA",0,VLOOKUP(TbPrestamo[[#This Row],[ITEM]],TbPiezas[],5,FALSE))</f>
        <v>0.8</v>
      </c>
      <c r="V171" s="81">
        <f>+TbPrestamo[[#This Row],[TOTAL]]*TbPrestamo[[#This Row],[P.U. (1)]]</f>
        <v>0</v>
      </c>
      <c r="W171" s="82">
        <f>+VLOOKUP(TbPrestamo[[#This Row],[ITEM]],TbPiezas[],6,FALSE)</f>
        <v>69.88</v>
      </c>
      <c r="X171" s="83">
        <f>+TbPrestamo[[#This Row],[TOTAL]]*TbPrestamo[[#This Row],[P.U. (2)]]</f>
        <v>0</v>
      </c>
      <c r="Y171" s="82">
        <f>+VLOOKUP(TbPrestamo[[#This Row],[ITEM]],TbPiezas[],7,FALSE)</f>
        <v>3.4939999999999998</v>
      </c>
      <c r="Z171" s="84">
        <f>+TbPrestamo[[#This Row],[TOTAL]]*TbPrestamo[[#This Row],[P.U. (3)]]</f>
        <v>0</v>
      </c>
    </row>
    <row r="172" spans="1:26" ht="15" customHeight="1" x14ac:dyDescent="0.3">
      <c r="A172" s="2"/>
      <c r="B172" s="85">
        <v>155</v>
      </c>
      <c r="C172" s="71" t="s">
        <v>311</v>
      </c>
      <c r="D172" s="72" t="s">
        <v>312</v>
      </c>
      <c r="E172" s="73"/>
      <c r="F172" s="74">
        <f>+VLOOKUP(C172,TbPrestamo[],13,FALSE)</f>
        <v>0</v>
      </c>
      <c r="G172" s="2"/>
      <c r="H172" s="75" t="str">
        <f t="shared" si="4"/>
        <v>CON.0700</v>
      </c>
      <c r="I172" s="59" t="str">
        <f t="shared" si="5"/>
        <v>ok</v>
      </c>
      <c r="J172" s="77">
        <f>IFERROR(VLOOKUP($H172,TG[],3,FALSE),"NA")</f>
        <v>0</v>
      </c>
      <c r="K172" s="77" t="str">
        <f>IFERROR(VLOOKUP($H172,TF[],3,FALSE),"NA")</f>
        <v>NA</v>
      </c>
      <c r="L172" s="77" t="str">
        <f>IFERROR(VLOOKUP($H172,TT[],3,FALSE),"NA")</f>
        <v>NA</v>
      </c>
      <c r="M172" s="77" t="str">
        <f>IFERROR(VLOOKUP($H172,TES[],3,FALSE),"NA")</f>
        <v>NA</v>
      </c>
      <c r="N172" s="77" t="str">
        <f>IFERROR(VLOOKUP($H172,TEC[],3,FALSE),"NA")</f>
        <v>NA</v>
      </c>
      <c r="O172" s="77" t="str">
        <f>IFERROR(VLOOKUP($H172,TP[],3,FALSE),"NA")</f>
        <v>NA</v>
      </c>
      <c r="P172" s="77" t="str">
        <f>IFERROR(VLOOKUP($H172,TEN[],3,FALSE),"NA")</f>
        <v>NA</v>
      </c>
      <c r="Q172" s="77" t="str">
        <f>IFERROR(VLOOKUP($H172,TD[],3,FALSE),"NA")</f>
        <v>NA</v>
      </c>
      <c r="R172" s="77" t="str">
        <f>IFERROR(VLOOKUP($H172,TC[],3,FALSE),"NA")</f>
        <v>NA</v>
      </c>
      <c r="S172" s="77">
        <f>IFERROR(VLOOKUP($H172,TEV[],3,FALSE),"NA")</f>
        <v>0</v>
      </c>
      <c r="T172" s="79">
        <f>SUM(TbPrestamo[[#This Row],[GENERAL]:[ELEVADOR]])</f>
        <v>0</v>
      </c>
      <c r="U172" s="80">
        <f>IF(VLOOKUP(TbPrestamo[[#This Row],[ITEM]],TbPiezas[],5,FALSE)="NA",0,VLOOKUP(TbPrestamo[[#This Row],[ITEM]],TbPiezas[],5,FALSE))</f>
        <v>0.6</v>
      </c>
      <c r="V172" s="81">
        <f>+TbPrestamo[[#This Row],[TOTAL]]*TbPrestamo[[#This Row],[P.U. (1)]]</f>
        <v>0</v>
      </c>
      <c r="W172" s="82">
        <f>+VLOOKUP(TbPrestamo[[#This Row],[ITEM]],TbPiezas[],6,FALSE)</f>
        <v>57.17</v>
      </c>
      <c r="X172" s="83">
        <f>+TbPrestamo[[#This Row],[TOTAL]]*TbPrestamo[[#This Row],[P.U. (2)]]</f>
        <v>0</v>
      </c>
      <c r="Y172" s="82">
        <f>+VLOOKUP(TbPrestamo[[#This Row],[ITEM]],TbPiezas[],7,FALSE)</f>
        <v>2.8585000000000003</v>
      </c>
      <c r="Z172" s="84">
        <f>+TbPrestamo[[#This Row],[TOTAL]]*TbPrestamo[[#This Row],[P.U. (3)]]</f>
        <v>0</v>
      </c>
    </row>
    <row r="173" spans="1:26" ht="15" customHeight="1" x14ac:dyDescent="0.3">
      <c r="A173" s="2"/>
      <c r="B173" s="85">
        <v>156</v>
      </c>
      <c r="C173" s="71" t="s">
        <v>313</v>
      </c>
      <c r="D173" s="72" t="s">
        <v>314</v>
      </c>
      <c r="E173" s="73"/>
      <c r="F173" s="74">
        <f>+VLOOKUP(C173,TbPrestamo[],13,FALSE)</f>
        <v>0</v>
      </c>
      <c r="G173" s="2"/>
      <c r="H173" s="75" t="str">
        <f t="shared" si="4"/>
        <v>PU.0100</v>
      </c>
      <c r="I173" s="59" t="str">
        <f t="shared" si="5"/>
        <v>ok</v>
      </c>
      <c r="J173" s="77">
        <f>IFERROR(VLOOKUP($H173,TG[],3,FALSE),"NA")</f>
        <v>0</v>
      </c>
      <c r="K173" s="77" t="str">
        <f>IFERROR(VLOOKUP($H173,TF[],3,FALSE),"NA")</f>
        <v>NA</v>
      </c>
      <c r="L173" s="77" t="str">
        <f>IFERROR(VLOOKUP($H173,TT[],3,FALSE),"NA")</f>
        <v>NA</v>
      </c>
      <c r="M173" s="77" t="str">
        <f>IFERROR(VLOOKUP($H173,TES[],3,FALSE),"NA")</f>
        <v>NA</v>
      </c>
      <c r="N173" s="77" t="str">
        <f>IFERROR(VLOOKUP($H173,TEC[],3,FALSE),"NA")</f>
        <v>NA</v>
      </c>
      <c r="O173" s="77">
        <f>IFERROR(VLOOKUP($H173,TP[],3,FALSE),"NA")</f>
        <v>0</v>
      </c>
      <c r="P173" s="77">
        <f>IFERROR(VLOOKUP($H173,TEN[],3,FALSE),"NA")</f>
        <v>0</v>
      </c>
      <c r="Q173" s="77" t="str">
        <f>IFERROR(VLOOKUP($H173,TD[],3,FALSE),"NA")</f>
        <v>NA</v>
      </c>
      <c r="R173" s="77" t="str">
        <f>IFERROR(VLOOKUP($H173,TC[],3,FALSE),"NA")</f>
        <v>NA</v>
      </c>
      <c r="S173" s="77" t="str">
        <f>IFERROR(VLOOKUP($H173,TEV[],3,FALSE),"NA")</f>
        <v>NA</v>
      </c>
      <c r="T173" s="79">
        <f>SUM(TbPrestamo[[#This Row],[GENERAL]:[ELEVADOR]])</f>
        <v>0</v>
      </c>
      <c r="U173" s="80">
        <f>IF(VLOOKUP(TbPrestamo[[#This Row],[ITEM]],TbPiezas[],5,FALSE)="NA",0,VLOOKUP(TbPrestamo[[#This Row],[ITEM]],TbPiezas[],5,FALSE))</f>
        <v>8.9</v>
      </c>
      <c r="V173" s="81">
        <f>+TbPrestamo[[#This Row],[TOTAL]]*TbPrestamo[[#This Row],[P.U. (1)]]</f>
        <v>0</v>
      </c>
      <c r="W173" s="82">
        <f>+VLOOKUP(TbPrestamo[[#This Row],[ITEM]],TbPiezas[],6,FALSE)</f>
        <v>180</v>
      </c>
      <c r="X173" s="83">
        <f>+TbPrestamo[[#This Row],[TOTAL]]*TbPrestamo[[#This Row],[P.U. (2)]]</f>
        <v>0</v>
      </c>
      <c r="Y173" s="82">
        <f>+VLOOKUP(TbPrestamo[[#This Row],[ITEM]],TbPiezas[],7,FALSE)</f>
        <v>4.5</v>
      </c>
      <c r="Z173" s="84">
        <f>+TbPrestamo[[#This Row],[TOTAL]]*TbPrestamo[[#This Row],[P.U. (3)]]</f>
        <v>0</v>
      </c>
    </row>
    <row r="174" spans="1:26" ht="15" customHeight="1" x14ac:dyDescent="0.3">
      <c r="A174" s="2"/>
      <c r="B174" s="85">
        <v>157</v>
      </c>
      <c r="C174" s="71" t="s">
        <v>315</v>
      </c>
      <c r="D174" s="72" t="s">
        <v>316</v>
      </c>
      <c r="E174" s="73"/>
      <c r="F174" s="74">
        <f>+VLOOKUP(C174,TbPrestamo[],13,FALSE)</f>
        <v>0</v>
      </c>
      <c r="G174" s="2"/>
      <c r="H174" s="75" t="str">
        <f t="shared" si="4"/>
        <v>PU.0200</v>
      </c>
      <c r="I174" s="59" t="str">
        <f t="shared" si="5"/>
        <v>ok</v>
      </c>
      <c r="J174" s="77">
        <f>IFERROR(VLOOKUP($H174,TG[],3,FALSE),"NA")</f>
        <v>0</v>
      </c>
      <c r="K174" s="77" t="str">
        <f>IFERROR(VLOOKUP($H174,TF[],3,FALSE),"NA")</f>
        <v>NA</v>
      </c>
      <c r="L174" s="77" t="str">
        <f>IFERROR(VLOOKUP($H174,TT[],3,FALSE),"NA")</f>
        <v>NA</v>
      </c>
      <c r="M174" s="77" t="str">
        <f>IFERROR(VLOOKUP($H174,TES[],3,FALSE),"NA")</f>
        <v>NA</v>
      </c>
      <c r="N174" s="77" t="str">
        <f>IFERROR(VLOOKUP($H174,TEC[],3,FALSE),"NA")</f>
        <v>NA</v>
      </c>
      <c r="O174" s="77">
        <f>IFERROR(VLOOKUP($H174,TP[],3,FALSE),"NA")</f>
        <v>0</v>
      </c>
      <c r="P174" s="77">
        <f>IFERROR(VLOOKUP($H174,TEN[],3,FALSE),"NA")</f>
        <v>0</v>
      </c>
      <c r="Q174" s="77" t="str">
        <f>IFERROR(VLOOKUP($H174,TD[],3,FALSE),"NA")</f>
        <v>NA</v>
      </c>
      <c r="R174" s="77" t="str">
        <f>IFERROR(VLOOKUP($H174,TC[],3,FALSE),"NA")</f>
        <v>NA</v>
      </c>
      <c r="S174" s="77" t="str">
        <f>IFERROR(VLOOKUP($H174,TEV[],3,FALSE),"NA")</f>
        <v>NA</v>
      </c>
      <c r="T174" s="79">
        <f>SUM(TbPrestamo[[#This Row],[GENERAL]:[ELEVADOR]])</f>
        <v>0</v>
      </c>
      <c r="U174" s="80">
        <f>IF(VLOOKUP(TbPrestamo[[#This Row],[ITEM]],TbPiezas[],5,FALSE)="NA",0,VLOOKUP(TbPrestamo[[#This Row],[ITEM]],TbPiezas[],5,FALSE))</f>
        <v>8.9</v>
      </c>
      <c r="V174" s="81">
        <f>+TbPrestamo[[#This Row],[TOTAL]]*TbPrestamo[[#This Row],[P.U. (1)]]</f>
        <v>0</v>
      </c>
      <c r="W174" s="82">
        <f>+VLOOKUP(TbPrestamo[[#This Row],[ITEM]],TbPiezas[],6,FALSE)</f>
        <v>180</v>
      </c>
      <c r="X174" s="83">
        <f>+TbPrestamo[[#This Row],[TOTAL]]*TbPrestamo[[#This Row],[P.U. (2)]]</f>
        <v>0</v>
      </c>
      <c r="Y174" s="82">
        <f>+VLOOKUP(TbPrestamo[[#This Row],[ITEM]],TbPiezas[],7,FALSE)</f>
        <v>4.5</v>
      </c>
      <c r="Z174" s="84">
        <f>+TbPrestamo[[#This Row],[TOTAL]]*TbPrestamo[[#This Row],[P.U. (3)]]</f>
        <v>0</v>
      </c>
    </row>
    <row r="175" spans="1:26" ht="15" customHeight="1" x14ac:dyDescent="0.3">
      <c r="A175" s="2"/>
      <c r="B175" s="85">
        <v>158</v>
      </c>
      <c r="C175" s="71" t="s">
        <v>317</v>
      </c>
      <c r="D175" s="72" t="s">
        <v>318</v>
      </c>
      <c r="E175" s="73"/>
      <c r="F175" s="74">
        <f>+VLOOKUP(C175,TbPrestamo[],13,FALSE)</f>
        <v>250</v>
      </c>
      <c r="G175" s="2"/>
      <c r="H175" s="75" t="str">
        <f t="shared" si="4"/>
        <v>PU.0300</v>
      </c>
      <c r="I175" s="59" t="str">
        <f t="shared" si="5"/>
        <v>ok</v>
      </c>
      <c r="J175" s="77">
        <f>IFERROR(VLOOKUP($H175,TG[],3,FALSE),"NA")</f>
        <v>0</v>
      </c>
      <c r="K175" s="77">
        <f>IFERROR(VLOOKUP($H175,TF[],3,FALSE),"NA")</f>
        <v>0</v>
      </c>
      <c r="L175" s="77" t="str">
        <f>IFERROR(VLOOKUP($H175,TT[],3,FALSE),"NA")</f>
        <v>NA</v>
      </c>
      <c r="M175" s="77" t="str">
        <f>IFERROR(VLOOKUP($H175,TES[],3,FALSE),"NA")</f>
        <v>NA</v>
      </c>
      <c r="N175" s="77" t="str">
        <f>IFERROR(VLOOKUP($H175,TEC[],3,FALSE),"NA")</f>
        <v>NA</v>
      </c>
      <c r="O175" s="77">
        <f>IFERROR(VLOOKUP($H175,TP[],3,FALSE),"NA")</f>
        <v>250</v>
      </c>
      <c r="P175" s="77">
        <f>IFERROR(VLOOKUP($H175,TEN[],3,FALSE),"NA")</f>
        <v>0</v>
      </c>
      <c r="Q175" s="77" t="str">
        <f>IFERROR(VLOOKUP($H175,TD[],3,FALSE),"NA")</f>
        <v>NA</v>
      </c>
      <c r="R175" s="77" t="str">
        <f>IFERROR(VLOOKUP($H175,TC[],3,FALSE),"NA")</f>
        <v>NA</v>
      </c>
      <c r="S175" s="77" t="str">
        <f>IFERROR(VLOOKUP($H175,TEV[],3,FALSE),"NA")</f>
        <v>NA</v>
      </c>
      <c r="T175" s="79">
        <f>SUM(TbPrestamo[[#This Row],[GENERAL]:[ELEVADOR]])</f>
        <v>250</v>
      </c>
      <c r="U175" s="80">
        <f>IF(VLOOKUP(TbPrestamo[[#This Row],[ITEM]],TbPiezas[],5,FALSE)="NA",0,VLOOKUP(TbPrestamo[[#This Row],[ITEM]],TbPiezas[],5,FALSE))</f>
        <v>8.9</v>
      </c>
      <c r="V175" s="81">
        <f>+TbPrestamo[[#This Row],[TOTAL]]*TbPrestamo[[#This Row],[P.U. (1)]]</f>
        <v>2225</v>
      </c>
      <c r="W175" s="82">
        <f>+VLOOKUP(TbPrestamo[[#This Row],[ITEM]],TbPiezas[],6,FALSE)</f>
        <v>180</v>
      </c>
      <c r="X175" s="83">
        <f>+TbPrestamo[[#This Row],[TOTAL]]*TbPrestamo[[#This Row],[P.U. (2)]]</f>
        <v>45000</v>
      </c>
      <c r="Y175" s="82">
        <f>+VLOOKUP(TbPrestamo[[#This Row],[ITEM]],TbPiezas[],7,FALSE)</f>
        <v>4.5</v>
      </c>
      <c r="Z175" s="84">
        <f>+TbPrestamo[[#This Row],[TOTAL]]*TbPrestamo[[#This Row],[P.U. (3)]]</f>
        <v>1125</v>
      </c>
    </row>
    <row r="176" spans="1:26" ht="15" customHeight="1" x14ac:dyDescent="0.3">
      <c r="A176" s="2"/>
      <c r="B176" s="85"/>
      <c r="C176" s="71" t="s">
        <v>1396</v>
      </c>
      <c r="D176" s="72" t="s">
        <v>1397</v>
      </c>
      <c r="E176" s="73"/>
      <c r="F176" s="74">
        <f>+VLOOKUP(C176,TbPrestamo[],13,FALSE)</f>
        <v>0</v>
      </c>
      <c r="G176" s="2"/>
      <c r="H176" s="75" t="str">
        <f t="shared" si="4"/>
        <v>PU.0350</v>
      </c>
      <c r="I176" s="59" t="str">
        <f t="shared" si="5"/>
        <v>ok</v>
      </c>
      <c r="J176" s="77">
        <f>IFERROR(VLOOKUP($H176,TG[],3,FALSE),"NA")</f>
        <v>0</v>
      </c>
      <c r="K176" s="408" t="str">
        <f>IFERROR(VLOOKUP($H176,TF[],3,FALSE),"NA")</f>
        <v>NA</v>
      </c>
      <c r="L176" s="408" t="str">
        <f>IFERROR(VLOOKUP($H176,TT[],3,FALSE),"NA")</f>
        <v>NA</v>
      </c>
      <c r="M176" s="77" t="str">
        <f>IFERROR(VLOOKUP($H176,TES[],3,FALSE),"NA")</f>
        <v>NA</v>
      </c>
      <c r="N176" s="77" t="str">
        <f>IFERROR(VLOOKUP($H176,TEC[],3,FALSE),"NA")</f>
        <v>NA</v>
      </c>
      <c r="O176" s="77">
        <f>IFERROR(VLOOKUP($H176,TP[],3,FALSE),"NA")</f>
        <v>0</v>
      </c>
      <c r="P176" s="77">
        <f>IFERROR(VLOOKUP($H176,TEN[],3,FALSE),"NA")</f>
        <v>0</v>
      </c>
      <c r="Q176" s="77" t="str">
        <f>IFERROR(VLOOKUP($H176,TD[],3,FALSE),"NA")</f>
        <v>NA</v>
      </c>
      <c r="R176" s="77" t="str">
        <f>IFERROR(VLOOKUP($H176,TC[],3,FALSE),"NA")</f>
        <v>NA</v>
      </c>
      <c r="S176" s="408" t="str">
        <f>IFERROR(VLOOKUP($H176,TEV[],3,FALSE),"NA")</f>
        <v>NA</v>
      </c>
      <c r="T176" s="78">
        <f>SUM(TbPrestamo[[#This Row],[GENERAL]:[ELEVADOR]])</f>
        <v>0</v>
      </c>
      <c r="U176" s="80">
        <f>IF(VLOOKUP(TbPrestamo[[#This Row],[ITEM]],TbPiezas[],5,FALSE)="NA",0,VLOOKUP(TbPrestamo[[#This Row],[ITEM]],TbPiezas[],5,FALSE))</f>
        <v>9</v>
      </c>
      <c r="V176" s="295">
        <f>+TbPrestamo[[#This Row],[TOTAL]]*TbPrestamo[[#This Row],[P.U. (1)]]</f>
        <v>0</v>
      </c>
      <c r="W176" s="84">
        <f>+VLOOKUP(TbPrestamo[[#This Row],[ITEM]],TbPiezas[],6,FALSE)</f>
        <v>180</v>
      </c>
      <c r="X176" s="296">
        <f>+TbPrestamo[[#This Row],[TOTAL]]*TbPrestamo[[#This Row],[P.U. (2)]]</f>
        <v>0</v>
      </c>
      <c r="Y176" s="84">
        <f>+VLOOKUP(TbPrestamo[[#This Row],[ITEM]],TbPiezas[],7,FALSE)</f>
        <v>4.5</v>
      </c>
      <c r="Z176" s="296">
        <f>+TbPrestamo[[#This Row],[TOTAL]]*TbPrestamo[[#This Row],[P.U. (3)]]</f>
        <v>0</v>
      </c>
    </row>
    <row r="177" spans="1:26" ht="15" customHeight="1" x14ac:dyDescent="0.3">
      <c r="A177" s="2"/>
      <c r="B177" s="85">
        <v>159</v>
      </c>
      <c r="C177" s="71" t="s">
        <v>319</v>
      </c>
      <c r="D177" s="72" t="s">
        <v>320</v>
      </c>
      <c r="E177" s="73"/>
      <c r="F177" s="74">
        <f>+VLOOKUP(C177,TbPrestamo[],13,FALSE)</f>
        <v>0</v>
      </c>
      <c r="G177" s="2"/>
      <c r="H177" s="75" t="str">
        <f t="shared" si="4"/>
        <v>PU.0400</v>
      </c>
      <c r="I177" s="59" t="str">
        <f t="shared" si="5"/>
        <v>ok</v>
      </c>
      <c r="J177" s="77">
        <f>IFERROR(VLOOKUP($H177,TG[],3,FALSE),"NA")</f>
        <v>0</v>
      </c>
      <c r="K177" s="77" t="str">
        <f>IFERROR(VLOOKUP($H177,TF[],3,FALSE),"NA")</f>
        <v>NA</v>
      </c>
      <c r="L177" s="77" t="str">
        <f>IFERROR(VLOOKUP($H177,TT[],3,FALSE),"NA")</f>
        <v>NA</v>
      </c>
      <c r="M177" s="77" t="str">
        <f>IFERROR(VLOOKUP($H177,TES[],3,FALSE),"NA")</f>
        <v>NA</v>
      </c>
      <c r="N177" s="77" t="str">
        <f>IFERROR(VLOOKUP($H177,TEC[],3,FALSE),"NA")</f>
        <v>NA</v>
      </c>
      <c r="O177" s="77">
        <f>IFERROR(VLOOKUP($H177,TP[],3,FALSE),"NA")</f>
        <v>0</v>
      </c>
      <c r="P177" s="77">
        <f>IFERROR(VLOOKUP($H177,TEN[],3,FALSE),"NA")</f>
        <v>0</v>
      </c>
      <c r="Q177" s="77" t="str">
        <f>IFERROR(VLOOKUP($H177,TD[],3,FALSE),"NA")</f>
        <v>NA</v>
      </c>
      <c r="R177" s="77" t="str">
        <f>IFERROR(VLOOKUP($H177,TC[],3,FALSE),"NA")</f>
        <v>NA</v>
      </c>
      <c r="S177" s="77" t="str">
        <f>IFERROR(VLOOKUP($H177,TEV[],3,FALSE),"NA")</f>
        <v>NA</v>
      </c>
      <c r="T177" s="79">
        <f>SUM(TbPrestamo[[#This Row],[GENERAL]:[ELEVADOR]])</f>
        <v>0</v>
      </c>
      <c r="U177" s="80">
        <f>IF(VLOOKUP(TbPrestamo[[#This Row],[ITEM]],TbPiezas[],5,FALSE)="NA",0,VLOOKUP(TbPrestamo[[#This Row],[ITEM]],TbPiezas[],5,FALSE))</f>
        <v>11.8</v>
      </c>
      <c r="V177" s="81">
        <f>+TbPrestamo[[#This Row],[TOTAL]]*TbPrestamo[[#This Row],[P.U. (1)]]</f>
        <v>0</v>
      </c>
      <c r="W177" s="82">
        <f>+VLOOKUP(TbPrestamo[[#This Row],[ITEM]],TbPiezas[],6,FALSE)</f>
        <v>200</v>
      </c>
      <c r="X177" s="83">
        <f>+TbPrestamo[[#This Row],[TOTAL]]*TbPrestamo[[#This Row],[P.U. (2)]]</f>
        <v>0</v>
      </c>
      <c r="Y177" s="82">
        <f>+VLOOKUP(TbPrestamo[[#This Row],[ITEM]],TbPiezas[],7,FALSE)</f>
        <v>6.6</v>
      </c>
      <c r="Z177" s="84">
        <f>+TbPrestamo[[#This Row],[TOTAL]]*TbPrestamo[[#This Row],[P.U. (3)]]</f>
        <v>0</v>
      </c>
    </row>
    <row r="178" spans="1:26" ht="15" customHeight="1" x14ac:dyDescent="0.3">
      <c r="A178" s="2"/>
      <c r="B178" s="85">
        <v>160</v>
      </c>
      <c r="C178" s="71" t="s">
        <v>321</v>
      </c>
      <c r="D178" s="72" t="s">
        <v>322</v>
      </c>
      <c r="E178" s="73"/>
      <c r="F178" s="74">
        <f>+VLOOKUP(C178,TbPrestamo[],13,FALSE)</f>
        <v>0</v>
      </c>
      <c r="G178" s="2"/>
      <c r="H178" s="75" t="str">
        <f t="shared" si="4"/>
        <v>PU.0500</v>
      </c>
      <c r="I178" s="59" t="str">
        <f t="shared" si="5"/>
        <v>ok</v>
      </c>
      <c r="J178" s="77">
        <f>IFERROR(VLOOKUP($H178,TG[],3,FALSE),"NA")</f>
        <v>0</v>
      </c>
      <c r="K178" s="77" t="str">
        <f>IFERROR(VLOOKUP($H178,TF[],3,FALSE),"NA")</f>
        <v>NA</v>
      </c>
      <c r="L178" s="77" t="str">
        <f>IFERROR(VLOOKUP($H178,TT[],3,FALSE),"NA")</f>
        <v>NA</v>
      </c>
      <c r="M178" s="77" t="str">
        <f>IFERROR(VLOOKUP($H178,TES[],3,FALSE),"NA")</f>
        <v>NA</v>
      </c>
      <c r="N178" s="77" t="str">
        <f>IFERROR(VLOOKUP($H178,TEC[],3,FALSE),"NA")</f>
        <v>NA</v>
      </c>
      <c r="O178" s="77">
        <f>IFERROR(VLOOKUP($H178,TP[],3,FALSE),"NA")</f>
        <v>0</v>
      </c>
      <c r="P178" s="77">
        <f>IFERROR(VLOOKUP($H178,TEN[],3,FALSE),"NA")</f>
        <v>0</v>
      </c>
      <c r="Q178" s="77" t="str">
        <f>IFERROR(VLOOKUP($H178,TD[],3,FALSE),"NA")</f>
        <v>NA</v>
      </c>
      <c r="R178" s="77" t="str">
        <f>IFERROR(VLOOKUP($H178,TC[],3,FALSE),"NA")</f>
        <v>NA</v>
      </c>
      <c r="S178" s="77" t="str">
        <f>IFERROR(VLOOKUP($H178,TEV[],3,FALSE),"NA")</f>
        <v>NA</v>
      </c>
      <c r="T178" s="79">
        <f>SUM(TbPrestamo[[#This Row],[GENERAL]:[ELEVADOR]])</f>
        <v>0</v>
      </c>
      <c r="U178" s="80">
        <f>IF(VLOOKUP(TbPrestamo[[#This Row],[ITEM]],TbPiezas[],5,FALSE)="NA",0,VLOOKUP(TbPrestamo[[#This Row],[ITEM]],TbPiezas[],5,FALSE))</f>
        <v>11.8</v>
      </c>
      <c r="V178" s="81">
        <f>+TbPrestamo[[#This Row],[TOTAL]]*TbPrestamo[[#This Row],[P.U. (1)]]</f>
        <v>0</v>
      </c>
      <c r="W178" s="82">
        <f>+VLOOKUP(TbPrestamo[[#This Row],[ITEM]],TbPiezas[],6,FALSE)</f>
        <v>200</v>
      </c>
      <c r="X178" s="83">
        <f>+TbPrestamo[[#This Row],[TOTAL]]*TbPrestamo[[#This Row],[P.U. (2)]]</f>
        <v>0</v>
      </c>
      <c r="Y178" s="82">
        <f>+VLOOKUP(TbPrestamo[[#This Row],[ITEM]],TbPiezas[],7,FALSE)</f>
        <v>6.6</v>
      </c>
      <c r="Z178" s="84">
        <f>+TbPrestamo[[#This Row],[TOTAL]]*TbPrestamo[[#This Row],[P.U. (3)]]</f>
        <v>0</v>
      </c>
    </row>
    <row r="179" spans="1:26" ht="15" customHeight="1" x14ac:dyDescent="0.3">
      <c r="A179" s="2"/>
      <c r="B179" s="85">
        <v>161</v>
      </c>
      <c r="C179" s="71" t="s">
        <v>323</v>
      </c>
      <c r="D179" s="72" t="s">
        <v>324</v>
      </c>
      <c r="E179" s="73"/>
      <c r="F179" s="74">
        <f>+VLOOKUP(C179,TbPrestamo[],13,FALSE)</f>
        <v>0</v>
      </c>
      <c r="G179" s="2"/>
      <c r="H179" s="75" t="str">
        <f t="shared" si="4"/>
        <v>PU.0600</v>
      </c>
      <c r="I179" s="59" t="str">
        <f t="shared" si="5"/>
        <v>ok</v>
      </c>
      <c r="J179" s="77">
        <f>IFERROR(VLOOKUP($H179,TG[],3,FALSE),"NA")</f>
        <v>0</v>
      </c>
      <c r="K179" s="77" t="str">
        <f>IFERROR(VLOOKUP($H179,TF[],3,FALSE),"NA")</f>
        <v>NA</v>
      </c>
      <c r="L179" s="77" t="str">
        <f>IFERROR(VLOOKUP($H179,TT[],3,FALSE),"NA")</f>
        <v>NA</v>
      </c>
      <c r="M179" s="77" t="str">
        <f>IFERROR(VLOOKUP($H179,TES[],3,FALSE),"NA")</f>
        <v>NA</v>
      </c>
      <c r="N179" s="77" t="str">
        <f>IFERROR(VLOOKUP($H179,TEC[],3,FALSE),"NA")</f>
        <v>NA</v>
      </c>
      <c r="O179" s="77">
        <f>IFERROR(VLOOKUP($H179,TP[],3,FALSE),"NA")</f>
        <v>0</v>
      </c>
      <c r="P179" s="77">
        <f>IFERROR(VLOOKUP($H179,TEN[],3,FALSE),"NA")</f>
        <v>0</v>
      </c>
      <c r="Q179" s="77" t="str">
        <f>IFERROR(VLOOKUP($H179,TD[],3,FALSE),"NA")</f>
        <v>NA</v>
      </c>
      <c r="R179" s="77" t="str">
        <f>IFERROR(VLOOKUP($H179,TC[],3,FALSE),"NA")</f>
        <v>NA</v>
      </c>
      <c r="S179" s="77" t="str">
        <f>IFERROR(VLOOKUP($H179,TEV[],3,FALSE),"NA")</f>
        <v>NA</v>
      </c>
      <c r="T179" s="79">
        <f>SUM(TbPrestamo[[#This Row],[GENERAL]:[ELEVADOR]])</f>
        <v>0</v>
      </c>
      <c r="U179" s="80">
        <f>IF(VLOOKUP(TbPrestamo[[#This Row],[ITEM]],TbPiezas[],5,FALSE)="NA",0,VLOOKUP(TbPrestamo[[#This Row],[ITEM]],TbPiezas[],5,FALSE))</f>
        <v>17.3</v>
      </c>
      <c r="V179" s="81">
        <f>+TbPrestamo[[#This Row],[TOTAL]]*TbPrestamo[[#This Row],[P.U. (1)]]</f>
        <v>0</v>
      </c>
      <c r="W179" s="82">
        <f>+VLOOKUP(TbPrestamo[[#This Row],[ITEM]],TbPiezas[],6,FALSE)</f>
        <v>300</v>
      </c>
      <c r="X179" s="83">
        <f>+TbPrestamo[[#This Row],[TOTAL]]*TbPrestamo[[#This Row],[P.U. (2)]]</f>
        <v>0</v>
      </c>
      <c r="Y179" s="82">
        <f>+VLOOKUP(TbPrestamo[[#This Row],[ITEM]],TbPiezas[],7,FALSE)</f>
        <v>10.5</v>
      </c>
      <c r="Z179" s="84">
        <f>+TbPrestamo[[#This Row],[TOTAL]]*TbPrestamo[[#This Row],[P.U. (3)]]</f>
        <v>0</v>
      </c>
    </row>
    <row r="180" spans="1:26" ht="15" customHeight="1" x14ac:dyDescent="0.3">
      <c r="A180" s="2"/>
      <c r="B180" s="85">
        <v>162</v>
      </c>
      <c r="C180" s="71" t="s">
        <v>325</v>
      </c>
      <c r="D180" s="72" t="s">
        <v>326</v>
      </c>
      <c r="E180" s="73"/>
      <c r="F180" s="74">
        <f>+VLOOKUP(C180,TbPrestamo[],13,FALSE)</f>
        <v>250</v>
      </c>
      <c r="G180" s="2"/>
      <c r="H180" s="75" t="str">
        <f t="shared" si="4"/>
        <v>PU.0700</v>
      </c>
      <c r="I180" s="59" t="str">
        <f t="shared" si="5"/>
        <v>ok</v>
      </c>
      <c r="J180" s="77">
        <f>IFERROR(VLOOKUP($H180,TG[],3,FALSE),"NA")</f>
        <v>0</v>
      </c>
      <c r="K180" s="77">
        <f>IFERROR(VLOOKUP($H180,TF[],3,FALSE),"NA")</f>
        <v>0</v>
      </c>
      <c r="L180" s="77" t="str">
        <f>IFERROR(VLOOKUP($H180,TT[],3,FALSE),"NA")</f>
        <v>NA</v>
      </c>
      <c r="M180" s="77" t="str">
        <f>IFERROR(VLOOKUP($H180,TES[],3,FALSE),"NA")</f>
        <v>NA</v>
      </c>
      <c r="N180" s="77" t="str">
        <f>IFERROR(VLOOKUP($H180,TEC[],3,FALSE),"NA")</f>
        <v>NA</v>
      </c>
      <c r="O180" s="77">
        <f>IFERROR(VLOOKUP($H180,TP[],3,FALSE),"NA")</f>
        <v>250</v>
      </c>
      <c r="P180" s="77">
        <f>IFERROR(VLOOKUP($H180,TEN[],3,FALSE),"NA")</f>
        <v>0</v>
      </c>
      <c r="Q180" s="77" t="str">
        <f>IFERROR(VLOOKUP($H180,TD[],3,FALSE),"NA")</f>
        <v>NA</v>
      </c>
      <c r="R180" s="77" t="str">
        <f>IFERROR(VLOOKUP($H180,TC[],3,FALSE),"NA")</f>
        <v>NA</v>
      </c>
      <c r="S180" s="77" t="str">
        <f>IFERROR(VLOOKUP($H180,TEV[],3,FALSE),"NA")</f>
        <v>NA</v>
      </c>
      <c r="T180" s="79">
        <f>SUM(TbPrestamo[[#This Row],[GENERAL]:[ELEVADOR]])</f>
        <v>250</v>
      </c>
      <c r="U180" s="80">
        <f>IF(VLOOKUP(TbPrestamo[[#This Row],[ITEM]],TbPiezas[],5,FALSE)="NA",0,VLOOKUP(TbPrestamo[[#This Row],[ITEM]],TbPiezas[],5,FALSE))</f>
        <v>9.9999999999994316E-2</v>
      </c>
      <c r="V180" s="81">
        <f>+TbPrestamo[[#This Row],[TOTAL]]*TbPrestamo[[#This Row],[P.U. (1)]]</f>
        <v>24.999999999998579</v>
      </c>
      <c r="W180" s="82">
        <f>+VLOOKUP(TbPrestamo[[#This Row],[ITEM]],TbPiezas[],6,FALSE)</f>
        <v>30</v>
      </c>
      <c r="X180" s="83">
        <f>+TbPrestamo[[#This Row],[TOTAL]]*TbPrestamo[[#This Row],[P.U. (2)]]</f>
        <v>7500</v>
      </c>
      <c r="Y180" s="82">
        <f>+VLOOKUP(TbPrestamo[[#This Row],[ITEM]],TbPiezas[],7,FALSE)</f>
        <v>1.5</v>
      </c>
      <c r="Z180" s="84">
        <f>+TbPrestamo[[#This Row],[TOTAL]]*TbPrestamo[[#This Row],[P.U. (3)]]</f>
        <v>375</v>
      </c>
    </row>
    <row r="181" spans="1:26" ht="15" customHeight="1" x14ac:dyDescent="0.3">
      <c r="A181" s="2"/>
      <c r="B181" s="85">
        <v>163</v>
      </c>
      <c r="C181" s="71" t="s">
        <v>327</v>
      </c>
      <c r="D181" s="72" t="s">
        <v>328</v>
      </c>
      <c r="E181" s="73"/>
      <c r="F181" s="74">
        <f>+VLOOKUP(C181,TbPrestamo[],13,FALSE)</f>
        <v>0</v>
      </c>
      <c r="G181" s="2"/>
      <c r="H181" s="75" t="str">
        <f t="shared" si="4"/>
        <v>PU.0800</v>
      </c>
      <c r="I181" s="59" t="str">
        <f t="shared" si="5"/>
        <v>ok</v>
      </c>
      <c r="J181" s="77">
        <f>IFERROR(VLOOKUP($H181,TG[],3,FALSE),"NA")</f>
        <v>0</v>
      </c>
      <c r="K181" s="77" t="str">
        <f>IFERROR(VLOOKUP($H181,TF[],3,FALSE),"NA")</f>
        <v>NA</v>
      </c>
      <c r="L181" s="77" t="str">
        <f>IFERROR(VLOOKUP($H181,TT[],3,FALSE),"NA")</f>
        <v>NA</v>
      </c>
      <c r="M181" s="77" t="str">
        <f>IFERROR(VLOOKUP($H181,TES[],3,FALSE),"NA")</f>
        <v>NA</v>
      </c>
      <c r="N181" s="77" t="str">
        <f>IFERROR(VLOOKUP($H181,TEC[],3,FALSE),"NA")</f>
        <v>NA</v>
      </c>
      <c r="O181" s="77">
        <f>IFERROR(VLOOKUP($H181,TP[],3,FALSE),"NA")</f>
        <v>0</v>
      </c>
      <c r="P181" s="77">
        <f>IFERROR(VLOOKUP($H181,TEN[],3,FALSE),"NA")</f>
        <v>0</v>
      </c>
      <c r="Q181" s="77" t="str">
        <f>IFERROR(VLOOKUP($H181,TD[],3,FALSE),"NA")</f>
        <v>NA</v>
      </c>
      <c r="R181" s="77" t="str">
        <f>IFERROR(VLOOKUP($H181,TC[],3,FALSE),"NA")</f>
        <v>NA</v>
      </c>
      <c r="S181" s="77" t="str">
        <f>IFERROR(VLOOKUP($H181,TEV[],3,FALSE),"NA")</f>
        <v>NA</v>
      </c>
      <c r="T181" s="79">
        <f>SUM(TbPrestamo[[#This Row],[GENERAL]:[ELEVADOR]])</f>
        <v>0</v>
      </c>
      <c r="U181" s="80">
        <f>IF(VLOOKUP(TbPrestamo[[#This Row],[ITEM]],TbPiezas[],5,FALSE)="NA",0,VLOOKUP(TbPrestamo[[#This Row],[ITEM]],TbPiezas[],5,FALSE))</f>
        <v>9.9999999999994316E-2</v>
      </c>
      <c r="V181" s="81">
        <f>+TbPrestamo[[#This Row],[TOTAL]]*TbPrestamo[[#This Row],[P.U. (1)]]</f>
        <v>0</v>
      </c>
      <c r="W181" s="82">
        <f>+VLOOKUP(TbPrestamo[[#This Row],[ITEM]],TbPiezas[],6,FALSE)</f>
        <v>30</v>
      </c>
      <c r="X181" s="83">
        <f>+TbPrestamo[[#This Row],[TOTAL]]*TbPrestamo[[#This Row],[P.U. (2)]]</f>
        <v>0</v>
      </c>
      <c r="Y181" s="82">
        <f>+VLOOKUP(TbPrestamo[[#This Row],[ITEM]],TbPiezas[],7,FALSE)</f>
        <v>1.5</v>
      </c>
      <c r="Z181" s="84">
        <f>+TbPrestamo[[#This Row],[TOTAL]]*TbPrestamo[[#This Row],[P.U. (3)]]</f>
        <v>0</v>
      </c>
    </row>
    <row r="182" spans="1:26" ht="15" customHeight="1" x14ac:dyDescent="0.3">
      <c r="A182" s="2"/>
      <c r="B182" s="85">
        <v>164</v>
      </c>
      <c r="C182" s="71" t="s">
        <v>329</v>
      </c>
      <c r="D182" s="72" t="s">
        <v>330</v>
      </c>
      <c r="E182" s="73"/>
      <c r="F182" s="74">
        <f>+VLOOKUP(C182,TbPrestamo[],13,FALSE)</f>
        <v>250</v>
      </c>
      <c r="G182" s="2"/>
      <c r="H182" s="75" t="str">
        <f t="shared" si="4"/>
        <v>PU.0900</v>
      </c>
      <c r="I182" s="59" t="str">
        <f t="shared" si="5"/>
        <v>ok</v>
      </c>
      <c r="J182" s="77">
        <f>IFERROR(VLOOKUP($H182,TG[],3,FALSE),"NA")</f>
        <v>0</v>
      </c>
      <c r="K182" s="77">
        <f>IFERROR(VLOOKUP($H182,TF[],3,FALSE),"NA")</f>
        <v>0</v>
      </c>
      <c r="L182" s="77" t="str">
        <f>IFERROR(VLOOKUP($H182,TT[],3,FALSE),"NA")</f>
        <v>NA</v>
      </c>
      <c r="M182" s="77" t="str">
        <f>IFERROR(VLOOKUP($H182,TES[],3,FALSE),"NA")</f>
        <v>NA</v>
      </c>
      <c r="N182" s="77" t="str">
        <f>IFERROR(VLOOKUP($H182,TEC[],3,FALSE),"NA")</f>
        <v>NA</v>
      </c>
      <c r="O182" s="77">
        <f>IFERROR(VLOOKUP($H182,TP[],3,FALSE),"NA")</f>
        <v>250</v>
      </c>
      <c r="P182" s="77">
        <f>IFERROR(VLOOKUP($H182,TEN[],3,FALSE),"NA")</f>
        <v>0</v>
      </c>
      <c r="Q182" s="77" t="str">
        <f>IFERROR(VLOOKUP($H182,TD[],3,FALSE),"NA")</f>
        <v>NA</v>
      </c>
      <c r="R182" s="77" t="str">
        <f>IFERROR(VLOOKUP($H182,TC[],3,FALSE),"NA")</f>
        <v>NA</v>
      </c>
      <c r="S182" s="77" t="str">
        <f>IFERROR(VLOOKUP($H182,TEV[],3,FALSE),"NA")</f>
        <v>NA</v>
      </c>
      <c r="T182" s="79">
        <f>SUM(TbPrestamo[[#This Row],[GENERAL]:[ELEVADOR]])</f>
        <v>250</v>
      </c>
      <c r="U182" s="80">
        <f>IF(VLOOKUP(TbPrestamo[[#This Row],[ITEM]],TbPiezas[],5,FALSE)="NA",0,VLOOKUP(TbPrestamo[[#This Row],[ITEM]],TbPiezas[],5,FALSE))</f>
        <v>9.9999999999994316E-2</v>
      </c>
      <c r="V182" s="81">
        <f>+TbPrestamo[[#This Row],[TOTAL]]*TbPrestamo[[#This Row],[P.U. (1)]]</f>
        <v>24.999999999998579</v>
      </c>
      <c r="W182" s="82">
        <f>+VLOOKUP(TbPrestamo[[#This Row],[ITEM]],TbPiezas[],6,FALSE)</f>
        <v>30</v>
      </c>
      <c r="X182" s="83">
        <f>+TbPrestamo[[#This Row],[TOTAL]]*TbPrestamo[[#This Row],[P.U. (2)]]</f>
        <v>7500</v>
      </c>
      <c r="Y182" s="82">
        <f>+VLOOKUP(TbPrestamo[[#This Row],[ITEM]],TbPiezas[],7,FALSE)</f>
        <v>1.5</v>
      </c>
      <c r="Z182" s="84">
        <f>+TbPrestamo[[#This Row],[TOTAL]]*TbPrestamo[[#This Row],[P.U. (3)]]</f>
        <v>375</v>
      </c>
    </row>
    <row r="183" spans="1:26" ht="15" customHeight="1" x14ac:dyDescent="0.3">
      <c r="A183" s="2"/>
      <c r="B183" s="85">
        <v>165</v>
      </c>
      <c r="C183" s="71" t="s">
        <v>331</v>
      </c>
      <c r="D183" s="72" t="s">
        <v>332</v>
      </c>
      <c r="E183" s="73"/>
      <c r="F183" s="74">
        <f>+VLOOKUP(C183,TbPrestamo[],13,FALSE)</f>
        <v>0</v>
      </c>
      <c r="G183" s="2"/>
      <c r="H183" s="75" t="str">
        <f t="shared" si="4"/>
        <v>PU.1000</v>
      </c>
      <c r="I183" s="59" t="str">
        <f t="shared" si="5"/>
        <v>ok</v>
      </c>
      <c r="J183" s="77">
        <f>IFERROR(VLOOKUP($H183,TG[],3,FALSE),"NA")</f>
        <v>0</v>
      </c>
      <c r="K183" s="77" t="str">
        <f>IFERROR(VLOOKUP($H183,TF[],3,FALSE),"NA")</f>
        <v>NA</v>
      </c>
      <c r="L183" s="77" t="str">
        <f>IFERROR(VLOOKUP($H183,TT[],3,FALSE),"NA")</f>
        <v>NA</v>
      </c>
      <c r="M183" s="77" t="str">
        <f>IFERROR(VLOOKUP($H183,TES[],3,FALSE),"NA")</f>
        <v>NA</v>
      </c>
      <c r="N183" s="77" t="str">
        <f>IFERROR(VLOOKUP($H183,TEC[],3,FALSE),"NA")</f>
        <v>NA</v>
      </c>
      <c r="O183" s="77">
        <f>IFERROR(VLOOKUP($H183,TP[],3,FALSE),"NA")</f>
        <v>0</v>
      </c>
      <c r="P183" s="77">
        <f>IFERROR(VLOOKUP($H183,TEN[],3,FALSE),"NA")</f>
        <v>0</v>
      </c>
      <c r="Q183" s="77" t="str">
        <f>IFERROR(VLOOKUP($H183,TD[],3,FALSE),"NA")</f>
        <v>NA</v>
      </c>
      <c r="R183" s="77" t="str">
        <f>IFERROR(VLOOKUP($H183,TC[],3,FALSE),"NA")</f>
        <v>NA</v>
      </c>
      <c r="S183" s="77" t="str">
        <f>IFERROR(VLOOKUP($H183,TEV[],3,FALSE),"NA")</f>
        <v>NA</v>
      </c>
      <c r="T183" s="79">
        <f>SUM(TbPrestamo[[#This Row],[GENERAL]:[ELEVADOR]])</f>
        <v>0</v>
      </c>
      <c r="U183" s="80">
        <f>IF(VLOOKUP(TbPrestamo[[#This Row],[ITEM]],TbPiezas[],5,FALSE)="NA",0,VLOOKUP(TbPrestamo[[#This Row],[ITEM]],TbPiezas[],5,FALSE))</f>
        <v>9.9999999999994316E-2</v>
      </c>
      <c r="V183" s="81">
        <f>+TbPrestamo[[#This Row],[TOTAL]]*TbPrestamo[[#This Row],[P.U. (1)]]</f>
        <v>0</v>
      </c>
      <c r="W183" s="82">
        <f>+VLOOKUP(TbPrestamo[[#This Row],[ITEM]],TbPiezas[],6,FALSE)</f>
        <v>30</v>
      </c>
      <c r="X183" s="83">
        <f>+TbPrestamo[[#This Row],[TOTAL]]*TbPrestamo[[#This Row],[P.U. (2)]]</f>
        <v>0</v>
      </c>
      <c r="Y183" s="82">
        <f>+VLOOKUP(TbPrestamo[[#This Row],[ITEM]],TbPiezas[],7,FALSE)</f>
        <v>1.5</v>
      </c>
      <c r="Z183" s="84">
        <f>+TbPrestamo[[#This Row],[TOTAL]]*TbPrestamo[[#This Row],[P.U. (3)]]</f>
        <v>0</v>
      </c>
    </row>
    <row r="184" spans="1:26" ht="15" customHeight="1" x14ac:dyDescent="0.3">
      <c r="A184" s="2"/>
      <c r="B184" s="85">
        <v>166</v>
      </c>
      <c r="C184" s="71" t="s">
        <v>333</v>
      </c>
      <c r="D184" s="72" t="s">
        <v>334</v>
      </c>
      <c r="E184" s="73"/>
      <c r="F184" s="74">
        <f>+VLOOKUP(C184,TbPrestamo[],13,FALSE)</f>
        <v>250</v>
      </c>
      <c r="G184" s="2"/>
      <c r="H184" s="75" t="str">
        <f t="shared" si="4"/>
        <v>PU.1100</v>
      </c>
      <c r="I184" s="59" t="str">
        <f t="shared" si="5"/>
        <v>ok</v>
      </c>
      <c r="J184" s="77">
        <f>IFERROR(VLOOKUP($H184,TG[],3,FALSE),"NA")</f>
        <v>0</v>
      </c>
      <c r="K184" s="77" t="str">
        <f>IFERROR(VLOOKUP($H184,TF[],3,FALSE),"NA")</f>
        <v>NA</v>
      </c>
      <c r="L184" s="77" t="str">
        <f>IFERROR(VLOOKUP($H184,TT[],3,FALSE),"NA")</f>
        <v>NA</v>
      </c>
      <c r="M184" s="77" t="str">
        <f>IFERROR(VLOOKUP($H184,TES[],3,FALSE),"NA")</f>
        <v>NA</v>
      </c>
      <c r="N184" s="77" t="str">
        <f>IFERROR(VLOOKUP($H184,TEC[],3,FALSE),"NA")</f>
        <v>NA</v>
      </c>
      <c r="O184" s="77">
        <f>IFERROR(VLOOKUP($H184,TP[],3,FALSE),"NA")</f>
        <v>250</v>
      </c>
      <c r="P184" s="77">
        <f>IFERROR(VLOOKUP($H184,TEN[],3,FALSE),"NA")</f>
        <v>0</v>
      </c>
      <c r="Q184" s="77" t="str">
        <f>IFERROR(VLOOKUP($H184,TD[],3,FALSE),"NA")</f>
        <v>NA</v>
      </c>
      <c r="R184" s="77" t="str">
        <f>IFERROR(VLOOKUP($H184,TC[],3,FALSE),"NA")</f>
        <v>NA</v>
      </c>
      <c r="S184" s="77" t="str">
        <f>IFERROR(VLOOKUP($H184,TEV[],3,FALSE),"NA")</f>
        <v>NA</v>
      </c>
      <c r="T184" s="79">
        <f>SUM(TbPrestamo[[#This Row],[GENERAL]:[ELEVADOR]])</f>
        <v>250</v>
      </c>
      <c r="U184" s="80">
        <f>IF(VLOOKUP(TbPrestamo[[#This Row],[ITEM]],TbPiezas[],5,FALSE)="NA",0,VLOOKUP(TbPrestamo[[#This Row],[ITEM]],TbPiezas[],5,FALSE))</f>
        <v>6.2999999999999972</v>
      </c>
      <c r="V184" s="81">
        <f>+TbPrestamo[[#This Row],[TOTAL]]*TbPrestamo[[#This Row],[P.U. (1)]]</f>
        <v>1574.9999999999993</v>
      </c>
      <c r="W184" s="82">
        <f>+VLOOKUP(TbPrestamo[[#This Row],[ITEM]],TbPiezas[],6,FALSE)</f>
        <v>192.23</v>
      </c>
      <c r="X184" s="83">
        <f>+TbPrestamo[[#This Row],[TOTAL]]*TbPrestamo[[#This Row],[P.U. (2)]]</f>
        <v>48057.5</v>
      </c>
      <c r="Y184" s="82">
        <f>+VLOOKUP(TbPrestamo[[#This Row],[ITEM]],TbPiezas[],7,FALSE)</f>
        <v>9.6114999999999995</v>
      </c>
      <c r="Z184" s="84">
        <f>+TbPrestamo[[#This Row],[TOTAL]]*TbPrestamo[[#This Row],[P.U. (3)]]</f>
        <v>2402.875</v>
      </c>
    </row>
    <row r="185" spans="1:26" ht="15" customHeight="1" x14ac:dyDescent="0.3">
      <c r="A185" s="2"/>
      <c r="B185" s="85">
        <v>167</v>
      </c>
      <c r="C185" s="71" t="s">
        <v>335</v>
      </c>
      <c r="D185" s="72" t="s">
        <v>336</v>
      </c>
      <c r="E185" s="73"/>
      <c r="F185" s="74">
        <f>+VLOOKUP(C185,TbPrestamo[],13,FALSE)</f>
        <v>0</v>
      </c>
      <c r="G185" s="2"/>
      <c r="H185" s="75" t="str">
        <f t="shared" si="4"/>
        <v>AE.0100</v>
      </c>
      <c r="I185" s="59" t="str">
        <f t="shared" si="5"/>
        <v>ok</v>
      </c>
      <c r="J185" s="77">
        <f>IFERROR(VLOOKUP($H185,TG[],3,FALSE),"NA")</f>
        <v>0</v>
      </c>
      <c r="K185" s="77" t="str">
        <f>IFERROR(VLOOKUP($H185,TF[],3,FALSE),"NA")</f>
        <v>NA</v>
      </c>
      <c r="L185" s="77" t="str">
        <f>IFERROR(VLOOKUP($H185,TT[],3,FALSE),"NA")</f>
        <v>NA</v>
      </c>
      <c r="M185" s="77" t="str">
        <f>IFERROR(VLOOKUP($H185,TES[],3,FALSE),"NA")</f>
        <v>NA</v>
      </c>
      <c r="N185" s="77" t="str">
        <f>IFERROR(VLOOKUP($H185,TEC[],3,FALSE),"NA")</f>
        <v>NA</v>
      </c>
      <c r="O185" s="77" t="str">
        <f>IFERROR(VLOOKUP($H185,TP[],3,FALSE),"NA")</f>
        <v>NA</v>
      </c>
      <c r="P185" s="77" t="str">
        <f>IFERROR(VLOOKUP($H185,TEN[],3,FALSE),"NA")</f>
        <v>NA</v>
      </c>
      <c r="Q185" s="77" t="str">
        <f>IFERROR(VLOOKUP($H185,TD[],3,FALSE),"NA")</f>
        <v>NA</v>
      </c>
      <c r="R185" s="77">
        <f>IFERROR(VLOOKUP($H185,TC[],3,FALSE),"NA")</f>
        <v>0</v>
      </c>
      <c r="S185" s="77" t="str">
        <f>IFERROR(VLOOKUP($H185,TEV[],3,FALSE),"NA")</f>
        <v>NA</v>
      </c>
      <c r="T185" s="79">
        <f>SUM(TbPrestamo[[#This Row],[GENERAL]:[ELEVADOR]])</f>
        <v>0</v>
      </c>
      <c r="U185" s="80">
        <f>IF(VLOOKUP(TbPrestamo[[#This Row],[ITEM]],TbPiezas[],5,FALSE)="NA",0,VLOOKUP(TbPrestamo[[#This Row],[ITEM]],TbPiezas[],5,FALSE))</f>
        <v>48.8</v>
      </c>
      <c r="V185" s="81">
        <f>+TbPrestamo[[#This Row],[TOTAL]]*TbPrestamo[[#This Row],[P.U. (1)]]</f>
        <v>0</v>
      </c>
      <c r="W185" s="82">
        <f>+VLOOKUP(TbPrestamo[[#This Row],[ITEM]],TbPiezas[],6,FALSE)</f>
        <v>3303.3</v>
      </c>
      <c r="X185" s="83">
        <f>+TbPrestamo[[#This Row],[TOTAL]]*TbPrestamo[[#This Row],[P.U. (2)]]</f>
        <v>0</v>
      </c>
      <c r="Y185" s="82">
        <f>+VLOOKUP(TbPrestamo[[#This Row],[ITEM]],TbPiezas[],7,FALSE)</f>
        <v>165.16500000000002</v>
      </c>
      <c r="Z185" s="84">
        <f>+TbPrestamo[[#This Row],[TOTAL]]*TbPrestamo[[#This Row],[P.U. (3)]]</f>
        <v>0</v>
      </c>
    </row>
    <row r="186" spans="1:26" ht="15" customHeight="1" x14ac:dyDescent="0.3">
      <c r="A186" s="2"/>
      <c r="B186" s="85">
        <v>168</v>
      </c>
      <c r="C186" s="71" t="s">
        <v>337</v>
      </c>
      <c r="D186" s="72" t="s">
        <v>338</v>
      </c>
      <c r="E186" s="73"/>
      <c r="F186" s="74">
        <f>+VLOOKUP(C186,TbPrestamo[],13,FALSE)</f>
        <v>0</v>
      </c>
      <c r="G186" s="2"/>
      <c r="H186" s="75" t="str">
        <f t="shared" si="4"/>
        <v>AE.0200</v>
      </c>
      <c r="I186" s="59" t="str">
        <f t="shared" si="5"/>
        <v>ok</v>
      </c>
      <c r="J186" s="77">
        <f>IFERROR(VLOOKUP($H186,TG[],3,FALSE),"NA")</f>
        <v>0</v>
      </c>
      <c r="K186" s="77" t="str">
        <f>IFERROR(VLOOKUP($H186,TF[],3,FALSE),"NA")</f>
        <v>NA</v>
      </c>
      <c r="L186" s="77" t="str">
        <f>IFERROR(VLOOKUP($H186,TT[],3,FALSE),"NA")</f>
        <v>NA</v>
      </c>
      <c r="M186" s="77" t="str">
        <f>IFERROR(VLOOKUP($H186,TES[],3,FALSE),"NA")</f>
        <v>NA</v>
      </c>
      <c r="N186" s="77" t="str">
        <f>IFERROR(VLOOKUP($H186,TEC[],3,FALSE),"NA")</f>
        <v>NA</v>
      </c>
      <c r="O186" s="77" t="str">
        <f>IFERROR(VLOOKUP($H186,TP[],3,FALSE),"NA")</f>
        <v>NA</v>
      </c>
      <c r="P186" s="77" t="str">
        <f>IFERROR(VLOOKUP($H186,TEN[],3,FALSE),"NA")</f>
        <v>NA</v>
      </c>
      <c r="Q186" s="77" t="str">
        <f>IFERROR(VLOOKUP($H186,TD[],3,FALSE),"NA")</f>
        <v>NA</v>
      </c>
      <c r="R186" s="77">
        <f>IFERROR(VLOOKUP($H186,TC[],3,FALSE),"NA")</f>
        <v>0</v>
      </c>
      <c r="S186" s="77" t="str">
        <f>IFERROR(VLOOKUP($H186,TEV[],3,FALSE),"NA")</f>
        <v>NA</v>
      </c>
      <c r="T186" s="79">
        <f>SUM(TbPrestamo[[#This Row],[GENERAL]:[ELEVADOR]])</f>
        <v>0</v>
      </c>
      <c r="U186" s="80">
        <f>IF(VLOOKUP(TbPrestamo[[#This Row],[ITEM]],TbPiezas[],5,FALSE)="NA",0,VLOOKUP(TbPrestamo[[#This Row],[ITEM]],TbPiezas[],5,FALSE))</f>
        <v>48.8</v>
      </c>
      <c r="V186" s="81">
        <f>+TbPrestamo[[#This Row],[TOTAL]]*TbPrestamo[[#This Row],[P.U. (1)]]</f>
        <v>0</v>
      </c>
      <c r="W186" s="82">
        <f>+VLOOKUP(TbPrestamo[[#This Row],[ITEM]],TbPiezas[],6,FALSE)</f>
        <v>3303.3</v>
      </c>
      <c r="X186" s="83">
        <f>+TbPrestamo[[#This Row],[TOTAL]]*TbPrestamo[[#This Row],[P.U. (2)]]</f>
        <v>0</v>
      </c>
      <c r="Y186" s="82">
        <f>+VLOOKUP(TbPrestamo[[#This Row],[ITEM]],TbPiezas[],7,FALSE)</f>
        <v>165.16500000000002</v>
      </c>
      <c r="Z186" s="84">
        <f>+TbPrestamo[[#This Row],[TOTAL]]*TbPrestamo[[#This Row],[P.U. (3)]]</f>
        <v>0</v>
      </c>
    </row>
    <row r="187" spans="1:26" ht="15" customHeight="1" x14ac:dyDescent="0.3">
      <c r="A187" s="2"/>
      <c r="B187" s="85">
        <v>169</v>
      </c>
      <c r="C187" s="71" t="s">
        <v>339</v>
      </c>
      <c r="D187" s="72" t="s">
        <v>340</v>
      </c>
      <c r="E187" s="73"/>
      <c r="F187" s="74">
        <f>+VLOOKUP(C187,TbPrestamo[],13,FALSE)</f>
        <v>0</v>
      </c>
      <c r="G187" s="2"/>
      <c r="H187" s="75" t="str">
        <f t="shared" si="4"/>
        <v>AE.0300</v>
      </c>
      <c r="I187" s="59" t="str">
        <f t="shared" si="5"/>
        <v>ok</v>
      </c>
      <c r="J187" s="77">
        <f>IFERROR(VLOOKUP($H187,TG[],3,FALSE),"NA")</f>
        <v>0</v>
      </c>
      <c r="K187" s="77" t="str">
        <f>IFERROR(VLOOKUP($H187,TF[],3,FALSE),"NA")</f>
        <v>NA</v>
      </c>
      <c r="L187" s="77" t="str">
        <f>IFERROR(VLOOKUP($H187,TT[],3,FALSE),"NA")</f>
        <v>NA</v>
      </c>
      <c r="M187" s="77" t="str">
        <f>IFERROR(VLOOKUP($H187,TES[],3,FALSE),"NA")</f>
        <v>NA</v>
      </c>
      <c r="N187" s="77" t="str">
        <f>IFERROR(VLOOKUP($H187,TEC[],3,FALSE),"NA")</f>
        <v>NA</v>
      </c>
      <c r="O187" s="77" t="str">
        <f>IFERROR(VLOOKUP($H187,TP[],3,FALSE),"NA")</f>
        <v>NA</v>
      </c>
      <c r="P187" s="77" t="str">
        <f>IFERROR(VLOOKUP($H187,TEN[],3,FALSE),"NA")</f>
        <v>NA</v>
      </c>
      <c r="Q187" s="77" t="str">
        <f>IFERROR(VLOOKUP($H187,TD[],3,FALSE),"NA")</f>
        <v>NA</v>
      </c>
      <c r="R187" s="77">
        <f>IFERROR(VLOOKUP($H187,TC[],3,FALSE),"NA")</f>
        <v>0</v>
      </c>
      <c r="S187" s="77" t="str">
        <f>IFERROR(VLOOKUP($H187,TEV[],3,FALSE),"NA")</f>
        <v>NA</v>
      </c>
      <c r="T187" s="79">
        <f>SUM(TbPrestamo[[#This Row],[GENERAL]:[ELEVADOR]])</f>
        <v>0</v>
      </c>
      <c r="U187" s="80">
        <f>IF(VLOOKUP(TbPrestamo[[#This Row],[ITEM]],TbPiezas[],5,FALSE)="NA",0,VLOOKUP(TbPrestamo[[#This Row],[ITEM]],TbPiezas[],5,FALSE))</f>
        <v>48.8</v>
      </c>
      <c r="V187" s="81">
        <f>+TbPrestamo[[#This Row],[TOTAL]]*TbPrestamo[[#This Row],[P.U. (1)]]</f>
        <v>0</v>
      </c>
      <c r="W187" s="82">
        <f>+VLOOKUP(TbPrestamo[[#This Row],[ITEM]],TbPiezas[],6,FALSE)</f>
        <v>3303.3</v>
      </c>
      <c r="X187" s="83">
        <f>+TbPrestamo[[#This Row],[TOTAL]]*TbPrestamo[[#This Row],[P.U. (2)]]</f>
        <v>0</v>
      </c>
      <c r="Y187" s="82">
        <f>+VLOOKUP(TbPrestamo[[#This Row],[ITEM]],TbPiezas[],7,FALSE)</f>
        <v>165.16500000000002</v>
      </c>
      <c r="Z187" s="84">
        <f>+TbPrestamo[[#This Row],[TOTAL]]*TbPrestamo[[#This Row],[P.U. (3)]]</f>
        <v>0</v>
      </c>
    </row>
    <row r="188" spans="1:26" ht="15" customHeight="1" x14ac:dyDescent="0.3">
      <c r="A188" s="2"/>
      <c r="B188" s="85">
        <v>170</v>
      </c>
      <c r="C188" s="71" t="s">
        <v>341</v>
      </c>
      <c r="D188" s="72" t="s">
        <v>342</v>
      </c>
      <c r="E188" s="73"/>
      <c r="F188" s="74">
        <f>+VLOOKUP(C188,TbPrestamo[],13,FALSE)</f>
        <v>0</v>
      </c>
      <c r="G188" s="2"/>
      <c r="H188" s="75" t="str">
        <f t="shared" si="4"/>
        <v>AE.0400</v>
      </c>
      <c r="I188" s="59" t="str">
        <f t="shared" si="5"/>
        <v>ok</v>
      </c>
      <c r="J188" s="77">
        <f>IFERROR(VLOOKUP($H188,TG[],3,FALSE),"NA")</f>
        <v>0</v>
      </c>
      <c r="K188" s="77" t="str">
        <f>IFERROR(VLOOKUP($H188,TF[],3,FALSE),"NA")</f>
        <v>NA</v>
      </c>
      <c r="L188" s="77" t="str">
        <f>IFERROR(VLOOKUP($H188,TT[],3,FALSE),"NA")</f>
        <v>NA</v>
      </c>
      <c r="M188" s="77" t="str">
        <f>IFERROR(VLOOKUP($H188,TES[],3,FALSE),"NA")</f>
        <v>NA</v>
      </c>
      <c r="N188" s="77" t="str">
        <f>IFERROR(VLOOKUP($H188,TEC[],3,FALSE),"NA")</f>
        <v>NA</v>
      </c>
      <c r="O188" s="77" t="str">
        <f>IFERROR(VLOOKUP($H188,TP[],3,FALSE),"NA")</f>
        <v>NA</v>
      </c>
      <c r="P188" s="77" t="str">
        <f>IFERROR(VLOOKUP($H188,TEN[],3,FALSE),"NA")</f>
        <v>NA</v>
      </c>
      <c r="Q188" s="77" t="str">
        <f>IFERROR(VLOOKUP($H188,TD[],3,FALSE),"NA")</f>
        <v>NA</v>
      </c>
      <c r="R188" s="77">
        <f>IFERROR(VLOOKUP($H188,TC[],3,FALSE),"NA")</f>
        <v>0</v>
      </c>
      <c r="S188" s="77" t="str">
        <f>IFERROR(VLOOKUP($H188,TEV[],3,FALSE),"NA")</f>
        <v>NA</v>
      </c>
      <c r="T188" s="79">
        <f>SUM(TbPrestamo[[#This Row],[GENERAL]:[ELEVADOR]])</f>
        <v>0</v>
      </c>
      <c r="U188" s="80">
        <f>IF(VLOOKUP(TbPrestamo[[#This Row],[ITEM]],TbPiezas[],5,FALSE)="NA",0,VLOOKUP(TbPrestamo[[#This Row],[ITEM]],TbPiezas[],5,FALSE))</f>
        <v>48.8</v>
      </c>
      <c r="V188" s="81">
        <f>+TbPrestamo[[#This Row],[TOTAL]]*TbPrestamo[[#This Row],[P.U. (1)]]</f>
        <v>0</v>
      </c>
      <c r="W188" s="82">
        <f>+VLOOKUP(TbPrestamo[[#This Row],[ITEM]],TbPiezas[],6,FALSE)</f>
        <v>3303.3</v>
      </c>
      <c r="X188" s="83">
        <f>+TbPrestamo[[#This Row],[TOTAL]]*TbPrestamo[[#This Row],[P.U. (2)]]</f>
        <v>0</v>
      </c>
      <c r="Y188" s="82">
        <f>+VLOOKUP(TbPrestamo[[#This Row],[ITEM]],TbPiezas[],7,FALSE)</f>
        <v>165.16500000000002</v>
      </c>
      <c r="Z188" s="84">
        <f>+TbPrestamo[[#This Row],[TOTAL]]*TbPrestamo[[#This Row],[P.U. (3)]]</f>
        <v>0</v>
      </c>
    </row>
    <row r="189" spans="1:26" ht="15" customHeight="1" x14ac:dyDescent="0.3">
      <c r="A189" s="2"/>
      <c r="B189" s="85">
        <v>171</v>
      </c>
      <c r="C189" s="71" t="s">
        <v>343</v>
      </c>
      <c r="D189" s="72" t="s">
        <v>344</v>
      </c>
      <c r="E189" s="73"/>
      <c r="F189" s="74">
        <f>+VLOOKUP(C189,TbPrestamo[],13,FALSE)</f>
        <v>0</v>
      </c>
      <c r="G189" s="2"/>
      <c r="H189" s="75" t="str">
        <f t="shared" si="4"/>
        <v>AE.0401</v>
      </c>
      <c r="I189" s="59" t="str">
        <f t="shared" si="5"/>
        <v>ok</v>
      </c>
      <c r="J189" s="77">
        <f>IFERROR(VLOOKUP($H189,TG[],3,FALSE),"NA")</f>
        <v>0</v>
      </c>
      <c r="K189" s="77" t="str">
        <f>IFERROR(VLOOKUP($H189,TF[],3,FALSE),"NA")</f>
        <v>NA</v>
      </c>
      <c r="L189" s="77" t="str">
        <f>IFERROR(VLOOKUP($H189,TT[],3,FALSE),"NA")</f>
        <v>NA</v>
      </c>
      <c r="M189" s="77" t="str">
        <f>IFERROR(VLOOKUP($H189,TES[],3,FALSE),"NA")</f>
        <v>NA</v>
      </c>
      <c r="N189" s="77" t="str">
        <f>IFERROR(VLOOKUP($H189,TEC[],3,FALSE),"NA")</f>
        <v>NA</v>
      </c>
      <c r="O189" s="77" t="str">
        <f>IFERROR(VLOOKUP($H189,TP[],3,FALSE),"NA")</f>
        <v>NA</v>
      </c>
      <c r="P189" s="77" t="str">
        <f>IFERROR(VLOOKUP($H189,TEN[],3,FALSE),"NA")</f>
        <v>NA</v>
      </c>
      <c r="Q189" s="77" t="str">
        <f>IFERROR(VLOOKUP($H189,TD[],3,FALSE),"NA")</f>
        <v>NA</v>
      </c>
      <c r="R189" s="77">
        <f>IFERROR(VLOOKUP($H189,TC[],3,FALSE),"NA")</f>
        <v>0</v>
      </c>
      <c r="S189" s="77" t="str">
        <f>IFERROR(VLOOKUP($H189,TEV[],3,FALSE),"NA")</f>
        <v>NA</v>
      </c>
      <c r="T189" s="79">
        <f>SUM(TbPrestamo[[#This Row],[GENERAL]:[ELEVADOR]])</f>
        <v>0</v>
      </c>
      <c r="U189" s="80">
        <f>IF(VLOOKUP(TbPrestamo[[#This Row],[ITEM]],TbPiezas[],5,FALSE)="NA",0,VLOOKUP(TbPrestamo[[#This Row],[ITEM]],TbPiezas[],5,FALSE))</f>
        <v>48.8</v>
      </c>
      <c r="V189" s="81">
        <f>+TbPrestamo[[#This Row],[TOTAL]]*TbPrestamo[[#This Row],[P.U. (1)]]</f>
        <v>0</v>
      </c>
      <c r="W189" s="82">
        <f>+VLOOKUP(TbPrestamo[[#This Row],[ITEM]],TbPiezas[],6,FALSE)</f>
        <v>3303.3</v>
      </c>
      <c r="X189" s="83">
        <f>+TbPrestamo[[#This Row],[TOTAL]]*TbPrestamo[[#This Row],[P.U. (2)]]</f>
        <v>0</v>
      </c>
      <c r="Y189" s="82">
        <f>+VLOOKUP(TbPrestamo[[#This Row],[ITEM]],TbPiezas[],7,FALSE)</f>
        <v>165.16500000000002</v>
      </c>
      <c r="Z189" s="84">
        <f>+TbPrestamo[[#This Row],[TOTAL]]*TbPrestamo[[#This Row],[P.U. (3)]]</f>
        <v>0</v>
      </c>
    </row>
    <row r="190" spans="1:26" ht="15" customHeight="1" x14ac:dyDescent="0.3">
      <c r="A190" s="2"/>
      <c r="B190" s="85">
        <v>172</v>
      </c>
      <c r="C190" s="71" t="s">
        <v>345</v>
      </c>
      <c r="D190" s="72" t="s">
        <v>346</v>
      </c>
      <c r="E190" s="73"/>
      <c r="F190" s="74">
        <f>+VLOOKUP(C190,TbPrestamo[],13,FALSE)</f>
        <v>0</v>
      </c>
      <c r="G190" s="2"/>
      <c r="H190" s="75" t="str">
        <f t="shared" si="4"/>
        <v>AE.0500</v>
      </c>
      <c r="I190" s="59" t="str">
        <f t="shared" si="5"/>
        <v>ok</v>
      </c>
      <c r="J190" s="77">
        <f>IFERROR(VLOOKUP($H190,TG[],3,FALSE),"NA")</f>
        <v>0</v>
      </c>
      <c r="K190" s="77" t="str">
        <f>IFERROR(VLOOKUP($H190,TF[],3,FALSE),"NA")</f>
        <v>NA</v>
      </c>
      <c r="L190" s="77" t="str">
        <f>IFERROR(VLOOKUP($H190,TT[],3,FALSE),"NA")</f>
        <v>NA</v>
      </c>
      <c r="M190" s="77" t="str">
        <f>IFERROR(VLOOKUP($H190,TES[],3,FALSE),"NA")</f>
        <v>NA</v>
      </c>
      <c r="N190" s="77" t="str">
        <f>IFERROR(VLOOKUP($H190,TEC[],3,FALSE),"NA")</f>
        <v>NA</v>
      </c>
      <c r="O190" s="77" t="str">
        <f>IFERROR(VLOOKUP($H190,TP[],3,FALSE),"NA")</f>
        <v>NA</v>
      </c>
      <c r="P190" s="77" t="str">
        <f>IFERROR(VLOOKUP($H190,TEN[],3,FALSE),"NA")</f>
        <v>NA</v>
      </c>
      <c r="Q190" s="77" t="str">
        <f>IFERROR(VLOOKUP($H190,TD[],3,FALSE),"NA")</f>
        <v>NA</v>
      </c>
      <c r="R190" s="77">
        <f>IFERROR(VLOOKUP($H190,TC[],3,FALSE),"NA")</f>
        <v>0</v>
      </c>
      <c r="S190" s="77" t="str">
        <f>IFERROR(VLOOKUP($H190,TEV[],3,FALSE),"NA")</f>
        <v>NA</v>
      </c>
      <c r="T190" s="79">
        <f>SUM(TbPrestamo[[#This Row],[GENERAL]:[ELEVADOR]])</f>
        <v>0</v>
      </c>
      <c r="U190" s="80">
        <f>IF(VLOOKUP(TbPrestamo[[#This Row],[ITEM]],TbPiezas[],5,FALSE)="NA",0,VLOOKUP(TbPrestamo[[#This Row],[ITEM]],TbPiezas[],5,FALSE))</f>
        <v>13.299999999999997</v>
      </c>
      <c r="V190" s="81">
        <f>+TbPrestamo[[#This Row],[TOTAL]]*TbPrestamo[[#This Row],[P.U. (1)]]</f>
        <v>0</v>
      </c>
      <c r="W190" s="82">
        <f>+VLOOKUP(TbPrestamo[[#This Row],[ITEM]],TbPiezas[],6,FALSE)</f>
        <v>2369.94</v>
      </c>
      <c r="X190" s="83">
        <f>+TbPrestamo[[#This Row],[TOTAL]]*TbPrestamo[[#This Row],[P.U. (2)]]</f>
        <v>0</v>
      </c>
      <c r="Y190" s="82">
        <f>+VLOOKUP(TbPrestamo[[#This Row],[ITEM]],TbPiezas[],7,FALSE)</f>
        <v>118.49700000000001</v>
      </c>
      <c r="Z190" s="84">
        <f>+TbPrestamo[[#This Row],[TOTAL]]*TbPrestamo[[#This Row],[P.U. (3)]]</f>
        <v>0</v>
      </c>
    </row>
    <row r="191" spans="1:26" ht="15" customHeight="1" x14ac:dyDescent="0.3">
      <c r="A191" s="2"/>
      <c r="B191" s="85">
        <v>173</v>
      </c>
      <c r="C191" s="71" t="s">
        <v>347</v>
      </c>
      <c r="D191" s="72" t="s">
        <v>348</v>
      </c>
      <c r="E191" s="73"/>
      <c r="F191" s="74">
        <f>+VLOOKUP(C191,TbPrestamo[],13,FALSE)</f>
        <v>0</v>
      </c>
      <c r="G191" s="2"/>
      <c r="H191" s="75" t="str">
        <f t="shared" si="4"/>
        <v>AE.0600</v>
      </c>
      <c r="I191" s="59" t="str">
        <f t="shared" si="5"/>
        <v>ok</v>
      </c>
      <c r="J191" s="77">
        <f>IFERROR(VLOOKUP($H191,TG[],3,FALSE),"NA")</f>
        <v>0</v>
      </c>
      <c r="K191" s="77" t="str">
        <f>IFERROR(VLOOKUP($H191,TF[],3,FALSE),"NA")</f>
        <v>NA</v>
      </c>
      <c r="L191" s="77" t="str">
        <f>IFERROR(VLOOKUP($H191,TT[],3,FALSE),"NA")</f>
        <v>NA</v>
      </c>
      <c r="M191" s="77" t="str">
        <f>IFERROR(VLOOKUP($H191,TES[],3,FALSE),"NA")</f>
        <v>NA</v>
      </c>
      <c r="N191" s="77" t="str">
        <f>IFERROR(VLOOKUP($H191,TEC[],3,FALSE),"NA")</f>
        <v>NA</v>
      </c>
      <c r="O191" s="77" t="str">
        <f>IFERROR(VLOOKUP($H191,TP[],3,FALSE),"NA")</f>
        <v>NA</v>
      </c>
      <c r="P191" s="77" t="str">
        <f>IFERROR(VLOOKUP($H191,TEN[],3,FALSE),"NA")</f>
        <v>NA</v>
      </c>
      <c r="Q191" s="77" t="str">
        <f>IFERROR(VLOOKUP($H191,TD[],3,FALSE),"NA")</f>
        <v>NA</v>
      </c>
      <c r="R191" s="77">
        <f>IFERROR(VLOOKUP($H191,TC[],3,FALSE),"NA")</f>
        <v>0</v>
      </c>
      <c r="S191" s="77" t="str">
        <f>IFERROR(VLOOKUP($H191,TEV[],3,FALSE),"NA")</f>
        <v>NA</v>
      </c>
      <c r="T191" s="79">
        <f>SUM(TbPrestamo[[#This Row],[GENERAL]:[ELEVADOR]])</f>
        <v>0</v>
      </c>
      <c r="U191" s="80">
        <f>IF(VLOOKUP(TbPrestamo[[#This Row],[ITEM]],TbPiezas[],5,FALSE)="NA",0,VLOOKUP(TbPrestamo[[#This Row],[ITEM]],TbPiezas[],5,FALSE))</f>
        <v>13.299999999999997</v>
      </c>
      <c r="V191" s="81">
        <f>+TbPrestamo[[#This Row],[TOTAL]]*TbPrestamo[[#This Row],[P.U. (1)]]</f>
        <v>0</v>
      </c>
      <c r="W191" s="82">
        <f>+VLOOKUP(TbPrestamo[[#This Row],[ITEM]],TbPiezas[],6,FALSE)</f>
        <v>2369.94</v>
      </c>
      <c r="X191" s="83">
        <f>+TbPrestamo[[#This Row],[TOTAL]]*TbPrestamo[[#This Row],[P.U. (2)]]</f>
        <v>0</v>
      </c>
      <c r="Y191" s="82">
        <f>+VLOOKUP(TbPrestamo[[#This Row],[ITEM]],TbPiezas[],7,FALSE)</f>
        <v>118.49700000000001</v>
      </c>
      <c r="Z191" s="84">
        <f>+TbPrestamo[[#This Row],[TOTAL]]*TbPrestamo[[#This Row],[P.U. (3)]]</f>
        <v>0</v>
      </c>
    </row>
    <row r="192" spans="1:26" ht="15" customHeight="1" x14ac:dyDescent="0.3">
      <c r="A192" s="2"/>
      <c r="B192" s="85">
        <v>174</v>
      </c>
      <c r="C192" s="71" t="s">
        <v>349</v>
      </c>
      <c r="D192" s="72" t="s">
        <v>350</v>
      </c>
      <c r="E192" s="73"/>
      <c r="F192" s="74">
        <f>+VLOOKUP(C192,TbPrestamo[],13,FALSE)</f>
        <v>0</v>
      </c>
      <c r="G192" s="2"/>
      <c r="H192" s="75" t="str">
        <f t="shared" si="4"/>
        <v>AE.0700</v>
      </c>
      <c r="I192" s="59" t="str">
        <f t="shared" si="5"/>
        <v>ok</v>
      </c>
      <c r="J192" s="77">
        <f>IFERROR(VLOOKUP($H192,TG[],3,FALSE),"NA")</f>
        <v>0</v>
      </c>
      <c r="K192" s="77" t="str">
        <f>IFERROR(VLOOKUP($H192,TF[],3,FALSE),"NA")</f>
        <v>NA</v>
      </c>
      <c r="L192" s="77" t="str">
        <f>IFERROR(VLOOKUP($H192,TT[],3,FALSE),"NA")</f>
        <v>NA</v>
      </c>
      <c r="M192" s="77" t="str">
        <f>IFERROR(VLOOKUP($H192,TES[],3,FALSE),"NA")</f>
        <v>NA</v>
      </c>
      <c r="N192" s="77" t="str">
        <f>IFERROR(VLOOKUP($H192,TEC[],3,FALSE),"NA")</f>
        <v>NA</v>
      </c>
      <c r="O192" s="77" t="str">
        <f>IFERROR(VLOOKUP($H192,TP[],3,FALSE),"NA")</f>
        <v>NA</v>
      </c>
      <c r="P192" s="77" t="str">
        <f>IFERROR(VLOOKUP($H192,TEN[],3,FALSE),"NA")</f>
        <v>NA</v>
      </c>
      <c r="Q192" s="77" t="str">
        <f>IFERROR(VLOOKUP($H192,TD[],3,FALSE),"NA")</f>
        <v>NA</v>
      </c>
      <c r="R192" s="77">
        <f>IFERROR(VLOOKUP($H192,TC[],3,FALSE),"NA")</f>
        <v>0</v>
      </c>
      <c r="S192" s="77" t="str">
        <f>IFERROR(VLOOKUP($H192,TEV[],3,FALSE),"NA")</f>
        <v>NA</v>
      </c>
      <c r="T192" s="79">
        <f>SUM(TbPrestamo[[#This Row],[GENERAL]:[ELEVADOR]])</f>
        <v>0</v>
      </c>
      <c r="U192" s="80">
        <f>IF(VLOOKUP(TbPrestamo[[#This Row],[ITEM]],TbPiezas[],5,FALSE)="NA",0,VLOOKUP(TbPrestamo[[#This Row],[ITEM]],TbPiezas[],5,FALSE))</f>
        <v>13.299999999999997</v>
      </c>
      <c r="V192" s="81">
        <f>+TbPrestamo[[#This Row],[TOTAL]]*TbPrestamo[[#This Row],[P.U. (1)]]</f>
        <v>0</v>
      </c>
      <c r="W192" s="82">
        <f>+VLOOKUP(TbPrestamo[[#This Row],[ITEM]],TbPiezas[],6,FALSE)</f>
        <v>2369.94</v>
      </c>
      <c r="X192" s="83">
        <f>+TbPrestamo[[#This Row],[TOTAL]]*TbPrestamo[[#This Row],[P.U. (2)]]</f>
        <v>0</v>
      </c>
      <c r="Y192" s="82">
        <f>+VLOOKUP(TbPrestamo[[#This Row],[ITEM]],TbPiezas[],7,FALSE)</f>
        <v>118.49700000000001</v>
      </c>
      <c r="Z192" s="84">
        <f>+TbPrestamo[[#This Row],[TOTAL]]*TbPrestamo[[#This Row],[P.U. (3)]]</f>
        <v>0</v>
      </c>
    </row>
    <row r="193" spans="1:26" ht="15" customHeight="1" x14ac:dyDescent="0.3">
      <c r="A193" s="2"/>
      <c r="B193" s="85">
        <v>175</v>
      </c>
      <c r="C193" s="71" t="s">
        <v>351</v>
      </c>
      <c r="D193" s="72" t="s">
        <v>352</v>
      </c>
      <c r="E193" s="73"/>
      <c r="F193" s="74">
        <f>+VLOOKUP(C193,TbPrestamo[],13,FALSE)</f>
        <v>0</v>
      </c>
      <c r="G193" s="2"/>
      <c r="H193" s="75" t="str">
        <f t="shared" si="4"/>
        <v>AE.0800</v>
      </c>
      <c r="I193" s="59" t="str">
        <f t="shared" si="5"/>
        <v>ok</v>
      </c>
      <c r="J193" s="77">
        <f>IFERROR(VLOOKUP($H193,TG[],3,FALSE),"NA")</f>
        <v>0</v>
      </c>
      <c r="K193" s="77" t="str">
        <f>IFERROR(VLOOKUP($H193,TF[],3,FALSE),"NA")</f>
        <v>NA</v>
      </c>
      <c r="L193" s="77" t="str">
        <f>IFERROR(VLOOKUP($H193,TT[],3,FALSE),"NA")</f>
        <v>NA</v>
      </c>
      <c r="M193" s="77" t="str">
        <f>IFERROR(VLOOKUP($H193,TES[],3,FALSE),"NA")</f>
        <v>NA</v>
      </c>
      <c r="N193" s="77" t="str">
        <f>IFERROR(VLOOKUP($H193,TEC[],3,FALSE),"NA")</f>
        <v>NA</v>
      </c>
      <c r="O193" s="77" t="str">
        <f>IFERROR(VLOOKUP($H193,TP[],3,FALSE),"NA")</f>
        <v>NA</v>
      </c>
      <c r="P193" s="77" t="str">
        <f>IFERROR(VLOOKUP($H193,TEN[],3,FALSE),"NA")</f>
        <v>NA</v>
      </c>
      <c r="Q193" s="77" t="str">
        <f>IFERROR(VLOOKUP($H193,TD[],3,FALSE),"NA")</f>
        <v>NA</v>
      </c>
      <c r="R193" s="77">
        <f>IFERROR(VLOOKUP($H193,TC[],3,FALSE),"NA")</f>
        <v>0</v>
      </c>
      <c r="S193" s="77" t="str">
        <f>IFERROR(VLOOKUP($H193,TEV[],3,FALSE),"NA")</f>
        <v>NA</v>
      </c>
      <c r="T193" s="79">
        <f>SUM(TbPrestamo[[#This Row],[GENERAL]:[ELEVADOR]])</f>
        <v>0</v>
      </c>
      <c r="U193" s="80">
        <f>IF(VLOOKUP(TbPrestamo[[#This Row],[ITEM]],TbPiezas[],5,FALSE)="NA",0,VLOOKUP(TbPrestamo[[#This Row],[ITEM]],TbPiezas[],5,FALSE))</f>
        <v>13.299999999999997</v>
      </c>
      <c r="V193" s="81">
        <f>+TbPrestamo[[#This Row],[TOTAL]]*TbPrestamo[[#This Row],[P.U. (1)]]</f>
        <v>0</v>
      </c>
      <c r="W193" s="82">
        <f>+VLOOKUP(TbPrestamo[[#This Row],[ITEM]],TbPiezas[],6,FALSE)</f>
        <v>2369.94</v>
      </c>
      <c r="X193" s="83">
        <f>+TbPrestamo[[#This Row],[TOTAL]]*TbPrestamo[[#This Row],[P.U. (2)]]</f>
        <v>0</v>
      </c>
      <c r="Y193" s="82">
        <f>+VLOOKUP(TbPrestamo[[#This Row],[ITEM]],TbPiezas[],7,FALSE)</f>
        <v>118.49700000000001</v>
      </c>
      <c r="Z193" s="84">
        <f>+TbPrestamo[[#This Row],[TOTAL]]*TbPrestamo[[#This Row],[P.U. (3)]]</f>
        <v>0</v>
      </c>
    </row>
    <row r="194" spans="1:26" ht="15" customHeight="1" x14ac:dyDescent="0.3">
      <c r="A194" s="2"/>
      <c r="B194" s="85">
        <v>176</v>
      </c>
      <c r="C194" s="71" t="s">
        <v>353</v>
      </c>
      <c r="D194" s="72" t="s">
        <v>354</v>
      </c>
      <c r="E194" s="73"/>
      <c r="F194" s="74">
        <f>+VLOOKUP(C194,TbPrestamo[],13,FALSE)</f>
        <v>0</v>
      </c>
      <c r="G194" s="2"/>
      <c r="H194" s="75" t="str">
        <f t="shared" si="4"/>
        <v>AE.0801</v>
      </c>
      <c r="I194" s="59" t="str">
        <f t="shared" si="5"/>
        <v>ok</v>
      </c>
      <c r="J194" s="77">
        <f>IFERROR(VLOOKUP($H194,TG[],3,FALSE),"NA")</f>
        <v>0</v>
      </c>
      <c r="K194" s="77" t="str">
        <f>IFERROR(VLOOKUP($H194,TF[],3,FALSE),"NA")</f>
        <v>NA</v>
      </c>
      <c r="L194" s="77" t="str">
        <f>IFERROR(VLOOKUP($H194,TT[],3,FALSE),"NA")</f>
        <v>NA</v>
      </c>
      <c r="M194" s="77" t="str">
        <f>IFERROR(VLOOKUP($H194,TES[],3,FALSE),"NA")</f>
        <v>NA</v>
      </c>
      <c r="N194" s="77" t="str">
        <f>IFERROR(VLOOKUP($H194,TEC[],3,FALSE),"NA")</f>
        <v>NA</v>
      </c>
      <c r="O194" s="77" t="str">
        <f>IFERROR(VLOOKUP($H194,TP[],3,FALSE),"NA")</f>
        <v>NA</v>
      </c>
      <c r="P194" s="77" t="str">
        <f>IFERROR(VLOOKUP($H194,TEN[],3,FALSE),"NA")</f>
        <v>NA</v>
      </c>
      <c r="Q194" s="77" t="str">
        <f>IFERROR(VLOOKUP($H194,TD[],3,FALSE),"NA")</f>
        <v>NA</v>
      </c>
      <c r="R194" s="77">
        <f>IFERROR(VLOOKUP($H194,TC[],3,FALSE),"NA")</f>
        <v>0</v>
      </c>
      <c r="S194" s="77" t="str">
        <f>IFERROR(VLOOKUP($H194,TEV[],3,FALSE),"NA")</f>
        <v>NA</v>
      </c>
      <c r="T194" s="79">
        <f>SUM(TbPrestamo[[#This Row],[GENERAL]:[ELEVADOR]])</f>
        <v>0</v>
      </c>
      <c r="U194" s="80">
        <f>IF(VLOOKUP(TbPrestamo[[#This Row],[ITEM]],TbPiezas[],5,FALSE)="NA",0,VLOOKUP(TbPrestamo[[#This Row],[ITEM]],TbPiezas[],5,FALSE))</f>
        <v>13.299999999999997</v>
      </c>
      <c r="V194" s="81">
        <f>+TbPrestamo[[#This Row],[TOTAL]]*TbPrestamo[[#This Row],[P.U. (1)]]</f>
        <v>0</v>
      </c>
      <c r="W194" s="82">
        <f>+VLOOKUP(TbPrestamo[[#This Row],[ITEM]],TbPiezas[],6,FALSE)</f>
        <v>2369.94</v>
      </c>
      <c r="X194" s="83">
        <f>+TbPrestamo[[#This Row],[TOTAL]]*TbPrestamo[[#This Row],[P.U. (2)]]</f>
        <v>0</v>
      </c>
      <c r="Y194" s="82">
        <f>+VLOOKUP(TbPrestamo[[#This Row],[ITEM]],TbPiezas[],7,FALSE)</f>
        <v>118.49700000000001</v>
      </c>
      <c r="Z194" s="84">
        <f>+TbPrestamo[[#This Row],[TOTAL]]*TbPrestamo[[#This Row],[P.U. (3)]]</f>
        <v>0</v>
      </c>
    </row>
    <row r="195" spans="1:26" ht="15" customHeight="1" x14ac:dyDescent="0.3">
      <c r="A195" s="2"/>
      <c r="B195" s="85">
        <v>177</v>
      </c>
      <c r="C195" s="71" t="s">
        <v>355</v>
      </c>
      <c r="D195" s="72" t="s">
        <v>356</v>
      </c>
      <c r="E195" s="73"/>
      <c r="F195" s="74">
        <f>+VLOOKUP(C195,TbPrestamo[],13,FALSE)</f>
        <v>0</v>
      </c>
      <c r="G195" s="2"/>
      <c r="H195" s="75" t="str">
        <f t="shared" si="4"/>
        <v>AE.0900</v>
      </c>
      <c r="I195" s="59" t="str">
        <f t="shared" si="5"/>
        <v>ok</v>
      </c>
      <c r="J195" s="77">
        <f>IFERROR(VLOOKUP($H195,TG[],3,FALSE),"NA")</f>
        <v>0</v>
      </c>
      <c r="K195" s="77" t="str">
        <f>IFERROR(VLOOKUP($H195,TF[],3,FALSE),"NA")</f>
        <v>NA</v>
      </c>
      <c r="L195" s="77" t="str">
        <f>IFERROR(VLOOKUP($H195,TT[],3,FALSE),"NA")</f>
        <v>NA</v>
      </c>
      <c r="M195" s="77" t="str">
        <f>IFERROR(VLOOKUP($H195,TES[],3,FALSE),"NA")</f>
        <v>NA</v>
      </c>
      <c r="N195" s="77" t="str">
        <f>IFERROR(VLOOKUP($H195,TEC[],3,FALSE),"NA")</f>
        <v>NA</v>
      </c>
      <c r="O195" s="77" t="str">
        <f>IFERROR(VLOOKUP($H195,TP[],3,FALSE),"NA")</f>
        <v>NA</v>
      </c>
      <c r="P195" s="77" t="str">
        <f>IFERROR(VLOOKUP($H195,TEN[],3,FALSE),"NA")</f>
        <v>NA</v>
      </c>
      <c r="Q195" s="77" t="str">
        <f>IFERROR(VLOOKUP($H195,TD[],3,FALSE),"NA")</f>
        <v>NA</v>
      </c>
      <c r="R195" s="77">
        <f>IFERROR(VLOOKUP($H195,TC[],3,FALSE),"NA")</f>
        <v>0</v>
      </c>
      <c r="S195" s="77" t="str">
        <f>IFERROR(VLOOKUP($H195,TEV[],3,FALSE),"NA")</f>
        <v>NA</v>
      </c>
      <c r="T195" s="79">
        <f>SUM(TbPrestamo[[#This Row],[GENERAL]:[ELEVADOR]])</f>
        <v>0</v>
      </c>
      <c r="U195" s="80">
        <f>IF(VLOOKUP(TbPrestamo[[#This Row],[ITEM]],TbPiezas[],5,FALSE)="NA",0,VLOOKUP(TbPrestamo[[#This Row],[ITEM]],TbPiezas[],5,FALSE))</f>
        <v>46.5</v>
      </c>
      <c r="V195" s="81">
        <f>+TbPrestamo[[#This Row],[TOTAL]]*TbPrestamo[[#This Row],[P.U. (1)]]</f>
        <v>0</v>
      </c>
      <c r="W195" s="82">
        <f>+VLOOKUP(TbPrestamo[[#This Row],[ITEM]],TbPiezas[],6,FALSE)</f>
        <v>5200</v>
      </c>
      <c r="X195" s="83">
        <f>+TbPrestamo[[#This Row],[TOTAL]]*TbPrestamo[[#This Row],[P.U. (2)]]</f>
        <v>0</v>
      </c>
      <c r="Y195" s="82">
        <f>+VLOOKUP(TbPrestamo[[#This Row],[ITEM]],TbPiezas[],7,FALSE)</f>
        <v>260</v>
      </c>
      <c r="Z195" s="84">
        <f>+TbPrestamo[[#This Row],[TOTAL]]*TbPrestamo[[#This Row],[P.U. (3)]]</f>
        <v>0</v>
      </c>
    </row>
    <row r="196" spans="1:26" ht="15" customHeight="1" x14ac:dyDescent="0.3">
      <c r="A196" s="2"/>
      <c r="B196" s="85">
        <v>178</v>
      </c>
      <c r="C196" s="71" t="s">
        <v>357</v>
      </c>
      <c r="D196" s="72" t="s">
        <v>358</v>
      </c>
      <c r="E196" s="73"/>
      <c r="F196" s="74">
        <f>+VLOOKUP(C196,TbPrestamo[],13,FALSE)</f>
        <v>0</v>
      </c>
      <c r="G196" s="2"/>
      <c r="H196" s="75" t="str">
        <f t="shared" si="4"/>
        <v>AE.0950</v>
      </c>
      <c r="I196" s="59" t="str">
        <f t="shared" si="5"/>
        <v>ok</v>
      </c>
      <c r="J196" s="77">
        <f>IFERROR(VLOOKUP($H196,TG[],3,FALSE),"NA")</f>
        <v>0</v>
      </c>
      <c r="K196" s="77" t="str">
        <f>IFERROR(VLOOKUP($H196,TF[],3,FALSE),"NA")</f>
        <v>NA</v>
      </c>
      <c r="L196" s="77" t="str">
        <f>IFERROR(VLOOKUP($H196,TT[],3,FALSE),"NA")</f>
        <v>NA</v>
      </c>
      <c r="M196" s="77" t="str">
        <f>IFERROR(VLOOKUP($H196,TES[],3,FALSE),"NA")</f>
        <v>NA</v>
      </c>
      <c r="N196" s="77" t="str">
        <f>IFERROR(VLOOKUP($H196,TEC[],3,FALSE),"NA")</f>
        <v>NA</v>
      </c>
      <c r="O196" s="77" t="str">
        <f>IFERROR(VLOOKUP($H196,TP[],3,FALSE),"NA")</f>
        <v>NA</v>
      </c>
      <c r="P196" s="77" t="str">
        <f>IFERROR(VLOOKUP($H196,TEN[],3,FALSE),"NA")</f>
        <v>NA</v>
      </c>
      <c r="Q196" s="77" t="str">
        <f>IFERROR(VLOOKUP($H196,TD[],3,FALSE),"NA")</f>
        <v>NA</v>
      </c>
      <c r="R196" s="77">
        <f>IFERROR(VLOOKUP($H196,TC[],3,FALSE),"NA")</f>
        <v>0</v>
      </c>
      <c r="S196" s="77" t="str">
        <f>IFERROR(VLOOKUP($H196,TEV[],3,FALSE),"NA")</f>
        <v>NA</v>
      </c>
      <c r="T196" s="79">
        <f>SUM(TbPrestamo[[#This Row],[GENERAL]:[ELEVADOR]])</f>
        <v>0</v>
      </c>
      <c r="U196" s="80">
        <f>IF(VLOOKUP(TbPrestamo[[#This Row],[ITEM]],TbPiezas[],5,FALSE)="NA",0,VLOOKUP(TbPrestamo[[#This Row],[ITEM]],TbPiezas[],5,FALSE))</f>
        <v>46.4</v>
      </c>
      <c r="V196" s="81">
        <f>+TbPrestamo[[#This Row],[TOTAL]]*TbPrestamo[[#This Row],[P.U. (1)]]</f>
        <v>0</v>
      </c>
      <c r="W196" s="82">
        <f>+VLOOKUP(TbPrestamo[[#This Row],[ITEM]],TbPiezas[],6,FALSE)</f>
        <v>8500</v>
      </c>
      <c r="X196" s="83">
        <f>+TbPrestamo[[#This Row],[TOTAL]]*TbPrestamo[[#This Row],[P.U. (2)]]</f>
        <v>0</v>
      </c>
      <c r="Y196" s="82">
        <f>+VLOOKUP(TbPrestamo[[#This Row],[ITEM]],TbPiezas[],7,FALSE)</f>
        <v>425</v>
      </c>
      <c r="Z196" s="84">
        <f>+TbPrestamo[[#This Row],[TOTAL]]*TbPrestamo[[#This Row],[P.U. (3)]]</f>
        <v>0</v>
      </c>
    </row>
    <row r="197" spans="1:26" ht="15" customHeight="1" x14ac:dyDescent="0.3">
      <c r="A197" s="2"/>
      <c r="B197" s="85">
        <v>179</v>
      </c>
      <c r="C197" s="71" t="s">
        <v>359</v>
      </c>
      <c r="D197" s="72" t="s">
        <v>360</v>
      </c>
      <c r="E197" s="73"/>
      <c r="F197" s="74">
        <f>+VLOOKUP(C197,TbPrestamo[],13,FALSE)</f>
        <v>0</v>
      </c>
      <c r="G197" s="2"/>
      <c r="H197" s="75" t="str">
        <f t="shared" si="4"/>
        <v>AE.0970</v>
      </c>
      <c r="I197" s="59" t="str">
        <f t="shared" si="5"/>
        <v>ok</v>
      </c>
      <c r="J197" s="77">
        <f>IFERROR(VLOOKUP($H197,TG[],3,FALSE),"NA")</f>
        <v>0</v>
      </c>
      <c r="K197" s="77" t="str">
        <f>IFERROR(VLOOKUP($H197,TF[],3,FALSE),"NA")</f>
        <v>NA</v>
      </c>
      <c r="L197" s="77" t="str">
        <f>IFERROR(VLOOKUP($H197,TT[],3,FALSE),"NA")</f>
        <v>NA</v>
      </c>
      <c r="M197" s="77" t="str">
        <f>IFERROR(VLOOKUP($H197,TES[],3,FALSE),"NA")</f>
        <v>NA</v>
      </c>
      <c r="N197" s="77" t="str">
        <f>IFERROR(VLOOKUP($H197,TEC[],3,FALSE),"NA")</f>
        <v>NA</v>
      </c>
      <c r="O197" s="77" t="str">
        <f>IFERROR(VLOOKUP($H197,TP[],3,FALSE),"NA")</f>
        <v>NA</v>
      </c>
      <c r="P197" s="77" t="str">
        <f>IFERROR(VLOOKUP($H197,TEN[],3,FALSE),"NA")</f>
        <v>NA</v>
      </c>
      <c r="Q197" s="77" t="str">
        <f>IFERROR(VLOOKUP($H197,TD[],3,FALSE),"NA")</f>
        <v>NA</v>
      </c>
      <c r="R197" s="77">
        <f>IFERROR(VLOOKUP($H197,TC[],3,FALSE),"NA")</f>
        <v>0</v>
      </c>
      <c r="S197" s="77" t="str">
        <f>IFERROR(VLOOKUP($H197,TEV[],3,FALSE),"NA")</f>
        <v>NA</v>
      </c>
      <c r="T197" s="79">
        <f>SUM(TbPrestamo[[#This Row],[GENERAL]:[ELEVADOR]])</f>
        <v>0</v>
      </c>
      <c r="U197" s="80">
        <f>IF(VLOOKUP(TbPrestamo[[#This Row],[ITEM]],TbPiezas[],5,FALSE)="NA",0,VLOOKUP(TbPrestamo[[#This Row],[ITEM]],TbPiezas[],5,FALSE))</f>
        <v>39.5</v>
      </c>
      <c r="V197" s="81">
        <f>+TbPrestamo[[#This Row],[TOTAL]]*TbPrestamo[[#This Row],[P.U. (1)]]</f>
        <v>0</v>
      </c>
      <c r="W197" s="82">
        <f>+VLOOKUP(TbPrestamo[[#This Row],[ITEM]],TbPiezas[],6,FALSE)</f>
        <v>2315.96</v>
      </c>
      <c r="X197" s="83">
        <f>+TbPrestamo[[#This Row],[TOTAL]]*TbPrestamo[[#This Row],[P.U. (2)]]</f>
        <v>0</v>
      </c>
      <c r="Y197" s="82">
        <f>+VLOOKUP(TbPrestamo[[#This Row],[ITEM]],TbPiezas[],7,FALSE)</f>
        <v>115.798</v>
      </c>
      <c r="Z197" s="84">
        <f>+TbPrestamo[[#This Row],[TOTAL]]*TbPrestamo[[#This Row],[P.U. (3)]]</f>
        <v>0</v>
      </c>
    </row>
    <row r="198" spans="1:26" ht="15" customHeight="1" x14ac:dyDescent="0.3">
      <c r="A198" s="2"/>
      <c r="B198" s="85">
        <v>180</v>
      </c>
      <c r="C198" s="71" t="s">
        <v>361</v>
      </c>
      <c r="D198" s="72" t="s">
        <v>362</v>
      </c>
      <c r="E198" s="73"/>
      <c r="F198" s="74">
        <f>+VLOOKUP(C198,TbPrestamo[],13,FALSE)</f>
        <v>0</v>
      </c>
      <c r="G198" s="2"/>
      <c r="H198" s="75" t="str">
        <f t="shared" si="4"/>
        <v>AE.0975</v>
      </c>
      <c r="I198" s="59" t="str">
        <f t="shared" si="5"/>
        <v>ok</v>
      </c>
      <c r="J198" s="77">
        <f>IFERROR(VLOOKUP($H198,TG[],3,FALSE),"NA")</f>
        <v>0</v>
      </c>
      <c r="K198" s="77" t="str">
        <f>IFERROR(VLOOKUP($H198,TF[],3,FALSE),"NA")</f>
        <v>NA</v>
      </c>
      <c r="L198" s="77" t="str">
        <f>IFERROR(VLOOKUP($H198,TT[],3,FALSE),"NA")</f>
        <v>NA</v>
      </c>
      <c r="M198" s="77" t="str">
        <f>IFERROR(VLOOKUP($H198,TES[],3,FALSE),"NA")</f>
        <v>NA</v>
      </c>
      <c r="N198" s="77" t="str">
        <f>IFERROR(VLOOKUP($H198,TEC[],3,FALSE),"NA")</f>
        <v>NA</v>
      </c>
      <c r="O198" s="77" t="str">
        <f>IFERROR(VLOOKUP($H198,TP[],3,FALSE),"NA")</f>
        <v>NA</v>
      </c>
      <c r="P198" s="77" t="str">
        <f>IFERROR(VLOOKUP($H198,TEN[],3,FALSE),"NA")</f>
        <v>NA</v>
      </c>
      <c r="Q198" s="77" t="str">
        <f>IFERROR(VLOOKUP($H198,TD[],3,FALSE),"NA")</f>
        <v>NA</v>
      </c>
      <c r="R198" s="77">
        <f>IFERROR(VLOOKUP($H198,TC[],3,FALSE),"NA")</f>
        <v>0</v>
      </c>
      <c r="S198" s="77" t="str">
        <f>IFERROR(VLOOKUP($H198,TEV[],3,FALSE),"NA")</f>
        <v>NA</v>
      </c>
      <c r="T198" s="79">
        <f>SUM(TbPrestamo[[#This Row],[GENERAL]:[ELEVADOR]])</f>
        <v>0</v>
      </c>
      <c r="U198" s="80">
        <f>IF(VLOOKUP(TbPrestamo[[#This Row],[ITEM]],TbPiezas[],5,FALSE)="NA",0,VLOOKUP(TbPrestamo[[#This Row],[ITEM]],TbPiezas[],5,FALSE))</f>
        <v>36.4</v>
      </c>
      <c r="V198" s="81">
        <f>+TbPrestamo[[#This Row],[TOTAL]]*TbPrestamo[[#This Row],[P.U. (1)]]</f>
        <v>0</v>
      </c>
      <c r="W198" s="82">
        <f>+VLOOKUP(TbPrestamo[[#This Row],[ITEM]],TbPiezas[],6,FALSE)</f>
        <v>2137.81</v>
      </c>
      <c r="X198" s="83">
        <f>+TbPrestamo[[#This Row],[TOTAL]]*TbPrestamo[[#This Row],[P.U. (2)]]</f>
        <v>0</v>
      </c>
      <c r="Y198" s="82">
        <f>+VLOOKUP(TbPrestamo[[#This Row],[ITEM]],TbPiezas[],7,FALSE)</f>
        <v>106.8905</v>
      </c>
      <c r="Z198" s="84">
        <f>+TbPrestamo[[#This Row],[TOTAL]]*TbPrestamo[[#This Row],[P.U. (3)]]</f>
        <v>0</v>
      </c>
    </row>
    <row r="199" spans="1:26" ht="15" customHeight="1" x14ac:dyDescent="0.3">
      <c r="A199" s="2"/>
      <c r="B199" s="85">
        <v>181</v>
      </c>
      <c r="C199" s="71" t="s">
        <v>363</v>
      </c>
      <c r="D199" s="72" t="s">
        <v>364</v>
      </c>
      <c r="E199" s="73"/>
      <c r="F199" s="74">
        <f>+VLOOKUP(C199,TbPrestamo[],13,FALSE)</f>
        <v>0</v>
      </c>
      <c r="G199" s="2"/>
      <c r="H199" s="75" t="str">
        <f t="shared" si="4"/>
        <v>AE.1000</v>
      </c>
      <c r="I199" s="59" t="str">
        <f t="shared" si="5"/>
        <v>ok</v>
      </c>
      <c r="J199" s="77">
        <f>IFERROR(VLOOKUP($H199,TG[],3,FALSE),"NA")</f>
        <v>0</v>
      </c>
      <c r="K199" s="77" t="str">
        <f>IFERROR(VLOOKUP($H199,TF[],3,FALSE),"NA")</f>
        <v>NA</v>
      </c>
      <c r="L199" s="77" t="str">
        <f>IFERROR(VLOOKUP($H199,TT[],3,FALSE),"NA")</f>
        <v>NA</v>
      </c>
      <c r="M199" s="77" t="str">
        <f>IFERROR(VLOOKUP($H199,TES[],3,FALSE),"NA")</f>
        <v>NA</v>
      </c>
      <c r="N199" s="77" t="str">
        <f>IFERROR(VLOOKUP($H199,TEC[],3,FALSE),"NA")</f>
        <v>NA</v>
      </c>
      <c r="O199" s="77" t="str">
        <f>IFERROR(VLOOKUP($H199,TP[],3,FALSE),"NA")</f>
        <v>NA</v>
      </c>
      <c r="P199" s="77" t="str">
        <f>IFERROR(VLOOKUP($H199,TEN[],3,FALSE),"NA")</f>
        <v>NA</v>
      </c>
      <c r="Q199" s="77" t="str">
        <f>IFERROR(VLOOKUP($H199,TD[],3,FALSE),"NA")</f>
        <v>NA</v>
      </c>
      <c r="R199" s="77">
        <f>IFERROR(VLOOKUP($H199,TC[],3,FALSE),"NA")</f>
        <v>0</v>
      </c>
      <c r="S199" s="77" t="str">
        <f>IFERROR(VLOOKUP($H199,TEV[],3,FALSE),"NA")</f>
        <v>NA</v>
      </c>
      <c r="T199" s="79">
        <f>SUM(TbPrestamo[[#This Row],[GENERAL]:[ELEVADOR]])</f>
        <v>0</v>
      </c>
      <c r="U199" s="80">
        <f>IF(VLOOKUP(TbPrestamo[[#This Row],[ITEM]],TbPiezas[],5,FALSE)="NA",0,VLOOKUP(TbPrestamo[[#This Row],[ITEM]],TbPiezas[],5,FALSE))</f>
        <v>27.099999999999994</v>
      </c>
      <c r="V199" s="81">
        <f>+TbPrestamo[[#This Row],[TOTAL]]*TbPrestamo[[#This Row],[P.U. (1)]]</f>
        <v>0</v>
      </c>
      <c r="W199" s="82">
        <f>+VLOOKUP(TbPrestamo[[#This Row],[ITEM]],TbPiezas[],6,FALSE)</f>
        <v>1238.74</v>
      </c>
      <c r="X199" s="83">
        <f>+TbPrestamo[[#This Row],[TOTAL]]*TbPrestamo[[#This Row],[P.U. (2)]]</f>
        <v>0</v>
      </c>
      <c r="Y199" s="82">
        <f>+VLOOKUP(TbPrestamo[[#This Row],[ITEM]],TbPiezas[],7,FALSE)</f>
        <v>61.937000000000005</v>
      </c>
      <c r="Z199" s="84">
        <f>+TbPrestamo[[#This Row],[TOTAL]]*TbPrestamo[[#This Row],[P.U. (3)]]</f>
        <v>0</v>
      </c>
    </row>
    <row r="200" spans="1:26" ht="15" customHeight="1" x14ac:dyDescent="0.3">
      <c r="A200" s="2"/>
      <c r="B200" s="85">
        <v>182</v>
      </c>
      <c r="C200" s="71" t="s">
        <v>365</v>
      </c>
      <c r="D200" s="72" t="s">
        <v>366</v>
      </c>
      <c r="E200" s="73"/>
      <c r="F200" s="74">
        <f>+VLOOKUP(C200,TbPrestamo[],13,FALSE)</f>
        <v>0</v>
      </c>
      <c r="G200" s="2"/>
      <c r="H200" s="75" t="str">
        <f t="shared" si="4"/>
        <v>AE.1100</v>
      </c>
      <c r="I200" s="59" t="str">
        <f t="shared" si="5"/>
        <v>ok</v>
      </c>
      <c r="J200" s="77">
        <f>IFERROR(VLOOKUP($H200,TG[],3,FALSE),"NA")</f>
        <v>0</v>
      </c>
      <c r="K200" s="77" t="str">
        <f>IFERROR(VLOOKUP($H200,TF[],3,FALSE),"NA")</f>
        <v>NA</v>
      </c>
      <c r="L200" s="77" t="str">
        <f>IFERROR(VLOOKUP($H200,TT[],3,FALSE),"NA")</f>
        <v>NA</v>
      </c>
      <c r="M200" s="77" t="str">
        <f>IFERROR(VLOOKUP($H200,TES[],3,FALSE),"NA")</f>
        <v>NA</v>
      </c>
      <c r="N200" s="77" t="str">
        <f>IFERROR(VLOOKUP($H200,TEC[],3,FALSE),"NA")</f>
        <v>NA</v>
      </c>
      <c r="O200" s="77" t="str">
        <f>IFERROR(VLOOKUP($H200,TP[],3,FALSE),"NA")</f>
        <v>NA</v>
      </c>
      <c r="P200" s="77" t="str">
        <f>IFERROR(VLOOKUP($H200,TEN[],3,FALSE),"NA")</f>
        <v>NA</v>
      </c>
      <c r="Q200" s="77" t="str">
        <f>IFERROR(VLOOKUP($H200,TD[],3,FALSE),"NA")</f>
        <v>NA</v>
      </c>
      <c r="R200" s="77">
        <f>IFERROR(VLOOKUP($H200,TC[],3,FALSE),"NA")</f>
        <v>0</v>
      </c>
      <c r="S200" s="77" t="str">
        <f>IFERROR(VLOOKUP($H200,TEV[],3,FALSE),"NA")</f>
        <v>NA</v>
      </c>
      <c r="T200" s="79">
        <f>SUM(TbPrestamo[[#This Row],[GENERAL]:[ELEVADOR]])</f>
        <v>0</v>
      </c>
      <c r="U200" s="80">
        <f>IF(VLOOKUP(TbPrestamo[[#This Row],[ITEM]],TbPiezas[],5,FALSE)="NA",0,VLOOKUP(TbPrestamo[[#This Row],[ITEM]],TbPiezas[],5,FALSE))</f>
        <v>24.399999999999991</v>
      </c>
      <c r="V200" s="81">
        <f>+TbPrestamo[[#This Row],[TOTAL]]*TbPrestamo[[#This Row],[P.U. (1)]]</f>
        <v>0</v>
      </c>
      <c r="W200" s="82">
        <f>+VLOOKUP(TbPrestamo[[#This Row],[ITEM]],TbPiezas[],6,FALSE)</f>
        <v>1114.8599999999999</v>
      </c>
      <c r="X200" s="83">
        <f>+TbPrestamo[[#This Row],[TOTAL]]*TbPrestamo[[#This Row],[P.U. (2)]]</f>
        <v>0</v>
      </c>
      <c r="Y200" s="82">
        <f>+VLOOKUP(TbPrestamo[[#This Row],[ITEM]],TbPiezas[],7,FALSE)</f>
        <v>55.742999999999995</v>
      </c>
      <c r="Z200" s="84">
        <f>+TbPrestamo[[#This Row],[TOTAL]]*TbPrestamo[[#This Row],[P.U. (3)]]</f>
        <v>0</v>
      </c>
    </row>
    <row r="201" spans="1:26" ht="15" customHeight="1" x14ac:dyDescent="0.3">
      <c r="A201" s="2"/>
      <c r="B201" s="85">
        <v>183</v>
      </c>
      <c r="C201" s="71" t="s">
        <v>367</v>
      </c>
      <c r="D201" s="72" t="s">
        <v>368</v>
      </c>
      <c r="E201" s="73"/>
      <c r="F201" s="74">
        <f>+VLOOKUP(C201,TbPrestamo[],13,FALSE)</f>
        <v>0</v>
      </c>
      <c r="G201" s="2"/>
      <c r="H201" s="75" t="str">
        <f t="shared" si="4"/>
        <v>AE.1200</v>
      </c>
      <c r="I201" s="59" t="str">
        <f t="shared" si="5"/>
        <v>ok</v>
      </c>
      <c r="J201" s="77">
        <f>IFERROR(VLOOKUP($H201,TG[],3,FALSE),"NA")</f>
        <v>0</v>
      </c>
      <c r="K201" s="77" t="str">
        <f>IFERROR(VLOOKUP($H201,TF[],3,FALSE),"NA")</f>
        <v>NA</v>
      </c>
      <c r="L201" s="77" t="str">
        <f>IFERROR(VLOOKUP($H201,TT[],3,FALSE),"NA")</f>
        <v>NA</v>
      </c>
      <c r="M201" s="77" t="str">
        <f>IFERROR(VLOOKUP($H201,TES[],3,FALSE),"NA")</f>
        <v>NA</v>
      </c>
      <c r="N201" s="77" t="str">
        <f>IFERROR(VLOOKUP($H201,TEC[],3,FALSE),"NA")</f>
        <v>NA</v>
      </c>
      <c r="O201" s="77" t="str">
        <f>IFERROR(VLOOKUP($H201,TP[],3,FALSE),"NA")</f>
        <v>NA</v>
      </c>
      <c r="P201" s="77" t="str">
        <f>IFERROR(VLOOKUP($H201,TEN[],3,FALSE),"NA")</f>
        <v>NA</v>
      </c>
      <c r="Q201" s="77" t="str">
        <f>IFERROR(VLOOKUP($H201,TD[],3,FALSE),"NA")</f>
        <v>NA</v>
      </c>
      <c r="R201" s="77">
        <f>IFERROR(VLOOKUP($H201,TC[],3,FALSE),"NA")</f>
        <v>0</v>
      </c>
      <c r="S201" s="77" t="str">
        <f>IFERROR(VLOOKUP($H201,TEV[],3,FALSE),"NA")</f>
        <v>NA</v>
      </c>
      <c r="T201" s="79">
        <f>SUM(TbPrestamo[[#This Row],[GENERAL]:[ELEVADOR]])</f>
        <v>0</v>
      </c>
      <c r="U201" s="80">
        <f>IF(VLOOKUP(TbPrestamo[[#This Row],[ITEM]],TbPiezas[],5,FALSE)="NA",0,VLOOKUP(TbPrestamo[[#This Row],[ITEM]],TbPiezas[],5,FALSE))</f>
        <v>21.700000000000003</v>
      </c>
      <c r="V201" s="81">
        <f>+TbPrestamo[[#This Row],[TOTAL]]*TbPrestamo[[#This Row],[P.U. (1)]]</f>
        <v>0</v>
      </c>
      <c r="W201" s="82">
        <f>+VLOOKUP(TbPrestamo[[#This Row],[ITEM]],TbPiezas[],6,FALSE)</f>
        <v>990.99</v>
      </c>
      <c r="X201" s="83">
        <f>+TbPrestamo[[#This Row],[TOTAL]]*TbPrestamo[[#This Row],[P.U. (2)]]</f>
        <v>0</v>
      </c>
      <c r="Y201" s="82">
        <f>+VLOOKUP(TbPrestamo[[#This Row],[ITEM]],TbPiezas[],7,FALSE)</f>
        <v>49.549500000000002</v>
      </c>
      <c r="Z201" s="84">
        <f>+TbPrestamo[[#This Row],[TOTAL]]*TbPrestamo[[#This Row],[P.U. (3)]]</f>
        <v>0</v>
      </c>
    </row>
    <row r="202" spans="1:26" ht="15" customHeight="1" x14ac:dyDescent="0.3">
      <c r="A202" s="2"/>
      <c r="B202" s="85">
        <v>184</v>
      </c>
      <c r="C202" s="71" t="s">
        <v>369</v>
      </c>
      <c r="D202" s="72" t="s">
        <v>370</v>
      </c>
      <c r="E202" s="73"/>
      <c r="F202" s="74">
        <f>+VLOOKUP(C202,TbPrestamo[],13,FALSE)</f>
        <v>0</v>
      </c>
      <c r="G202" s="2"/>
      <c r="H202" s="75" t="str">
        <f t="shared" si="4"/>
        <v>AE.1300</v>
      </c>
      <c r="I202" s="59" t="str">
        <f t="shared" si="5"/>
        <v>ok</v>
      </c>
      <c r="J202" s="77">
        <f>IFERROR(VLOOKUP($H202,TG[],3,FALSE),"NA")</f>
        <v>0</v>
      </c>
      <c r="K202" s="77" t="str">
        <f>IFERROR(VLOOKUP($H202,TF[],3,FALSE),"NA")</f>
        <v>NA</v>
      </c>
      <c r="L202" s="77" t="str">
        <f>IFERROR(VLOOKUP($H202,TT[],3,FALSE),"NA")</f>
        <v>NA</v>
      </c>
      <c r="M202" s="77" t="str">
        <f>IFERROR(VLOOKUP($H202,TES[],3,FALSE),"NA")</f>
        <v>NA</v>
      </c>
      <c r="N202" s="77" t="str">
        <f>IFERROR(VLOOKUP($H202,TEC[],3,FALSE),"NA")</f>
        <v>NA</v>
      </c>
      <c r="O202" s="77" t="str">
        <f>IFERROR(VLOOKUP($H202,TP[],3,FALSE),"NA")</f>
        <v>NA</v>
      </c>
      <c r="P202" s="77" t="str">
        <f>IFERROR(VLOOKUP($H202,TEN[],3,FALSE),"NA")</f>
        <v>NA</v>
      </c>
      <c r="Q202" s="77" t="str">
        <f>IFERROR(VLOOKUP($H202,TD[],3,FALSE),"NA")</f>
        <v>NA</v>
      </c>
      <c r="R202" s="77">
        <f>IFERROR(VLOOKUP($H202,TC[],3,FALSE),"NA")</f>
        <v>0</v>
      </c>
      <c r="S202" s="77" t="str">
        <f>IFERROR(VLOOKUP($H202,TEV[],3,FALSE),"NA")</f>
        <v>NA</v>
      </c>
      <c r="T202" s="79">
        <f>SUM(TbPrestamo[[#This Row],[GENERAL]:[ELEVADOR]])</f>
        <v>0</v>
      </c>
      <c r="U202" s="80">
        <f>IF(VLOOKUP(TbPrestamo[[#This Row],[ITEM]],TbPiezas[],5,FALSE)="NA",0,VLOOKUP(TbPrestamo[[#This Row],[ITEM]],TbPiezas[],5,FALSE))</f>
        <v>19</v>
      </c>
      <c r="V202" s="81">
        <f>+TbPrestamo[[#This Row],[TOTAL]]*TbPrestamo[[#This Row],[P.U. (1)]]</f>
        <v>0</v>
      </c>
      <c r="W202" s="82">
        <f>+VLOOKUP(TbPrestamo[[#This Row],[ITEM]],TbPiezas[],6,FALSE)</f>
        <v>867.12</v>
      </c>
      <c r="X202" s="83">
        <f>+TbPrestamo[[#This Row],[TOTAL]]*TbPrestamo[[#This Row],[P.U. (2)]]</f>
        <v>0</v>
      </c>
      <c r="Y202" s="82">
        <f>+VLOOKUP(TbPrestamo[[#This Row],[ITEM]],TbPiezas[],7,FALSE)</f>
        <v>43.356000000000002</v>
      </c>
      <c r="Z202" s="84">
        <f>+TbPrestamo[[#This Row],[TOTAL]]*TbPrestamo[[#This Row],[P.U. (3)]]</f>
        <v>0</v>
      </c>
    </row>
    <row r="203" spans="1:26" ht="15" customHeight="1" x14ac:dyDescent="0.3">
      <c r="A203" s="2"/>
      <c r="B203" s="85">
        <v>185</v>
      </c>
      <c r="C203" s="71" t="s">
        <v>371</v>
      </c>
      <c r="D203" s="72" t="s">
        <v>372</v>
      </c>
      <c r="E203" s="73"/>
      <c r="F203" s="74">
        <f>+VLOOKUP(C203,TbPrestamo[],13,FALSE)</f>
        <v>0</v>
      </c>
      <c r="G203" s="2"/>
      <c r="H203" s="75" t="str">
        <f t="shared" si="4"/>
        <v>AE.1400</v>
      </c>
      <c r="I203" s="59" t="str">
        <f t="shared" si="5"/>
        <v>ok</v>
      </c>
      <c r="J203" s="77">
        <f>IFERROR(VLOOKUP($H203,TG[],3,FALSE),"NA")</f>
        <v>0</v>
      </c>
      <c r="K203" s="77" t="str">
        <f>IFERROR(VLOOKUP($H203,TF[],3,FALSE),"NA")</f>
        <v>NA</v>
      </c>
      <c r="L203" s="77" t="str">
        <f>IFERROR(VLOOKUP($H203,TT[],3,FALSE),"NA")</f>
        <v>NA</v>
      </c>
      <c r="M203" s="77" t="str">
        <f>IFERROR(VLOOKUP($H203,TES[],3,FALSE),"NA")</f>
        <v>NA</v>
      </c>
      <c r="N203" s="77" t="str">
        <f>IFERROR(VLOOKUP($H203,TEC[],3,FALSE),"NA")</f>
        <v>NA</v>
      </c>
      <c r="O203" s="77" t="str">
        <f>IFERROR(VLOOKUP($H203,TP[],3,FALSE),"NA")</f>
        <v>NA</v>
      </c>
      <c r="P203" s="77" t="str">
        <f>IFERROR(VLOOKUP($H203,TEN[],3,FALSE),"NA")</f>
        <v>NA</v>
      </c>
      <c r="Q203" s="77" t="str">
        <f>IFERROR(VLOOKUP($H203,TD[],3,FALSE),"NA")</f>
        <v>NA</v>
      </c>
      <c r="R203" s="77">
        <f>IFERROR(VLOOKUP($H203,TC[],3,FALSE),"NA")</f>
        <v>0</v>
      </c>
      <c r="S203" s="77" t="str">
        <f>IFERROR(VLOOKUP($H203,TEV[],3,FALSE),"NA")</f>
        <v>NA</v>
      </c>
      <c r="T203" s="79">
        <f>SUM(TbPrestamo[[#This Row],[GENERAL]:[ELEVADOR]])</f>
        <v>0</v>
      </c>
      <c r="U203" s="80">
        <f>IF(VLOOKUP(TbPrestamo[[#This Row],[ITEM]],TbPiezas[],5,FALSE)="NA",0,VLOOKUP(TbPrestamo[[#This Row],[ITEM]],TbPiezas[],5,FALSE))</f>
        <v>16.299999999999997</v>
      </c>
      <c r="V203" s="81">
        <f>+TbPrestamo[[#This Row],[TOTAL]]*TbPrestamo[[#This Row],[P.U. (1)]]</f>
        <v>0</v>
      </c>
      <c r="W203" s="82">
        <f>+VLOOKUP(TbPrestamo[[#This Row],[ITEM]],TbPiezas[],6,FALSE)</f>
        <v>743.24</v>
      </c>
      <c r="X203" s="83">
        <f>+TbPrestamo[[#This Row],[TOTAL]]*TbPrestamo[[#This Row],[P.U. (2)]]</f>
        <v>0</v>
      </c>
      <c r="Y203" s="82">
        <f>+VLOOKUP(TbPrestamo[[#This Row],[ITEM]],TbPiezas[],7,FALSE)</f>
        <v>37.161999999999999</v>
      </c>
      <c r="Z203" s="84">
        <f>+TbPrestamo[[#This Row],[TOTAL]]*TbPrestamo[[#This Row],[P.U. (3)]]</f>
        <v>0</v>
      </c>
    </row>
    <row r="204" spans="1:26" ht="15" customHeight="1" x14ac:dyDescent="0.3">
      <c r="A204" s="2"/>
      <c r="B204" s="85">
        <v>186</v>
      </c>
      <c r="C204" s="71" t="s">
        <v>373</v>
      </c>
      <c r="D204" s="72" t="s">
        <v>374</v>
      </c>
      <c r="E204" s="73"/>
      <c r="F204" s="74">
        <f>+VLOOKUP(C204,TbPrestamo[],13,FALSE)</f>
        <v>0</v>
      </c>
      <c r="G204" s="2"/>
      <c r="H204" s="75" t="str">
        <f t="shared" si="4"/>
        <v>AE.1500</v>
      </c>
      <c r="I204" s="59" t="str">
        <f t="shared" si="5"/>
        <v>ok</v>
      </c>
      <c r="J204" s="77">
        <f>IFERROR(VLOOKUP($H204,TG[],3,FALSE),"NA")</f>
        <v>0</v>
      </c>
      <c r="K204" s="77" t="str">
        <f>IFERROR(VLOOKUP($H204,TF[],3,FALSE),"NA")</f>
        <v>NA</v>
      </c>
      <c r="L204" s="77" t="str">
        <f>IFERROR(VLOOKUP($H204,TT[],3,FALSE),"NA")</f>
        <v>NA</v>
      </c>
      <c r="M204" s="77" t="str">
        <f>IFERROR(VLOOKUP($H204,TES[],3,FALSE),"NA")</f>
        <v>NA</v>
      </c>
      <c r="N204" s="77" t="str">
        <f>IFERROR(VLOOKUP($H204,TEC[],3,FALSE),"NA")</f>
        <v>NA</v>
      </c>
      <c r="O204" s="77" t="str">
        <f>IFERROR(VLOOKUP($H204,TP[],3,FALSE),"NA")</f>
        <v>NA</v>
      </c>
      <c r="P204" s="77" t="str">
        <f>IFERROR(VLOOKUP($H204,TEN[],3,FALSE),"NA")</f>
        <v>NA</v>
      </c>
      <c r="Q204" s="77" t="str">
        <f>IFERROR(VLOOKUP($H204,TD[],3,FALSE),"NA")</f>
        <v>NA</v>
      </c>
      <c r="R204" s="77">
        <f>IFERROR(VLOOKUP($H204,TC[],3,FALSE),"NA")</f>
        <v>0</v>
      </c>
      <c r="S204" s="77" t="str">
        <f>IFERROR(VLOOKUP($H204,TEV[],3,FALSE),"NA")</f>
        <v>NA</v>
      </c>
      <c r="T204" s="79">
        <f>SUM(TbPrestamo[[#This Row],[GENERAL]:[ELEVADOR]])</f>
        <v>0</v>
      </c>
      <c r="U204" s="80">
        <f>IF(VLOOKUP(TbPrestamo[[#This Row],[ITEM]],TbPiezas[],5,FALSE)="NA",0,VLOOKUP(TbPrestamo[[#This Row],[ITEM]],TbPiezas[],5,FALSE))</f>
        <v>13.599999999999994</v>
      </c>
      <c r="V204" s="81">
        <f>+TbPrestamo[[#This Row],[TOTAL]]*TbPrestamo[[#This Row],[P.U. (1)]]</f>
        <v>0</v>
      </c>
      <c r="W204" s="82">
        <f>+VLOOKUP(TbPrestamo[[#This Row],[ITEM]],TbPiezas[],6,FALSE)</f>
        <v>619.37</v>
      </c>
      <c r="X204" s="83">
        <f>+TbPrestamo[[#This Row],[TOTAL]]*TbPrestamo[[#This Row],[P.U. (2)]]</f>
        <v>0</v>
      </c>
      <c r="Y204" s="82">
        <f>+VLOOKUP(TbPrestamo[[#This Row],[ITEM]],TbPiezas[],7,FALSE)</f>
        <v>30.968500000000002</v>
      </c>
      <c r="Z204" s="84">
        <f>+TbPrestamo[[#This Row],[TOTAL]]*TbPrestamo[[#This Row],[P.U. (3)]]</f>
        <v>0</v>
      </c>
    </row>
    <row r="205" spans="1:26" ht="15" customHeight="1" x14ac:dyDescent="0.3">
      <c r="A205" s="2"/>
      <c r="B205" s="85">
        <v>187</v>
      </c>
      <c r="C205" s="71" t="s">
        <v>375</v>
      </c>
      <c r="D205" s="72" t="s">
        <v>376</v>
      </c>
      <c r="E205" s="73"/>
      <c r="F205" s="74">
        <f>+VLOOKUP(C205,TbPrestamo[],13,FALSE)</f>
        <v>0</v>
      </c>
      <c r="G205" s="2"/>
      <c r="H205" s="75" t="str">
        <f t="shared" si="4"/>
        <v>AE.1600</v>
      </c>
      <c r="I205" s="59" t="str">
        <f t="shared" si="5"/>
        <v>ok</v>
      </c>
      <c r="J205" s="77">
        <f>IFERROR(VLOOKUP($H205,TG[],3,FALSE),"NA")</f>
        <v>0</v>
      </c>
      <c r="K205" s="77" t="str">
        <f>IFERROR(VLOOKUP($H205,TF[],3,FALSE),"NA")</f>
        <v>NA</v>
      </c>
      <c r="L205" s="77" t="str">
        <f>IFERROR(VLOOKUP($H205,TT[],3,FALSE),"NA")</f>
        <v>NA</v>
      </c>
      <c r="M205" s="77" t="str">
        <f>IFERROR(VLOOKUP($H205,TES[],3,FALSE),"NA")</f>
        <v>NA</v>
      </c>
      <c r="N205" s="77" t="str">
        <f>IFERROR(VLOOKUP($H205,TEC[],3,FALSE),"NA")</f>
        <v>NA</v>
      </c>
      <c r="O205" s="77" t="str">
        <f>IFERROR(VLOOKUP($H205,TP[],3,FALSE),"NA")</f>
        <v>NA</v>
      </c>
      <c r="P205" s="77" t="str">
        <f>IFERROR(VLOOKUP($H205,TEN[],3,FALSE),"NA")</f>
        <v>NA</v>
      </c>
      <c r="Q205" s="77" t="str">
        <f>IFERROR(VLOOKUP($H205,TD[],3,FALSE),"NA")</f>
        <v>NA</v>
      </c>
      <c r="R205" s="77">
        <f>IFERROR(VLOOKUP($H205,TC[],3,FALSE),"NA")</f>
        <v>0</v>
      </c>
      <c r="S205" s="77" t="str">
        <f>IFERROR(VLOOKUP($H205,TEV[],3,FALSE),"NA")</f>
        <v>NA</v>
      </c>
      <c r="T205" s="79">
        <f>SUM(TbPrestamo[[#This Row],[GENERAL]:[ELEVADOR]])</f>
        <v>0</v>
      </c>
      <c r="U205" s="80">
        <f>IF(VLOOKUP(TbPrestamo[[#This Row],[ITEM]],TbPiezas[],5,FALSE)="NA",0,VLOOKUP(TbPrestamo[[#This Row],[ITEM]],TbPiezas[],5,FALSE))</f>
        <v>10.799999999999997</v>
      </c>
      <c r="V205" s="81">
        <f>+TbPrestamo[[#This Row],[TOTAL]]*TbPrestamo[[#This Row],[P.U. (1)]]</f>
        <v>0</v>
      </c>
      <c r="W205" s="82">
        <f>+VLOOKUP(TbPrestamo[[#This Row],[ITEM]],TbPiezas[],6,FALSE)</f>
        <v>495.5</v>
      </c>
      <c r="X205" s="83">
        <f>+TbPrestamo[[#This Row],[TOTAL]]*TbPrestamo[[#This Row],[P.U. (2)]]</f>
        <v>0</v>
      </c>
      <c r="Y205" s="82">
        <f>+VLOOKUP(TbPrestamo[[#This Row],[ITEM]],TbPiezas[],7,FALSE)</f>
        <v>24.775000000000002</v>
      </c>
      <c r="Z205" s="84">
        <f>+TbPrestamo[[#This Row],[TOTAL]]*TbPrestamo[[#This Row],[P.U. (3)]]</f>
        <v>0</v>
      </c>
    </row>
    <row r="206" spans="1:26" ht="15" customHeight="1" x14ac:dyDescent="0.3">
      <c r="A206" s="2"/>
      <c r="B206" s="85">
        <v>188</v>
      </c>
      <c r="C206" s="71" t="s">
        <v>377</v>
      </c>
      <c r="D206" s="72" t="s">
        <v>378</v>
      </c>
      <c r="E206" s="73"/>
      <c r="F206" s="74">
        <f>+VLOOKUP(C206,TbPrestamo[],13,FALSE)</f>
        <v>0</v>
      </c>
      <c r="G206" s="2"/>
      <c r="H206" s="75" t="str">
        <f t="shared" si="4"/>
        <v>AE.1700</v>
      </c>
      <c r="I206" s="59" t="str">
        <f t="shared" si="5"/>
        <v>ok</v>
      </c>
      <c r="J206" s="77">
        <f>IFERROR(VLOOKUP($H206,TG[],3,FALSE),"NA")</f>
        <v>0</v>
      </c>
      <c r="K206" s="77" t="str">
        <f>IFERROR(VLOOKUP($H206,TF[],3,FALSE),"NA")</f>
        <v>NA</v>
      </c>
      <c r="L206" s="77" t="str">
        <f>IFERROR(VLOOKUP($H206,TT[],3,FALSE),"NA")</f>
        <v>NA</v>
      </c>
      <c r="M206" s="77" t="str">
        <f>IFERROR(VLOOKUP($H206,TES[],3,FALSE),"NA")</f>
        <v>NA</v>
      </c>
      <c r="N206" s="77" t="str">
        <f>IFERROR(VLOOKUP($H206,TEC[],3,FALSE),"NA")</f>
        <v>NA</v>
      </c>
      <c r="O206" s="77" t="str">
        <f>IFERROR(VLOOKUP($H206,TP[],3,FALSE),"NA")</f>
        <v>NA</v>
      </c>
      <c r="P206" s="77" t="str">
        <f>IFERROR(VLOOKUP($H206,TEN[],3,FALSE),"NA")</f>
        <v>NA</v>
      </c>
      <c r="Q206" s="77" t="str">
        <f>IFERROR(VLOOKUP($H206,TD[],3,FALSE),"NA")</f>
        <v>NA</v>
      </c>
      <c r="R206" s="77">
        <f>IFERROR(VLOOKUP($H206,TC[],3,FALSE),"NA")</f>
        <v>0</v>
      </c>
      <c r="S206" s="77" t="str">
        <f>IFERROR(VLOOKUP($H206,TEV[],3,FALSE),"NA")</f>
        <v>NA</v>
      </c>
      <c r="T206" s="79">
        <f>SUM(TbPrestamo[[#This Row],[GENERAL]:[ELEVADOR]])</f>
        <v>0</v>
      </c>
      <c r="U206" s="80">
        <f>IF(VLOOKUP(TbPrestamo[[#This Row],[ITEM]],TbPiezas[],5,FALSE)="NA",0,VLOOKUP(TbPrestamo[[#This Row],[ITEM]],TbPiezas[],5,FALSE))</f>
        <v>8.2000000000000028</v>
      </c>
      <c r="V206" s="81">
        <f>+TbPrestamo[[#This Row],[TOTAL]]*TbPrestamo[[#This Row],[P.U. (1)]]</f>
        <v>0</v>
      </c>
      <c r="W206" s="82">
        <f>+VLOOKUP(TbPrestamo[[#This Row],[ITEM]],TbPiezas[],6,FALSE)</f>
        <v>371.62</v>
      </c>
      <c r="X206" s="83">
        <f>+TbPrestamo[[#This Row],[TOTAL]]*TbPrestamo[[#This Row],[P.U. (2)]]</f>
        <v>0</v>
      </c>
      <c r="Y206" s="82">
        <f>+VLOOKUP(TbPrestamo[[#This Row],[ITEM]],TbPiezas[],7,FALSE)</f>
        <v>18.581</v>
      </c>
      <c r="Z206" s="84">
        <f>+TbPrestamo[[#This Row],[TOTAL]]*TbPrestamo[[#This Row],[P.U. (3)]]</f>
        <v>0</v>
      </c>
    </row>
    <row r="207" spans="1:26" ht="15" customHeight="1" x14ac:dyDescent="0.3">
      <c r="A207" s="2"/>
      <c r="B207" s="85">
        <v>189</v>
      </c>
      <c r="C207" s="71" t="s">
        <v>379</v>
      </c>
      <c r="D207" s="72" t="s">
        <v>380</v>
      </c>
      <c r="E207" s="73"/>
      <c r="F207" s="74">
        <f>+VLOOKUP(C207,TbPrestamo[],13,FALSE)</f>
        <v>0</v>
      </c>
      <c r="G207" s="2"/>
      <c r="H207" s="75" t="str">
        <f t="shared" si="4"/>
        <v>AE.1710</v>
      </c>
      <c r="I207" s="59" t="str">
        <f t="shared" si="5"/>
        <v>ok</v>
      </c>
      <c r="J207" s="77">
        <f>IFERROR(VLOOKUP($H207,TG[],3,FALSE),"NA")</f>
        <v>0</v>
      </c>
      <c r="K207" s="77" t="str">
        <f>IFERROR(VLOOKUP($H207,TF[],3,FALSE),"NA")</f>
        <v>NA</v>
      </c>
      <c r="L207" s="77" t="str">
        <f>IFERROR(VLOOKUP($H207,TT[],3,FALSE),"NA")</f>
        <v>NA</v>
      </c>
      <c r="M207" s="77" t="str">
        <f>IFERROR(VLOOKUP($H207,TES[],3,FALSE),"NA")</f>
        <v>NA</v>
      </c>
      <c r="N207" s="77" t="str">
        <f>IFERROR(VLOOKUP($H207,TEC[],3,FALSE),"NA")</f>
        <v>NA</v>
      </c>
      <c r="O207" s="77" t="str">
        <f>IFERROR(VLOOKUP($H207,TP[],3,FALSE),"NA")</f>
        <v>NA</v>
      </c>
      <c r="P207" s="77" t="str">
        <f>IFERROR(VLOOKUP($H207,TEN[],3,FALSE),"NA")</f>
        <v>NA</v>
      </c>
      <c r="Q207" s="77" t="str">
        <f>IFERROR(VLOOKUP($H207,TD[],3,FALSE),"NA")</f>
        <v>NA</v>
      </c>
      <c r="R207" s="77">
        <f>IFERROR(VLOOKUP($H207,TC[],3,FALSE),"NA")</f>
        <v>0</v>
      </c>
      <c r="S207" s="77" t="str">
        <f>IFERROR(VLOOKUP($H207,TEV[],3,FALSE),"NA")</f>
        <v>NA</v>
      </c>
      <c r="T207" s="79">
        <f>SUM(TbPrestamo[[#This Row],[GENERAL]:[ELEVADOR]])</f>
        <v>0</v>
      </c>
      <c r="U207" s="80">
        <f>IF(VLOOKUP(TbPrestamo[[#This Row],[ITEM]],TbPiezas[],5,FALSE)="NA",0,VLOOKUP(TbPrestamo[[#This Row],[ITEM]],TbPiezas[],5,FALSE))</f>
        <v>5.42</v>
      </c>
      <c r="V207" s="81">
        <f>+TbPrestamo[[#This Row],[TOTAL]]*TbPrestamo[[#This Row],[P.U. (1)]]</f>
        <v>0</v>
      </c>
      <c r="W207" s="82">
        <f>+VLOOKUP(TbPrestamo[[#This Row],[ITEM]],TbPiezas[],6,FALSE)</f>
        <v>247.75</v>
      </c>
      <c r="X207" s="83">
        <f>+TbPrestamo[[#This Row],[TOTAL]]*TbPrestamo[[#This Row],[P.U. (2)]]</f>
        <v>0</v>
      </c>
      <c r="Y207" s="82">
        <f>+VLOOKUP(TbPrestamo[[#This Row],[ITEM]],TbPiezas[],7,FALSE)</f>
        <v>12.387500000000001</v>
      </c>
      <c r="Z207" s="84">
        <f>+TbPrestamo[[#This Row],[TOTAL]]*TbPrestamo[[#This Row],[P.U. (3)]]</f>
        <v>0</v>
      </c>
    </row>
    <row r="208" spans="1:26" ht="15" customHeight="1" x14ac:dyDescent="0.3">
      <c r="A208" s="2"/>
      <c r="B208" s="85">
        <v>190</v>
      </c>
      <c r="C208" s="71" t="s">
        <v>381</v>
      </c>
      <c r="D208" s="72" t="s">
        <v>382</v>
      </c>
      <c r="E208" s="73"/>
      <c r="F208" s="74">
        <f>+VLOOKUP(C208,TbPrestamo[],13,FALSE)</f>
        <v>0</v>
      </c>
      <c r="G208" s="2"/>
      <c r="H208" s="75" t="str">
        <f t="shared" si="4"/>
        <v>AE.1800</v>
      </c>
      <c r="I208" s="59" t="str">
        <f t="shared" si="5"/>
        <v>ok</v>
      </c>
      <c r="J208" s="77">
        <f>IFERROR(VLOOKUP($H208,TG[],3,FALSE),"NA")</f>
        <v>0</v>
      </c>
      <c r="K208" s="77" t="str">
        <f>IFERROR(VLOOKUP($H208,TF[],3,FALSE),"NA")</f>
        <v>NA</v>
      </c>
      <c r="L208" s="77" t="str">
        <f>IFERROR(VLOOKUP($H208,TT[],3,FALSE),"NA")</f>
        <v>NA</v>
      </c>
      <c r="M208" s="77" t="str">
        <f>IFERROR(VLOOKUP($H208,TES[],3,FALSE),"NA")</f>
        <v>NA</v>
      </c>
      <c r="N208" s="77" t="str">
        <f>IFERROR(VLOOKUP($H208,TEC[],3,FALSE),"NA")</f>
        <v>NA</v>
      </c>
      <c r="O208" s="77" t="str">
        <f>IFERROR(VLOOKUP($H208,TP[],3,FALSE),"NA")</f>
        <v>NA</v>
      </c>
      <c r="P208" s="77" t="str">
        <f>IFERROR(VLOOKUP($H208,TEN[],3,FALSE),"NA")</f>
        <v>NA</v>
      </c>
      <c r="Q208" s="77" t="str">
        <f>IFERROR(VLOOKUP($H208,TD[],3,FALSE),"NA")</f>
        <v>NA</v>
      </c>
      <c r="R208" s="77">
        <f>IFERROR(VLOOKUP($H208,TC[],3,FALSE),"NA")</f>
        <v>0</v>
      </c>
      <c r="S208" s="77" t="str">
        <f>IFERROR(VLOOKUP($H208,TEV[],3,FALSE),"NA")</f>
        <v>NA</v>
      </c>
      <c r="T208" s="79">
        <f>SUM(TbPrestamo[[#This Row],[GENERAL]:[ELEVADOR]])</f>
        <v>0</v>
      </c>
      <c r="U208" s="80">
        <f>IF(VLOOKUP(TbPrestamo[[#This Row],[ITEM]],TbPiezas[],5,FALSE)="NA",0,VLOOKUP(TbPrestamo[[#This Row],[ITEM]],TbPiezas[],5,FALSE))</f>
        <v>4.0999999999999943</v>
      </c>
      <c r="V208" s="81">
        <f>+TbPrestamo[[#This Row],[TOTAL]]*TbPrestamo[[#This Row],[P.U. (1)]]</f>
        <v>0</v>
      </c>
      <c r="W208" s="82">
        <f>+VLOOKUP(TbPrestamo[[#This Row],[ITEM]],TbPiezas[],6,FALSE)</f>
        <v>439.15</v>
      </c>
      <c r="X208" s="83">
        <f>+TbPrestamo[[#This Row],[TOTAL]]*TbPrestamo[[#This Row],[P.U. (2)]]</f>
        <v>0</v>
      </c>
      <c r="Y208" s="82">
        <f>+VLOOKUP(TbPrestamo[[#This Row],[ITEM]],TbPiezas[],7,FALSE)</f>
        <v>21.9575</v>
      </c>
      <c r="Z208" s="84">
        <f>+TbPrestamo[[#This Row],[TOTAL]]*TbPrestamo[[#This Row],[P.U. (3)]]</f>
        <v>0</v>
      </c>
    </row>
    <row r="209" spans="1:26" ht="15" customHeight="1" x14ac:dyDescent="0.3">
      <c r="A209" s="2"/>
      <c r="B209" s="85">
        <v>191</v>
      </c>
      <c r="C209" s="71" t="s">
        <v>383</v>
      </c>
      <c r="D209" s="72" t="s">
        <v>384</v>
      </c>
      <c r="E209" s="73"/>
      <c r="F209" s="74">
        <f>+VLOOKUP(C209,TbPrestamo[],13,FALSE)</f>
        <v>0</v>
      </c>
      <c r="G209" s="2"/>
      <c r="H209" s="75" t="str">
        <f t="shared" si="4"/>
        <v>AE.1900</v>
      </c>
      <c r="I209" s="59" t="str">
        <f t="shared" si="5"/>
        <v>ok</v>
      </c>
      <c r="J209" s="77">
        <f>IFERROR(VLOOKUP($H209,TG[],3,FALSE),"NA")</f>
        <v>0</v>
      </c>
      <c r="K209" s="77" t="str">
        <f>IFERROR(VLOOKUP($H209,TF[],3,FALSE),"NA")</f>
        <v>NA</v>
      </c>
      <c r="L209" s="77" t="str">
        <f>IFERROR(VLOOKUP($H209,TT[],3,FALSE),"NA")</f>
        <v>NA</v>
      </c>
      <c r="M209" s="77" t="str">
        <f>IFERROR(VLOOKUP($H209,TES[],3,FALSE),"NA")</f>
        <v>NA</v>
      </c>
      <c r="N209" s="77" t="str">
        <f>IFERROR(VLOOKUP($H209,TEC[],3,FALSE),"NA")</f>
        <v>NA</v>
      </c>
      <c r="O209" s="77" t="str">
        <f>IFERROR(VLOOKUP($H209,TP[],3,FALSE),"NA")</f>
        <v>NA</v>
      </c>
      <c r="P209" s="77" t="str">
        <f>IFERROR(VLOOKUP($H209,TEN[],3,FALSE),"NA")</f>
        <v>NA</v>
      </c>
      <c r="Q209" s="77" t="str">
        <f>IFERROR(VLOOKUP($H209,TD[],3,FALSE),"NA")</f>
        <v>NA</v>
      </c>
      <c r="R209" s="77">
        <f>IFERROR(VLOOKUP($H209,TC[],3,FALSE),"NA")</f>
        <v>0</v>
      </c>
      <c r="S209" s="77" t="str">
        <f>IFERROR(VLOOKUP($H209,TEV[],3,FALSE),"NA")</f>
        <v>NA</v>
      </c>
      <c r="T209" s="79">
        <f>SUM(TbPrestamo[[#This Row],[GENERAL]:[ELEVADOR]])</f>
        <v>0</v>
      </c>
      <c r="U209" s="80">
        <f>IF(VLOOKUP(TbPrestamo[[#This Row],[ITEM]],TbPiezas[],5,FALSE)="NA",0,VLOOKUP(TbPrestamo[[#This Row],[ITEM]],TbPiezas[],5,FALSE))</f>
        <v>4.0999999999999943</v>
      </c>
      <c r="V209" s="81">
        <f>+TbPrestamo[[#This Row],[TOTAL]]*TbPrestamo[[#This Row],[P.U. (1)]]</f>
        <v>0</v>
      </c>
      <c r="W209" s="82">
        <f>+VLOOKUP(TbPrestamo[[#This Row],[ITEM]],TbPiezas[],6,FALSE)</f>
        <v>439.15</v>
      </c>
      <c r="X209" s="83">
        <f>+TbPrestamo[[#This Row],[TOTAL]]*TbPrestamo[[#This Row],[P.U. (2)]]</f>
        <v>0</v>
      </c>
      <c r="Y209" s="82">
        <f>+VLOOKUP(TbPrestamo[[#This Row],[ITEM]],TbPiezas[],7,FALSE)</f>
        <v>21.9575</v>
      </c>
      <c r="Z209" s="84">
        <f>+TbPrestamo[[#This Row],[TOTAL]]*TbPrestamo[[#This Row],[P.U. (3)]]</f>
        <v>0</v>
      </c>
    </row>
    <row r="210" spans="1:26" ht="15" customHeight="1" x14ac:dyDescent="0.3">
      <c r="A210" s="2"/>
      <c r="B210" s="85">
        <v>192</v>
      </c>
      <c r="C210" s="71" t="s">
        <v>385</v>
      </c>
      <c r="D210" s="72" t="s">
        <v>386</v>
      </c>
      <c r="E210" s="73"/>
      <c r="F210" s="74">
        <f>+VLOOKUP(C210,TbPrestamo[],13,FALSE)</f>
        <v>0</v>
      </c>
      <c r="G210" s="2"/>
      <c r="H210" s="75" t="str">
        <f t="shared" ref="H210:H273" si="6">+C210</f>
        <v>AE.2000</v>
      </c>
      <c r="I210" s="59" t="str">
        <f t="shared" ref="I210:I273" si="7">+IF(C210=H210,"ok","mal")</f>
        <v>ok</v>
      </c>
      <c r="J210" s="77">
        <f>IFERROR(VLOOKUP($H210,TG[],3,FALSE),"NA")</f>
        <v>0</v>
      </c>
      <c r="K210" s="77" t="str">
        <f>IFERROR(VLOOKUP($H210,TF[],3,FALSE),"NA")</f>
        <v>NA</v>
      </c>
      <c r="L210" s="77" t="str">
        <f>IFERROR(VLOOKUP($H210,TT[],3,FALSE),"NA")</f>
        <v>NA</v>
      </c>
      <c r="M210" s="77" t="str">
        <f>IFERROR(VLOOKUP($H210,TES[],3,FALSE),"NA")</f>
        <v>NA</v>
      </c>
      <c r="N210" s="77" t="str">
        <f>IFERROR(VLOOKUP($H210,TEC[],3,FALSE),"NA")</f>
        <v>NA</v>
      </c>
      <c r="O210" s="77" t="str">
        <f>IFERROR(VLOOKUP($H210,TP[],3,FALSE),"NA")</f>
        <v>NA</v>
      </c>
      <c r="P210" s="77" t="str">
        <f>IFERROR(VLOOKUP($H210,TEN[],3,FALSE),"NA")</f>
        <v>NA</v>
      </c>
      <c r="Q210" s="77" t="str">
        <f>IFERROR(VLOOKUP($H210,TD[],3,FALSE),"NA")</f>
        <v>NA</v>
      </c>
      <c r="R210" s="77">
        <f>IFERROR(VLOOKUP($H210,TC[],3,FALSE),"NA")</f>
        <v>0</v>
      </c>
      <c r="S210" s="77" t="str">
        <f>IFERROR(VLOOKUP($H210,TEV[],3,FALSE),"NA")</f>
        <v>NA</v>
      </c>
      <c r="T210" s="79">
        <f>SUM(TbPrestamo[[#This Row],[GENERAL]:[ELEVADOR]])</f>
        <v>0</v>
      </c>
      <c r="U210" s="80">
        <f>IF(VLOOKUP(TbPrestamo[[#This Row],[ITEM]],TbPiezas[],5,FALSE)="NA",0,VLOOKUP(TbPrestamo[[#This Row],[ITEM]],TbPiezas[],5,FALSE))</f>
        <v>2.8999999999999915</v>
      </c>
      <c r="V210" s="81">
        <f>+TbPrestamo[[#This Row],[TOTAL]]*TbPrestamo[[#This Row],[P.U. (1)]]</f>
        <v>0</v>
      </c>
      <c r="W210" s="82">
        <f>+VLOOKUP(TbPrestamo[[#This Row],[ITEM]],TbPiezas[],6,FALSE)</f>
        <v>20.329999999999998</v>
      </c>
      <c r="X210" s="83">
        <f>+TbPrestamo[[#This Row],[TOTAL]]*TbPrestamo[[#This Row],[P.U. (2)]]</f>
        <v>0</v>
      </c>
      <c r="Y210" s="82">
        <f>+VLOOKUP(TbPrestamo[[#This Row],[ITEM]],TbPiezas[],7,FALSE)</f>
        <v>1.0165</v>
      </c>
      <c r="Z210" s="84">
        <f>+TbPrestamo[[#This Row],[TOTAL]]*TbPrestamo[[#This Row],[P.U. (3)]]</f>
        <v>0</v>
      </c>
    </row>
    <row r="211" spans="1:26" ht="15" customHeight="1" x14ac:dyDescent="0.3">
      <c r="A211" s="2"/>
      <c r="B211" s="85">
        <v>193</v>
      </c>
      <c r="C211" s="71" t="s">
        <v>387</v>
      </c>
      <c r="D211" s="72" t="s">
        <v>388</v>
      </c>
      <c r="E211" s="73"/>
      <c r="F211" s="74">
        <f>+VLOOKUP(C211,TbPrestamo[],13,FALSE)</f>
        <v>0</v>
      </c>
      <c r="G211" s="2"/>
      <c r="H211" s="75" t="str">
        <f t="shared" si="6"/>
        <v>AE.2100</v>
      </c>
      <c r="I211" s="59" t="str">
        <f t="shared" si="7"/>
        <v>ok</v>
      </c>
      <c r="J211" s="77">
        <f>IFERROR(VLOOKUP($H211,TG[],3,FALSE),"NA")</f>
        <v>0</v>
      </c>
      <c r="K211" s="77" t="str">
        <f>IFERROR(VLOOKUP($H211,TF[],3,FALSE),"NA")</f>
        <v>NA</v>
      </c>
      <c r="L211" s="77" t="str">
        <f>IFERROR(VLOOKUP($H211,TT[],3,FALSE),"NA")</f>
        <v>NA</v>
      </c>
      <c r="M211" s="77" t="str">
        <f>IFERROR(VLOOKUP($H211,TES[],3,FALSE),"NA")</f>
        <v>NA</v>
      </c>
      <c r="N211" s="77" t="str">
        <f>IFERROR(VLOOKUP($H211,TEC[],3,FALSE),"NA")</f>
        <v>NA</v>
      </c>
      <c r="O211" s="77" t="str">
        <f>IFERROR(VLOOKUP($H211,TP[],3,FALSE),"NA")</f>
        <v>NA</v>
      </c>
      <c r="P211" s="77" t="str">
        <f>IFERROR(VLOOKUP($H211,TEN[],3,FALSE),"NA")</f>
        <v>NA</v>
      </c>
      <c r="Q211" s="77" t="str">
        <f>IFERROR(VLOOKUP($H211,TD[],3,FALSE),"NA")</f>
        <v>NA</v>
      </c>
      <c r="R211" s="77">
        <f>IFERROR(VLOOKUP($H211,TC[],3,FALSE),"NA")</f>
        <v>0</v>
      </c>
      <c r="S211" s="77" t="str">
        <f>IFERROR(VLOOKUP($H211,TEV[],3,FALSE),"NA")</f>
        <v>NA</v>
      </c>
      <c r="T211" s="79">
        <f>SUM(TbPrestamo[[#This Row],[GENERAL]:[ELEVADOR]])</f>
        <v>0</v>
      </c>
      <c r="U211" s="80">
        <f>IF(VLOOKUP(TbPrestamo[[#This Row],[ITEM]],TbPiezas[],5,FALSE)="NA",0,VLOOKUP(TbPrestamo[[#This Row],[ITEM]],TbPiezas[],5,FALSE))</f>
        <v>2.8999999999999915</v>
      </c>
      <c r="V211" s="81">
        <f>+TbPrestamo[[#This Row],[TOTAL]]*TbPrestamo[[#This Row],[P.U. (1)]]</f>
        <v>0</v>
      </c>
      <c r="W211" s="82">
        <f>+VLOOKUP(TbPrestamo[[#This Row],[ITEM]],TbPiezas[],6,FALSE)</f>
        <v>337.48</v>
      </c>
      <c r="X211" s="83">
        <f>+TbPrestamo[[#This Row],[TOTAL]]*TbPrestamo[[#This Row],[P.U. (2)]]</f>
        <v>0</v>
      </c>
      <c r="Y211" s="82">
        <f>+VLOOKUP(TbPrestamo[[#This Row],[ITEM]],TbPiezas[],7,FALSE)</f>
        <v>16.874000000000002</v>
      </c>
      <c r="Z211" s="84">
        <f>+TbPrestamo[[#This Row],[TOTAL]]*TbPrestamo[[#This Row],[P.U. (3)]]</f>
        <v>0</v>
      </c>
    </row>
    <row r="212" spans="1:26" ht="15" customHeight="1" x14ac:dyDescent="0.3">
      <c r="A212" s="2"/>
      <c r="B212" s="85">
        <v>194</v>
      </c>
      <c r="C212" s="71" t="s">
        <v>389</v>
      </c>
      <c r="D212" s="72" t="s">
        <v>390</v>
      </c>
      <c r="E212" s="73"/>
      <c r="F212" s="74">
        <f>+VLOOKUP(C212,TbPrestamo[],13,FALSE)</f>
        <v>0</v>
      </c>
      <c r="G212" s="2"/>
      <c r="H212" s="75" t="str">
        <f t="shared" si="6"/>
        <v>AE.2200</v>
      </c>
      <c r="I212" s="59" t="str">
        <f t="shared" si="7"/>
        <v>ok</v>
      </c>
      <c r="J212" s="77">
        <f>IFERROR(VLOOKUP($H212,TG[],3,FALSE),"NA")</f>
        <v>0</v>
      </c>
      <c r="K212" s="77" t="str">
        <f>IFERROR(VLOOKUP($H212,TF[],3,FALSE),"NA")</f>
        <v>NA</v>
      </c>
      <c r="L212" s="77" t="str">
        <f>IFERROR(VLOOKUP($H212,TT[],3,FALSE),"NA")</f>
        <v>NA</v>
      </c>
      <c r="M212" s="77" t="str">
        <f>IFERROR(VLOOKUP($H212,TES[],3,FALSE),"NA")</f>
        <v>NA</v>
      </c>
      <c r="N212" s="77" t="str">
        <f>IFERROR(VLOOKUP($H212,TEC[],3,FALSE),"NA")</f>
        <v>NA</v>
      </c>
      <c r="O212" s="77" t="str">
        <f>IFERROR(VLOOKUP($H212,TP[],3,FALSE),"NA")</f>
        <v>NA</v>
      </c>
      <c r="P212" s="77" t="str">
        <f>IFERROR(VLOOKUP($H212,TEN[],3,FALSE),"NA")</f>
        <v>NA</v>
      </c>
      <c r="Q212" s="77" t="str">
        <f>IFERROR(VLOOKUP($H212,TD[],3,FALSE),"NA")</f>
        <v>NA</v>
      </c>
      <c r="R212" s="77">
        <f>IFERROR(VLOOKUP($H212,TC[],3,FALSE),"NA")</f>
        <v>0</v>
      </c>
      <c r="S212" s="77" t="str">
        <f>IFERROR(VLOOKUP($H212,TEV[],3,FALSE),"NA")</f>
        <v>NA</v>
      </c>
      <c r="T212" s="79">
        <f>SUM(TbPrestamo[[#This Row],[GENERAL]:[ELEVADOR]])</f>
        <v>0</v>
      </c>
      <c r="U212" s="80">
        <f>IF(VLOOKUP(TbPrestamo[[#This Row],[ITEM]],TbPiezas[],5,FALSE)="NA",0,VLOOKUP(TbPrestamo[[#This Row],[ITEM]],TbPiezas[],5,FALSE))</f>
        <v>3</v>
      </c>
      <c r="V212" s="81">
        <f>+TbPrestamo[[#This Row],[TOTAL]]*TbPrestamo[[#This Row],[P.U. (1)]]</f>
        <v>0</v>
      </c>
      <c r="W212" s="82">
        <f>+VLOOKUP(TbPrestamo[[#This Row],[ITEM]],TbPiezas[],6,FALSE)</f>
        <v>337.48</v>
      </c>
      <c r="X212" s="83">
        <f>+TbPrestamo[[#This Row],[TOTAL]]*TbPrestamo[[#This Row],[P.U. (2)]]</f>
        <v>0</v>
      </c>
      <c r="Y212" s="82">
        <f>+VLOOKUP(TbPrestamo[[#This Row],[ITEM]],TbPiezas[],7,FALSE)</f>
        <v>16.874000000000002</v>
      </c>
      <c r="Z212" s="84">
        <f>+TbPrestamo[[#This Row],[TOTAL]]*TbPrestamo[[#This Row],[P.U. (3)]]</f>
        <v>0</v>
      </c>
    </row>
    <row r="213" spans="1:26" ht="15" customHeight="1" x14ac:dyDescent="0.3">
      <c r="A213" s="2"/>
      <c r="B213" s="85">
        <v>195</v>
      </c>
      <c r="C213" s="71" t="s">
        <v>391</v>
      </c>
      <c r="D213" s="72" t="s">
        <v>392</v>
      </c>
      <c r="E213" s="73"/>
      <c r="F213" s="74">
        <f>+VLOOKUP(C213,TbPrestamo[],13,FALSE)</f>
        <v>0</v>
      </c>
      <c r="G213" s="2"/>
      <c r="H213" s="75" t="str">
        <f t="shared" si="6"/>
        <v>AE.2300</v>
      </c>
      <c r="I213" s="59" t="str">
        <f t="shared" si="7"/>
        <v>ok</v>
      </c>
      <c r="J213" s="77">
        <f>IFERROR(VLOOKUP($H213,TG[],3,FALSE),"NA")</f>
        <v>0</v>
      </c>
      <c r="K213" s="77" t="str">
        <f>IFERROR(VLOOKUP($H213,TF[],3,FALSE),"NA")</f>
        <v>NA</v>
      </c>
      <c r="L213" s="77" t="str">
        <f>IFERROR(VLOOKUP($H213,TT[],3,FALSE),"NA")</f>
        <v>NA</v>
      </c>
      <c r="M213" s="77" t="str">
        <f>IFERROR(VLOOKUP($H213,TES[],3,FALSE),"NA")</f>
        <v>NA</v>
      </c>
      <c r="N213" s="77" t="str">
        <f>IFERROR(VLOOKUP($H213,TEC[],3,FALSE),"NA")</f>
        <v>NA</v>
      </c>
      <c r="O213" s="77" t="str">
        <f>IFERROR(VLOOKUP($H213,TP[],3,FALSE),"NA")</f>
        <v>NA</v>
      </c>
      <c r="P213" s="77" t="str">
        <f>IFERROR(VLOOKUP($H213,TEN[],3,FALSE),"NA")</f>
        <v>NA</v>
      </c>
      <c r="Q213" s="77" t="str">
        <f>IFERROR(VLOOKUP($H213,TD[],3,FALSE),"NA")</f>
        <v>NA</v>
      </c>
      <c r="R213" s="77">
        <f>IFERROR(VLOOKUP($H213,TC[],3,FALSE),"NA")</f>
        <v>0</v>
      </c>
      <c r="S213" s="77" t="str">
        <f>IFERROR(VLOOKUP($H213,TEV[],3,FALSE),"NA")</f>
        <v>NA</v>
      </c>
      <c r="T213" s="79">
        <f>SUM(TbPrestamo[[#This Row],[GENERAL]:[ELEVADOR]])</f>
        <v>0</v>
      </c>
      <c r="U213" s="80">
        <f>IF(VLOOKUP(TbPrestamo[[#This Row],[ITEM]],TbPiezas[],5,FALSE)="NA",0,VLOOKUP(TbPrestamo[[#This Row],[ITEM]],TbPiezas[],5,FALSE))</f>
        <v>1.2000000000000028</v>
      </c>
      <c r="V213" s="81">
        <f>+TbPrestamo[[#This Row],[TOTAL]]*TbPrestamo[[#This Row],[P.U. (1)]]</f>
        <v>0</v>
      </c>
      <c r="W213" s="82">
        <f>+VLOOKUP(TbPrestamo[[#This Row],[ITEM]],TbPiezas[],6,FALSE)</f>
        <v>210.09</v>
      </c>
      <c r="X213" s="83">
        <f>+TbPrestamo[[#This Row],[TOTAL]]*TbPrestamo[[#This Row],[P.U. (2)]]</f>
        <v>0</v>
      </c>
      <c r="Y213" s="82">
        <f>+VLOOKUP(TbPrestamo[[#This Row],[ITEM]],TbPiezas[],7,FALSE)</f>
        <v>10.5045</v>
      </c>
      <c r="Z213" s="84">
        <f>+TbPrestamo[[#This Row],[TOTAL]]*TbPrestamo[[#This Row],[P.U. (3)]]</f>
        <v>0</v>
      </c>
    </row>
    <row r="214" spans="1:26" ht="15" customHeight="1" x14ac:dyDescent="0.3">
      <c r="A214" s="2"/>
      <c r="B214" s="85">
        <v>196</v>
      </c>
      <c r="C214" s="71" t="s">
        <v>393</v>
      </c>
      <c r="D214" s="72" t="s">
        <v>394</v>
      </c>
      <c r="E214" s="73"/>
      <c r="F214" s="74">
        <f>+VLOOKUP(C214,TbPrestamo[],13,FALSE)</f>
        <v>0</v>
      </c>
      <c r="G214" s="2"/>
      <c r="H214" s="75" t="str">
        <f t="shared" si="6"/>
        <v>AE.2400</v>
      </c>
      <c r="I214" s="59" t="str">
        <f t="shared" si="7"/>
        <v>ok</v>
      </c>
      <c r="J214" s="77">
        <f>IFERROR(VLOOKUP($H214,TG[],3,FALSE),"NA")</f>
        <v>0</v>
      </c>
      <c r="K214" s="77" t="str">
        <f>IFERROR(VLOOKUP($H214,TF[],3,FALSE),"NA")</f>
        <v>NA</v>
      </c>
      <c r="L214" s="77" t="str">
        <f>IFERROR(VLOOKUP($H214,TT[],3,FALSE),"NA")</f>
        <v>NA</v>
      </c>
      <c r="M214" s="77" t="str">
        <f>IFERROR(VLOOKUP($H214,TES[],3,FALSE),"NA")</f>
        <v>NA</v>
      </c>
      <c r="N214" s="77" t="str">
        <f>IFERROR(VLOOKUP($H214,TEC[],3,FALSE),"NA")</f>
        <v>NA</v>
      </c>
      <c r="O214" s="77" t="str">
        <f>IFERROR(VLOOKUP($H214,TP[],3,FALSE),"NA")</f>
        <v>NA</v>
      </c>
      <c r="P214" s="77" t="str">
        <f>IFERROR(VLOOKUP($H214,TEN[],3,FALSE),"NA")</f>
        <v>NA</v>
      </c>
      <c r="Q214" s="77" t="str">
        <f>IFERROR(VLOOKUP($H214,TD[],3,FALSE),"NA")</f>
        <v>NA</v>
      </c>
      <c r="R214" s="77">
        <f>IFERROR(VLOOKUP($H214,TC[],3,FALSE),"NA")</f>
        <v>0</v>
      </c>
      <c r="S214" s="77" t="str">
        <f>IFERROR(VLOOKUP($H214,TEV[],3,FALSE),"NA")</f>
        <v>NA</v>
      </c>
      <c r="T214" s="79">
        <f>SUM(TbPrestamo[[#This Row],[GENERAL]:[ELEVADOR]])</f>
        <v>0</v>
      </c>
      <c r="U214" s="80">
        <f>IF(VLOOKUP(TbPrestamo[[#This Row],[ITEM]],TbPiezas[],5,FALSE)="NA",0,VLOOKUP(TbPrestamo[[#This Row],[ITEM]],TbPiezas[],5,FALSE))</f>
        <v>1.7999999999999972</v>
      </c>
      <c r="V214" s="81">
        <f>+TbPrestamo[[#This Row],[TOTAL]]*TbPrestamo[[#This Row],[P.U. (1)]]</f>
        <v>0</v>
      </c>
      <c r="W214" s="82">
        <f>+VLOOKUP(TbPrestamo[[#This Row],[ITEM]],TbPiezas[],6,FALSE)</f>
        <v>337.48</v>
      </c>
      <c r="X214" s="83">
        <f>+TbPrestamo[[#This Row],[TOTAL]]*TbPrestamo[[#This Row],[P.U. (2)]]</f>
        <v>0</v>
      </c>
      <c r="Y214" s="82">
        <f>+VLOOKUP(TbPrestamo[[#This Row],[ITEM]],TbPiezas[],7,FALSE)</f>
        <v>16.874000000000002</v>
      </c>
      <c r="Z214" s="84">
        <f>+TbPrestamo[[#This Row],[TOTAL]]*TbPrestamo[[#This Row],[P.U. (3)]]</f>
        <v>0</v>
      </c>
    </row>
    <row r="215" spans="1:26" ht="15" customHeight="1" x14ac:dyDescent="0.3">
      <c r="A215" s="2"/>
      <c r="B215" s="85">
        <v>197</v>
      </c>
      <c r="C215" s="71" t="s">
        <v>395</v>
      </c>
      <c r="D215" s="72" t="s">
        <v>396</v>
      </c>
      <c r="E215" s="73"/>
      <c r="F215" s="74">
        <f>+VLOOKUP(C215,TbPrestamo[],13,FALSE)</f>
        <v>0</v>
      </c>
      <c r="G215" s="2"/>
      <c r="H215" s="75" t="str">
        <f t="shared" si="6"/>
        <v>AE.2500</v>
      </c>
      <c r="I215" s="59" t="str">
        <f t="shared" si="7"/>
        <v>ok</v>
      </c>
      <c r="J215" s="77">
        <f>IFERROR(VLOOKUP($H215,TG[],3,FALSE),"NA")</f>
        <v>0</v>
      </c>
      <c r="K215" s="77" t="str">
        <f>IFERROR(VLOOKUP($H215,TF[],3,FALSE),"NA")</f>
        <v>NA</v>
      </c>
      <c r="L215" s="77" t="str">
        <f>IFERROR(VLOOKUP($H215,TT[],3,FALSE),"NA")</f>
        <v>NA</v>
      </c>
      <c r="M215" s="77" t="str">
        <f>IFERROR(VLOOKUP($H215,TES[],3,FALSE),"NA")</f>
        <v>NA</v>
      </c>
      <c r="N215" s="77" t="str">
        <f>IFERROR(VLOOKUP($H215,TEC[],3,FALSE),"NA")</f>
        <v>NA</v>
      </c>
      <c r="O215" s="77" t="str">
        <f>IFERROR(VLOOKUP($H215,TP[],3,FALSE),"NA")</f>
        <v>NA</v>
      </c>
      <c r="P215" s="77" t="str">
        <f>IFERROR(VLOOKUP($H215,TEN[],3,FALSE),"NA")</f>
        <v>NA</v>
      </c>
      <c r="Q215" s="77" t="str">
        <f>IFERROR(VLOOKUP($H215,TD[],3,FALSE),"NA")</f>
        <v>NA</v>
      </c>
      <c r="R215" s="77">
        <f>IFERROR(VLOOKUP($H215,TC[],3,FALSE),"NA")</f>
        <v>0</v>
      </c>
      <c r="S215" s="77" t="str">
        <f>IFERROR(VLOOKUP($H215,TEV[],3,FALSE),"NA")</f>
        <v>NA</v>
      </c>
      <c r="T215" s="79">
        <f>SUM(TbPrestamo[[#This Row],[GENERAL]:[ELEVADOR]])</f>
        <v>0</v>
      </c>
      <c r="U215" s="80">
        <f>IF(VLOOKUP(TbPrestamo[[#This Row],[ITEM]],TbPiezas[],5,FALSE)="NA",0,VLOOKUP(TbPrestamo[[#This Row],[ITEM]],TbPiezas[],5,FALSE))</f>
        <v>3.0999999999999943</v>
      </c>
      <c r="V215" s="81">
        <f>+TbPrestamo[[#This Row],[TOTAL]]*TbPrestamo[[#This Row],[P.U. (1)]]</f>
        <v>0</v>
      </c>
      <c r="W215" s="82">
        <f>+VLOOKUP(TbPrestamo[[#This Row],[ITEM]],TbPiezas[],6,FALSE)</f>
        <v>210.09</v>
      </c>
      <c r="X215" s="83">
        <f>+TbPrestamo[[#This Row],[TOTAL]]*TbPrestamo[[#This Row],[P.U. (2)]]</f>
        <v>0</v>
      </c>
      <c r="Y215" s="82">
        <f>+VLOOKUP(TbPrestamo[[#This Row],[ITEM]],TbPiezas[],7,FALSE)</f>
        <v>10.5045</v>
      </c>
      <c r="Z215" s="84">
        <f>+TbPrestamo[[#This Row],[TOTAL]]*TbPrestamo[[#This Row],[P.U. (3)]]</f>
        <v>0</v>
      </c>
    </row>
    <row r="216" spans="1:26" ht="15" customHeight="1" x14ac:dyDescent="0.3">
      <c r="A216" s="2"/>
      <c r="B216" s="85">
        <v>198</v>
      </c>
      <c r="C216" s="71" t="s">
        <v>397</v>
      </c>
      <c r="D216" s="72" t="s">
        <v>398</v>
      </c>
      <c r="E216" s="73"/>
      <c r="F216" s="74">
        <f>+VLOOKUP(C216,TbPrestamo[],13,FALSE)</f>
        <v>0</v>
      </c>
      <c r="G216" s="2"/>
      <c r="H216" s="75" t="str">
        <f t="shared" si="6"/>
        <v>AE.2600</v>
      </c>
      <c r="I216" s="59" t="str">
        <f t="shared" si="7"/>
        <v>ok</v>
      </c>
      <c r="J216" s="77">
        <f>IFERROR(VLOOKUP($H216,TG[],3,FALSE),"NA")</f>
        <v>0</v>
      </c>
      <c r="K216" s="77" t="str">
        <f>IFERROR(VLOOKUP($H216,TF[],3,FALSE),"NA")</f>
        <v>NA</v>
      </c>
      <c r="L216" s="77" t="str">
        <f>IFERROR(VLOOKUP($H216,TT[],3,FALSE),"NA")</f>
        <v>NA</v>
      </c>
      <c r="M216" s="77" t="str">
        <f>IFERROR(VLOOKUP($H216,TES[],3,FALSE),"NA")</f>
        <v>NA</v>
      </c>
      <c r="N216" s="77" t="str">
        <f>IFERROR(VLOOKUP($H216,TEC[],3,FALSE),"NA")</f>
        <v>NA</v>
      </c>
      <c r="O216" s="77" t="str">
        <f>IFERROR(VLOOKUP($H216,TP[],3,FALSE),"NA")</f>
        <v>NA</v>
      </c>
      <c r="P216" s="77" t="str">
        <f>IFERROR(VLOOKUP($H216,TEN[],3,FALSE),"NA")</f>
        <v>NA</v>
      </c>
      <c r="Q216" s="77" t="str">
        <f>IFERROR(VLOOKUP($H216,TD[],3,FALSE),"NA")</f>
        <v>NA</v>
      </c>
      <c r="R216" s="77">
        <f>IFERROR(VLOOKUP($H216,TC[],3,FALSE),"NA")</f>
        <v>0</v>
      </c>
      <c r="S216" s="77" t="str">
        <f>IFERROR(VLOOKUP($H216,TEV[],3,FALSE),"NA")</f>
        <v>NA</v>
      </c>
      <c r="T216" s="79">
        <f>SUM(TbPrestamo[[#This Row],[GENERAL]:[ELEVADOR]])</f>
        <v>0</v>
      </c>
      <c r="U216" s="80">
        <f>IF(VLOOKUP(TbPrestamo[[#This Row],[ITEM]],TbPiezas[],5,FALSE)="NA",0,VLOOKUP(TbPrestamo[[#This Row],[ITEM]],TbPiezas[],5,FALSE))</f>
        <v>4.9999999999997158E-2</v>
      </c>
      <c r="V216" s="81">
        <f>+TbPrestamo[[#This Row],[TOTAL]]*TbPrestamo[[#This Row],[P.U. (1)]]</f>
        <v>0</v>
      </c>
      <c r="W216" s="82">
        <f>+VLOOKUP(TbPrestamo[[#This Row],[ITEM]],TbPiezas[],6,FALSE)</f>
        <v>32.22</v>
      </c>
      <c r="X216" s="83">
        <f>+TbPrestamo[[#This Row],[TOTAL]]*TbPrestamo[[#This Row],[P.U. (2)]]</f>
        <v>0</v>
      </c>
      <c r="Y216" s="82">
        <f>+VLOOKUP(TbPrestamo[[#This Row],[ITEM]],TbPiezas[],7,FALSE)</f>
        <v>1.611</v>
      </c>
      <c r="Z216" s="84">
        <f>+TbPrestamo[[#This Row],[TOTAL]]*TbPrestamo[[#This Row],[P.U. (3)]]</f>
        <v>0</v>
      </c>
    </row>
    <row r="217" spans="1:26" ht="15" customHeight="1" x14ac:dyDescent="0.3">
      <c r="A217" s="2"/>
      <c r="B217" s="85">
        <v>199</v>
      </c>
      <c r="C217" s="71" t="s">
        <v>399</v>
      </c>
      <c r="D217" s="72" t="s">
        <v>400</v>
      </c>
      <c r="E217" s="73"/>
      <c r="F217" s="74">
        <f>+VLOOKUP(C217,TbPrestamo[],13,FALSE)</f>
        <v>0</v>
      </c>
      <c r="G217" s="2"/>
      <c r="H217" s="75" t="str">
        <f t="shared" si="6"/>
        <v>AE.2700</v>
      </c>
      <c r="I217" s="59" t="str">
        <f t="shared" si="7"/>
        <v>ok</v>
      </c>
      <c r="J217" s="77">
        <f>IFERROR(VLOOKUP($H217,TG[],3,FALSE),"NA")</f>
        <v>0</v>
      </c>
      <c r="K217" s="77" t="str">
        <f>IFERROR(VLOOKUP($H217,TF[],3,FALSE),"NA")</f>
        <v>NA</v>
      </c>
      <c r="L217" s="77" t="str">
        <f>IFERROR(VLOOKUP($H217,TT[],3,FALSE),"NA")</f>
        <v>NA</v>
      </c>
      <c r="M217" s="77" t="str">
        <f>IFERROR(VLOOKUP($H217,TES[],3,FALSE),"NA")</f>
        <v>NA</v>
      </c>
      <c r="N217" s="77" t="str">
        <f>IFERROR(VLOOKUP($H217,TEC[],3,FALSE),"NA")</f>
        <v>NA</v>
      </c>
      <c r="O217" s="77" t="str">
        <f>IFERROR(VLOOKUP($H217,TP[],3,FALSE),"NA")</f>
        <v>NA</v>
      </c>
      <c r="P217" s="77" t="str">
        <f>IFERROR(VLOOKUP($H217,TEN[],3,FALSE),"NA")</f>
        <v>NA</v>
      </c>
      <c r="Q217" s="77" t="str">
        <f>IFERROR(VLOOKUP($H217,TD[],3,FALSE),"NA")</f>
        <v>NA</v>
      </c>
      <c r="R217" s="77">
        <f>IFERROR(VLOOKUP($H217,TC[],3,FALSE),"NA")</f>
        <v>0</v>
      </c>
      <c r="S217" s="77" t="str">
        <f>IFERROR(VLOOKUP($H217,TEV[],3,FALSE),"NA")</f>
        <v>NA</v>
      </c>
      <c r="T217" s="79">
        <f>SUM(TbPrestamo[[#This Row],[GENERAL]:[ELEVADOR]])</f>
        <v>0</v>
      </c>
      <c r="U217" s="80">
        <f>IF(VLOOKUP(TbPrestamo[[#This Row],[ITEM]],TbPiezas[],5,FALSE)="NA",0,VLOOKUP(TbPrestamo[[#This Row],[ITEM]],TbPiezas[],5,FALSE))</f>
        <v>9.9999999999994316E-2</v>
      </c>
      <c r="V217" s="81">
        <f>+TbPrestamo[[#This Row],[TOTAL]]*TbPrestamo[[#This Row],[P.U. (1)]]</f>
        <v>0</v>
      </c>
      <c r="W217" s="82">
        <f>+VLOOKUP(TbPrestamo[[#This Row],[ITEM]],TbPiezas[],6,FALSE)</f>
        <v>8.08</v>
      </c>
      <c r="X217" s="83">
        <f>+TbPrestamo[[#This Row],[TOTAL]]*TbPrestamo[[#This Row],[P.U. (2)]]</f>
        <v>0</v>
      </c>
      <c r="Y217" s="82">
        <f>+VLOOKUP(TbPrestamo[[#This Row],[ITEM]],TbPiezas[],7,FALSE)</f>
        <v>0.40400000000000003</v>
      </c>
      <c r="Z217" s="84">
        <f>+TbPrestamo[[#This Row],[TOTAL]]*TbPrestamo[[#This Row],[P.U. (3)]]</f>
        <v>0</v>
      </c>
    </row>
    <row r="218" spans="1:26" ht="15" customHeight="1" x14ac:dyDescent="0.3">
      <c r="A218" s="2"/>
      <c r="B218" s="85">
        <v>200</v>
      </c>
      <c r="C218" s="71" t="s">
        <v>401</v>
      </c>
      <c r="D218" s="72" t="s">
        <v>402</v>
      </c>
      <c r="E218" s="73"/>
      <c r="F218" s="74">
        <f>+VLOOKUP(C218,TbPrestamo[],13,FALSE)</f>
        <v>0</v>
      </c>
      <c r="G218" s="2"/>
      <c r="H218" s="75" t="str">
        <f t="shared" si="6"/>
        <v>AE.2800</v>
      </c>
      <c r="I218" s="59" t="str">
        <f t="shared" si="7"/>
        <v>ok</v>
      </c>
      <c r="J218" s="77">
        <f>IFERROR(VLOOKUP($H218,TG[],3,FALSE),"NA")</f>
        <v>0</v>
      </c>
      <c r="K218" s="77" t="str">
        <f>IFERROR(VLOOKUP($H218,TF[],3,FALSE),"NA")</f>
        <v>NA</v>
      </c>
      <c r="L218" s="77" t="str">
        <f>IFERROR(VLOOKUP($H218,TT[],3,FALSE),"NA")</f>
        <v>NA</v>
      </c>
      <c r="M218" s="77" t="str">
        <f>IFERROR(VLOOKUP($H218,TES[],3,FALSE),"NA")</f>
        <v>NA</v>
      </c>
      <c r="N218" s="77" t="str">
        <f>IFERROR(VLOOKUP($H218,TEC[],3,FALSE),"NA")</f>
        <v>NA</v>
      </c>
      <c r="O218" s="77" t="str">
        <f>IFERROR(VLOOKUP($H218,TP[],3,FALSE),"NA")</f>
        <v>NA</v>
      </c>
      <c r="P218" s="77" t="str">
        <f>IFERROR(VLOOKUP($H218,TEN[],3,FALSE),"NA")</f>
        <v>NA</v>
      </c>
      <c r="Q218" s="77" t="str">
        <f>IFERROR(VLOOKUP($H218,TD[],3,FALSE),"NA")</f>
        <v>NA</v>
      </c>
      <c r="R218" s="77">
        <f>IFERROR(VLOOKUP($H218,TC[],3,FALSE),"NA")</f>
        <v>0</v>
      </c>
      <c r="S218" s="77" t="str">
        <f>IFERROR(VLOOKUP($H218,TEV[],3,FALSE),"NA")</f>
        <v>NA</v>
      </c>
      <c r="T218" s="79">
        <f>SUM(TbPrestamo[[#This Row],[GENERAL]:[ELEVADOR]])</f>
        <v>0</v>
      </c>
      <c r="U218" s="80">
        <f>IF(VLOOKUP(TbPrestamo[[#This Row],[ITEM]],TbPiezas[],5,FALSE)="NA",0,VLOOKUP(TbPrestamo[[#This Row],[ITEM]],TbPiezas[],5,FALSE))</f>
        <v>0.1</v>
      </c>
      <c r="V218" s="81">
        <f>+TbPrestamo[[#This Row],[TOTAL]]*TbPrestamo[[#This Row],[P.U. (1)]]</f>
        <v>0</v>
      </c>
      <c r="W218" s="82">
        <f>+VLOOKUP(TbPrestamo[[#This Row],[ITEM]],TbPiezas[],6,FALSE)</f>
        <v>190.58</v>
      </c>
      <c r="X218" s="83">
        <f>+TbPrestamo[[#This Row],[TOTAL]]*TbPrestamo[[#This Row],[P.U. (2)]]</f>
        <v>0</v>
      </c>
      <c r="Y218" s="82">
        <f>+VLOOKUP(TbPrestamo[[#This Row],[ITEM]],TbPiezas[],7,FALSE)</f>
        <v>9.5290000000000017</v>
      </c>
      <c r="Z218" s="84">
        <f>+TbPrestamo[[#This Row],[TOTAL]]*TbPrestamo[[#This Row],[P.U. (3)]]</f>
        <v>0</v>
      </c>
    </row>
    <row r="219" spans="1:26" ht="15" customHeight="1" x14ac:dyDescent="0.3">
      <c r="A219" s="2"/>
      <c r="B219" s="85">
        <v>201</v>
      </c>
      <c r="C219" s="71" t="s">
        <v>403</v>
      </c>
      <c r="D219" s="72" t="s">
        <v>404</v>
      </c>
      <c r="E219" s="73"/>
      <c r="F219" s="74">
        <f>+VLOOKUP(C219,TbPrestamo[],13,FALSE)</f>
        <v>0</v>
      </c>
      <c r="G219" s="2"/>
      <c r="H219" s="75" t="str">
        <f t="shared" si="6"/>
        <v>AE.2900</v>
      </c>
      <c r="I219" s="59" t="str">
        <f t="shared" si="7"/>
        <v>ok</v>
      </c>
      <c r="J219" s="77">
        <f>IFERROR(VLOOKUP($H219,TG[],3,FALSE),"NA")</f>
        <v>0</v>
      </c>
      <c r="K219" s="77" t="str">
        <f>IFERROR(VLOOKUP($H219,TF[],3,FALSE),"NA")</f>
        <v>NA</v>
      </c>
      <c r="L219" s="77" t="str">
        <f>IFERROR(VLOOKUP($H219,TT[],3,FALSE),"NA")</f>
        <v>NA</v>
      </c>
      <c r="M219" s="77" t="str">
        <f>IFERROR(VLOOKUP($H219,TES[],3,FALSE),"NA")</f>
        <v>NA</v>
      </c>
      <c r="N219" s="77" t="str">
        <f>IFERROR(VLOOKUP($H219,TEC[],3,FALSE),"NA")</f>
        <v>NA</v>
      </c>
      <c r="O219" s="77" t="str">
        <f>IFERROR(VLOOKUP($H219,TP[],3,FALSE),"NA")</f>
        <v>NA</v>
      </c>
      <c r="P219" s="77" t="str">
        <f>IFERROR(VLOOKUP($H219,TEN[],3,FALSE),"NA")</f>
        <v>NA</v>
      </c>
      <c r="Q219" s="77" t="str">
        <f>IFERROR(VLOOKUP($H219,TD[],3,FALSE),"NA")</f>
        <v>NA</v>
      </c>
      <c r="R219" s="77">
        <f>IFERROR(VLOOKUP($H219,TC[],3,FALSE),"NA")</f>
        <v>0</v>
      </c>
      <c r="S219" s="77" t="str">
        <f>IFERROR(VLOOKUP($H219,TEV[],3,FALSE),"NA")</f>
        <v>NA</v>
      </c>
      <c r="T219" s="79">
        <f>SUM(TbPrestamo[[#This Row],[GENERAL]:[ELEVADOR]])</f>
        <v>0</v>
      </c>
      <c r="U219" s="80">
        <f>IF(VLOOKUP(TbPrestamo[[#This Row],[ITEM]],TbPiezas[],5,FALSE)="NA",0,VLOOKUP(TbPrestamo[[#This Row],[ITEM]],TbPiezas[],5,FALSE))</f>
        <v>0.4</v>
      </c>
      <c r="V219" s="81">
        <f>+TbPrestamo[[#This Row],[TOTAL]]*TbPrestamo[[#This Row],[P.U. (1)]]</f>
        <v>0</v>
      </c>
      <c r="W219" s="82">
        <f>+VLOOKUP(TbPrestamo[[#This Row],[ITEM]],TbPiezas[],6,FALSE)</f>
        <v>101.64</v>
      </c>
      <c r="X219" s="83">
        <f>+TbPrestamo[[#This Row],[TOTAL]]*TbPrestamo[[#This Row],[P.U. (2)]]</f>
        <v>0</v>
      </c>
      <c r="Y219" s="82">
        <f>+VLOOKUP(TbPrestamo[[#This Row],[ITEM]],TbPiezas[],7,FALSE)</f>
        <v>5.0820000000000007</v>
      </c>
      <c r="Z219" s="84">
        <f>+TbPrestamo[[#This Row],[TOTAL]]*TbPrestamo[[#This Row],[P.U. (3)]]</f>
        <v>0</v>
      </c>
    </row>
    <row r="220" spans="1:26" ht="15" customHeight="1" x14ac:dyDescent="0.3">
      <c r="A220" s="2"/>
      <c r="B220" s="85">
        <v>202</v>
      </c>
      <c r="C220" s="71" t="s">
        <v>405</v>
      </c>
      <c r="D220" s="72" t="s">
        <v>406</v>
      </c>
      <c r="E220" s="73"/>
      <c r="F220" s="74">
        <f>+VLOOKUP(C220,TbPrestamo[],13,FALSE)</f>
        <v>0</v>
      </c>
      <c r="G220" s="2"/>
      <c r="H220" s="75" t="str">
        <f t="shared" si="6"/>
        <v>AE.3000</v>
      </c>
      <c r="I220" s="59" t="str">
        <f t="shared" si="7"/>
        <v>ok</v>
      </c>
      <c r="J220" s="77">
        <f>IFERROR(VLOOKUP($H220,TG[],3,FALSE),"NA")</f>
        <v>0</v>
      </c>
      <c r="K220" s="77" t="str">
        <f>IFERROR(VLOOKUP($H220,TF[],3,FALSE),"NA")</f>
        <v>NA</v>
      </c>
      <c r="L220" s="77" t="str">
        <f>IFERROR(VLOOKUP($H220,TT[],3,FALSE),"NA")</f>
        <v>NA</v>
      </c>
      <c r="M220" s="77" t="str">
        <f>IFERROR(VLOOKUP($H220,TES[],3,FALSE),"NA")</f>
        <v>NA</v>
      </c>
      <c r="N220" s="77" t="str">
        <f>IFERROR(VLOOKUP($H220,TEC[],3,FALSE),"NA")</f>
        <v>NA</v>
      </c>
      <c r="O220" s="77" t="str">
        <f>IFERROR(VLOOKUP($H220,TP[],3,FALSE),"NA")</f>
        <v>NA</v>
      </c>
      <c r="P220" s="77" t="str">
        <f>IFERROR(VLOOKUP($H220,TEN[],3,FALSE),"NA")</f>
        <v>NA</v>
      </c>
      <c r="Q220" s="77" t="str">
        <f>IFERROR(VLOOKUP($H220,TD[],3,FALSE),"NA")</f>
        <v>NA</v>
      </c>
      <c r="R220" s="77">
        <f>IFERROR(VLOOKUP($H220,TC[],3,FALSE),"NA")</f>
        <v>0</v>
      </c>
      <c r="S220" s="77" t="str">
        <f>IFERROR(VLOOKUP($H220,TEV[],3,FALSE),"NA")</f>
        <v>NA</v>
      </c>
      <c r="T220" s="79">
        <f>SUM(TbPrestamo[[#This Row],[GENERAL]:[ELEVADOR]])</f>
        <v>0</v>
      </c>
      <c r="U220" s="80">
        <f>IF(VLOOKUP(TbPrestamo[[#This Row],[ITEM]],TbPiezas[],5,FALSE)="NA",0,VLOOKUP(TbPrestamo[[#This Row],[ITEM]],TbPiezas[],5,FALSE))</f>
        <v>14.9</v>
      </c>
      <c r="V220" s="81">
        <f>+TbPrestamo[[#This Row],[TOTAL]]*TbPrestamo[[#This Row],[P.U. (1)]]</f>
        <v>0</v>
      </c>
      <c r="W220" s="82">
        <f>+VLOOKUP(TbPrestamo[[#This Row],[ITEM]],TbPiezas[],6,FALSE)</f>
        <v>32.22</v>
      </c>
      <c r="X220" s="83">
        <f>+TbPrestamo[[#This Row],[TOTAL]]*TbPrestamo[[#This Row],[P.U. (2)]]</f>
        <v>0</v>
      </c>
      <c r="Y220" s="82">
        <f>+VLOOKUP(TbPrestamo[[#This Row],[ITEM]],TbPiezas[],7,FALSE)</f>
        <v>1.611</v>
      </c>
      <c r="Z220" s="84">
        <f>+TbPrestamo[[#This Row],[TOTAL]]*TbPrestamo[[#This Row],[P.U. (3)]]</f>
        <v>0</v>
      </c>
    </row>
    <row r="221" spans="1:26" ht="15" customHeight="1" x14ac:dyDescent="0.3">
      <c r="A221" s="2"/>
      <c r="B221" s="85">
        <v>203</v>
      </c>
      <c r="C221" s="71" t="s">
        <v>407</v>
      </c>
      <c r="D221" s="72" t="s">
        <v>408</v>
      </c>
      <c r="E221" s="73"/>
      <c r="F221" s="74">
        <f>+VLOOKUP(C221,TbPrestamo[],13,FALSE)</f>
        <v>0</v>
      </c>
      <c r="G221" s="2"/>
      <c r="H221" s="75" t="str">
        <f t="shared" si="6"/>
        <v>AE.3100</v>
      </c>
      <c r="I221" s="59" t="str">
        <f t="shared" si="7"/>
        <v>ok</v>
      </c>
      <c r="J221" s="77">
        <f>IFERROR(VLOOKUP($H221,TG[],3,FALSE),"NA")</f>
        <v>0</v>
      </c>
      <c r="K221" s="77" t="str">
        <f>IFERROR(VLOOKUP($H221,TF[],3,FALSE),"NA")</f>
        <v>NA</v>
      </c>
      <c r="L221" s="77" t="str">
        <f>IFERROR(VLOOKUP($H221,TT[],3,FALSE),"NA")</f>
        <v>NA</v>
      </c>
      <c r="M221" s="77" t="str">
        <f>IFERROR(VLOOKUP($H221,TES[],3,FALSE),"NA")</f>
        <v>NA</v>
      </c>
      <c r="N221" s="77" t="str">
        <f>IFERROR(VLOOKUP($H221,TEC[],3,FALSE),"NA")</f>
        <v>NA</v>
      </c>
      <c r="O221" s="77" t="str">
        <f>IFERROR(VLOOKUP($H221,TP[],3,FALSE),"NA")</f>
        <v>NA</v>
      </c>
      <c r="P221" s="77" t="str">
        <f>IFERROR(VLOOKUP($H221,TEN[],3,FALSE),"NA")</f>
        <v>NA</v>
      </c>
      <c r="Q221" s="77" t="str">
        <f>IFERROR(VLOOKUP($H221,TD[],3,FALSE),"NA")</f>
        <v>NA</v>
      </c>
      <c r="R221" s="77">
        <f>IFERROR(VLOOKUP($H221,TC[],3,FALSE),"NA")</f>
        <v>0</v>
      </c>
      <c r="S221" s="77" t="str">
        <f>IFERROR(VLOOKUP($H221,TEV[],3,FALSE),"NA")</f>
        <v>NA</v>
      </c>
      <c r="T221" s="79">
        <f>SUM(TbPrestamo[[#This Row],[GENERAL]:[ELEVADOR]])</f>
        <v>0</v>
      </c>
      <c r="U221" s="80">
        <f>IF(VLOOKUP(TbPrestamo[[#This Row],[ITEM]],TbPiezas[],5,FALSE)="NA",0,VLOOKUP(TbPrestamo[[#This Row],[ITEM]],TbPiezas[],5,FALSE))</f>
        <v>4.9999999999997158E-2</v>
      </c>
      <c r="V221" s="81">
        <f>+TbPrestamo[[#This Row],[TOTAL]]*TbPrestamo[[#This Row],[P.U. (1)]]</f>
        <v>0</v>
      </c>
      <c r="W221" s="82">
        <f>+VLOOKUP(TbPrestamo[[#This Row],[ITEM]],TbPiezas[],6,FALSE)</f>
        <v>32.22</v>
      </c>
      <c r="X221" s="83">
        <f>+TbPrestamo[[#This Row],[TOTAL]]*TbPrestamo[[#This Row],[P.U. (2)]]</f>
        <v>0</v>
      </c>
      <c r="Y221" s="82">
        <f>+VLOOKUP(TbPrestamo[[#This Row],[ITEM]],TbPiezas[],7,FALSE)</f>
        <v>1.611</v>
      </c>
      <c r="Z221" s="84">
        <f>+TbPrestamo[[#This Row],[TOTAL]]*TbPrestamo[[#This Row],[P.U. (3)]]</f>
        <v>0</v>
      </c>
    </row>
    <row r="222" spans="1:26" ht="15" customHeight="1" x14ac:dyDescent="0.3">
      <c r="A222" s="2"/>
      <c r="B222" s="85">
        <v>204</v>
      </c>
      <c r="C222" s="71" t="s">
        <v>409</v>
      </c>
      <c r="D222" s="72" t="s">
        <v>410</v>
      </c>
      <c r="E222" s="73"/>
      <c r="F222" s="74">
        <f>+VLOOKUP(C222,TbPrestamo[],13,FALSE)</f>
        <v>0</v>
      </c>
      <c r="G222" s="2"/>
      <c r="H222" s="75" t="str">
        <f t="shared" si="6"/>
        <v>AE.3200</v>
      </c>
      <c r="I222" s="59" t="str">
        <f t="shared" si="7"/>
        <v>ok</v>
      </c>
      <c r="J222" s="77">
        <f>IFERROR(VLOOKUP($H222,TG[],3,FALSE),"NA")</f>
        <v>0</v>
      </c>
      <c r="K222" s="77" t="str">
        <f>IFERROR(VLOOKUP($H222,TF[],3,FALSE),"NA")</f>
        <v>NA</v>
      </c>
      <c r="L222" s="77" t="str">
        <f>IFERROR(VLOOKUP($H222,TT[],3,FALSE),"NA")</f>
        <v>NA</v>
      </c>
      <c r="M222" s="77" t="str">
        <f>IFERROR(VLOOKUP($H222,TES[],3,FALSE),"NA")</f>
        <v>NA</v>
      </c>
      <c r="N222" s="77" t="str">
        <f>IFERROR(VLOOKUP($H222,TEC[],3,FALSE),"NA")</f>
        <v>NA</v>
      </c>
      <c r="O222" s="77" t="str">
        <f>IFERROR(VLOOKUP($H222,TP[],3,FALSE),"NA")</f>
        <v>NA</v>
      </c>
      <c r="P222" s="77" t="str">
        <f>IFERROR(VLOOKUP($H222,TEN[],3,FALSE),"NA")</f>
        <v>NA</v>
      </c>
      <c r="Q222" s="77" t="str">
        <f>IFERROR(VLOOKUP($H222,TD[],3,FALSE),"NA")</f>
        <v>NA</v>
      </c>
      <c r="R222" s="77">
        <f>IFERROR(VLOOKUP($H222,TC[],3,FALSE),"NA")</f>
        <v>0</v>
      </c>
      <c r="S222" s="77" t="str">
        <f>IFERROR(VLOOKUP($H222,TEV[],3,FALSE),"NA")</f>
        <v>NA</v>
      </c>
      <c r="T222" s="79">
        <f>SUM(TbPrestamo[[#This Row],[GENERAL]:[ELEVADOR]])</f>
        <v>0</v>
      </c>
      <c r="U222" s="80">
        <f>IF(VLOOKUP(TbPrestamo[[#This Row],[ITEM]],TbPiezas[],5,FALSE)="NA",0,VLOOKUP(TbPrestamo[[#This Row],[ITEM]],TbPiezas[],5,FALSE))</f>
        <v>4.9999999999997158E-2</v>
      </c>
      <c r="V222" s="81">
        <f>+TbPrestamo[[#This Row],[TOTAL]]*TbPrestamo[[#This Row],[P.U. (1)]]</f>
        <v>0</v>
      </c>
      <c r="W222" s="82">
        <f>+VLOOKUP(TbPrestamo[[#This Row],[ITEM]],TbPiezas[],6,FALSE)</f>
        <v>32.22</v>
      </c>
      <c r="X222" s="83">
        <f>+TbPrestamo[[#This Row],[TOTAL]]*TbPrestamo[[#This Row],[P.U. (2)]]</f>
        <v>0</v>
      </c>
      <c r="Y222" s="82">
        <f>+VLOOKUP(TbPrestamo[[#This Row],[ITEM]],TbPiezas[],7,FALSE)</f>
        <v>1.611</v>
      </c>
      <c r="Z222" s="84">
        <f>+TbPrestamo[[#This Row],[TOTAL]]*TbPrestamo[[#This Row],[P.U. (3)]]</f>
        <v>0</v>
      </c>
    </row>
    <row r="223" spans="1:26" ht="15" customHeight="1" x14ac:dyDescent="0.3">
      <c r="A223" s="2"/>
      <c r="B223" s="85">
        <v>205</v>
      </c>
      <c r="C223" s="71" t="s">
        <v>411</v>
      </c>
      <c r="D223" s="72" t="s">
        <v>412</v>
      </c>
      <c r="E223" s="73"/>
      <c r="F223" s="74">
        <f>+VLOOKUP(C223,TbPrestamo[],13,FALSE)</f>
        <v>0</v>
      </c>
      <c r="G223" s="2"/>
      <c r="H223" s="75" t="str">
        <f t="shared" si="6"/>
        <v>AE.3300</v>
      </c>
      <c r="I223" s="59" t="str">
        <f t="shared" si="7"/>
        <v>ok</v>
      </c>
      <c r="J223" s="77">
        <f>IFERROR(VLOOKUP($H223,TG[],3,FALSE),"NA")</f>
        <v>0</v>
      </c>
      <c r="K223" s="77" t="str">
        <f>IFERROR(VLOOKUP($H223,TF[],3,FALSE),"NA")</f>
        <v>NA</v>
      </c>
      <c r="L223" s="77" t="str">
        <f>IFERROR(VLOOKUP($H223,TT[],3,FALSE),"NA")</f>
        <v>NA</v>
      </c>
      <c r="M223" s="77" t="str">
        <f>IFERROR(VLOOKUP($H223,TES[],3,FALSE),"NA")</f>
        <v>NA</v>
      </c>
      <c r="N223" s="77" t="str">
        <f>IFERROR(VLOOKUP($H223,TEC[],3,FALSE),"NA")</f>
        <v>NA</v>
      </c>
      <c r="O223" s="77" t="str">
        <f>IFERROR(VLOOKUP($H223,TP[],3,FALSE),"NA")</f>
        <v>NA</v>
      </c>
      <c r="P223" s="77" t="str">
        <f>IFERROR(VLOOKUP($H223,TEN[],3,FALSE),"NA")</f>
        <v>NA</v>
      </c>
      <c r="Q223" s="77" t="str">
        <f>IFERROR(VLOOKUP($H223,TD[],3,FALSE),"NA")</f>
        <v>NA</v>
      </c>
      <c r="R223" s="77">
        <f>IFERROR(VLOOKUP($H223,TC[],3,FALSE),"NA")</f>
        <v>0</v>
      </c>
      <c r="S223" s="77" t="str">
        <f>IFERROR(VLOOKUP($H223,TEV[],3,FALSE),"NA")</f>
        <v>NA</v>
      </c>
      <c r="T223" s="79">
        <f>SUM(TbPrestamo[[#This Row],[GENERAL]:[ELEVADOR]])</f>
        <v>0</v>
      </c>
      <c r="U223" s="80">
        <f>IF(VLOOKUP(TbPrestamo[[#This Row],[ITEM]],TbPiezas[],5,FALSE)="NA",0,VLOOKUP(TbPrestamo[[#This Row],[ITEM]],TbPiezas[],5,FALSE))</f>
        <v>4.9999999999997158E-2</v>
      </c>
      <c r="V223" s="81">
        <f>+TbPrestamo[[#This Row],[TOTAL]]*TbPrestamo[[#This Row],[P.U. (1)]]</f>
        <v>0</v>
      </c>
      <c r="W223" s="82">
        <f>+VLOOKUP(TbPrestamo[[#This Row],[ITEM]],TbPiezas[],6,FALSE)</f>
        <v>19.059999999999999</v>
      </c>
      <c r="X223" s="83">
        <f>+TbPrestamo[[#This Row],[TOTAL]]*TbPrestamo[[#This Row],[P.U. (2)]]</f>
        <v>0</v>
      </c>
      <c r="Y223" s="82">
        <f>+VLOOKUP(TbPrestamo[[#This Row],[ITEM]],TbPiezas[],7,FALSE)</f>
        <v>0.95299999999999996</v>
      </c>
      <c r="Z223" s="84">
        <f>+TbPrestamo[[#This Row],[TOTAL]]*TbPrestamo[[#This Row],[P.U. (3)]]</f>
        <v>0</v>
      </c>
    </row>
    <row r="224" spans="1:26" ht="15" customHeight="1" x14ac:dyDescent="0.3">
      <c r="A224" s="2"/>
      <c r="B224" s="85">
        <v>206</v>
      </c>
      <c r="C224" s="71" t="s">
        <v>413</v>
      </c>
      <c r="D224" s="72" t="s">
        <v>414</v>
      </c>
      <c r="E224" s="73"/>
      <c r="F224" s="74">
        <f>+VLOOKUP(C224,TbPrestamo[],13,FALSE)</f>
        <v>0</v>
      </c>
      <c r="G224" s="2"/>
      <c r="H224" s="75" t="str">
        <f t="shared" si="6"/>
        <v>AE.3400</v>
      </c>
      <c r="I224" s="59" t="str">
        <f t="shared" si="7"/>
        <v>ok</v>
      </c>
      <c r="J224" s="77">
        <f>IFERROR(VLOOKUP($H224,TG[],3,FALSE),"NA")</f>
        <v>0</v>
      </c>
      <c r="K224" s="77" t="str">
        <f>IFERROR(VLOOKUP($H224,TF[],3,FALSE),"NA")</f>
        <v>NA</v>
      </c>
      <c r="L224" s="77" t="str">
        <f>IFERROR(VLOOKUP($H224,TT[],3,FALSE),"NA")</f>
        <v>NA</v>
      </c>
      <c r="M224" s="77" t="str">
        <f>IFERROR(VLOOKUP($H224,TES[],3,FALSE),"NA")</f>
        <v>NA</v>
      </c>
      <c r="N224" s="77" t="str">
        <f>IFERROR(VLOOKUP($H224,TEC[],3,FALSE),"NA")</f>
        <v>NA</v>
      </c>
      <c r="O224" s="77" t="str">
        <f>IFERROR(VLOOKUP($H224,TP[],3,FALSE),"NA")</f>
        <v>NA</v>
      </c>
      <c r="P224" s="77" t="str">
        <f>IFERROR(VLOOKUP($H224,TEN[],3,FALSE),"NA")</f>
        <v>NA</v>
      </c>
      <c r="Q224" s="77" t="str">
        <f>IFERROR(VLOOKUP($H224,TD[],3,FALSE),"NA")</f>
        <v>NA</v>
      </c>
      <c r="R224" s="77">
        <f>IFERROR(VLOOKUP($H224,TC[],3,FALSE),"NA")</f>
        <v>0</v>
      </c>
      <c r="S224" s="77" t="str">
        <f>IFERROR(VLOOKUP($H224,TEV[],3,FALSE),"NA")</f>
        <v>NA</v>
      </c>
      <c r="T224" s="79">
        <f>SUM(TbPrestamo[[#This Row],[GENERAL]:[ELEVADOR]])</f>
        <v>0</v>
      </c>
      <c r="U224" s="80">
        <f>IF(VLOOKUP(TbPrestamo[[#This Row],[ITEM]],TbPiezas[],5,FALSE)="NA",0,VLOOKUP(TbPrestamo[[#This Row],[ITEM]],TbPiezas[],5,FALSE))</f>
        <v>4.9999999999997158E-2</v>
      </c>
      <c r="V224" s="81">
        <f>+TbPrestamo[[#This Row],[TOTAL]]*TbPrestamo[[#This Row],[P.U. (1)]]</f>
        <v>0</v>
      </c>
      <c r="W224" s="82">
        <f>+VLOOKUP(TbPrestamo[[#This Row],[ITEM]],TbPiezas[],6,FALSE)</f>
        <v>19.059999999999999</v>
      </c>
      <c r="X224" s="83">
        <f>+TbPrestamo[[#This Row],[TOTAL]]*TbPrestamo[[#This Row],[P.U. (2)]]</f>
        <v>0</v>
      </c>
      <c r="Y224" s="82">
        <f>+VLOOKUP(TbPrestamo[[#This Row],[ITEM]],TbPiezas[],7,FALSE)</f>
        <v>0.95299999999999996</v>
      </c>
      <c r="Z224" s="84">
        <f>+TbPrestamo[[#This Row],[TOTAL]]*TbPrestamo[[#This Row],[P.U. (3)]]</f>
        <v>0</v>
      </c>
    </row>
    <row r="225" spans="1:26" ht="15" customHeight="1" x14ac:dyDescent="0.3">
      <c r="A225" s="2"/>
      <c r="B225" s="85">
        <v>207</v>
      </c>
      <c r="C225" s="71" t="s">
        <v>415</v>
      </c>
      <c r="D225" s="72" t="s">
        <v>416</v>
      </c>
      <c r="E225" s="73"/>
      <c r="F225" s="74">
        <f>+VLOOKUP(C225,TbPrestamo[],13,FALSE)</f>
        <v>0</v>
      </c>
      <c r="G225" s="2"/>
      <c r="H225" s="75" t="str">
        <f t="shared" si="6"/>
        <v>AE.3500</v>
      </c>
      <c r="I225" s="59" t="str">
        <f t="shared" si="7"/>
        <v>ok</v>
      </c>
      <c r="J225" s="77">
        <f>IFERROR(VLOOKUP($H225,TG[],3,FALSE),"NA")</f>
        <v>0</v>
      </c>
      <c r="K225" s="77" t="str">
        <f>IFERROR(VLOOKUP($H225,TF[],3,FALSE),"NA")</f>
        <v>NA</v>
      </c>
      <c r="L225" s="77" t="str">
        <f>IFERROR(VLOOKUP($H225,TT[],3,FALSE),"NA")</f>
        <v>NA</v>
      </c>
      <c r="M225" s="77" t="str">
        <f>IFERROR(VLOOKUP($H225,TES[],3,FALSE),"NA")</f>
        <v>NA</v>
      </c>
      <c r="N225" s="77" t="str">
        <f>IFERROR(VLOOKUP($H225,TEC[],3,FALSE),"NA")</f>
        <v>NA</v>
      </c>
      <c r="O225" s="77" t="str">
        <f>IFERROR(VLOOKUP($H225,TP[],3,FALSE),"NA")</f>
        <v>NA</v>
      </c>
      <c r="P225" s="77" t="str">
        <f>IFERROR(VLOOKUP($H225,TEN[],3,FALSE),"NA")</f>
        <v>NA</v>
      </c>
      <c r="Q225" s="77" t="str">
        <f>IFERROR(VLOOKUP($H225,TD[],3,FALSE),"NA")</f>
        <v>NA</v>
      </c>
      <c r="R225" s="77">
        <f>IFERROR(VLOOKUP($H225,TC[],3,FALSE),"NA")</f>
        <v>0</v>
      </c>
      <c r="S225" s="77" t="str">
        <f>IFERROR(VLOOKUP($H225,TEV[],3,FALSE),"NA")</f>
        <v>NA</v>
      </c>
      <c r="T225" s="79">
        <f>SUM(TbPrestamo[[#This Row],[GENERAL]:[ELEVADOR]])</f>
        <v>0</v>
      </c>
      <c r="U225" s="80">
        <f>IF(VLOOKUP(TbPrestamo[[#This Row],[ITEM]],TbPiezas[],5,FALSE)="NA",0,VLOOKUP(TbPrestamo[[#This Row],[ITEM]],TbPiezas[],5,FALSE))</f>
        <v>0.39999999999999147</v>
      </c>
      <c r="V225" s="81">
        <f>+TbPrestamo[[#This Row],[TOTAL]]*TbPrestamo[[#This Row],[P.U. (1)]]</f>
        <v>0</v>
      </c>
      <c r="W225" s="82">
        <f>+VLOOKUP(TbPrestamo[[#This Row],[ITEM]],TbPiezas[],6,FALSE)</f>
        <v>19.059999999999999</v>
      </c>
      <c r="X225" s="83">
        <f>+TbPrestamo[[#This Row],[TOTAL]]*TbPrestamo[[#This Row],[P.U. (2)]]</f>
        <v>0</v>
      </c>
      <c r="Y225" s="82">
        <f>+VLOOKUP(TbPrestamo[[#This Row],[ITEM]],TbPiezas[],7,FALSE)</f>
        <v>0.95299999999999996</v>
      </c>
      <c r="Z225" s="84">
        <f>+TbPrestamo[[#This Row],[TOTAL]]*TbPrestamo[[#This Row],[P.U. (3)]]</f>
        <v>0</v>
      </c>
    </row>
    <row r="226" spans="1:26" ht="15" customHeight="1" x14ac:dyDescent="0.3">
      <c r="A226" s="2"/>
      <c r="B226" s="85">
        <v>208</v>
      </c>
      <c r="C226" s="71" t="s">
        <v>417</v>
      </c>
      <c r="D226" s="72" t="s">
        <v>418</v>
      </c>
      <c r="E226" s="73"/>
      <c r="F226" s="74">
        <f>+VLOOKUP(C226,TbPrestamo[],13,FALSE)</f>
        <v>0</v>
      </c>
      <c r="G226" s="2"/>
      <c r="H226" s="75" t="str">
        <f t="shared" si="6"/>
        <v>AE.3600</v>
      </c>
      <c r="I226" s="59" t="str">
        <f t="shared" si="7"/>
        <v>ok</v>
      </c>
      <c r="J226" s="77">
        <f>IFERROR(VLOOKUP($H226,TG[],3,FALSE),"NA")</f>
        <v>0</v>
      </c>
      <c r="K226" s="77" t="str">
        <f>IFERROR(VLOOKUP($H226,TF[],3,FALSE),"NA")</f>
        <v>NA</v>
      </c>
      <c r="L226" s="77" t="str">
        <f>IFERROR(VLOOKUP($H226,TT[],3,FALSE),"NA")</f>
        <v>NA</v>
      </c>
      <c r="M226" s="77" t="str">
        <f>IFERROR(VLOOKUP($H226,TES[],3,FALSE),"NA")</f>
        <v>NA</v>
      </c>
      <c r="N226" s="77" t="str">
        <f>IFERROR(VLOOKUP($H226,TEC[],3,FALSE),"NA")</f>
        <v>NA</v>
      </c>
      <c r="O226" s="77" t="str">
        <f>IFERROR(VLOOKUP($H226,TP[],3,FALSE),"NA")</f>
        <v>NA</v>
      </c>
      <c r="P226" s="77" t="str">
        <f>IFERROR(VLOOKUP($H226,TEN[],3,FALSE),"NA")</f>
        <v>NA</v>
      </c>
      <c r="Q226" s="77" t="str">
        <f>IFERROR(VLOOKUP($H226,TD[],3,FALSE),"NA")</f>
        <v>NA</v>
      </c>
      <c r="R226" s="77">
        <f>IFERROR(VLOOKUP($H226,TC[],3,FALSE),"NA")</f>
        <v>0</v>
      </c>
      <c r="S226" s="77" t="str">
        <f>IFERROR(VLOOKUP($H226,TEV[],3,FALSE),"NA")</f>
        <v>NA</v>
      </c>
      <c r="T226" s="79">
        <f>SUM(TbPrestamo[[#This Row],[GENERAL]:[ELEVADOR]])</f>
        <v>0</v>
      </c>
      <c r="U226" s="80">
        <f>IF(VLOOKUP(TbPrestamo[[#This Row],[ITEM]],TbPiezas[],5,FALSE)="NA",0,VLOOKUP(TbPrestamo[[#This Row],[ITEM]],TbPiezas[],5,FALSE))</f>
        <v>28.700000000000003</v>
      </c>
      <c r="V226" s="81">
        <f>+TbPrestamo[[#This Row],[TOTAL]]*TbPrestamo[[#This Row],[P.U. (1)]]</f>
        <v>0</v>
      </c>
      <c r="W226" s="82">
        <f>+VLOOKUP(TbPrestamo[[#This Row],[ITEM]],TbPiezas[],6,FALSE)</f>
        <v>826.63</v>
      </c>
      <c r="X226" s="83">
        <f>+TbPrestamo[[#This Row],[TOTAL]]*TbPrestamo[[#This Row],[P.U. (2)]]</f>
        <v>0</v>
      </c>
      <c r="Y226" s="82">
        <f>+VLOOKUP(TbPrestamo[[#This Row],[ITEM]],TbPiezas[],7,FALSE)</f>
        <v>41.331500000000005</v>
      </c>
      <c r="Z226" s="84">
        <f>+TbPrestamo[[#This Row],[TOTAL]]*TbPrestamo[[#This Row],[P.U. (3)]]</f>
        <v>0</v>
      </c>
    </row>
    <row r="227" spans="1:26" ht="15" customHeight="1" x14ac:dyDescent="0.3">
      <c r="A227" s="2"/>
      <c r="B227" s="85">
        <v>209</v>
      </c>
      <c r="C227" s="71" t="s">
        <v>419</v>
      </c>
      <c r="D227" s="72" t="s">
        <v>420</v>
      </c>
      <c r="E227" s="73"/>
      <c r="F227" s="74">
        <f>+VLOOKUP(C227,TbPrestamo[],13,FALSE)</f>
        <v>0</v>
      </c>
      <c r="G227" s="2"/>
      <c r="H227" s="75" t="str">
        <f t="shared" si="6"/>
        <v>AE.3700</v>
      </c>
      <c r="I227" s="59" t="str">
        <f t="shared" si="7"/>
        <v>ok</v>
      </c>
      <c r="J227" s="77">
        <f>IFERROR(VLOOKUP($H227,TG[],3,FALSE),"NA")</f>
        <v>0</v>
      </c>
      <c r="K227" s="77" t="str">
        <f>IFERROR(VLOOKUP($H227,TF[],3,FALSE),"NA")</f>
        <v>NA</v>
      </c>
      <c r="L227" s="77" t="str">
        <f>IFERROR(VLOOKUP($H227,TT[],3,FALSE),"NA")</f>
        <v>NA</v>
      </c>
      <c r="M227" s="77" t="str">
        <f>IFERROR(VLOOKUP($H227,TES[],3,FALSE),"NA")</f>
        <v>NA</v>
      </c>
      <c r="N227" s="77" t="str">
        <f>IFERROR(VLOOKUP($H227,TEC[],3,FALSE),"NA")</f>
        <v>NA</v>
      </c>
      <c r="O227" s="77" t="str">
        <f>IFERROR(VLOOKUP($H227,TP[],3,FALSE),"NA")</f>
        <v>NA</v>
      </c>
      <c r="P227" s="77" t="str">
        <f>IFERROR(VLOOKUP($H227,TEN[],3,FALSE),"NA")</f>
        <v>NA</v>
      </c>
      <c r="Q227" s="77" t="str">
        <f>IFERROR(VLOOKUP($H227,TD[],3,FALSE),"NA")</f>
        <v>NA</v>
      </c>
      <c r="R227" s="77">
        <f>IFERROR(VLOOKUP($H227,TC[],3,FALSE),"NA")</f>
        <v>0</v>
      </c>
      <c r="S227" s="77" t="str">
        <f>IFERROR(VLOOKUP($H227,TEV[],3,FALSE),"NA")</f>
        <v>NA</v>
      </c>
      <c r="T227" s="79">
        <f>SUM(TbPrestamo[[#This Row],[GENERAL]:[ELEVADOR]])</f>
        <v>0</v>
      </c>
      <c r="U227" s="80">
        <f>IF(VLOOKUP(TbPrestamo[[#This Row],[ITEM]],TbPiezas[],5,FALSE)="NA",0,VLOOKUP(TbPrestamo[[#This Row],[ITEM]],TbPiezas[],5,FALSE))</f>
        <v>25.700000000000003</v>
      </c>
      <c r="V227" s="81">
        <f>+TbPrestamo[[#This Row],[TOTAL]]*TbPrestamo[[#This Row],[P.U. (1)]]</f>
        <v>0</v>
      </c>
      <c r="W227" s="82">
        <f>+VLOOKUP(TbPrestamo[[#This Row],[ITEM]],TbPiezas[],6,FALSE)</f>
        <v>1099.78</v>
      </c>
      <c r="X227" s="83">
        <f>+TbPrestamo[[#This Row],[TOTAL]]*TbPrestamo[[#This Row],[P.U. (2)]]</f>
        <v>0</v>
      </c>
      <c r="Y227" s="82">
        <f>+VLOOKUP(TbPrestamo[[#This Row],[ITEM]],TbPiezas[],7,FALSE)</f>
        <v>54.989000000000004</v>
      </c>
      <c r="Z227" s="84">
        <f>+TbPrestamo[[#This Row],[TOTAL]]*TbPrestamo[[#This Row],[P.U. (3)]]</f>
        <v>0</v>
      </c>
    </row>
    <row r="228" spans="1:26" ht="15" customHeight="1" x14ac:dyDescent="0.3">
      <c r="A228" s="2"/>
      <c r="B228" s="85">
        <v>210</v>
      </c>
      <c r="C228" s="71" t="s">
        <v>421</v>
      </c>
      <c r="D228" s="72" t="s">
        <v>422</v>
      </c>
      <c r="E228" s="73"/>
      <c r="F228" s="74">
        <f>+VLOOKUP(C228,TbPrestamo[],13,FALSE)</f>
        <v>0</v>
      </c>
      <c r="G228" s="2"/>
      <c r="H228" s="75" t="str">
        <f t="shared" si="6"/>
        <v>AE.3800</v>
      </c>
      <c r="I228" s="59" t="str">
        <f t="shared" si="7"/>
        <v>ok</v>
      </c>
      <c r="J228" s="77">
        <f>IFERROR(VLOOKUP($H228,TG[],3,FALSE),"NA")</f>
        <v>0</v>
      </c>
      <c r="K228" s="77" t="str">
        <f>IFERROR(VLOOKUP($H228,TF[],3,FALSE),"NA")</f>
        <v>NA</v>
      </c>
      <c r="L228" s="77" t="str">
        <f>IFERROR(VLOOKUP($H228,TT[],3,FALSE),"NA")</f>
        <v>NA</v>
      </c>
      <c r="M228" s="77" t="str">
        <f>IFERROR(VLOOKUP($H228,TES[],3,FALSE),"NA")</f>
        <v>NA</v>
      </c>
      <c r="N228" s="77" t="str">
        <f>IFERROR(VLOOKUP($H228,TEC[],3,FALSE),"NA")</f>
        <v>NA</v>
      </c>
      <c r="O228" s="77" t="str">
        <f>IFERROR(VLOOKUP($H228,TP[],3,FALSE),"NA")</f>
        <v>NA</v>
      </c>
      <c r="P228" s="77" t="str">
        <f>IFERROR(VLOOKUP($H228,TEN[],3,FALSE),"NA")</f>
        <v>NA</v>
      </c>
      <c r="Q228" s="77" t="str">
        <f>IFERROR(VLOOKUP($H228,TD[],3,FALSE),"NA")</f>
        <v>NA</v>
      </c>
      <c r="R228" s="77">
        <f>IFERROR(VLOOKUP($H228,TC[],3,FALSE),"NA")</f>
        <v>0</v>
      </c>
      <c r="S228" s="77" t="str">
        <f>IFERROR(VLOOKUP($H228,TEV[],3,FALSE),"NA")</f>
        <v>NA</v>
      </c>
      <c r="T228" s="79">
        <f>SUM(TbPrestamo[[#This Row],[GENERAL]:[ELEVADOR]])</f>
        <v>0</v>
      </c>
      <c r="U228" s="80">
        <f>IF(VLOOKUP(TbPrestamo[[#This Row],[ITEM]],TbPiezas[],5,FALSE)="NA",0,VLOOKUP(TbPrestamo[[#This Row],[ITEM]],TbPiezas[],5,FALSE))</f>
        <v>35</v>
      </c>
      <c r="V228" s="81">
        <f>+TbPrestamo[[#This Row],[TOTAL]]*TbPrestamo[[#This Row],[P.U. (1)]]</f>
        <v>0</v>
      </c>
      <c r="W228" s="82">
        <f>+VLOOKUP(TbPrestamo[[#This Row],[ITEM]],TbPiezas[],6,FALSE)</f>
        <v>826.63</v>
      </c>
      <c r="X228" s="83">
        <f>+TbPrestamo[[#This Row],[TOTAL]]*TbPrestamo[[#This Row],[P.U. (2)]]</f>
        <v>0</v>
      </c>
      <c r="Y228" s="82">
        <f>+VLOOKUP(TbPrestamo[[#This Row],[ITEM]],TbPiezas[],7,FALSE)</f>
        <v>41.331500000000005</v>
      </c>
      <c r="Z228" s="84">
        <f>+TbPrestamo[[#This Row],[TOTAL]]*TbPrestamo[[#This Row],[P.U. (3)]]</f>
        <v>0</v>
      </c>
    </row>
    <row r="229" spans="1:26" ht="15" customHeight="1" x14ac:dyDescent="0.3">
      <c r="A229" s="2"/>
      <c r="B229" s="85">
        <v>211</v>
      </c>
      <c r="C229" s="71" t="s">
        <v>423</v>
      </c>
      <c r="D229" s="72" t="s">
        <v>424</v>
      </c>
      <c r="E229" s="73"/>
      <c r="F229" s="74">
        <f>+VLOOKUP(C229,TbPrestamo[],13,FALSE)</f>
        <v>0</v>
      </c>
      <c r="G229" s="2"/>
      <c r="H229" s="75" t="str">
        <f t="shared" si="6"/>
        <v>AE.3900</v>
      </c>
      <c r="I229" s="59" t="str">
        <f t="shared" si="7"/>
        <v>ok</v>
      </c>
      <c r="J229" s="77">
        <f>IFERROR(VLOOKUP($H229,TG[],3,FALSE),"NA")</f>
        <v>0</v>
      </c>
      <c r="K229" s="77" t="str">
        <f>IFERROR(VLOOKUP($H229,TF[],3,FALSE),"NA")</f>
        <v>NA</v>
      </c>
      <c r="L229" s="77" t="str">
        <f>IFERROR(VLOOKUP($H229,TT[],3,FALSE),"NA")</f>
        <v>NA</v>
      </c>
      <c r="M229" s="77" t="str">
        <f>IFERROR(VLOOKUP($H229,TES[],3,FALSE),"NA")</f>
        <v>NA</v>
      </c>
      <c r="N229" s="77" t="str">
        <f>IFERROR(VLOOKUP($H229,TEC[],3,FALSE),"NA")</f>
        <v>NA</v>
      </c>
      <c r="O229" s="77" t="str">
        <f>IFERROR(VLOOKUP($H229,TP[],3,FALSE),"NA")</f>
        <v>NA</v>
      </c>
      <c r="P229" s="77" t="str">
        <f>IFERROR(VLOOKUP($H229,TEN[],3,FALSE),"NA")</f>
        <v>NA</v>
      </c>
      <c r="Q229" s="77" t="str">
        <f>IFERROR(VLOOKUP($H229,TD[],3,FALSE),"NA")</f>
        <v>NA</v>
      </c>
      <c r="R229" s="77">
        <f>IFERROR(VLOOKUP($H229,TC[],3,FALSE),"NA")</f>
        <v>0</v>
      </c>
      <c r="S229" s="77" t="str">
        <f>IFERROR(VLOOKUP($H229,TEV[],3,FALSE),"NA")</f>
        <v>NA</v>
      </c>
      <c r="T229" s="79">
        <f>SUM(TbPrestamo[[#This Row],[GENERAL]:[ELEVADOR]])</f>
        <v>0</v>
      </c>
      <c r="U229" s="80">
        <f>IF(VLOOKUP(TbPrestamo[[#This Row],[ITEM]],TbPiezas[],5,FALSE)="NA",0,VLOOKUP(TbPrestamo[[#This Row],[ITEM]],TbPiezas[],5,FALSE))</f>
        <v>23.099999999999994</v>
      </c>
      <c r="V229" s="81">
        <f>+TbPrestamo[[#This Row],[TOTAL]]*TbPrestamo[[#This Row],[P.U. (1)]]</f>
        <v>0</v>
      </c>
      <c r="W229" s="82">
        <f>+VLOOKUP(TbPrestamo[[#This Row],[ITEM]],TbPiezas[],6,FALSE)</f>
        <v>1238.74</v>
      </c>
      <c r="X229" s="83">
        <f>+TbPrestamo[[#This Row],[TOTAL]]*TbPrestamo[[#This Row],[P.U. (2)]]</f>
        <v>0</v>
      </c>
      <c r="Y229" s="82">
        <f>+VLOOKUP(TbPrestamo[[#This Row],[ITEM]],TbPiezas[],7,FALSE)</f>
        <v>61.937000000000005</v>
      </c>
      <c r="Z229" s="84">
        <f>+TbPrestamo[[#This Row],[TOTAL]]*TbPrestamo[[#This Row],[P.U. (3)]]</f>
        <v>0</v>
      </c>
    </row>
    <row r="230" spans="1:26" ht="15" customHeight="1" x14ac:dyDescent="0.3">
      <c r="A230" s="2"/>
      <c r="B230" s="85">
        <v>212</v>
      </c>
      <c r="C230" s="71" t="s">
        <v>425</v>
      </c>
      <c r="D230" s="72" t="s">
        <v>426</v>
      </c>
      <c r="E230" s="73"/>
      <c r="F230" s="74">
        <f>+VLOOKUP(C230,TbPrestamo[],13,FALSE)</f>
        <v>0</v>
      </c>
      <c r="G230" s="2"/>
      <c r="H230" s="75" t="str">
        <f t="shared" si="6"/>
        <v>AE.4000</v>
      </c>
      <c r="I230" s="59" t="str">
        <f t="shared" si="7"/>
        <v>ok</v>
      </c>
      <c r="J230" s="77">
        <f>IFERROR(VLOOKUP($H230,TG[],3,FALSE),"NA")</f>
        <v>0</v>
      </c>
      <c r="K230" s="77" t="str">
        <f>IFERROR(VLOOKUP($H230,TF[],3,FALSE),"NA")</f>
        <v>NA</v>
      </c>
      <c r="L230" s="77" t="str">
        <f>IFERROR(VLOOKUP($H230,TT[],3,FALSE),"NA")</f>
        <v>NA</v>
      </c>
      <c r="M230" s="77" t="str">
        <f>IFERROR(VLOOKUP($H230,TES[],3,FALSE),"NA")</f>
        <v>NA</v>
      </c>
      <c r="N230" s="77" t="str">
        <f>IFERROR(VLOOKUP($H230,TEC[],3,FALSE),"NA")</f>
        <v>NA</v>
      </c>
      <c r="O230" s="77" t="str">
        <f>IFERROR(VLOOKUP($H230,TP[],3,FALSE),"NA")</f>
        <v>NA</v>
      </c>
      <c r="P230" s="77" t="str">
        <f>IFERROR(VLOOKUP($H230,TEN[],3,FALSE),"NA")</f>
        <v>NA</v>
      </c>
      <c r="Q230" s="77" t="str">
        <f>IFERROR(VLOOKUP($H230,TD[],3,FALSE),"NA")</f>
        <v>NA</v>
      </c>
      <c r="R230" s="77">
        <f>IFERROR(VLOOKUP($H230,TC[],3,FALSE),"NA")</f>
        <v>0</v>
      </c>
      <c r="S230" s="77" t="str">
        <f>IFERROR(VLOOKUP($H230,TEV[],3,FALSE),"NA")</f>
        <v>NA</v>
      </c>
      <c r="T230" s="79">
        <f>SUM(TbPrestamo[[#This Row],[GENERAL]:[ELEVADOR]])</f>
        <v>0</v>
      </c>
      <c r="U230" s="80">
        <f>IF(VLOOKUP(TbPrestamo[[#This Row],[ITEM]],TbPiezas[],5,FALSE)="NA",0,VLOOKUP(TbPrestamo[[#This Row],[ITEM]],TbPiezas[],5,FALSE))</f>
        <v>6.7999999999999972</v>
      </c>
      <c r="V230" s="81">
        <f>+TbPrestamo[[#This Row],[TOTAL]]*TbPrestamo[[#This Row],[P.U. (1)]]</f>
        <v>0</v>
      </c>
      <c r="W230" s="82">
        <f>+VLOOKUP(TbPrestamo[[#This Row],[ITEM]],TbPiezas[],6,FALSE)</f>
        <v>825.83</v>
      </c>
      <c r="X230" s="83">
        <f>+TbPrestamo[[#This Row],[TOTAL]]*TbPrestamo[[#This Row],[P.U. (2)]]</f>
        <v>0</v>
      </c>
      <c r="Y230" s="82">
        <f>+VLOOKUP(TbPrestamo[[#This Row],[ITEM]],TbPiezas[],7,FALSE)</f>
        <v>41.291500000000006</v>
      </c>
      <c r="Z230" s="84">
        <f>+TbPrestamo[[#This Row],[TOTAL]]*TbPrestamo[[#This Row],[P.U. (3)]]</f>
        <v>0</v>
      </c>
    </row>
    <row r="231" spans="1:26" ht="15" customHeight="1" x14ac:dyDescent="0.3">
      <c r="A231" s="2"/>
      <c r="B231" s="85">
        <v>213</v>
      </c>
      <c r="C231" s="71" t="s">
        <v>427</v>
      </c>
      <c r="D231" s="72" t="s">
        <v>428</v>
      </c>
      <c r="E231" s="73"/>
      <c r="F231" s="74">
        <f>+VLOOKUP(C231,TbPrestamo[],13,FALSE)</f>
        <v>0</v>
      </c>
      <c r="G231" s="2"/>
      <c r="H231" s="75" t="str">
        <f t="shared" si="6"/>
        <v>AE.4100</v>
      </c>
      <c r="I231" s="59" t="str">
        <f t="shared" si="7"/>
        <v>ok</v>
      </c>
      <c r="J231" s="77">
        <f>IFERROR(VLOOKUP($H231,TG[],3,FALSE),"NA")</f>
        <v>0</v>
      </c>
      <c r="K231" s="77" t="str">
        <f>IFERROR(VLOOKUP($H231,TF[],3,FALSE),"NA")</f>
        <v>NA</v>
      </c>
      <c r="L231" s="77" t="str">
        <f>IFERROR(VLOOKUP($H231,TT[],3,FALSE),"NA")</f>
        <v>NA</v>
      </c>
      <c r="M231" s="77" t="str">
        <f>IFERROR(VLOOKUP($H231,TES[],3,FALSE),"NA")</f>
        <v>NA</v>
      </c>
      <c r="N231" s="77" t="str">
        <f>IFERROR(VLOOKUP($H231,TEC[],3,FALSE),"NA")</f>
        <v>NA</v>
      </c>
      <c r="O231" s="77" t="str">
        <f>IFERROR(VLOOKUP($H231,TP[],3,FALSE),"NA")</f>
        <v>NA</v>
      </c>
      <c r="P231" s="77" t="str">
        <f>IFERROR(VLOOKUP($H231,TEN[],3,FALSE),"NA")</f>
        <v>NA</v>
      </c>
      <c r="Q231" s="77" t="str">
        <f>IFERROR(VLOOKUP($H231,TD[],3,FALSE),"NA")</f>
        <v>NA</v>
      </c>
      <c r="R231" s="77">
        <f>IFERROR(VLOOKUP($H231,TC[],3,FALSE),"NA")</f>
        <v>0</v>
      </c>
      <c r="S231" s="77" t="str">
        <f>IFERROR(VLOOKUP($H231,TEV[],3,FALSE),"NA")</f>
        <v>NA</v>
      </c>
      <c r="T231" s="79">
        <f>SUM(TbPrestamo[[#This Row],[GENERAL]:[ELEVADOR]])</f>
        <v>0</v>
      </c>
      <c r="U231" s="80">
        <f>IF(VLOOKUP(TbPrestamo[[#This Row],[ITEM]],TbPiezas[],5,FALSE)="NA",0,VLOOKUP(TbPrestamo[[#This Row],[ITEM]],TbPiezas[],5,FALSE))</f>
        <v>13.700000000000003</v>
      </c>
      <c r="V231" s="81">
        <f>+TbPrestamo[[#This Row],[TOTAL]]*TbPrestamo[[#This Row],[P.U. (1)]]</f>
        <v>0</v>
      </c>
      <c r="W231" s="82">
        <f>+VLOOKUP(TbPrestamo[[#This Row],[ITEM]],TbPiezas[],6,FALSE)</f>
        <v>1238.74</v>
      </c>
      <c r="X231" s="83">
        <f>+TbPrestamo[[#This Row],[TOTAL]]*TbPrestamo[[#This Row],[P.U. (2)]]</f>
        <v>0</v>
      </c>
      <c r="Y231" s="82">
        <f>+VLOOKUP(TbPrestamo[[#This Row],[ITEM]],TbPiezas[],7,FALSE)</f>
        <v>61.937000000000005</v>
      </c>
      <c r="Z231" s="84">
        <f>+TbPrestamo[[#This Row],[TOTAL]]*TbPrestamo[[#This Row],[P.U. (3)]]</f>
        <v>0</v>
      </c>
    </row>
    <row r="232" spans="1:26" ht="15" customHeight="1" x14ac:dyDescent="0.3">
      <c r="A232" s="2"/>
      <c r="B232" s="85">
        <v>214</v>
      </c>
      <c r="C232" s="71" t="s">
        <v>429</v>
      </c>
      <c r="D232" s="72" t="s">
        <v>430</v>
      </c>
      <c r="E232" s="73"/>
      <c r="F232" s="74">
        <f>+VLOOKUP(C232,TbPrestamo[],13,FALSE)</f>
        <v>0</v>
      </c>
      <c r="G232" s="2"/>
      <c r="H232" s="75" t="str">
        <f t="shared" si="6"/>
        <v>AE.4200</v>
      </c>
      <c r="I232" s="59" t="str">
        <f t="shared" si="7"/>
        <v>ok</v>
      </c>
      <c r="J232" s="77">
        <f>IFERROR(VLOOKUP($H232,TG[],3,FALSE),"NA")</f>
        <v>0</v>
      </c>
      <c r="K232" s="77" t="str">
        <f>IFERROR(VLOOKUP($H232,TF[],3,FALSE),"NA")</f>
        <v>NA</v>
      </c>
      <c r="L232" s="77" t="str">
        <f>IFERROR(VLOOKUP($H232,TT[],3,FALSE),"NA")</f>
        <v>NA</v>
      </c>
      <c r="M232" s="77" t="str">
        <f>IFERROR(VLOOKUP($H232,TES[],3,FALSE),"NA")</f>
        <v>NA</v>
      </c>
      <c r="N232" s="77" t="str">
        <f>IFERROR(VLOOKUP($H232,TEC[],3,FALSE),"NA")</f>
        <v>NA</v>
      </c>
      <c r="O232" s="77" t="str">
        <f>IFERROR(VLOOKUP($H232,TP[],3,FALSE),"NA")</f>
        <v>NA</v>
      </c>
      <c r="P232" s="77" t="str">
        <f>IFERROR(VLOOKUP($H232,TEN[],3,FALSE),"NA")</f>
        <v>NA</v>
      </c>
      <c r="Q232" s="77" t="str">
        <f>IFERROR(VLOOKUP($H232,TD[],3,FALSE),"NA")</f>
        <v>NA</v>
      </c>
      <c r="R232" s="77">
        <f>IFERROR(VLOOKUP($H232,TC[],3,FALSE),"NA")</f>
        <v>0</v>
      </c>
      <c r="S232" s="77" t="str">
        <f>IFERROR(VLOOKUP($H232,TEV[],3,FALSE),"NA")</f>
        <v>NA</v>
      </c>
      <c r="T232" s="79">
        <f>SUM(TbPrestamo[[#This Row],[GENERAL]:[ELEVADOR]])</f>
        <v>0</v>
      </c>
      <c r="U232" s="80">
        <f>IF(VLOOKUP(TbPrestamo[[#This Row],[ITEM]],TbPiezas[],5,FALSE)="NA",0,VLOOKUP(TbPrestamo[[#This Row],[ITEM]],TbPiezas[],5,FALSE))</f>
        <v>16</v>
      </c>
      <c r="V232" s="81">
        <f>+TbPrestamo[[#This Row],[TOTAL]]*TbPrestamo[[#This Row],[P.U. (1)]]</f>
        <v>0</v>
      </c>
      <c r="W232" s="82">
        <f>+VLOOKUP(TbPrestamo[[#This Row],[ITEM]],TbPiezas[],6,FALSE)</f>
        <v>1651.65</v>
      </c>
      <c r="X232" s="83">
        <f>+TbPrestamo[[#This Row],[TOTAL]]*TbPrestamo[[#This Row],[P.U. (2)]]</f>
        <v>0</v>
      </c>
      <c r="Y232" s="82">
        <f>+VLOOKUP(TbPrestamo[[#This Row],[ITEM]],TbPiezas[],7,FALSE)</f>
        <v>82.58250000000001</v>
      </c>
      <c r="Z232" s="84">
        <f>+TbPrestamo[[#This Row],[TOTAL]]*TbPrestamo[[#This Row],[P.U. (3)]]</f>
        <v>0</v>
      </c>
    </row>
    <row r="233" spans="1:26" ht="15" customHeight="1" x14ac:dyDescent="0.3">
      <c r="A233" s="2"/>
      <c r="B233" s="85">
        <v>215</v>
      </c>
      <c r="C233" s="71" t="s">
        <v>431</v>
      </c>
      <c r="D233" s="72" t="s">
        <v>432</v>
      </c>
      <c r="E233" s="73"/>
      <c r="F233" s="74">
        <f>+VLOOKUP(C233,TbPrestamo[],13,FALSE)</f>
        <v>0</v>
      </c>
      <c r="G233" s="2"/>
      <c r="H233" s="75" t="str">
        <f t="shared" si="6"/>
        <v>AE.4300</v>
      </c>
      <c r="I233" s="59" t="str">
        <f t="shared" si="7"/>
        <v>ok</v>
      </c>
      <c r="J233" s="77">
        <f>IFERROR(VLOOKUP($H233,TG[],3,FALSE),"NA")</f>
        <v>0</v>
      </c>
      <c r="K233" s="77" t="str">
        <f>IFERROR(VLOOKUP($H233,TF[],3,FALSE),"NA")</f>
        <v>NA</v>
      </c>
      <c r="L233" s="77" t="str">
        <f>IFERROR(VLOOKUP($H233,TT[],3,FALSE),"NA")</f>
        <v>NA</v>
      </c>
      <c r="M233" s="77" t="str">
        <f>IFERROR(VLOOKUP($H233,TES[],3,FALSE),"NA")</f>
        <v>NA</v>
      </c>
      <c r="N233" s="77" t="str">
        <f>IFERROR(VLOOKUP($H233,TEC[],3,FALSE),"NA")</f>
        <v>NA</v>
      </c>
      <c r="O233" s="77" t="str">
        <f>IFERROR(VLOOKUP($H233,TP[],3,FALSE),"NA")</f>
        <v>NA</v>
      </c>
      <c r="P233" s="77" t="str">
        <f>IFERROR(VLOOKUP($H233,TEN[],3,FALSE),"NA")</f>
        <v>NA</v>
      </c>
      <c r="Q233" s="77" t="str">
        <f>IFERROR(VLOOKUP($H233,TD[],3,FALSE),"NA")</f>
        <v>NA</v>
      </c>
      <c r="R233" s="77">
        <f>IFERROR(VLOOKUP($H233,TC[],3,FALSE),"NA")</f>
        <v>0</v>
      </c>
      <c r="S233" s="77" t="str">
        <f>IFERROR(VLOOKUP($H233,TEV[],3,FALSE),"NA")</f>
        <v>NA</v>
      </c>
      <c r="T233" s="79">
        <f>SUM(TbPrestamo[[#This Row],[GENERAL]:[ELEVADOR]])</f>
        <v>0</v>
      </c>
      <c r="U233" s="80">
        <f>IF(VLOOKUP(TbPrestamo[[#This Row],[ITEM]],TbPiezas[],5,FALSE)="NA",0,VLOOKUP(TbPrestamo[[#This Row],[ITEM]],TbPiezas[],5,FALSE))</f>
        <v>20.099999999999994</v>
      </c>
      <c r="V233" s="81">
        <f>+TbPrestamo[[#This Row],[TOTAL]]*TbPrestamo[[#This Row],[P.U. (1)]]</f>
        <v>0</v>
      </c>
      <c r="W233" s="82">
        <f>+VLOOKUP(TbPrestamo[[#This Row],[ITEM]],TbPiezas[],6,FALSE)</f>
        <v>2477.48</v>
      </c>
      <c r="X233" s="83">
        <f>+TbPrestamo[[#This Row],[TOTAL]]*TbPrestamo[[#This Row],[P.U. (2)]]</f>
        <v>0</v>
      </c>
      <c r="Y233" s="82">
        <f>+VLOOKUP(TbPrestamo[[#This Row],[ITEM]],TbPiezas[],7,FALSE)</f>
        <v>123.87400000000001</v>
      </c>
      <c r="Z233" s="84">
        <f>+TbPrestamo[[#This Row],[TOTAL]]*TbPrestamo[[#This Row],[P.U. (3)]]</f>
        <v>0</v>
      </c>
    </row>
    <row r="234" spans="1:26" ht="15" customHeight="1" x14ac:dyDescent="0.3">
      <c r="A234" s="2"/>
      <c r="B234" s="85">
        <v>216</v>
      </c>
      <c r="C234" s="71" t="s">
        <v>433</v>
      </c>
      <c r="D234" s="72" t="s">
        <v>434</v>
      </c>
      <c r="E234" s="73"/>
      <c r="F234" s="74">
        <f>+VLOOKUP(C234,TbPrestamo[],13,FALSE)</f>
        <v>0</v>
      </c>
      <c r="G234" s="2"/>
      <c r="H234" s="75" t="str">
        <f t="shared" si="6"/>
        <v>AE.4400</v>
      </c>
      <c r="I234" s="59" t="str">
        <f t="shared" si="7"/>
        <v>ok</v>
      </c>
      <c r="J234" s="77">
        <f>IFERROR(VLOOKUP($H234,TG[],3,FALSE),"NA")</f>
        <v>0</v>
      </c>
      <c r="K234" s="77" t="str">
        <f>IFERROR(VLOOKUP($H234,TF[],3,FALSE),"NA")</f>
        <v>NA</v>
      </c>
      <c r="L234" s="77" t="str">
        <f>IFERROR(VLOOKUP($H234,TT[],3,FALSE),"NA")</f>
        <v>NA</v>
      </c>
      <c r="M234" s="77" t="str">
        <f>IFERROR(VLOOKUP($H234,TES[],3,FALSE),"NA")</f>
        <v>NA</v>
      </c>
      <c r="N234" s="77" t="str">
        <f>IFERROR(VLOOKUP($H234,TEC[],3,FALSE),"NA")</f>
        <v>NA</v>
      </c>
      <c r="O234" s="77" t="str">
        <f>IFERROR(VLOOKUP($H234,TP[],3,FALSE),"NA")</f>
        <v>NA</v>
      </c>
      <c r="P234" s="77" t="str">
        <f>IFERROR(VLOOKUP($H234,TEN[],3,FALSE),"NA")</f>
        <v>NA</v>
      </c>
      <c r="Q234" s="77" t="str">
        <f>IFERROR(VLOOKUP($H234,TD[],3,FALSE),"NA")</f>
        <v>NA</v>
      </c>
      <c r="R234" s="77">
        <f>IFERROR(VLOOKUP($H234,TC[],3,FALSE),"NA")</f>
        <v>0</v>
      </c>
      <c r="S234" s="77" t="str">
        <f>IFERROR(VLOOKUP($H234,TEV[],3,FALSE),"NA")</f>
        <v>NA</v>
      </c>
      <c r="T234" s="79">
        <f>SUM(TbPrestamo[[#This Row],[GENERAL]:[ELEVADOR]])</f>
        <v>0</v>
      </c>
      <c r="U234" s="80">
        <f>IF(VLOOKUP(TbPrestamo[[#This Row],[ITEM]],TbPiezas[],5,FALSE)="NA",0,VLOOKUP(TbPrestamo[[#This Row],[ITEM]],TbPiezas[],5,FALSE))</f>
        <v>7.2000000000000028</v>
      </c>
      <c r="V234" s="81">
        <f>+TbPrestamo[[#This Row],[TOTAL]]*TbPrestamo[[#This Row],[P.U. (1)]]</f>
        <v>0</v>
      </c>
      <c r="W234" s="82">
        <f>+VLOOKUP(TbPrestamo[[#This Row],[ITEM]],TbPiezas[],6,FALSE)</f>
        <v>929.05</v>
      </c>
      <c r="X234" s="83">
        <f>+TbPrestamo[[#This Row],[TOTAL]]*TbPrestamo[[#This Row],[P.U. (2)]]</f>
        <v>0</v>
      </c>
      <c r="Y234" s="82">
        <f>+VLOOKUP(TbPrestamo[[#This Row],[ITEM]],TbPiezas[],7,FALSE)</f>
        <v>46.452500000000001</v>
      </c>
      <c r="Z234" s="84">
        <f>+TbPrestamo[[#This Row],[TOTAL]]*TbPrestamo[[#This Row],[P.U. (3)]]</f>
        <v>0</v>
      </c>
    </row>
    <row r="235" spans="1:26" ht="15" customHeight="1" x14ac:dyDescent="0.3">
      <c r="A235" s="2"/>
      <c r="B235" s="85">
        <v>217</v>
      </c>
      <c r="C235" s="71" t="s">
        <v>435</v>
      </c>
      <c r="D235" s="72" t="s">
        <v>436</v>
      </c>
      <c r="E235" s="73"/>
      <c r="F235" s="74">
        <f>+VLOOKUP(C235,TbPrestamo[],13,FALSE)</f>
        <v>0</v>
      </c>
      <c r="G235" s="2"/>
      <c r="H235" s="75" t="str">
        <f t="shared" si="6"/>
        <v>AE.4500</v>
      </c>
      <c r="I235" s="59" t="str">
        <f t="shared" si="7"/>
        <v>ok</v>
      </c>
      <c r="J235" s="77">
        <f>IFERROR(VLOOKUP($H235,TG[],3,FALSE),"NA")</f>
        <v>0</v>
      </c>
      <c r="K235" s="77" t="str">
        <f>IFERROR(VLOOKUP($H235,TF[],3,FALSE),"NA")</f>
        <v>NA</v>
      </c>
      <c r="L235" s="77" t="str">
        <f>IFERROR(VLOOKUP($H235,TT[],3,FALSE),"NA")</f>
        <v>NA</v>
      </c>
      <c r="M235" s="77" t="str">
        <f>IFERROR(VLOOKUP($H235,TES[],3,FALSE),"NA")</f>
        <v>NA</v>
      </c>
      <c r="N235" s="77" t="str">
        <f>IFERROR(VLOOKUP($H235,TEC[],3,FALSE),"NA")</f>
        <v>NA</v>
      </c>
      <c r="O235" s="77" t="str">
        <f>IFERROR(VLOOKUP($H235,TP[],3,FALSE),"NA")</f>
        <v>NA</v>
      </c>
      <c r="P235" s="77" t="str">
        <f>IFERROR(VLOOKUP($H235,TEN[],3,FALSE),"NA")</f>
        <v>NA</v>
      </c>
      <c r="Q235" s="77" t="str">
        <f>IFERROR(VLOOKUP($H235,TD[],3,FALSE),"NA")</f>
        <v>NA</v>
      </c>
      <c r="R235" s="77">
        <f>IFERROR(VLOOKUP($H235,TC[],3,FALSE),"NA")</f>
        <v>0</v>
      </c>
      <c r="S235" s="77" t="str">
        <f>IFERROR(VLOOKUP($H235,TEV[],3,FALSE),"NA")</f>
        <v>NA</v>
      </c>
      <c r="T235" s="79">
        <f>SUM(TbPrestamo[[#This Row],[GENERAL]:[ELEVADOR]])</f>
        <v>0</v>
      </c>
      <c r="U235" s="80">
        <f>IF(VLOOKUP(TbPrestamo[[#This Row],[ITEM]],TbPiezas[],5,FALSE)="NA",0,VLOOKUP(TbPrestamo[[#This Row],[ITEM]],TbPiezas[],5,FALSE))</f>
        <v>6.2000000000000028</v>
      </c>
      <c r="V235" s="81">
        <f>+TbPrestamo[[#This Row],[TOTAL]]*TbPrestamo[[#This Row],[P.U. (1)]]</f>
        <v>0</v>
      </c>
      <c r="W235" s="82">
        <f>+VLOOKUP(TbPrestamo[[#This Row],[ITEM]],TbPiezas[],6,FALSE)</f>
        <v>1238.74</v>
      </c>
      <c r="X235" s="83">
        <f>+TbPrestamo[[#This Row],[TOTAL]]*TbPrestamo[[#This Row],[P.U. (2)]]</f>
        <v>0</v>
      </c>
      <c r="Y235" s="82">
        <f>+VLOOKUP(TbPrestamo[[#This Row],[ITEM]],TbPiezas[],7,FALSE)</f>
        <v>61.937000000000005</v>
      </c>
      <c r="Z235" s="84">
        <f>+TbPrestamo[[#This Row],[TOTAL]]*TbPrestamo[[#This Row],[P.U. (3)]]</f>
        <v>0</v>
      </c>
    </row>
    <row r="236" spans="1:26" ht="15" customHeight="1" x14ac:dyDescent="0.3">
      <c r="A236" s="2"/>
      <c r="B236" s="85">
        <v>218</v>
      </c>
      <c r="C236" s="71" t="s">
        <v>437</v>
      </c>
      <c r="D236" s="72" t="s">
        <v>438</v>
      </c>
      <c r="E236" s="73"/>
      <c r="F236" s="74">
        <f>+VLOOKUP(C236,TbPrestamo[],13,FALSE)</f>
        <v>0</v>
      </c>
      <c r="G236" s="2"/>
      <c r="H236" s="75" t="str">
        <f t="shared" si="6"/>
        <v>AE.4600</v>
      </c>
      <c r="I236" s="59" t="str">
        <f t="shared" si="7"/>
        <v>ok</v>
      </c>
      <c r="J236" s="77">
        <f>IFERROR(VLOOKUP($H236,TG[],3,FALSE),"NA")</f>
        <v>0</v>
      </c>
      <c r="K236" s="77" t="str">
        <f>IFERROR(VLOOKUP($H236,TF[],3,FALSE),"NA")</f>
        <v>NA</v>
      </c>
      <c r="L236" s="77" t="str">
        <f>IFERROR(VLOOKUP($H236,TT[],3,FALSE),"NA")</f>
        <v>NA</v>
      </c>
      <c r="M236" s="77" t="str">
        <f>IFERROR(VLOOKUP($H236,TES[],3,FALSE),"NA")</f>
        <v>NA</v>
      </c>
      <c r="N236" s="77" t="str">
        <f>IFERROR(VLOOKUP($H236,TEC[],3,FALSE),"NA")</f>
        <v>NA</v>
      </c>
      <c r="O236" s="77" t="str">
        <f>IFERROR(VLOOKUP($H236,TP[],3,FALSE),"NA")</f>
        <v>NA</v>
      </c>
      <c r="P236" s="77" t="str">
        <f>IFERROR(VLOOKUP($H236,TEN[],3,FALSE),"NA")</f>
        <v>NA</v>
      </c>
      <c r="Q236" s="77" t="str">
        <f>IFERROR(VLOOKUP($H236,TD[],3,FALSE),"NA")</f>
        <v>NA</v>
      </c>
      <c r="R236" s="77">
        <f>IFERROR(VLOOKUP($H236,TC[],3,FALSE),"NA")</f>
        <v>0</v>
      </c>
      <c r="S236" s="77" t="str">
        <f>IFERROR(VLOOKUP($H236,TEV[],3,FALSE),"NA")</f>
        <v>NA</v>
      </c>
      <c r="T236" s="79">
        <f>SUM(TbPrestamo[[#This Row],[GENERAL]:[ELEVADOR]])</f>
        <v>0</v>
      </c>
      <c r="U236" s="80">
        <f>IF(VLOOKUP(TbPrestamo[[#This Row],[ITEM]],TbPiezas[],5,FALSE)="NA",0,VLOOKUP(TbPrestamo[[#This Row],[ITEM]],TbPiezas[],5,FALSE))</f>
        <v>13.599999999999994</v>
      </c>
      <c r="V236" s="81">
        <f>+TbPrestamo[[#This Row],[TOTAL]]*TbPrestamo[[#This Row],[P.U. (1)]]</f>
        <v>0</v>
      </c>
      <c r="W236" s="82">
        <f>+VLOOKUP(TbPrestamo[[#This Row],[ITEM]],TbPiezas[],6,FALSE)</f>
        <v>1858.11</v>
      </c>
      <c r="X236" s="83">
        <f>+TbPrestamo[[#This Row],[TOTAL]]*TbPrestamo[[#This Row],[P.U. (2)]]</f>
        <v>0</v>
      </c>
      <c r="Y236" s="82">
        <f>+VLOOKUP(TbPrestamo[[#This Row],[ITEM]],TbPiezas[],7,FALSE)</f>
        <v>92.905500000000004</v>
      </c>
      <c r="Z236" s="84">
        <f>+TbPrestamo[[#This Row],[TOTAL]]*TbPrestamo[[#This Row],[P.U. (3)]]</f>
        <v>0</v>
      </c>
    </row>
    <row r="237" spans="1:26" ht="15" customHeight="1" x14ac:dyDescent="0.3">
      <c r="A237" s="2"/>
      <c r="B237" s="85">
        <v>219</v>
      </c>
      <c r="C237" s="71" t="s">
        <v>439</v>
      </c>
      <c r="D237" s="72" t="s">
        <v>440</v>
      </c>
      <c r="E237" s="73"/>
      <c r="F237" s="74">
        <f>+VLOOKUP(C237,TbPrestamo[],13,FALSE)</f>
        <v>0</v>
      </c>
      <c r="G237" s="2"/>
      <c r="H237" s="75" t="str">
        <f t="shared" si="6"/>
        <v>AE.4700</v>
      </c>
      <c r="I237" s="59" t="str">
        <f t="shared" si="7"/>
        <v>ok</v>
      </c>
      <c r="J237" s="77">
        <f>IFERROR(VLOOKUP($H237,TG[],3,FALSE),"NA")</f>
        <v>0</v>
      </c>
      <c r="K237" s="77" t="str">
        <f>IFERROR(VLOOKUP($H237,TF[],3,FALSE),"NA")</f>
        <v>NA</v>
      </c>
      <c r="L237" s="77" t="str">
        <f>IFERROR(VLOOKUP($H237,TT[],3,FALSE),"NA")</f>
        <v>NA</v>
      </c>
      <c r="M237" s="77" t="str">
        <f>IFERROR(VLOOKUP($H237,TES[],3,FALSE),"NA")</f>
        <v>NA</v>
      </c>
      <c r="N237" s="77" t="str">
        <f>IFERROR(VLOOKUP($H237,TEC[],3,FALSE),"NA")</f>
        <v>NA</v>
      </c>
      <c r="O237" s="77" t="str">
        <f>IFERROR(VLOOKUP($H237,TP[],3,FALSE),"NA")</f>
        <v>NA</v>
      </c>
      <c r="P237" s="77" t="str">
        <f>IFERROR(VLOOKUP($H237,TEN[],3,FALSE),"NA")</f>
        <v>NA</v>
      </c>
      <c r="Q237" s="77" t="str">
        <f>IFERROR(VLOOKUP($H237,TD[],3,FALSE),"NA")</f>
        <v>NA</v>
      </c>
      <c r="R237" s="77">
        <f>IFERROR(VLOOKUP($H237,TC[],3,FALSE),"NA")</f>
        <v>0</v>
      </c>
      <c r="S237" s="77" t="str">
        <f>IFERROR(VLOOKUP($H237,TEV[],3,FALSE),"NA")</f>
        <v>NA</v>
      </c>
      <c r="T237" s="79">
        <f>SUM(TbPrestamo[[#This Row],[GENERAL]:[ELEVADOR]])</f>
        <v>0</v>
      </c>
      <c r="U237" s="80">
        <f>IF(VLOOKUP(TbPrestamo[[#This Row],[ITEM]],TbPiezas[],5,FALSE)="NA",0,VLOOKUP(TbPrestamo[[#This Row],[ITEM]],TbPiezas[],5,FALSE))</f>
        <v>7.7000000000000028</v>
      </c>
      <c r="V237" s="81">
        <f>+TbPrestamo[[#This Row],[TOTAL]]*TbPrestamo[[#This Row],[P.U. (1)]]</f>
        <v>0</v>
      </c>
      <c r="W237" s="82">
        <f>+VLOOKUP(TbPrestamo[[#This Row],[ITEM]],TbPiezas[],6,FALSE)</f>
        <v>929.05</v>
      </c>
      <c r="X237" s="83">
        <f>+TbPrestamo[[#This Row],[TOTAL]]*TbPrestamo[[#This Row],[P.U. (2)]]</f>
        <v>0</v>
      </c>
      <c r="Y237" s="82">
        <f>+VLOOKUP(TbPrestamo[[#This Row],[ITEM]],TbPiezas[],7,FALSE)</f>
        <v>46.452500000000001</v>
      </c>
      <c r="Z237" s="84">
        <f>+TbPrestamo[[#This Row],[TOTAL]]*TbPrestamo[[#This Row],[P.U. (3)]]</f>
        <v>0</v>
      </c>
    </row>
    <row r="238" spans="1:26" ht="15" customHeight="1" x14ac:dyDescent="0.3">
      <c r="A238" s="2"/>
      <c r="B238" s="85">
        <v>220</v>
      </c>
      <c r="C238" s="71" t="s">
        <v>441</v>
      </c>
      <c r="D238" s="72" t="s">
        <v>442</v>
      </c>
      <c r="E238" s="73"/>
      <c r="F238" s="74">
        <f>+VLOOKUP(C238,TbPrestamo[],13,FALSE)</f>
        <v>0</v>
      </c>
      <c r="G238" s="2"/>
      <c r="H238" s="75" t="str">
        <f t="shared" si="6"/>
        <v>AE.4800</v>
      </c>
      <c r="I238" s="59" t="str">
        <f t="shared" si="7"/>
        <v>ok</v>
      </c>
      <c r="J238" s="77">
        <f>IFERROR(VLOOKUP($H238,TG[],3,FALSE),"NA")</f>
        <v>0</v>
      </c>
      <c r="K238" s="77" t="str">
        <f>IFERROR(VLOOKUP($H238,TF[],3,FALSE),"NA")</f>
        <v>NA</v>
      </c>
      <c r="L238" s="77" t="str">
        <f>IFERROR(VLOOKUP($H238,TT[],3,FALSE),"NA")</f>
        <v>NA</v>
      </c>
      <c r="M238" s="77" t="str">
        <f>IFERROR(VLOOKUP($H238,TES[],3,FALSE),"NA")</f>
        <v>NA</v>
      </c>
      <c r="N238" s="77" t="str">
        <f>IFERROR(VLOOKUP($H238,TEC[],3,FALSE),"NA")</f>
        <v>NA</v>
      </c>
      <c r="O238" s="77" t="str">
        <f>IFERROR(VLOOKUP($H238,TP[],3,FALSE),"NA")</f>
        <v>NA</v>
      </c>
      <c r="P238" s="77" t="str">
        <f>IFERROR(VLOOKUP($H238,TEN[],3,FALSE),"NA")</f>
        <v>NA</v>
      </c>
      <c r="Q238" s="77" t="str">
        <f>IFERROR(VLOOKUP($H238,TD[],3,FALSE),"NA")</f>
        <v>NA</v>
      </c>
      <c r="R238" s="77">
        <f>IFERROR(VLOOKUP($H238,TC[],3,FALSE),"NA")</f>
        <v>0</v>
      </c>
      <c r="S238" s="77" t="str">
        <f>IFERROR(VLOOKUP($H238,TEV[],3,FALSE),"NA")</f>
        <v>NA</v>
      </c>
      <c r="T238" s="79">
        <f>SUM(TbPrestamo[[#This Row],[GENERAL]:[ELEVADOR]])</f>
        <v>0</v>
      </c>
      <c r="U238" s="80">
        <f>IF(VLOOKUP(TbPrestamo[[#This Row],[ITEM]],TbPiezas[],5,FALSE)="NA",0,VLOOKUP(TbPrestamo[[#This Row],[ITEM]],TbPiezas[],5,FALSE))</f>
        <v>8.5999999999999943</v>
      </c>
      <c r="V238" s="81">
        <f>+TbPrestamo[[#This Row],[TOTAL]]*TbPrestamo[[#This Row],[P.U. (1)]]</f>
        <v>0</v>
      </c>
      <c r="W238" s="82">
        <f>+VLOOKUP(TbPrestamo[[#This Row],[ITEM]],TbPiezas[],6,FALSE)</f>
        <v>1238.74</v>
      </c>
      <c r="X238" s="83">
        <f>+TbPrestamo[[#This Row],[TOTAL]]*TbPrestamo[[#This Row],[P.U. (2)]]</f>
        <v>0</v>
      </c>
      <c r="Y238" s="82">
        <f>+VLOOKUP(TbPrestamo[[#This Row],[ITEM]],TbPiezas[],7,FALSE)</f>
        <v>61.937000000000005</v>
      </c>
      <c r="Z238" s="84">
        <f>+TbPrestamo[[#This Row],[TOTAL]]*TbPrestamo[[#This Row],[P.U. (3)]]</f>
        <v>0</v>
      </c>
    </row>
    <row r="239" spans="1:26" ht="15" customHeight="1" x14ac:dyDescent="0.3">
      <c r="A239" s="2"/>
      <c r="B239" s="85">
        <v>221</v>
      </c>
      <c r="C239" s="71" t="s">
        <v>443</v>
      </c>
      <c r="D239" s="72" t="s">
        <v>444</v>
      </c>
      <c r="E239" s="73"/>
      <c r="F239" s="74">
        <f>+VLOOKUP(C239,TbPrestamo[],13,FALSE)</f>
        <v>0</v>
      </c>
      <c r="G239" s="2"/>
      <c r="H239" s="75" t="str">
        <f t="shared" si="6"/>
        <v>AE.4900</v>
      </c>
      <c r="I239" s="59" t="str">
        <f t="shared" si="7"/>
        <v>ok</v>
      </c>
      <c r="J239" s="77">
        <f>IFERROR(VLOOKUP($H239,TG[],3,FALSE),"NA")</f>
        <v>0</v>
      </c>
      <c r="K239" s="77" t="str">
        <f>IFERROR(VLOOKUP($H239,TF[],3,FALSE),"NA")</f>
        <v>NA</v>
      </c>
      <c r="L239" s="77" t="str">
        <f>IFERROR(VLOOKUP($H239,TT[],3,FALSE),"NA")</f>
        <v>NA</v>
      </c>
      <c r="M239" s="77" t="str">
        <f>IFERROR(VLOOKUP($H239,TES[],3,FALSE),"NA")</f>
        <v>NA</v>
      </c>
      <c r="N239" s="77" t="str">
        <f>IFERROR(VLOOKUP($H239,TEC[],3,FALSE),"NA")</f>
        <v>NA</v>
      </c>
      <c r="O239" s="77" t="str">
        <f>IFERROR(VLOOKUP($H239,TP[],3,FALSE),"NA")</f>
        <v>NA</v>
      </c>
      <c r="P239" s="77" t="str">
        <f>IFERROR(VLOOKUP($H239,TEN[],3,FALSE),"NA")</f>
        <v>NA</v>
      </c>
      <c r="Q239" s="77" t="str">
        <f>IFERROR(VLOOKUP($H239,TD[],3,FALSE),"NA")</f>
        <v>NA</v>
      </c>
      <c r="R239" s="77">
        <f>IFERROR(VLOOKUP($H239,TC[],3,FALSE),"NA")</f>
        <v>0</v>
      </c>
      <c r="S239" s="77" t="str">
        <f>IFERROR(VLOOKUP($H239,TEV[],3,FALSE),"NA")</f>
        <v>NA</v>
      </c>
      <c r="T239" s="79">
        <f>SUM(TbPrestamo[[#This Row],[GENERAL]:[ELEVADOR]])</f>
        <v>0</v>
      </c>
      <c r="U239" s="80">
        <f>IF(VLOOKUP(TbPrestamo[[#This Row],[ITEM]],TbPiezas[],5,FALSE)="NA",0,VLOOKUP(TbPrestamo[[#This Row],[ITEM]],TbPiezas[],5,FALSE))</f>
        <v>14</v>
      </c>
      <c r="V239" s="81">
        <f>+TbPrestamo[[#This Row],[TOTAL]]*TbPrestamo[[#This Row],[P.U. (1)]]</f>
        <v>0</v>
      </c>
      <c r="W239" s="82">
        <f>+VLOOKUP(TbPrestamo[[#This Row],[ITEM]],TbPiezas[],6,FALSE)</f>
        <v>1858.11</v>
      </c>
      <c r="X239" s="83">
        <f>+TbPrestamo[[#This Row],[TOTAL]]*TbPrestamo[[#This Row],[P.U. (2)]]</f>
        <v>0</v>
      </c>
      <c r="Y239" s="82">
        <f>+VLOOKUP(TbPrestamo[[#This Row],[ITEM]],TbPiezas[],7,FALSE)</f>
        <v>92.905500000000004</v>
      </c>
      <c r="Z239" s="84">
        <f>+TbPrestamo[[#This Row],[TOTAL]]*TbPrestamo[[#This Row],[P.U. (3)]]</f>
        <v>0</v>
      </c>
    </row>
    <row r="240" spans="1:26" ht="15" customHeight="1" x14ac:dyDescent="0.3">
      <c r="A240" s="2"/>
      <c r="B240" s="85">
        <v>222</v>
      </c>
      <c r="C240" s="71" t="s">
        <v>445</v>
      </c>
      <c r="D240" s="72" t="s">
        <v>446</v>
      </c>
      <c r="E240" s="73"/>
      <c r="F240" s="74">
        <f>+VLOOKUP(C240,TbPrestamo[],13,FALSE)</f>
        <v>0</v>
      </c>
      <c r="G240" s="2"/>
      <c r="H240" s="75" t="str">
        <f t="shared" si="6"/>
        <v>AE.5000</v>
      </c>
      <c r="I240" s="59" t="str">
        <f t="shared" si="7"/>
        <v>ok</v>
      </c>
      <c r="J240" s="77">
        <f>IFERROR(VLOOKUP($H240,TG[],3,FALSE),"NA")</f>
        <v>0</v>
      </c>
      <c r="K240" s="77" t="str">
        <f>IFERROR(VLOOKUP($H240,TF[],3,FALSE),"NA")</f>
        <v>NA</v>
      </c>
      <c r="L240" s="77" t="str">
        <f>IFERROR(VLOOKUP($H240,TT[],3,FALSE),"NA")</f>
        <v>NA</v>
      </c>
      <c r="M240" s="77" t="str">
        <f>IFERROR(VLOOKUP($H240,TES[],3,FALSE),"NA")</f>
        <v>NA</v>
      </c>
      <c r="N240" s="77" t="str">
        <f>IFERROR(VLOOKUP($H240,TEC[],3,FALSE),"NA")</f>
        <v>NA</v>
      </c>
      <c r="O240" s="77" t="str">
        <f>IFERROR(VLOOKUP($H240,TP[],3,FALSE),"NA")</f>
        <v>NA</v>
      </c>
      <c r="P240" s="77" t="str">
        <f>IFERROR(VLOOKUP($H240,TEN[],3,FALSE),"NA")</f>
        <v>NA</v>
      </c>
      <c r="Q240" s="77" t="str">
        <f>IFERROR(VLOOKUP($H240,TD[],3,FALSE),"NA")</f>
        <v>NA</v>
      </c>
      <c r="R240" s="77">
        <f>IFERROR(VLOOKUP($H240,TC[],3,FALSE),"NA")</f>
        <v>0</v>
      </c>
      <c r="S240" s="77" t="str">
        <f>IFERROR(VLOOKUP($H240,TEV[],3,FALSE),"NA")</f>
        <v>NA</v>
      </c>
      <c r="T240" s="79">
        <f>SUM(TbPrestamo[[#This Row],[GENERAL]:[ELEVADOR]])</f>
        <v>0</v>
      </c>
      <c r="U240" s="80">
        <f>IF(VLOOKUP(TbPrestamo[[#This Row],[ITEM]],TbPiezas[],5,FALSE)="NA",0,VLOOKUP(TbPrestamo[[#This Row],[ITEM]],TbPiezas[],5,FALSE))</f>
        <v>10.9</v>
      </c>
      <c r="V240" s="81">
        <f>+TbPrestamo[[#This Row],[TOTAL]]*TbPrestamo[[#This Row],[P.U. (1)]]</f>
        <v>0</v>
      </c>
      <c r="W240" s="82">
        <f>+VLOOKUP(TbPrestamo[[#This Row],[ITEM]],TbPiezas[],6,FALSE)</f>
        <v>826.63</v>
      </c>
      <c r="X240" s="83">
        <f>+TbPrestamo[[#This Row],[TOTAL]]*TbPrestamo[[#This Row],[P.U. (2)]]</f>
        <v>0</v>
      </c>
      <c r="Y240" s="82">
        <f>+VLOOKUP(TbPrestamo[[#This Row],[ITEM]],TbPiezas[],7,FALSE)</f>
        <v>41.331500000000005</v>
      </c>
      <c r="Z240" s="84">
        <f>+TbPrestamo[[#This Row],[TOTAL]]*TbPrestamo[[#This Row],[P.U. (3)]]</f>
        <v>0</v>
      </c>
    </row>
    <row r="241" spans="1:26" ht="15" customHeight="1" x14ac:dyDescent="0.3">
      <c r="A241" s="2"/>
      <c r="B241" s="85">
        <v>223</v>
      </c>
      <c r="C241" s="71" t="s">
        <v>447</v>
      </c>
      <c r="D241" s="72" t="s">
        <v>448</v>
      </c>
      <c r="E241" s="73"/>
      <c r="F241" s="74">
        <f>+VLOOKUP(C241,TbPrestamo[],13,FALSE)</f>
        <v>0</v>
      </c>
      <c r="G241" s="2"/>
      <c r="H241" s="75" t="str">
        <f t="shared" si="6"/>
        <v>AE.5100</v>
      </c>
      <c r="I241" s="59" t="str">
        <f t="shared" si="7"/>
        <v>ok</v>
      </c>
      <c r="J241" s="77">
        <f>IFERROR(VLOOKUP($H241,TG[],3,FALSE),"NA")</f>
        <v>0</v>
      </c>
      <c r="K241" s="77" t="str">
        <f>IFERROR(VLOOKUP($H241,TF[],3,FALSE),"NA")</f>
        <v>NA</v>
      </c>
      <c r="L241" s="77" t="str">
        <f>IFERROR(VLOOKUP($H241,TT[],3,FALSE),"NA")</f>
        <v>NA</v>
      </c>
      <c r="M241" s="77" t="str">
        <f>IFERROR(VLOOKUP($H241,TES[],3,FALSE),"NA")</f>
        <v>NA</v>
      </c>
      <c r="N241" s="77" t="str">
        <f>IFERROR(VLOOKUP($H241,TEC[],3,FALSE),"NA")</f>
        <v>NA</v>
      </c>
      <c r="O241" s="77" t="str">
        <f>IFERROR(VLOOKUP($H241,TP[],3,FALSE),"NA")</f>
        <v>NA</v>
      </c>
      <c r="P241" s="77" t="str">
        <f>IFERROR(VLOOKUP($H241,TEN[],3,FALSE),"NA")</f>
        <v>NA</v>
      </c>
      <c r="Q241" s="77" t="str">
        <f>IFERROR(VLOOKUP($H241,TD[],3,FALSE),"NA")</f>
        <v>NA</v>
      </c>
      <c r="R241" s="77">
        <f>IFERROR(VLOOKUP($H241,TC[],3,FALSE),"NA")</f>
        <v>0</v>
      </c>
      <c r="S241" s="77" t="str">
        <f>IFERROR(VLOOKUP($H241,TEV[],3,FALSE),"NA")</f>
        <v>NA</v>
      </c>
      <c r="T241" s="79">
        <f>SUM(TbPrestamo[[#This Row],[GENERAL]:[ELEVADOR]])</f>
        <v>0</v>
      </c>
      <c r="U241" s="80">
        <f>IF(VLOOKUP(TbPrestamo[[#This Row],[ITEM]],TbPiezas[],5,FALSE)="NA",0,VLOOKUP(TbPrestamo[[#This Row],[ITEM]],TbPiezas[],5,FALSE))</f>
        <v>4.5599999999999996</v>
      </c>
      <c r="V241" s="81">
        <f>+TbPrestamo[[#This Row],[TOTAL]]*TbPrestamo[[#This Row],[P.U. (1)]]</f>
        <v>0</v>
      </c>
      <c r="W241" s="82">
        <f>+VLOOKUP(TbPrestamo[[#This Row],[ITEM]],TbPiezas[],6,FALSE)</f>
        <v>614.11</v>
      </c>
      <c r="X241" s="83">
        <f>+TbPrestamo[[#This Row],[TOTAL]]*TbPrestamo[[#This Row],[P.U. (2)]]</f>
        <v>0</v>
      </c>
      <c r="Y241" s="82">
        <f>+VLOOKUP(TbPrestamo[[#This Row],[ITEM]],TbPiezas[],7,FALSE)</f>
        <v>30.705500000000001</v>
      </c>
      <c r="Z241" s="84">
        <f>+TbPrestamo[[#This Row],[TOTAL]]*TbPrestamo[[#This Row],[P.U. (3)]]</f>
        <v>0</v>
      </c>
    </row>
    <row r="242" spans="1:26" ht="15" customHeight="1" x14ac:dyDescent="0.3">
      <c r="A242" s="2"/>
      <c r="B242" s="85">
        <v>224</v>
      </c>
      <c r="C242" s="71" t="s">
        <v>449</v>
      </c>
      <c r="D242" s="72" t="s">
        <v>450</v>
      </c>
      <c r="E242" s="73"/>
      <c r="F242" s="74">
        <f>+VLOOKUP(C242,TbPrestamo[],13,FALSE)</f>
        <v>0</v>
      </c>
      <c r="G242" s="2"/>
      <c r="H242" s="75" t="str">
        <f t="shared" si="6"/>
        <v>AE.5200</v>
      </c>
      <c r="I242" s="59" t="str">
        <f t="shared" si="7"/>
        <v>ok</v>
      </c>
      <c r="J242" s="77">
        <f>IFERROR(VLOOKUP($H242,TG[],3,FALSE),"NA")</f>
        <v>0</v>
      </c>
      <c r="K242" s="77" t="str">
        <f>IFERROR(VLOOKUP($H242,TF[],3,FALSE),"NA")</f>
        <v>NA</v>
      </c>
      <c r="L242" s="77" t="str">
        <f>IFERROR(VLOOKUP($H242,TT[],3,FALSE),"NA")</f>
        <v>NA</v>
      </c>
      <c r="M242" s="77" t="str">
        <f>IFERROR(VLOOKUP($H242,TES[],3,FALSE),"NA")</f>
        <v>NA</v>
      </c>
      <c r="N242" s="77" t="str">
        <f>IFERROR(VLOOKUP($H242,TEC[],3,FALSE),"NA")</f>
        <v>NA</v>
      </c>
      <c r="O242" s="77" t="str">
        <f>IFERROR(VLOOKUP($H242,TP[],3,FALSE),"NA")</f>
        <v>NA</v>
      </c>
      <c r="P242" s="77" t="str">
        <f>IFERROR(VLOOKUP($H242,TEN[],3,FALSE),"NA")</f>
        <v>NA</v>
      </c>
      <c r="Q242" s="77" t="str">
        <f>IFERROR(VLOOKUP($H242,TD[],3,FALSE),"NA")</f>
        <v>NA</v>
      </c>
      <c r="R242" s="77">
        <f>IFERROR(VLOOKUP($H242,TC[],3,FALSE),"NA")</f>
        <v>0</v>
      </c>
      <c r="S242" s="77" t="str">
        <f>IFERROR(VLOOKUP($H242,TEV[],3,FALSE),"NA")</f>
        <v>NA</v>
      </c>
      <c r="T242" s="79">
        <f>SUM(TbPrestamo[[#This Row],[GENERAL]:[ELEVADOR]])</f>
        <v>0</v>
      </c>
      <c r="U242" s="80">
        <f>IF(VLOOKUP(TbPrestamo[[#This Row],[ITEM]],TbPiezas[],5,FALSE)="NA",0,VLOOKUP(TbPrestamo[[#This Row],[ITEM]],TbPiezas[],5,FALSE))</f>
        <v>4.6399999999999997</v>
      </c>
      <c r="V242" s="81">
        <f>+TbPrestamo[[#This Row],[TOTAL]]*TbPrestamo[[#This Row],[P.U. (1)]]</f>
        <v>0</v>
      </c>
      <c r="W242" s="82">
        <f>+VLOOKUP(TbPrestamo[[#This Row],[ITEM]],TbPiezas[],6,FALSE)</f>
        <v>619.37</v>
      </c>
      <c r="X242" s="83">
        <f>+TbPrestamo[[#This Row],[TOTAL]]*TbPrestamo[[#This Row],[P.U. (2)]]</f>
        <v>0</v>
      </c>
      <c r="Y242" s="82">
        <f>+VLOOKUP(TbPrestamo[[#This Row],[ITEM]],TbPiezas[],7,FALSE)</f>
        <v>30.968500000000002</v>
      </c>
      <c r="Z242" s="84">
        <f>+TbPrestamo[[#This Row],[TOTAL]]*TbPrestamo[[#This Row],[P.U. (3)]]</f>
        <v>0</v>
      </c>
    </row>
    <row r="243" spans="1:26" ht="15" customHeight="1" x14ac:dyDescent="0.3">
      <c r="A243" s="2"/>
      <c r="B243" s="85">
        <v>225</v>
      </c>
      <c r="C243" s="71" t="s">
        <v>451</v>
      </c>
      <c r="D243" s="72" t="s">
        <v>452</v>
      </c>
      <c r="E243" s="73"/>
      <c r="F243" s="74">
        <f>+VLOOKUP(C243,TbPrestamo[],13,FALSE)</f>
        <v>0</v>
      </c>
      <c r="G243" s="2"/>
      <c r="H243" s="75" t="str">
        <f t="shared" si="6"/>
        <v>AE.5300</v>
      </c>
      <c r="I243" s="59" t="str">
        <f t="shared" si="7"/>
        <v>ok</v>
      </c>
      <c r="J243" s="77">
        <f>IFERROR(VLOOKUP($H243,TG[],3,FALSE),"NA")</f>
        <v>0</v>
      </c>
      <c r="K243" s="77" t="str">
        <f>IFERROR(VLOOKUP($H243,TF[],3,FALSE),"NA")</f>
        <v>NA</v>
      </c>
      <c r="L243" s="77" t="str">
        <f>IFERROR(VLOOKUP($H243,TT[],3,FALSE),"NA")</f>
        <v>NA</v>
      </c>
      <c r="M243" s="77" t="str">
        <f>IFERROR(VLOOKUP($H243,TES[],3,FALSE),"NA")</f>
        <v>NA</v>
      </c>
      <c r="N243" s="77" t="str">
        <f>IFERROR(VLOOKUP($H243,TEC[],3,FALSE),"NA")</f>
        <v>NA</v>
      </c>
      <c r="O243" s="77" t="str">
        <f>IFERROR(VLOOKUP($H243,TP[],3,FALSE),"NA")</f>
        <v>NA</v>
      </c>
      <c r="P243" s="77" t="str">
        <f>IFERROR(VLOOKUP($H243,TEN[],3,FALSE),"NA")</f>
        <v>NA</v>
      </c>
      <c r="Q243" s="77" t="str">
        <f>IFERROR(VLOOKUP($H243,TD[],3,FALSE),"NA")</f>
        <v>NA</v>
      </c>
      <c r="R243" s="77">
        <f>IFERROR(VLOOKUP($H243,TC[],3,FALSE),"NA")</f>
        <v>0</v>
      </c>
      <c r="S243" s="77" t="str">
        <f>IFERROR(VLOOKUP($H243,TEV[],3,FALSE),"NA")</f>
        <v>NA</v>
      </c>
      <c r="T243" s="79">
        <f>SUM(TbPrestamo[[#This Row],[GENERAL]:[ELEVADOR]])</f>
        <v>0</v>
      </c>
      <c r="U243" s="80">
        <f>IF(VLOOKUP(TbPrestamo[[#This Row],[ITEM]],TbPiezas[],5,FALSE)="NA",0,VLOOKUP(TbPrestamo[[#This Row],[ITEM]],TbPiezas[],5,FALSE))</f>
        <v>15</v>
      </c>
      <c r="V243" s="81">
        <f>+TbPrestamo[[#This Row],[TOTAL]]*TbPrestamo[[#This Row],[P.U. (1)]]</f>
        <v>0</v>
      </c>
      <c r="W243" s="82">
        <f>+VLOOKUP(TbPrestamo[[#This Row],[ITEM]],TbPiezas[],6,FALSE)</f>
        <v>1715.18</v>
      </c>
      <c r="X243" s="83">
        <f>+TbPrestamo[[#This Row],[TOTAL]]*TbPrestamo[[#This Row],[P.U. (2)]]</f>
        <v>0</v>
      </c>
      <c r="Y243" s="82">
        <f>+VLOOKUP(TbPrestamo[[#This Row],[ITEM]],TbPiezas[],7,FALSE)</f>
        <v>85.759000000000015</v>
      </c>
      <c r="Z243" s="84">
        <f>+TbPrestamo[[#This Row],[TOTAL]]*TbPrestamo[[#This Row],[P.U. (3)]]</f>
        <v>0</v>
      </c>
    </row>
    <row r="244" spans="1:26" ht="15" customHeight="1" x14ac:dyDescent="0.3">
      <c r="A244" s="2"/>
      <c r="B244" s="85">
        <v>226</v>
      </c>
      <c r="C244" s="71" t="s">
        <v>453</v>
      </c>
      <c r="D244" s="72" t="s">
        <v>454</v>
      </c>
      <c r="E244" s="73"/>
      <c r="F244" s="74">
        <f>+VLOOKUP(C244,TbPrestamo[],13,FALSE)</f>
        <v>0</v>
      </c>
      <c r="G244" s="2"/>
      <c r="H244" s="75" t="str">
        <f t="shared" si="6"/>
        <v>AE.5400</v>
      </c>
      <c r="I244" s="59" t="str">
        <f t="shared" si="7"/>
        <v>ok</v>
      </c>
      <c r="J244" s="77">
        <f>IFERROR(VLOOKUP($H244,TG[],3,FALSE),"NA")</f>
        <v>0</v>
      </c>
      <c r="K244" s="77" t="str">
        <f>IFERROR(VLOOKUP($H244,TF[],3,FALSE),"NA")</f>
        <v>NA</v>
      </c>
      <c r="L244" s="77" t="str">
        <f>IFERROR(VLOOKUP($H244,TT[],3,FALSE),"NA")</f>
        <v>NA</v>
      </c>
      <c r="M244" s="77" t="str">
        <f>IFERROR(VLOOKUP($H244,TES[],3,FALSE),"NA")</f>
        <v>NA</v>
      </c>
      <c r="N244" s="77" t="str">
        <f>IFERROR(VLOOKUP($H244,TEC[],3,FALSE),"NA")</f>
        <v>NA</v>
      </c>
      <c r="O244" s="77" t="str">
        <f>IFERROR(VLOOKUP($H244,TP[],3,FALSE),"NA")</f>
        <v>NA</v>
      </c>
      <c r="P244" s="77" t="str">
        <f>IFERROR(VLOOKUP($H244,TEN[],3,FALSE),"NA")</f>
        <v>NA</v>
      </c>
      <c r="Q244" s="77" t="str">
        <f>IFERROR(VLOOKUP($H244,TD[],3,FALSE),"NA")</f>
        <v>NA</v>
      </c>
      <c r="R244" s="77">
        <f>IFERROR(VLOOKUP($H244,TC[],3,FALSE),"NA")</f>
        <v>0</v>
      </c>
      <c r="S244" s="77" t="str">
        <f>IFERROR(VLOOKUP($H244,TEV[],3,FALSE),"NA")</f>
        <v>NA</v>
      </c>
      <c r="T244" s="79">
        <f>SUM(TbPrestamo[[#This Row],[GENERAL]:[ELEVADOR]])</f>
        <v>0</v>
      </c>
      <c r="U244" s="80">
        <f>IF(VLOOKUP(TbPrestamo[[#This Row],[ITEM]],TbPiezas[],5,FALSE)="NA",0,VLOOKUP(TbPrestamo[[#This Row],[ITEM]],TbPiezas[],5,FALSE))</f>
        <v>15</v>
      </c>
      <c r="V244" s="81">
        <f>+TbPrestamo[[#This Row],[TOTAL]]*TbPrestamo[[#This Row],[P.U. (1)]]</f>
        <v>0</v>
      </c>
      <c r="W244" s="82">
        <f>+VLOOKUP(TbPrestamo[[#This Row],[ITEM]],TbPiezas[],6,FALSE)</f>
        <v>1715.18</v>
      </c>
      <c r="X244" s="83">
        <f>+TbPrestamo[[#This Row],[TOTAL]]*TbPrestamo[[#This Row],[P.U. (2)]]</f>
        <v>0</v>
      </c>
      <c r="Y244" s="82">
        <f>+VLOOKUP(TbPrestamo[[#This Row],[ITEM]],TbPiezas[],7,FALSE)</f>
        <v>85.759000000000015</v>
      </c>
      <c r="Z244" s="84">
        <f>+TbPrestamo[[#This Row],[TOTAL]]*TbPrestamo[[#This Row],[P.U. (3)]]</f>
        <v>0</v>
      </c>
    </row>
    <row r="245" spans="1:26" ht="15" customHeight="1" x14ac:dyDescent="0.3">
      <c r="A245" s="2"/>
      <c r="B245" s="85">
        <v>227</v>
      </c>
      <c r="C245" s="71" t="s">
        <v>455</v>
      </c>
      <c r="D245" s="72" t="s">
        <v>456</v>
      </c>
      <c r="E245" s="73"/>
      <c r="F245" s="74">
        <f>+VLOOKUP(C245,TbPrestamo[],13,FALSE)</f>
        <v>0</v>
      </c>
      <c r="G245" s="2"/>
      <c r="H245" s="75" t="str">
        <f t="shared" si="6"/>
        <v>AE.5500</v>
      </c>
      <c r="I245" s="59" t="str">
        <f t="shared" si="7"/>
        <v>ok</v>
      </c>
      <c r="J245" s="77">
        <f>IFERROR(VLOOKUP($H245,TG[],3,FALSE),"NA")</f>
        <v>0</v>
      </c>
      <c r="K245" s="77" t="str">
        <f>IFERROR(VLOOKUP($H245,TF[],3,FALSE),"NA")</f>
        <v>NA</v>
      </c>
      <c r="L245" s="77" t="str">
        <f>IFERROR(VLOOKUP($H245,TT[],3,FALSE),"NA")</f>
        <v>NA</v>
      </c>
      <c r="M245" s="77" t="str">
        <f>IFERROR(VLOOKUP($H245,TES[],3,FALSE),"NA")</f>
        <v>NA</v>
      </c>
      <c r="N245" s="77" t="str">
        <f>IFERROR(VLOOKUP($H245,TEC[],3,FALSE),"NA")</f>
        <v>NA</v>
      </c>
      <c r="O245" s="77" t="str">
        <f>IFERROR(VLOOKUP($H245,TP[],3,FALSE),"NA")</f>
        <v>NA</v>
      </c>
      <c r="P245" s="77" t="str">
        <f>IFERROR(VLOOKUP($H245,TEN[],3,FALSE),"NA")</f>
        <v>NA</v>
      </c>
      <c r="Q245" s="77" t="str">
        <f>IFERROR(VLOOKUP($H245,TD[],3,FALSE),"NA")</f>
        <v>NA</v>
      </c>
      <c r="R245" s="77">
        <f>IFERROR(VLOOKUP($H245,TC[],3,FALSE),"NA")</f>
        <v>0</v>
      </c>
      <c r="S245" s="77" t="str">
        <f>IFERROR(VLOOKUP($H245,TEV[],3,FALSE),"NA")</f>
        <v>NA</v>
      </c>
      <c r="T245" s="79">
        <f>SUM(TbPrestamo[[#This Row],[GENERAL]:[ELEVADOR]])</f>
        <v>0</v>
      </c>
      <c r="U245" s="80">
        <f>IF(VLOOKUP(TbPrestamo[[#This Row],[ITEM]],TbPiezas[],5,FALSE)="NA",0,VLOOKUP(TbPrestamo[[#This Row],[ITEM]],TbPiezas[],5,FALSE))</f>
        <v>15</v>
      </c>
      <c r="V245" s="81">
        <f>+TbPrestamo[[#This Row],[TOTAL]]*TbPrestamo[[#This Row],[P.U. (1)]]</f>
        <v>0</v>
      </c>
      <c r="W245" s="82">
        <f>+VLOOKUP(TbPrestamo[[#This Row],[ITEM]],TbPiezas[],6,FALSE)</f>
        <v>1715.18</v>
      </c>
      <c r="X245" s="83">
        <f>+TbPrestamo[[#This Row],[TOTAL]]*TbPrestamo[[#This Row],[P.U. (2)]]</f>
        <v>0</v>
      </c>
      <c r="Y245" s="82">
        <f>+VLOOKUP(TbPrestamo[[#This Row],[ITEM]],TbPiezas[],7,FALSE)</f>
        <v>85.759000000000015</v>
      </c>
      <c r="Z245" s="84">
        <f>+TbPrestamo[[#This Row],[TOTAL]]*TbPrestamo[[#This Row],[P.U. (3)]]</f>
        <v>0</v>
      </c>
    </row>
    <row r="246" spans="1:26" ht="15" customHeight="1" x14ac:dyDescent="0.3">
      <c r="A246" s="2"/>
      <c r="B246" s="85">
        <v>228</v>
      </c>
      <c r="C246" s="71" t="s">
        <v>457</v>
      </c>
      <c r="D246" s="72" t="s">
        <v>458</v>
      </c>
      <c r="E246" s="73"/>
      <c r="F246" s="74">
        <f>+VLOOKUP(C246,TbPrestamo[],13,FALSE)</f>
        <v>0</v>
      </c>
      <c r="G246" s="2"/>
      <c r="H246" s="75" t="str">
        <f t="shared" si="6"/>
        <v>AE.5600</v>
      </c>
      <c r="I246" s="59" t="str">
        <f t="shared" si="7"/>
        <v>ok</v>
      </c>
      <c r="J246" s="77">
        <f>IFERROR(VLOOKUP($H246,TG[],3,FALSE),"NA")</f>
        <v>0</v>
      </c>
      <c r="K246" s="77" t="str">
        <f>IFERROR(VLOOKUP($H246,TF[],3,FALSE),"NA")</f>
        <v>NA</v>
      </c>
      <c r="L246" s="77" t="str">
        <f>IFERROR(VLOOKUP($H246,TT[],3,FALSE),"NA")</f>
        <v>NA</v>
      </c>
      <c r="M246" s="77" t="str">
        <f>IFERROR(VLOOKUP($H246,TES[],3,FALSE),"NA")</f>
        <v>NA</v>
      </c>
      <c r="N246" s="77" t="str">
        <f>IFERROR(VLOOKUP($H246,TEC[],3,FALSE),"NA")</f>
        <v>NA</v>
      </c>
      <c r="O246" s="77" t="str">
        <f>IFERROR(VLOOKUP($H246,TP[],3,FALSE),"NA")</f>
        <v>NA</v>
      </c>
      <c r="P246" s="77" t="str">
        <f>IFERROR(VLOOKUP($H246,TEN[],3,FALSE),"NA")</f>
        <v>NA</v>
      </c>
      <c r="Q246" s="77" t="str">
        <f>IFERROR(VLOOKUP($H246,TD[],3,FALSE),"NA")</f>
        <v>NA</v>
      </c>
      <c r="R246" s="77">
        <f>IFERROR(VLOOKUP($H246,TC[],3,FALSE),"NA")</f>
        <v>0</v>
      </c>
      <c r="S246" s="77" t="str">
        <f>IFERROR(VLOOKUP($H246,TEV[],3,FALSE),"NA")</f>
        <v>NA</v>
      </c>
      <c r="T246" s="79">
        <f>SUM(TbPrestamo[[#This Row],[GENERAL]:[ELEVADOR]])</f>
        <v>0</v>
      </c>
      <c r="U246" s="80">
        <f>IF(VLOOKUP(TbPrestamo[[#This Row],[ITEM]],TbPiezas[],5,FALSE)="NA",0,VLOOKUP(TbPrestamo[[#This Row],[ITEM]],TbPiezas[],5,FALSE))</f>
        <v>2.2999999999999972</v>
      </c>
      <c r="V246" s="81">
        <f>+TbPrestamo[[#This Row],[TOTAL]]*TbPrestamo[[#This Row],[P.U. (1)]]</f>
        <v>0</v>
      </c>
      <c r="W246" s="82">
        <f>+VLOOKUP(TbPrestamo[[#This Row],[ITEM]],TbPiezas[],6,FALSE)</f>
        <v>210.43</v>
      </c>
      <c r="X246" s="83">
        <f>+TbPrestamo[[#This Row],[TOTAL]]*TbPrestamo[[#This Row],[P.U. (2)]]</f>
        <v>0</v>
      </c>
      <c r="Y246" s="82">
        <f>+VLOOKUP(TbPrestamo[[#This Row],[ITEM]],TbPiezas[],7,FALSE)</f>
        <v>10.521500000000001</v>
      </c>
      <c r="Z246" s="84">
        <f>+TbPrestamo[[#This Row],[TOTAL]]*TbPrestamo[[#This Row],[P.U. (3)]]</f>
        <v>0</v>
      </c>
    </row>
    <row r="247" spans="1:26" ht="15" customHeight="1" x14ac:dyDescent="0.3">
      <c r="A247" s="2"/>
      <c r="B247" s="85">
        <v>229</v>
      </c>
      <c r="C247" s="71" t="s">
        <v>459</v>
      </c>
      <c r="D247" s="72" t="s">
        <v>460</v>
      </c>
      <c r="E247" s="73"/>
      <c r="F247" s="74">
        <f>+VLOOKUP(C247,TbPrestamo[],13,FALSE)</f>
        <v>0</v>
      </c>
      <c r="G247" s="2"/>
      <c r="H247" s="75" t="str">
        <f t="shared" si="6"/>
        <v>AE.5700</v>
      </c>
      <c r="I247" s="59" t="str">
        <f t="shared" si="7"/>
        <v>ok</v>
      </c>
      <c r="J247" s="77">
        <f>IFERROR(VLOOKUP($H247,TG[],3,FALSE),"NA")</f>
        <v>0</v>
      </c>
      <c r="K247" s="77" t="str">
        <f>IFERROR(VLOOKUP($H247,TF[],3,FALSE),"NA")</f>
        <v>NA</v>
      </c>
      <c r="L247" s="77" t="str">
        <f>IFERROR(VLOOKUP($H247,TT[],3,FALSE),"NA")</f>
        <v>NA</v>
      </c>
      <c r="M247" s="77" t="str">
        <f>IFERROR(VLOOKUP($H247,TES[],3,FALSE),"NA")</f>
        <v>NA</v>
      </c>
      <c r="N247" s="77" t="str">
        <f>IFERROR(VLOOKUP($H247,TEC[],3,FALSE),"NA")</f>
        <v>NA</v>
      </c>
      <c r="O247" s="77" t="str">
        <f>IFERROR(VLOOKUP($H247,TP[],3,FALSE),"NA")</f>
        <v>NA</v>
      </c>
      <c r="P247" s="77" t="str">
        <f>IFERROR(VLOOKUP($H247,TEN[],3,FALSE),"NA")</f>
        <v>NA</v>
      </c>
      <c r="Q247" s="77" t="str">
        <f>IFERROR(VLOOKUP($H247,TD[],3,FALSE),"NA")</f>
        <v>NA</v>
      </c>
      <c r="R247" s="77">
        <f>IFERROR(VLOOKUP($H247,TC[],3,FALSE),"NA")</f>
        <v>0</v>
      </c>
      <c r="S247" s="77" t="str">
        <f>IFERROR(VLOOKUP($H247,TEV[],3,FALSE),"NA")</f>
        <v>NA</v>
      </c>
      <c r="T247" s="79">
        <f>SUM(TbPrestamo[[#This Row],[GENERAL]:[ELEVADOR]])</f>
        <v>0</v>
      </c>
      <c r="U247" s="80">
        <f>IF(VLOOKUP(TbPrestamo[[#This Row],[ITEM]],TbPiezas[],5,FALSE)="NA",0,VLOOKUP(TbPrestamo[[#This Row],[ITEM]],TbPiezas[],5,FALSE))</f>
        <v>1</v>
      </c>
      <c r="V247" s="81">
        <f>+TbPrestamo[[#This Row],[TOTAL]]*TbPrestamo[[#This Row],[P.U. (1)]]</f>
        <v>0</v>
      </c>
      <c r="W247" s="82">
        <f>+VLOOKUP(TbPrestamo[[#This Row],[ITEM]],TbPiezas[],6,FALSE)</f>
        <v>210.43</v>
      </c>
      <c r="X247" s="83">
        <f>+TbPrestamo[[#This Row],[TOTAL]]*TbPrestamo[[#This Row],[P.U. (2)]]</f>
        <v>0</v>
      </c>
      <c r="Y247" s="82">
        <f>+VLOOKUP(TbPrestamo[[#This Row],[ITEM]],TbPiezas[],7,FALSE)</f>
        <v>10.521500000000001</v>
      </c>
      <c r="Z247" s="84">
        <f>+TbPrestamo[[#This Row],[TOTAL]]*TbPrestamo[[#This Row],[P.U. (3)]]</f>
        <v>0</v>
      </c>
    </row>
    <row r="248" spans="1:26" ht="15" customHeight="1" x14ac:dyDescent="0.3">
      <c r="A248" s="2"/>
      <c r="B248" s="85">
        <v>230</v>
      </c>
      <c r="C248" s="71" t="s">
        <v>461</v>
      </c>
      <c r="D248" s="72" t="s">
        <v>462</v>
      </c>
      <c r="E248" s="73"/>
      <c r="F248" s="74">
        <f>+VLOOKUP(C248,TbPrestamo[],13,FALSE)</f>
        <v>0</v>
      </c>
      <c r="G248" s="2"/>
      <c r="H248" s="75" t="str">
        <f t="shared" si="6"/>
        <v>AE.5800</v>
      </c>
      <c r="I248" s="59" t="str">
        <f t="shared" si="7"/>
        <v>ok</v>
      </c>
      <c r="J248" s="77">
        <f>IFERROR(VLOOKUP($H248,TG[],3,FALSE),"NA")</f>
        <v>0</v>
      </c>
      <c r="K248" s="77" t="str">
        <f>IFERROR(VLOOKUP($H248,TF[],3,FALSE),"NA")</f>
        <v>NA</v>
      </c>
      <c r="L248" s="77" t="str">
        <f>IFERROR(VLOOKUP($H248,TT[],3,FALSE),"NA")</f>
        <v>NA</v>
      </c>
      <c r="M248" s="77" t="str">
        <f>IFERROR(VLOOKUP($H248,TES[],3,FALSE),"NA")</f>
        <v>NA</v>
      </c>
      <c r="N248" s="77" t="str">
        <f>IFERROR(VLOOKUP($H248,TEC[],3,FALSE),"NA")</f>
        <v>NA</v>
      </c>
      <c r="O248" s="77" t="str">
        <f>IFERROR(VLOOKUP($H248,TP[],3,FALSE),"NA")</f>
        <v>NA</v>
      </c>
      <c r="P248" s="77" t="str">
        <f>IFERROR(VLOOKUP($H248,TEN[],3,FALSE),"NA")</f>
        <v>NA</v>
      </c>
      <c r="Q248" s="77" t="str">
        <f>IFERROR(VLOOKUP($H248,TD[],3,FALSE),"NA")</f>
        <v>NA</v>
      </c>
      <c r="R248" s="77">
        <f>IFERROR(VLOOKUP($H248,TC[],3,FALSE),"NA")</f>
        <v>0</v>
      </c>
      <c r="S248" s="77" t="str">
        <f>IFERROR(VLOOKUP($H248,TEV[],3,FALSE),"NA")</f>
        <v>NA</v>
      </c>
      <c r="T248" s="79">
        <f>SUM(TbPrestamo[[#This Row],[GENERAL]:[ELEVADOR]])</f>
        <v>0</v>
      </c>
      <c r="U248" s="80">
        <f>IF(VLOOKUP(TbPrestamo[[#This Row],[ITEM]],TbPiezas[],5,FALSE)="NA",0,VLOOKUP(TbPrestamo[[#This Row],[ITEM]],TbPiezas[],5,FALSE))</f>
        <v>0.5</v>
      </c>
      <c r="V248" s="81">
        <f>+TbPrestamo[[#This Row],[TOTAL]]*TbPrestamo[[#This Row],[P.U. (1)]]</f>
        <v>0</v>
      </c>
      <c r="W248" s="82">
        <f>+VLOOKUP(TbPrestamo[[#This Row],[ITEM]],TbPiezas[],6,FALSE)</f>
        <v>210.43</v>
      </c>
      <c r="X248" s="83">
        <f>+TbPrestamo[[#This Row],[TOTAL]]*TbPrestamo[[#This Row],[P.U. (2)]]</f>
        <v>0</v>
      </c>
      <c r="Y248" s="82">
        <f>+VLOOKUP(TbPrestamo[[#This Row],[ITEM]],TbPiezas[],7,FALSE)</f>
        <v>10.521500000000001</v>
      </c>
      <c r="Z248" s="84">
        <f>+TbPrestamo[[#This Row],[TOTAL]]*TbPrestamo[[#This Row],[P.U. (3)]]</f>
        <v>0</v>
      </c>
    </row>
    <row r="249" spans="1:26" ht="15" customHeight="1" x14ac:dyDescent="0.3">
      <c r="A249" s="2"/>
      <c r="B249" s="85">
        <v>231</v>
      </c>
      <c r="C249" s="71" t="s">
        <v>463</v>
      </c>
      <c r="D249" s="72" t="s">
        <v>464</v>
      </c>
      <c r="E249" s="73"/>
      <c r="F249" s="74">
        <f>+VLOOKUP(C249,TbPrestamo[],13,FALSE)</f>
        <v>0</v>
      </c>
      <c r="G249" s="2"/>
      <c r="H249" s="75" t="str">
        <f t="shared" si="6"/>
        <v>AE.5900</v>
      </c>
      <c r="I249" s="59" t="str">
        <f t="shared" si="7"/>
        <v>ok</v>
      </c>
      <c r="J249" s="77">
        <f>IFERROR(VLOOKUP($H249,TG[],3,FALSE),"NA")</f>
        <v>0</v>
      </c>
      <c r="K249" s="77" t="str">
        <f>IFERROR(VLOOKUP($H249,TF[],3,FALSE),"NA")</f>
        <v>NA</v>
      </c>
      <c r="L249" s="77" t="str">
        <f>IFERROR(VLOOKUP($H249,TT[],3,FALSE),"NA")</f>
        <v>NA</v>
      </c>
      <c r="M249" s="77" t="str">
        <f>IFERROR(VLOOKUP($H249,TES[],3,FALSE),"NA")</f>
        <v>NA</v>
      </c>
      <c r="N249" s="77" t="str">
        <f>IFERROR(VLOOKUP($H249,TEC[],3,FALSE),"NA")</f>
        <v>NA</v>
      </c>
      <c r="O249" s="77" t="str">
        <f>IFERROR(VLOOKUP($H249,TP[],3,FALSE),"NA")</f>
        <v>NA</v>
      </c>
      <c r="P249" s="77" t="str">
        <f>IFERROR(VLOOKUP($H249,TEN[],3,FALSE),"NA")</f>
        <v>NA</v>
      </c>
      <c r="Q249" s="77" t="str">
        <f>IFERROR(VLOOKUP($H249,TD[],3,FALSE),"NA")</f>
        <v>NA</v>
      </c>
      <c r="R249" s="77">
        <f>IFERROR(VLOOKUP($H249,TC[],3,FALSE),"NA")</f>
        <v>0</v>
      </c>
      <c r="S249" s="77" t="str">
        <f>IFERROR(VLOOKUP($H249,TEV[],3,FALSE),"NA")</f>
        <v>NA</v>
      </c>
      <c r="T249" s="79">
        <f>SUM(TbPrestamo[[#This Row],[GENERAL]:[ELEVADOR]])</f>
        <v>0</v>
      </c>
      <c r="U249" s="80">
        <f>IF(VLOOKUP(TbPrestamo[[#This Row],[ITEM]],TbPiezas[],5,FALSE)="NA",0,VLOOKUP(TbPrestamo[[#This Row],[ITEM]],TbPiezas[],5,FALSE))</f>
        <v>1.2000000000000028</v>
      </c>
      <c r="V249" s="81">
        <f>+TbPrestamo[[#This Row],[TOTAL]]*TbPrestamo[[#This Row],[P.U. (1)]]</f>
        <v>0</v>
      </c>
      <c r="W249" s="82">
        <f>+VLOOKUP(TbPrestamo[[#This Row],[ITEM]],TbPiezas[],6,FALSE)</f>
        <v>337.48</v>
      </c>
      <c r="X249" s="83">
        <f>+TbPrestamo[[#This Row],[TOTAL]]*TbPrestamo[[#This Row],[P.U. (2)]]</f>
        <v>0</v>
      </c>
      <c r="Y249" s="82">
        <f>+VLOOKUP(TbPrestamo[[#This Row],[ITEM]],TbPiezas[],7,FALSE)</f>
        <v>16.874000000000002</v>
      </c>
      <c r="Z249" s="84">
        <f>+TbPrestamo[[#This Row],[TOTAL]]*TbPrestamo[[#This Row],[P.U. (3)]]</f>
        <v>0</v>
      </c>
    </row>
    <row r="250" spans="1:26" ht="15" customHeight="1" x14ac:dyDescent="0.3">
      <c r="A250" s="2"/>
      <c r="B250" s="85">
        <v>232</v>
      </c>
      <c r="C250" s="71" t="s">
        <v>465</v>
      </c>
      <c r="D250" s="72" t="s">
        <v>466</v>
      </c>
      <c r="E250" s="73"/>
      <c r="F250" s="74">
        <f>+VLOOKUP(C250,TbPrestamo[],13,FALSE)</f>
        <v>0</v>
      </c>
      <c r="G250" s="2"/>
      <c r="H250" s="75" t="str">
        <f t="shared" si="6"/>
        <v>AE.6000</v>
      </c>
      <c r="I250" s="59" t="str">
        <f t="shared" si="7"/>
        <v>ok</v>
      </c>
      <c r="J250" s="77">
        <f>IFERROR(VLOOKUP($H250,TG[],3,FALSE),"NA")</f>
        <v>0</v>
      </c>
      <c r="K250" s="77" t="str">
        <f>IFERROR(VLOOKUP($H250,TF[],3,FALSE),"NA")</f>
        <v>NA</v>
      </c>
      <c r="L250" s="77" t="str">
        <f>IFERROR(VLOOKUP($H250,TT[],3,FALSE),"NA")</f>
        <v>NA</v>
      </c>
      <c r="M250" s="77" t="str">
        <f>IFERROR(VLOOKUP($H250,TES[],3,FALSE),"NA")</f>
        <v>NA</v>
      </c>
      <c r="N250" s="77" t="str">
        <f>IFERROR(VLOOKUP($H250,TEC[],3,FALSE),"NA")</f>
        <v>NA</v>
      </c>
      <c r="O250" s="77" t="str">
        <f>IFERROR(VLOOKUP($H250,TP[],3,FALSE),"NA")</f>
        <v>NA</v>
      </c>
      <c r="P250" s="77" t="str">
        <f>IFERROR(VLOOKUP($H250,TEN[],3,FALSE),"NA")</f>
        <v>NA</v>
      </c>
      <c r="Q250" s="77" t="str">
        <f>IFERROR(VLOOKUP($H250,TD[],3,FALSE),"NA")</f>
        <v>NA</v>
      </c>
      <c r="R250" s="77">
        <f>IFERROR(VLOOKUP($H250,TC[],3,FALSE),"NA")</f>
        <v>0</v>
      </c>
      <c r="S250" s="77" t="str">
        <f>IFERROR(VLOOKUP($H250,TEV[],3,FALSE),"NA")</f>
        <v>NA</v>
      </c>
      <c r="T250" s="79">
        <f>SUM(TbPrestamo[[#This Row],[GENERAL]:[ELEVADOR]])</f>
        <v>0</v>
      </c>
      <c r="U250" s="80">
        <f>IF(VLOOKUP(TbPrestamo[[#This Row],[ITEM]],TbPiezas[],5,FALSE)="NA",0,VLOOKUP(TbPrestamo[[#This Row],[ITEM]],TbPiezas[],5,FALSE))</f>
        <v>2.7000000000000028</v>
      </c>
      <c r="V250" s="81">
        <f>+TbPrestamo[[#This Row],[TOTAL]]*TbPrestamo[[#This Row],[P.U. (1)]]</f>
        <v>0</v>
      </c>
      <c r="W250" s="82">
        <f>+VLOOKUP(TbPrestamo[[#This Row],[ITEM]],TbPiezas[],6,FALSE)</f>
        <v>337.48</v>
      </c>
      <c r="X250" s="83">
        <f>+TbPrestamo[[#This Row],[TOTAL]]*TbPrestamo[[#This Row],[P.U. (2)]]</f>
        <v>0</v>
      </c>
      <c r="Y250" s="82">
        <f>+VLOOKUP(TbPrestamo[[#This Row],[ITEM]],TbPiezas[],7,FALSE)</f>
        <v>16.874000000000002</v>
      </c>
      <c r="Z250" s="84">
        <f>+TbPrestamo[[#This Row],[TOTAL]]*TbPrestamo[[#This Row],[P.U. (3)]]</f>
        <v>0</v>
      </c>
    </row>
    <row r="251" spans="1:26" ht="15" customHeight="1" x14ac:dyDescent="0.3">
      <c r="A251" s="2"/>
      <c r="B251" s="85">
        <v>233</v>
      </c>
      <c r="C251" s="71" t="s">
        <v>467</v>
      </c>
      <c r="D251" s="72" t="s">
        <v>468</v>
      </c>
      <c r="E251" s="73"/>
      <c r="F251" s="74">
        <f>+VLOOKUP(C251,TbPrestamo[],13,FALSE)</f>
        <v>0</v>
      </c>
      <c r="G251" s="2"/>
      <c r="H251" s="75" t="str">
        <f t="shared" si="6"/>
        <v>AE.6100</v>
      </c>
      <c r="I251" s="59" t="str">
        <f t="shared" si="7"/>
        <v>ok</v>
      </c>
      <c r="J251" s="77">
        <f>IFERROR(VLOOKUP($H251,TG[],3,FALSE),"NA")</f>
        <v>0</v>
      </c>
      <c r="K251" s="77" t="str">
        <f>IFERROR(VLOOKUP($H251,TF[],3,FALSE),"NA")</f>
        <v>NA</v>
      </c>
      <c r="L251" s="77" t="str">
        <f>IFERROR(VLOOKUP($H251,TT[],3,FALSE),"NA")</f>
        <v>NA</v>
      </c>
      <c r="M251" s="77" t="str">
        <f>IFERROR(VLOOKUP($H251,TES[],3,FALSE),"NA")</f>
        <v>NA</v>
      </c>
      <c r="N251" s="77" t="str">
        <f>IFERROR(VLOOKUP($H251,TEC[],3,FALSE),"NA")</f>
        <v>NA</v>
      </c>
      <c r="O251" s="77" t="str">
        <f>IFERROR(VLOOKUP($H251,TP[],3,FALSE),"NA")</f>
        <v>NA</v>
      </c>
      <c r="P251" s="77" t="str">
        <f>IFERROR(VLOOKUP($H251,TEN[],3,FALSE),"NA")</f>
        <v>NA</v>
      </c>
      <c r="Q251" s="77" t="str">
        <f>IFERROR(VLOOKUP($H251,TD[],3,FALSE),"NA")</f>
        <v>NA</v>
      </c>
      <c r="R251" s="77">
        <f>IFERROR(VLOOKUP($H251,TC[],3,FALSE),"NA")</f>
        <v>0</v>
      </c>
      <c r="S251" s="77" t="str">
        <f>IFERROR(VLOOKUP($H251,TEV[],3,FALSE),"NA")</f>
        <v>NA</v>
      </c>
      <c r="T251" s="79">
        <f>SUM(TbPrestamo[[#This Row],[GENERAL]:[ELEVADOR]])</f>
        <v>0</v>
      </c>
      <c r="U251" s="80">
        <f>IF(VLOOKUP(TbPrestamo[[#This Row],[ITEM]],TbPiezas[],5,FALSE)="NA",0,VLOOKUP(TbPrestamo[[#This Row],[ITEM]],TbPiezas[],5,FALSE))</f>
        <v>18.5</v>
      </c>
      <c r="V251" s="81">
        <f>+TbPrestamo[[#This Row],[TOTAL]]*TbPrestamo[[#This Row],[P.U. (1)]]</f>
        <v>0</v>
      </c>
      <c r="W251" s="82">
        <f>+VLOOKUP(TbPrestamo[[#This Row],[ITEM]],TbPiezas[],6,FALSE)</f>
        <v>191.38</v>
      </c>
      <c r="X251" s="83">
        <f>+TbPrestamo[[#This Row],[TOTAL]]*TbPrestamo[[#This Row],[P.U. (2)]]</f>
        <v>0</v>
      </c>
      <c r="Y251" s="82">
        <f>+VLOOKUP(TbPrestamo[[#This Row],[ITEM]],TbPiezas[],7,FALSE)</f>
        <v>9.5690000000000008</v>
      </c>
      <c r="Z251" s="84">
        <f>+TbPrestamo[[#This Row],[TOTAL]]*TbPrestamo[[#This Row],[P.U. (3)]]</f>
        <v>0</v>
      </c>
    </row>
    <row r="252" spans="1:26" ht="15" customHeight="1" x14ac:dyDescent="0.3">
      <c r="A252" s="2"/>
      <c r="B252" s="85">
        <v>234</v>
      </c>
      <c r="C252" s="71" t="s">
        <v>469</v>
      </c>
      <c r="D252" s="72" t="s">
        <v>470</v>
      </c>
      <c r="E252" s="73"/>
      <c r="F252" s="74">
        <f>+VLOOKUP(C252,TbPrestamo[],13,FALSE)</f>
        <v>0</v>
      </c>
      <c r="G252" s="2"/>
      <c r="H252" s="75" t="str">
        <f t="shared" si="6"/>
        <v>AE.6200</v>
      </c>
      <c r="I252" s="59" t="str">
        <f t="shared" si="7"/>
        <v>ok</v>
      </c>
      <c r="J252" s="77">
        <f>IFERROR(VLOOKUP($H252,TG[],3,FALSE),"NA")</f>
        <v>0</v>
      </c>
      <c r="K252" s="77" t="str">
        <f>IFERROR(VLOOKUP($H252,TF[],3,FALSE),"NA")</f>
        <v>NA</v>
      </c>
      <c r="L252" s="77" t="str">
        <f>IFERROR(VLOOKUP($H252,TT[],3,FALSE),"NA")</f>
        <v>NA</v>
      </c>
      <c r="M252" s="77" t="str">
        <f>IFERROR(VLOOKUP($H252,TES[],3,FALSE),"NA")</f>
        <v>NA</v>
      </c>
      <c r="N252" s="77" t="str">
        <f>IFERROR(VLOOKUP($H252,TEC[],3,FALSE),"NA")</f>
        <v>NA</v>
      </c>
      <c r="O252" s="77" t="str">
        <f>IFERROR(VLOOKUP($H252,TP[],3,FALSE),"NA")</f>
        <v>NA</v>
      </c>
      <c r="P252" s="77" t="str">
        <f>IFERROR(VLOOKUP($H252,TEN[],3,FALSE),"NA")</f>
        <v>NA</v>
      </c>
      <c r="Q252" s="77" t="str">
        <f>IFERROR(VLOOKUP($H252,TD[],3,FALSE),"NA")</f>
        <v>NA</v>
      </c>
      <c r="R252" s="77">
        <f>IFERROR(VLOOKUP($H252,TC[],3,FALSE),"NA")</f>
        <v>0</v>
      </c>
      <c r="S252" s="77" t="str">
        <f>IFERROR(VLOOKUP($H252,TEV[],3,FALSE),"NA")</f>
        <v>NA</v>
      </c>
      <c r="T252" s="79">
        <f>SUM(TbPrestamo[[#This Row],[GENERAL]:[ELEVADOR]])</f>
        <v>0</v>
      </c>
      <c r="U252" s="80">
        <f>IF(VLOOKUP(TbPrestamo[[#This Row],[ITEM]],TbPiezas[],5,FALSE)="NA",0,VLOOKUP(TbPrestamo[[#This Row],[ITEM]],TbPiezas[],5,FALSE))</f>
        <v>17.299999999999997</v>
      </c>
      <c r="V252" s="81">
        <f>+TbPrestamo[[#This Row],[TOTAL]]*TbPrestamo[[#This Row],[P.U. (1)]]</f>
        <v>0</v>
      </c>
      <c r="W252" s="82">
        <f>+VLOOKUP(TbPrestamo[[#This Row],[ITEM]],TbPiezas[],6,FALSE)</f>
        <v>191.38</v>
      </c>
      <c r="X252" s="83">
        <f>+TbPrestamo[[#This Row],[TOTAL]]*TbPrestamo[[#This Row],[P.U. (2)]]</f>
        <v>0</v>
      </c>
      <c r="Y252" s="82">
        <f>+VLOOKUP(TbPrestamo[[#This Row],[ITEM]],TbPiezas[],7,FALSE)</f>
        <v>9.5690000000000008</v>
      </c>
      <c r="Z252" s="84">
        <f>+TbPrestamo[[#This Row],[TOTAL]]*TbPrestamo[[#This Row],[P.U. (3)]]</f>
        <v>0</v>
      </c>
    </row>
    <row r="253" spans="1:26" ht="15" customHeight="1" x14ac:dyDescent="0.3">
      <c r="A253" s="2"/>
      <c r="B253" s="85">
        <v>235</v>
      </c>
      <c r="C253" s="71" t="s">
        <v>471</v>
      </c>
      <c r="D253" s="72" t="s">
        <v>472</v>
      </c>
      <c r="E253" s="73"/>
      <c r="F253" s="74">
        <f>+VLOOKUP(C253,TbPrestamo[],13,FALSE)</f>
        <v>0</v>
      </c>
      <c r="G253" s="2"/>
      <c r="H253" s="75" t="str">
        <f t="shared" si="6"/>
        <v>AE.6300</v>
      </c>
      <c r="I253" s="59" t="str">
        <f t="shared" si="7"/>
        <v>ok</v>
      </c>
      <c r="J253" s="77">
        <f>IFERROR(VLOOKUP($H253,TG[],3,FALSE),"NA")</f>
        <v>0</v>
      </c>
      <c r="K253" s="77" t="str">
        <f>IFERROR(VLOOKUP($H253,TF[],3,FALSE),"NA")</f>
        <v>NA</v>
      </c>
      <c r="L253" s="77" t="str">
        <f>IFERROR(VLOOKUP($H253,TT[],3,FALSE),"NA")</f>
        <v>NA</v>
      </c>
      <c r="M253" s="77" t="str">
        <f>IFERROR(VLOOKUP($H253,TES[],3,FALSE),"NA")</f>
        <v>NA</v>
      </c>
      <c r="N253" s="77" t="str">
        <f>IFERROR(VLOOKUP($H253,TEC[],3,FALSE),"NA")</f>
        <v>NA</v>
      </c>
      <c r="O253" s="77" t="str">
        <f>IFERROR(VLOOKUP($H253,TP[],3,FALSE),"NA")</f>
        <v>NA</v>
      </c>
      <c r="P253" s="77" t="str">
        <f>IFERROR(VLOOKUP($H253,TEN[],3,FALSE),"NA")</f>
        <v>NA</v>
      </c>
      <c r="Q253" s="77" t="str">
        <f>IFERROR(VLOOKUP($H253,TD[],3,FALSE),"NA")</f>
        <v>NA</v>
      </c>
      <c r="R253" s="77">
        <f>IFERROR(VLOOKUP($H253,TC[],3,FALSE),"NA")</f>
        <v>0</v>
      </c>
      <c r="S253" s="77" t="str">
        <f>IFERROR(VLOOKUP($H253,TEV[],3,FALSE),"NA")</f>
        <v>NA</v>
      </c>
      <c r="T253" s="79">
        <f>SUM(TbPrestamo[[#This Row],[GENERAL]:[ELEVADOR]])</f>
        <v>0</v>
      </c>
      <c r="U253" s="80">
        <f>IF(VLOOKUP(TbPrestamo[[#This Row],[ITEM]],TbPiezas[],5,FALSE)="NA",0,VLOOKUP(TbPrestamo[[#This Row],[ITEM]],TbPiezas[],5,FALSE))</f>
        <v>21</v>
      </c>
      <c r="V253" s="81">
        <f>+TbPrestamo[[#This Row],[TOTAL]]*TbPrestamo[[#This Row],[P.U. (1)]]</f>
        <v>0</v>
      </c>
      <c r="W253" s="82">
        <f>+VLOOKUP(TbPrestamo[[#This Row],[ITEM]],TbPiezas[],6,FALSE)</f>
        <v>191.38</v>
      </c>
      <c r="X253" s="83">
        <f>+TbPrestamo[[#This Row],[TOTAL]]*TbPrestamo[[#This Row],[P.U. (2)]]</f>
        <v>0</v>
      </c>
      <c r="Y253" s="82">
        <f>+VLOOKUP(TbPrestamo[[#This Row],[ITEM]],TbPiezas[],7,FALSE)</f>
        <v>9.5690000000000008</v>
      </c>
      <c r="Z253" s="84">
        <f>+TbPrestamo[[#This Row],[TOTAL]]*TbPrestamo[[#This Row],[P.U. (3)]]</f>
        <v>0</v>
      </c>
    </row>
    <row r="254" spans="1:26" ht="15" customHeight="1" x14ac:dyDescent="0.3">
      <c r="A254" s="2"/>
      <c r="B254" s="85">
        <v>236</v>
      </c>
      <c r="C254" s="71" t="s">
        <v>473</v>
      </c>
      <c r="D254" s="72" t="s">
        <v>474</v>
      </c>
      <c r="E254" s="73"/>
      <c r="F254" s="74">
        <f>+VLOOKUP(C254,TbPrestamo[],13,FALSE)</f>
        <v>0</v>
      </c>
      <c r="G254" s="2"/>
      <c r="H254" s="75" t="str">
        <f t="shared" si="6"/>
        <v>AE.6400</v>
      </c>
      <c r="I254" s="59" t="str">
        <f t="shared" si="7"/>
        <v>ok</v>
      </c>
      <c r="J254" s="77">
        <f>IFERROR(VLOOKUP($H254,TG[],3,FALSE),"NA")</f>
        <v>0</v>
      </c>
      <c r="K254" s="77" t="str">
        <f>IFERROR(VLOOKUP($H254,TF[],3,FALSE),"NA")</f>
        <v>NA</v>
      </c>
      <c r="L254" s="77" t="str">
        <f>IFERROR(VLOOKUP($H254,TT[],3,FALSE),"NA")</f>
        <v>NA</v>
      </c>
      <c r="M254" s="77" t="str">
        <f>IFERROR(VLOOKUP($H254,TES[],3,FALSE),"NA")</f>
        <v>NA</v>
      </c>
      <c r="N254" s="77" t="str">
        <f>IFERROR(VLOOKUP($H254,TEC[],3,FALSE),"NA")</f>
        <v>NA</v>
      </c>
      <c r="O254" s="77" t="str">
        <f>IFERROR(VLOOKUP($H254,TP[],3,FALSE),"NA")</f>
        <v>NA</v>
      </c>
      <c r="P254" s="77" t="str">
        <f>IFERROR(VLOOKUP($H254,TEN[],3,FALSE),"NA")</f>
        <v>NA</v>
      </c>
      <c r="Q254" s="77" t="str">
        <f>IFERROR(VLOOKUP($H254,TD[],3,FALSE),"NA")</f>
        <v>NA</v>
      </c>
      <c r="R254" s="77">
        <f>IFERROR(VLOOKUP($H254,TC[],3,FALSE),"NA")</f>
        <v>0</v>
      </c>
      <c r="S254" s="77" t="str">
        <f>IFERROR(VLOOKUP($H254,TEV[],3,FALSE),"NA")</f>
        <v>NA</v>
      </c>
      <c r="T254" s="79">
        <f>SUM(TbPrestamo[[#This Row],[GENERAL]:[ELEVADOR]])</f>
        <v>0</v>
      </c>
      <c r="U254" s="80">
        <f>IF(VLOOKUP(TbPrestamo[[#This Row],[ITEM]],TbPiezas[],5,FALSE)="NA",0,VLOOKUP(TbPrestamo[[#This Row],[ITEM]],TbPiezas[],5,FALSE))</f>
        <v>14.400000000000006</v>
      </c>
      <c r="V254" s="81">
        <f>+TbPrestamo[[#This Row],[TOTAL]]*TbPrestamo[[#This Row],[P.U. (1)]]</f>
        <v>0</v>
      </c>
      <c r="W254" s="82">
        <f>+VLOOKUP(TbPrestamo[[#This Row],[ITEM]],TbPiezas[],6,FALSE)</f>
        <v>191.38</v>
      </c>
      <c r="X254" s="83">
        <f>+TbPrestamo[[#This Row],[TOTAL]]*TbPrestamo[[#This Row],[P.U. (2)]]</f>
        <v>0</v>
      </c>
      <c r="Y254" s="82">
        <f>+VLOOKUP(TbPrestamo[[#This Row],[ITEM]],TbPiezas[],7,FALSE)</f>
        <v>9.5690000000000008</v>
      </c>
      <c r="Z254" s="84">
        <f>+TbPrestamo[[#This Row],[TOTAL]]*TbPrestamo[[#This Row],[P.U. (3)]]</f>
        <v>0</v>
      </c>
    </row>
    <row r="255" spans="1:26" ht="15" customHeight="1" x14ac:dyDescent="0.3">
      <c r="A255" s="2"/>
      <c r="B255" s="85">
        <v>237</v>
      </c>
      <c r="C255" s="71" t="s">
        <v>475</v>
      </c>
      <c r="D255" s="72" t="s">
        <v>476</v>
      </c>
      <c r="E255" s="73"/>
      <c r="F255" s="74">
        <f>+VLOOKUP(C255,TbPrestamo[],13,FALSE)</f>
        <v>0</v>
      </c>
      <c r="G255" s="2"/>
      <c r="H255" s="75" t="str">
        <f t="shared" si="6"/>
        <v>AE.6500</v>
      </c>
      <c r="I255" s="59" t="str">
        <f t="shared" si="7"/>
        <v>ok</v>
      </c>
      <c r="J255" s="77">
        <f>IFERROR(VLOOKUP($H255,TG[],3,FALSE),"NA")</f>
        <v>0</v>
      </c>
      <c r="K255" s="77" t="str">
        <f>IFERROR(VLOOKUP($H255,TF[],3,FALSE),"NA")</f>
        <v>NA</v>
      </c>
      <c r="L255" s="77" t="str">
        <f>IFERROR(VLOOKUP($H255,TT[],3,FALSE),"NA")</f>
        <v>NA</v>
      </c>
      <c r="M255" s="77" t="str">
        <f>IFERROR(VLOOKUP($H255,TES[],3,FALSE),"NA")</f>
        <v>NA</v>
      </c>
      <c r="N255" s="77" t="str">
        <f>IFERROR(VLOOKUP($H255,TEC[],3,FALSE),"NA")</f>
        <v>NA</v>
      </c>
      <c r="O255" s="77" t="str">
        <f>IFERROR(VLOOKUP($H255,TP[],3,FALSE),"NA")</f>
        <v>NA</v>
      </c>
      <c r="P255" s="77" t="str">
        <f>IFERROR(VLOOKUP($H255,TEN[],3,FALSE),"NA")</f>
        <v>NA</v>
      </c>
      <c r="Q255" s="77" t="str">
        <f>IFERROR(VLOOKUP($H255,TD[],3,FALSE),"NA")</f>
        <v>NA</v>
      </c>
      <c r="R255" s="77">
        <f>IFERROR(VLOOKUP($H255,TC[],3,FALSE),"NA")</f>
        <v>0</v>
      </c>
      <c r="S255" s="77" t="str">
        <f>IFERROR(VLOOKUP($H255,TEV[],3,FALSE),"NA")</f>
        <v>NA</v>
      </c>
      <c r="T255" s="79">
        <f>SUM(TbPrestamo[[#This Row],[GENERAL]:[ELEVADOR]])</f>
        <v>0</v>
      </c>
      <c r="U255" s="80">
        <f>IF(VLOOKUP(TbPrestamo[[#This Row],[ITEM]],TbPiezas[],5,FALSE)="NA",0,VLOOKUP(TbPrestamo[[#This Row],[ITEM]],TbPiezas[],5,FALSE))</f>
        <v>13.200000000000003</v>
      </c>
      <c r="V255" s="81">
        <f>+TbPrestamo[[#This Row],[TOTAL]]*TbPrestamo[[#This Row],[P.U. (1)]]</f>
        <v>0</v>
      </c>
      <c r="W255" s="82">
        <f>+VLOOKUP(TbPrestamo[[#This Row],[ITEM]],TbPiezas[],6,FALSE)</f>
        <v>379.07</v>
      </c>
      <c r="X255" s="83">
        <f>+TbPrestamo[[#This Row],[TOTAL]]*TbPrestamo[[#This Row],[P.U. (2)]]</f>
        <v>0</v>
      </c>
      <c r="Y255" s="82">
        <f>+VLOOKUP(TbPrestamo[[#This Row],[ITEM]],TbPiezas[],7,FALSE)</f>
        <v>18.953500000000002</v>
      </c>
      <c r="Z255" s="84">
        <f>+TbPrestamo[[#This Row],[TOTAL]]*TbPrestamo[[#This Row],[P.U. (3)]]</f>
        <v>0</v>
      </c>
    </row>
    <row r="256" spans="1:26" ht="15" customHeight="1" x14ac:dyDescent="0.3">
      <c r="A256" s="2"/>
      <c r="B256" s="85">
        <v>238</v>
      </c>
      <c r="C256" s="71" t="s">
        <v>477</v>
      </c>
      <c r="D256" s="72" t="s">
        <v>478</v>
      </c>
      <c r="E256" s="73"/>
      <c r="F256" s="74">
        <f>+VLOOKUP(C256,TbPrestamo[],13,FALSE)</f>
        <v>0</v>
      </c>
      <c r="G256" s="2"/>
      <c r="H256" s="75" t="str">
        <f t="shared" si="6"/>
        <v>AE.6510</v>
      </c>
      <c r="I256" s="59" t="str">
        <f t="shared" si="7"/>
        <v>ok</v>
      </c>
      <c r="J256" s="77">
        <f>IFERROR(VLOOKUP($H256,TG[],3,FALSE),"NA")</f>
        <v>0</v>
      </c>
      <c r="K256" s="77" t="str">
        <f>IFERROR(VLOOKUP($H256,TF[],3,FALSE),"NA")</f>
        <v>NA</v>
      </c>
      <c r="L256" s="77" t="str">
        <f>IFERROR(VLOOKUP($H256,TT[],3,FALSE),"NA")</f>
        <v>NA</v>
      </c>
      <c r="M256" s="77" t="str">
        <f>IFERROR(VLOOKUP($H256,TES[],3,FALSE),"NA")</f>
        <v>NA</v>
      </c>
      <c r="N256" s="77" t="str">
        <f>IFERROR(VLOOKUP($H256,TEC[],3,FALSE),"NA")</f>
        <v>NA</v>
      </c>
      <c r="O256" s="77" t="str">
        <f>IFERROR(VLOOKUP($H256,TP[],3,FALSE),"NA")</f>
        <v>NA</v>
      </c>
      <c r="P256" s="77" t="str">
        <f>IFERROR(VLOOKUP($H256,TEN[],3,FALSE),"NA")</f>
        <v>NA</v>
      </c>
      <c r="Q256" s="77" t="str">
        <f>IFERROR(VLOOKUP($H256,TD[],3,FALSE),"NA")</f>
        <v>NA</v>
      </c>
      <c r="R256" s="77">
        <f>IFERROR(VLOOKUP($H256,TC[],3,FALSE),"NA")</f>
        <v>0</v>
      </c>
      <c r="S256" s="77" t="str">
        <f>IFERROR(VLOOKUP($H256,TEV[],3,FALSE),"NA")</f>
        <v>NA</v>
      </c>
      <c r="T256" s="79">
        <f>SUM(TbPrestamo[[#This Row],[GENERAL]:[ELEVADOR]])</f>
        <v>0</v>
      </c>
      <c r="U256" s="80">
        <f>IF(VLOOKUP(TbPrestamo[[#This Row],[ITEM]],TbPiezas[],5,FALSE)="NA",0,VLOOKUP(TbPrestamo[[#This Row],[ITEM]],TbPiezas[],5,FALSE))</f>
        <v>5.0999999999999996</v>
      </c>
      <c r="V256" s="81">
        <f>+TbPrestamo[[#This Row],[TOTAL]]*TbPrestamo[[#This Row],[P.U. (1)]]</f>
        <v>0</v>
      </c>
      <c r="W256" s="82">
        <f>+VLOOKUP(TbPrestamo[[#This Row],[ITEM]],TbPiezas[],6,FALSE)</f>
        <v>150</v>
      </c>
      <c r="X256" s="83">
        <f>+TbPrestamo[[#This Row],[TOTAL]]*TbPrestamo[[#This Row],[P.U. (2)]]</f>
        <v>0</v>
      </c>
      <c r="Y256" s="82">
        <f>+VLOOKUP(TbPrestamo[[#This Row],[ITEM]],TbPiezas[],7,FALSE)</f>
        <v>7.5</v>
      </c>
      <c r="Z256" s="84">
        <f>+TbPrestamo[[#This Row],[TOTAL]]*TbPrestamo[[#This Row],[P.U. (3)]]</f>
        <v>0</v>
      </c>
    </row>
    <row r="257" spans="1:26" ht="15" customHeight="1" x14ac:dyDescent="0.3">
      <c r="A257" s="2"/>
      <c r="B257" s="85">
        <v>239</v>
      </c>
      <c r="C257" s="71" t="s">
        <v>479</v>
      </c>
      <c r="D257" s="72" t="s">
        <v>480</v>
      </c>
      <c r="E257" s="73"/>
      <c r="F257" s="74">
        <f>+VLOOKUP(C257,TbPrestamo[],13,FALSE)</f>
        <v>0</v>
      </c>
      <c r="G257" s="2"/>
      <c r="H257" s="75" t="str">
        <f t="shared" si="6"/>
        <v>AE.6520</v>
      </c>
      <c r="I257" s="59" t="str">
        <f t="shared" si="7"/>
        <v>ok</v>
      </c>
      <c r="J257" s="77">
        <f>IFERROR(VLOOKUP($H257,TG[],3,FALSE),"NA")</f>
        <v>0</v>
      </c>
      <c r="K257" s="77" t="str">
        <f>IFERROR(VLOOKUP($H257,TF[],3,FALSE),"NA")</f>
        <v>NA</v>
      </c>
      <c r="L257" s="77" t="str">
        <f>IFERROR(VLOOKUP($H257,TT[],3,FALSE),"NA")</f>
        <v>NA</v>
      </c>
      <c r="M257" s="77" t="str">
        <f>IFERROR(VLOOKUP($H257,TES[],3,FALSE),"NA")</f>
        <v>NA</v>
      </c>
      <c r="N257" s="77" t="str">
        <f>IFERROR(VLOOKUP($H257,TEC[],3,FALSE),"NA")</f>
        <v>NA</v>
      </c>
      <c r="O257" s="77" t="str">
        <f>IFERROR(VLOOKUP($H257,TP[],3,FALSE),"NA")</f>
        <v>NA</v>
      </c>
      <c r="P257" s="77" t="str">
        <f>IFERROR(VLOOKUP($H257,TEN[],3,FALSE),"NA")</f>
        <v>NA</v>
      </c>
      <c r="Q257" s="77" t="str">
        <f>IFERROR(VLOOKUP($H257,TD[],3,FALSE),"NA")</f>
        <v>NA</v>
      </c>
      <c r="R257" s="77">
        <f>IFERROR(VLOOKUP($H257,TC[],3,FALSE),"NA")</f>
        <v>0</v>
      </c>
      <c r="S257" s="77" t="str">
        <f>IFERROR(VLOOKUP($H257,TEV[],3,FALSE),"NA")</f>
        <v>NA</v>
      </c>
      <c r="T257" s="79">
        <f>SUM(TbPrestamo[[#This Row],[GENERAL]:[ELEVADOR]])</f>
        <v>0</v>
      </c>
      <c r="U257" s="80">
        <f>IF(VLOOKUP(TbPrestamo[[#This Row],[ITEM]],TbPiezas[],5,FALSE)="NA",0,VLOOKUP(TbPrestamo[[#This Row],[ITEM]],TbPiezas[],5,FALSE))</f>
        <v>6.5</v>
      </c>
      <c r="V257" s="81">
        <f>+TbPrestamo[[#This Row],[TOTAL]]*TbPrestamo[[#This Row],[P.U. (1)]]</f>
        <v>0</v>
      </c>
      <c r="W257" s="82">
        <f>+VLOOKUP(TbPrestamo[[#This Row],[ITEM]],TbPiezas[],6,FALSE)</f>
        <v>150</v>
      </c>
      <c r="X257" s="83">
        <f>+TbPrestamo[[#This Row],[TOTAL]]*TbPrestamo[[#This Row],[P.U. (2)]]</f>
        <v>0</v>
      </c>
      <c r="Y257" s="82">
        <f>+VLOOKUP(TbPrestamo[[#This Row],[ITEM]],TbPiezas[],7,FALSE)</f>
        <v>7.5</v>
      </c>
      <c r="Z257" s="84">
        <f>+TbPrestamo[[#This Row],[TOTAL]]*TbPrestamo[[#This Row],[P.U. (3)]]</f>
        <v>0</v>
      </c>
    </row>
    <row r="258" spans="1:26" ht="15" customHeight="1" x14ac:dyDescent="0.3">
      <c r="A258" s="2"/>
      <c r="B258" s="85">
        <v>240</v>
      </c>
      <c r="C258" s="71" t="s">
        <v>481</v>
      </c>
      <c r="D258" s="72" t="s">
        <v>482</v>
      </c>
      <c r="E258" s="73"/>
      <c r="F258" s="74">
        <f>+VLOOKUP(C258,TbPrestamo[],13,FALSE)</f>
        <v>0</v>
      </c>
      <c r="G258" s="2"/>
      <c r="H258" s="75" t="str">
        <f t="shared" si="6"/>
        <v>AE.6600</v>
      </c>
      <c r="I258" s="59" t="str">
        <f t="shared" si="7"/>
        <v>ok</v>
      </c>
      <c r="J258" s="77">
        <f>IFERROR(VLOOKUP($H258,TG[],3,FALSE),"NA")</f>
        <v>0</v>
      </c>
      <c r="K258" s="77" t="str">
        <f>IFERROR(VLOOKUP($H258,TF[],3,FALSE),"NA")</f>
        <v>NA</v>
      </c>
      <c r="L258" s="77" t="str">
        <f>IFERROR(VLOOKUP($H258,TT[],3,FALSE),"NA")</f>
        <v>NA</v>
      </c>
      <c r="M258" s="77" t="str">
        <f>IFERROR(VLOOKUP($H258,TES[],3,FALSE),"NA")</f>
        <v>NA</v>
      </c>
      <c r="N258" s="77" t="str">
        <f>IFERROR(VLOOKUP($H258,TEC[],3,FALSE),"NA")</f>
        <v>NA</v>
      </c>
      <c r="O258" s="77" t="str">
        <f>IFERROR(VLOOKUP($H258,TP[],3,FALSE),"NA")</f>
        <v>NA</v>
      </c>
      <c r="P258" s="77" t="str">
        <f>IFERROR(VLOOKUP($H258,TEN[],3,FALSE),"NA")</f>
        <v>NA</v>
      </c>
      <c r="Q258" s="77" t="str">
        <f>IFERROR(VLOOKUP($H258,TD[],3,FALSE),"NA")</f>
        <v>NA</v>
      </c>
      <c r="R258" s="77">
        <f>IFERROR(VLOOKUP($H258,TC[],3,FALSE),"NA")</f>
        <v>0</v>
      </c>
      <c r="S258" s="77" t="str">
        <f>IFERROR(VLOOKUP($H258,TEV[],3,FALSE),"NA")</f>
        <v>NA</v>
      </c>
      <c r="T258" s="79">
        <f>SUM(TbPrestamo[[#This Row],[GENERAL]:[ELEVADOR]])</f>
        <v>0</v>
      </c>
      <c r="U258" s="80">
        <f>IF(VLOOKUP(TbPrestamo[[#This Row],[ITEM]],TbPiezas[],5,FALSE)="NA",0,VLOOKUP(TbPrestamo[[#This Row],[ITEM]],TbPiezas[],5,FALSE))</f>
        <v>6.2000000000000028</v>
      </c>
      <c r="V258" s="81">
        <f>+TbPrestamo[[#This Row],[TOTAL]]*TbPrestamo[[#This Row],[P.U. (1)]]</f>
        <v>0</v>
      </c>
      <c r="W258" s="82">
        <f>+VLOOKUP(TbPrestamo[[#This Row],[ITEM]],TbPiezas[],6,FALSE)</f>
        <v>337.14</v>
      </c>
      <c r="X258" s="83">
        <f>+TbPrestamo[[#This Row],[TOTAL]]*TbPrestamo[[#This Row],[P.U. (2)]]</f>
        <v>0</v>
      </c>
      <c r="Y258" s="82">
        <f>+VLOOKUP(TbPrestamo[[#This Row],[ITEM]],TbPiezas[],7,FALSE)</f>
        <v>16.856999999999999</v>
      </c>
      <c r="Z258" s="84">
        <f>+TbPrestamo[[#This Row],[TOTAL]]*TbPrestamo[[#This Row],[P.U. (3)]]</f>
        <v>0</v>
      </c>
    </row>
    <row r="259" spans="1:26" ht="15" customHeight="1" x14ac:dyDescent="0.3">
      <c r="A259" s="2"/>
      <c r="B259" s="85">
        <v>241</v>
      </c>
      <c r="C259" s="71" t="s">
        <v>483</v>
      </c>
      <c r="D259" s="72" t="s">
        <v>484</v>
      </c>
      <c r="E259" s="73"/>
      <c r="F259" s="74">
        <f>+VLOOKUP(C259,TbPrestamo[],13,FALSE)</f>
        <v>0</v>
      </c>
      <c r="G259" s="2"/>
      <c r="H259" s="75" t="str">
        <f t="shared" si="6"/>
        <v>AE.6700</v>
      </c>
      <c r="I259" s="59" t="str">
        <f t="shared" si="7"/>
        <v>ok</v>
      </c>
      <c r="J259" s="77">
        <f>IFERROR(VLOOKUP($H259,TG[],3,FALSE),"NA")</f>
        <v>0</v>
      </c>
      <c r="K259" s="77" t="str">
        <f>IFERROR(VLOOKUP($H259,TF[],3,FALSE),"NA")</f>
        <v>NA</v>
      </c>
      <c r="L259" s="77" t="str">
        <f>IFERROR(VLOOKUP($H259,TT[],3,FALSE),"NA")</f>
        <v>NA</v>
      </c>
      <c r="M259" s="77" t="str">
        <f>IFERROR(VLOOKUP($H259,TES[],3,FALSE),"NA")</f>
        <v>NA</v>
      </c>
      <c r="N259" s="77" t="str">
        <f>IFERROR(VLOOKUP($H259,TEC[],3,FALSE),"NA")</f>
        <v>NA</v>
      </c>
      <c r="O259" s="77" t="str">
        <f>IFERROR(VLOOKUP($H259,TP[],3,FALSE),"NA")</f>
        <v>NA</v>
      </c>
      <c r="P259" s="77" t="str">
        <f>IFERROR(VLOOKUP($H259,TEN[],3,FALSE),"NA")</f>
        <v>NA</v>
      </c>
      <c r="Q259" s="77" t="str">
        <f>IFERROR(VLOOKUP($H259,TD[],3,FALSE),"NA")</f>
        <v>NA</v>
      </c>
      <c r="R259" s="77">
        <f>IFERROR(VLOOKUP($H259,TC[],3,FALSE),"NA")</f>
        <v>0</v>
      </c>
      <c r="S259" s="77" t="str">
        <f>IFERROR(VLOOKUP($H259,TEV[],3,FALSE),"NA")</f>
        <v>NA</v>
      </c>
      <c r="T259" s="79">
        <f>SUM(TbPrestamo[[#This Row],[GENERAL]:[ELEVADOR]])</f>
        <v>0</v>
      </c>
      <c r="U259" s="80">
        <f>IF(VLOOKUP(TbPrestamo[[#This Row],[ITEM]],TbPiezas[],5,FALSE)="NA",0,VLOOKUP(TbPrestamo[[#This Row],[ITEM]],TbPiezas[],5,FALSE))</f>
        <v>6.8999999999999915</v>
      </c>
      <c r="V259" s="81">
        <f>+TbPrestamo[[#This Row],[TOTAL]]*TbPrestamo[[#This Row],[P.U. (1)]]</f>
        <v>0</v>
      </c>
      <c r="W259" s="82">
        <f>+VLOOKUP(TbPrestamo[[#This Row],[ITEM]],TbPiezas[],6,FALSE)</f>
        <v>375.25</v>
      </c>
      <c r="X259" s="83">
        <f>+TbPrestamo[[#This Row],[TOTAL]]*TbPrestamo[[#This Row],[P.U. (2)]]</f>
        <v>0</v>
      </c>
      <c r="Y259" s="82">
        <f>+VLOOKUP(TbPrestamo[[#This Row],[ITEM]],TbPiezas[],7,FALSE)</f>
        <v>18.762499999999999</v>
      </c>
      <c r="Z259" s="84">
        <f>+TbPrestamo[[#This Row],[TOTAL]]*TbPrestamo[[#This Row],[P.U. (3)]]</f>
        <v>0</v>
      </c>
    </row>
    <row r="260" spans="1:26" ht="15" customHeight="1" x14ac:dyDescent="0.3">
      <c r="A260" s="2"/>
      <c r="B260" s="85">
        <v>242</v>
      </c>
      <c r="C260" s="71" t="s">
        <v>485</v>
      </c>
      <c r="D260" s="72" t="s">
        <v>486</v>
      </c>
      <c r="E260" s="73"/>
      <c r="F260" s="74">
        <f>+VLOOKUP(C260,TbPrestamo[],13,FALSE)</f>
        <v>0</v>
      </c>
      <c r="G260" s="2"/>
      <c r="H260" s="75" t="str">
        <f t="shared" si="6"/>
        <v>AE.6800</v>
      </c>
      <c r="I260" s="59" t="str">
        <f t="shared" si="7"/>
        <v>ok</v>
      </c>
      <c r="J260" s="77">
        <f>IFERROR(VLOOKUP($H260,TG[],3,FALSE),"NA")</f>
        <v>0</v>
      </c>
      <c r="K260" s="77" t="str">
        <f>IFERROR(VLOOKUP($H260,TF[],3,FALSE),"NA")</f>
        <v>NA</v>
      </c>
      <c r="L260" s="77" t="str">
        <f>IFERROR(VLOOKUP($H260,TT[],3,FALSE),"NA")</f>
        <v>NA</v>
      </c>
      <c r="M260" s="77" t="str">
        <f>IFERROR(VLOOKUP($H260,TES[],3,FALSE),"NA")</f>
        <v>NA</v>
      </c>
      <c r="N260" s="77" t="str">
        <f>IFERROR(VLOOKUP($H260,TEC[],3,FALSE),"NA")</f>
        <v>NA</v>
      </c>
      <c r="O260" s="77" t="str">
        <f>IFERROR(VLOOKUP($H260,TP[],3,FALSE),"NA")</f>
        <v>NA</v>
      </c>
      <c r="P260" s="77" t="str">
        <f>IFERROR(VLOOKUP($H260,TEN[],3,FALSE),"NA")</f>
        <v>NA</v>
      </c>
      <c r="Q260" s="77" t="str">
        <f>IFERROR(VLOOKUP($H260,TD[],3,FALSE),"NA")</f>
        <v>NA</v>
      </c>
      <c r="R260" s="77">
        <f>IFERROR(VLOOKUP($H260,TC[],3,FALSE),"NA")</f>
        <v>0</v>
      </c>
      <c r="S260" s="77" t="str">
        <f>IFERROR(VLOOKUP($H260,TEV[],3,FALSE),"NA")</f>
        <v>NA</v>
      </c>
      <c r="T260" s="79">
        <f>SUM(TbPrestamo[[#This Row],[GENERAL]:[ELEVADOR]])</f>
        <v>0</v>
      </c>
      <c r="U260" s="80">
        <f>IF(VLOOKUP(TbPrestamo[[#This Row],[ITEM]],TbPiezas[],5,FALSE)="NA",0,VLOOKUP(TbPrestamo[[#This Row],[ITEM]],TbPiezas[],5,FALSE))</f>
        <v>18.599999999999994</v>
      </c>
      <c r="V260" s="81">
        <f>+TbPrestamo[[#This Row],[TOTAL]]*TbPrestamo[[#This Row],[P.U. (1)]]</f>
        <v>0</v>
      </c>
      <c r="W260" s="82">
        <f>+VLOOKUP(TbPrestamo[[#This Row],[ITEM]],TbPiezas[],6,FALSE)</f>
        <v>553.12</v>
      </c>
      <c r="X260" s="83">
        <f>+TbPrestamo[[#This Row],[TOTAL]]*TbPrestamo[[#This Row],[P.U. (2)]]</f>
        <v>0</v>
      </c>
      <c r="Y260" s="82">
        <f>+VLOOKUP(TbPrestamo[[#This Row],[ITEM]],TbPiezas[],7,FALSE)</f>
        <v>27.656000000000002</v>
      </c>
      <c r="Z260" s="84">
        <f>+TbPrestamo[[#This Row],[TOTAL]]*TbPrestamo[[#This Row],[P.U. (3)]]</f>
        <v>0</v>
      </c>
    </row>
    <row r="261" spans="1:26" ht="15" customHeight="1" x14ac:dyDescent="0.3">
      <c r="A261" s="2"/>
      <c r="B261" s="85">
        <v>243</v>
      </c>
      <c r="C261" s="71" t="s">
        <v>487</v>
      </c>
      <c r="D261" s="72" t="s">
        <v>488</v>
      </c>
      <c r="E261" s="73"/>
      <c r="F261" s="74">
        <f>+VLOOKUP(C261,TbPrestamo[],13,FALSE)</f>
        <v>0</v>
      </c>
      <c r="G261" s="2"/>
      <c r="H261" s="75" t="str">
        <f t="shared" si="6"/>
        <v>AE.6900</v>
      </c>
      <c r="I261" s="59" t="str">
        <f t="shared" si="7"/>
        <v>ok</v>
      </c>
      <c r="J261" s="77">
        <f>IFERROR(VLOOKUP($H261,TG[],3,FALSE),"NA")</f>
        <v>0</v>
      </c>
      <c r="K261" s="77" t="str">
        <f>IFERROR(VLOOKUP($H261,TF[],3,FALSE),"NA")</f>
        <v>NA</v>
      </c>
      <c r="L261" s="77" t="str">
        <f>IFERROR(VLOOKUP($H261,TT[],3,FALSE),"NA")</f>
        <v>NA</v>
      </c>
      <c r="M261" s="77" t="str">
        <f>IFERROR(VLOOKUP($H261,TES[],3,FALSE),"NA")</f>
        <v>NA</v>
      </c>
      <c r="N261" s="77" t="str">
        <f>IFERROR(VLOOKUP($H261,TEC[],3,FALSE),"NA")</f>
        <v>NA</v>
      </c>
      <c r="O261" s="77" t="str">
        <f>IFERROR(VLOOKUP($H261,TP[],3,FALSE),"NA")</f>
        <v>NA</v>
      </c>
      <c r="P261" s="77" t="str">
        <f>IFERROR(VLOOKUP($H261,TEN[],3,FALSE),"NA")</f>
        <v>NA</v>
      </c>
      <c r="Q261" s="77" t="str">
        <f>IFERROR(VLOOKUP($H261,TD[],3,FALSE),"NA")</f>
        <v>NA</v>
      </c>
      <c r="R261" s="77">
        <f>IFERROR(VLOOKUP($H261,TC[],3,FALSE),"NA")</f>
        <v>0</v>
      </c>
      <c r="S261" s="77" t="str">
        <f>IFERROR(VLOOKUP($H261,TEV[],3,FALSE),"NA")</f>
        <v>NA</v>
      </c>
      <c r="T261" s="79">
        <f>SUM(TbPrestamo[[#This Row],[GENERAL]:[ELEVADOR]])</f>
        <v>0</v>
      </c>
      <c r="U261" s="80">
        <f>IF(VLOOKUP(TbPrestamo[[#This Row],[ITEM]],TbPiezas[],5,FALSE)="NA",0,VLOOKUP(TbPrestamo[[#This Row],[ITEM]],TbPiezas[],5,FALSE))</f>
        <v>23.400000000000006</v>
      </c>
      <c r="V261" s="81">
        <f>+TbPrestamo[[#This Row],[TOTAL]]*TbPrestamo[[#This Row],[P.U. (1)]]</f>
        <v>0</v>
      </c>
      <c r="W261" s="82">
        <f>+VLOOKUP(TbPrestamo[[#This Row],[ITEM]],TbPiezas[],6,FALSE)</f>
        <v>553.12</v>
      </c>
      <c r="X261" s="83">
        <f>+TbPrestamo[[#This Row],[TOTAL]]*TbPrestamo[[#This Row],[P.U. (2)]]</f>
        <v>0</v>
      </c>
      <c r="Y261" s="82">
        <f>+VLOOKUP(TbPrestamo[[#This Row],[ITEM]],TbPiezas[],7,FALSE)</f>
        <v>27.656000000000002</v>
      </c>
      <c r="Z261" s="84">
        <f>+TbPrestamo[[#This Row],[TOTAL]]*TbPrestamo[[#This Row],[P.U. (3)]]</f>
        <v>0</v>
      </c>
    </row>
    <row r="262" spans="1:26" ht="15" customHeight="1" x14ac:dyDescent="0.3">
      <c r="A262" s="2"/>
      <c r="B262" s="85">
        <v>244</v>
      </c>
      <c r="C262" s="71" t="s">
        <v>489</v>
      </c>
      <c r="D262" s="72" t="s">
        <v>490</v>
      </c>
      <c r="E262" s="73"/>
      <c r="F262" s="74">
        <f>+VLOOKUP(C262,TbPrestamo[],13,FALSE)</f>
        <v>0</v>
      </c>
      <c r="G262" s="2"/>
      <c r="H262" s="75" t="str">
        <f t="shared" si="6"/>
        <v>AE.7000</v>
      </c>
      <c r="I262" s="59" t="str">
        <f t="shared" si="7"/>
        <v>ok</v>
      </c>
      <c r="J262" s="77">
        <f>IFERROR(VLOOKUP($H262,TG[],3,FALSE),"NA")</f>
        <v>0</v>
      </c>
      <c r="K262" s="77" t="str">
        <f>IFERROR(VLOOKUP($H262,TF[],3,FALSE),"NA")</f>
        <v>NA</v>
      </c>
      <c r="L262" s="77" t="str">
        <f>IFERROR(VLOOKUP($H262,TT[],3,FALSE),"NA")</f>
        <v>NA</v>
      </c>
      <c r="M262" s="77" t="str">
        <f>IFERROR(VLOOKUP($H262,TES[],3,FALSE),"NA")</f>
        <v>NA</v>
      </c>
      <c r="N262" s="77" t="str">
        <f>IFERROR(VLOOKUP($H262,TEC[],3,FALSE),"NA")</f>
        <v>NA</v>
      </c>
      <c r="O262" s="77" t="str">
        <f>IFERROR(VLOOKUP($H262,TP[],3,FALSE),"NA")</f>
        <v>NA</v>
      </c>
      <c r="P262" s="77" t="str">
        <f>IFERROR(VLOOKUP($H262,TEN[],3,FALSE),"NA")</f>
        <v>NA</v>
      </c>
      <c r="Q262" s="77" t="str">
        <f>IFERROR(VLOOKUP($H262,TD[],3,FALSE),"NA")</f>
        <v>NA</v>
      </c>
      <c r="R262" s="77">
        <f>IFERROR(VLOOKUP($H262,TC[],3,FALSE),"NA")</f>
        <v>0</v>
      </c>
      <c r="S262" s="77" t="str">
        <f>IFERROR(VLOOKUP($H262,TEV[],3,FALSE),"NA")</f>
        <v>NA</v>
      </c>
      <c r="T262" s="79">
        <f>SUM(TbPrestamo[[#This Row],[GENERAL]:[ELEVADOR]])</f>
        <v>0</v>
      </c>
      <c r="U262" s="80">
        <f>IF(VLOOKUP(TbPrestamo[[#This Row],[ITEM]],TbPiezas[],5,FALSE)="NA",0,VLOOKUP(TbPrestamo[[#This Row],[ITEM]],TbPiezas[],5,FALSE))</f>
        <v>20.099999999999994</v>
      </c>
      <c r="V262" s="81">
        <f>+TbPrestamo[[#This Row],[TOTAL]]*TbPrestamo[[#This Row],[P.U. (1)]]</f>
        <v>0</v>
      </c>
      <c r="W262" s="82">
        <f>+VLOOKUP(TbPrestamo[[#This Row],[ITEM]],TbPiezas[],6,FALSE)</f>
        <v>553.12</v>
      </c>
      <c r="X262" s="83">
        <f>+TbPrestamo[[#This Row],[TOTAL]]*TbPrestamo[[#This Row],[P.U. (2)]]</f>
        <v>0</v>
      </c>
      <c r="Y262" s="82">
        <f>+VLOOKUP(TbPrestamo[[#This Row],[ITEM]],TbPiezas[],7,FALSE)</f>
        <v>27.656000000000002</v>
      </c>
      <c r="Z262" s="84">
        <f>+TbPrestamo[[#This Row],[TOTAL]]*TbPrestamo[[#This Row],[P.U. (3)]]</f>
        <v>0</v>
      </c>
    </row>
    <row r="263" spans="1:26" ht="15" customHeight="1" x14ac:dyDescent="0.3">
      <c r="A263" s="2"/>
      <c r="B263" s="85">
        <v>245</v>
      </c>
      <c r="C263" s="71" t="s">
        <v>491</v>
      </c>
      <c r="D263" s="72" t="s">
        <v>492</v>
      </c>
      <c r="E263" s="73"/>
      <c r="F263" s="74">
        <f>+VLOOKUP(C263,TbPrestamo[],13,FALSE)</f>
        <v>0</v>
      </c>
      <c r="G263" s="2"/>
      <c r="H263" s="75" t="str">
        <f t="shared" si="6"/>
        <v>AE.7100</v>
      </c>
      <c r="I263" s="59" t="str">
        <f t="shared" si="7"/>
        <v>ok</v>
      </c>
      <c r="J263" s="77">
        <f>IFERROR(VLOOKUP($H263,TG[],3,FALSE),"NA")</f>
        <v>0</v>
      </c>
      <c r="K263" s="77" t="str">
        <f>IFERROR(VLOOKUP($H263,TF[],3,FALSE),"NA")</f>
        <v>NA</v>
      </c>
      <c r="L263" s="77" t="str">
        <f>IFERROR(VLOOKUP($H263,TT[],3,FALSE),"NA")</f>
        <v>NA</v>
      </c>
      <c r="M263" s="77" t="str">
        <f>IFERROR(VLOOKUP($H263,TES[],3,FALSE),"NA")</f>
        <v>NA</v>
      </c>
      <c r="N263" s="77" t="str">
        <f>IFERROR(VLOOKUP($H263,TEC[],3,FALSE),"NA")</f>
        <v>NA</v>
      </c>
      <c r="O263" s="77" t="str">
        <f>IFERROR(VLOOKUP($H263,TP[],3,FALSE),"NA")</f>
        <v>NA</v>
      </c>
      <c r="P263" s="77" t="str">
        <f>IFERROR(VLOOKUP($H263,TEN[],3,FALSE),"NA")</f>
        <v>NA</v>
      </c>
      <c r="Q263" s="77" t="str">
        <f>IFERROR(VLOOKUP($H263,TD[],3,FALSE),"NA")</f>
        <v>NA</v>
      </c>
      <c r="R263" s="77">
        <f>IFERROR(VLOOKUP($H263,TC[],3,FALSE),"NA")</f>
        <v>0</v>
      </c>
      <c r="S263" s="77" t="str">
        <f>IFERROR(VLOOKUP($H263,TEV[],3,FALSE),"NA")</f>
        <v>NA</v>
      </c>
      <c r="T263" s="79">
        <f>SUM(TbPrestamo[[#This Row],[GENERAL]:[ELEVADOR]])</f>
        <v>0</v>
      </c>
      <c r="U263" s="80">
        <f>IF(VLOOKUP(TbPrestamo[[#This Row],[ITEM]],TbPiezas[],5,FALSE)="NA",0,VLOOKUP(TbPrestamo[[#This Row],[ITEM]],TbPiezas[],5,FALSE))</f>
        <v>15.400000000000006</v>
      </c>
      <c r="V263" s="81">
        <f>+TbPrestamo[[#This Row],[TOTAL]]*TbPrestamo[[#This Row],[P.U. (1)]]</f>
        <v>0</v>
      </c>
      <c r="W263" s="82">
        <f>+VLOOKUP(TbPrestamo[[#This Row],[ITEM]],TbPiezas[],6,FALSE)</f>
        <v>553.12</v>
      </c>
      <c r="X263" s="83">
        <f>+TbPrestamo[[#This Row],[TOTAL]]*TbPrestamo[[#This Row],[P.U. (2)]]</f>
        <v>0</v>
      </c>
      <c r="Y263" s="82">
        <f>+VLOOKUP(TbPrestamo[[#This Row],[ITEM]],TbPiezas[],7,FALSE)</f>
        <v>27.656000000000002</v>
      </c>
      <c r="Z263" s="84">
        <f>+TbPrestamo[[#This Row],[TOTAL]]*TbPrestamo[[#This Row],[P.U. (3)]]</f>
        <v>0</v>
      </c>
    </row>
    <row r="264" spans="1:26" ht="15" customHeight="1" x14ac:dyDescent="0.3">
      <c r="A264" s="2"/>
      <c r="B264" s="85">
        <v>246</v>
      </c>
      <c r="C264" s="71" t="s">
        <v>493</v>
      </c>
      <c r="D264" s="72" t="s">
        <v>494</v>
      </c>
      <c r="E264" s="73"/>
      <c r="F264" s="74">
        <f>+VLOOKUP(C264,TbPrestamo[],13,FALSE)</f>
        <v>0</v>
      </c>
      <c r="G264" s="2"/>
      <c r="H264" s="75" t="str">
        <f t="shared" si="6"/>
        <v>AE.7200</v>
      </c>
      <c r="I264" s="59" t="str">
        <f t="shared" si="7"/>
        <v>ok</v>
      </c>
      <c r="J264" s="77">
        <f>IFERROR(VLOOKUP($H264,TG[],3,FALSE),"NA")</f>
        <v>0</v>
      </c>
      <c r="K264" s="77" t="str">
        <f>IFERROR(VLOOKUP($H264,TF[],3,FALSE),"NA")</f>
        <v>NA</v>
      </c>
      <c r="L264" s="77" t="str">
        <f>IFERROR(VLOOKUP($H264,TT[],3,FALSE),"NA")</f>
        <v>NA</v>
      </c>
      <c r="M264" s="77" t="str">
        <f>IFERROR(VLOOKUP($H264,TES[],3,FALSE),"NA")</f>
        <v>NA</v>
      </c>
      <c r="N264" s="77" t="str">
        <f>IFERROR(VLOOKUP($H264,TEC[],3,FALSE),"NA")</f>
        <v>NA</v>
      </c>
      <c r="O264" s="77" t="str">
        <f>IFERROR(VLOOKUP($H264,TP[],3,FALSE),"NA")</f>
        <v>NA</v>
      </c>
      <c r="P264" s="77" t="str">
        <f>IFERROR(VLOOKUP($H264,TEN[],3,FALSE),"NA")</f>
        <v>NA</v>
      </c>
      <c r="Q264" s="77" t="str">
        <f>IFERROR(VLOOKUP($H264,TD[],3,FALSE),"NA")</f>
        <v>NA</v>
      </c>
      <c r="R264" s="77">
        <f>IFERROR(VLOOKUP($H264,TC[],3,FALSE),"NA")</f>
        <v>0</v>
      </c>
      <c r="S264" s="77" t="str">
        <f>IFERROR(VLOOKUP($H264,TEV[],3,FALSE),"NA")</f>
        <v>NA</v>
      </c>
      <c r="T264" s="79">
        <f>SUM(TbPrestamo[[#This Row],[GENERAL]:[ELEVADOR]])</f>
        <v>0</v>
      </c>
      <c r="U264" s="80">
        <f>IF(VLOOKUP(TbPrestamo[[#This Row],[ITEM]],TbPiezas[],5,FALSE)="NA",0,VLOOKUP(TbPrestamo[[#This Row],[ITEM]],TbPiezas[],5,FALSE))</f>
        <v>25.899999999999991</v>
      </c>
      <c r="V264" s="81">
        <f>+TbPrestamo[[#This Row],[TOTAL]]*TbPrestamo[[#This Row],[P.U. (1)]]</f>
        <v>0</v>
      </c>
      <c r="W264" s="82">
        <f>+VLOOKUP(TbPrestamo[[#This Row],[ITEM]],TbPiezas[],6,FALSE)</f>
        <v>1605.09</v>
      </c>
      <c r="X264" s="83">
        <f>+TbPrestamo[[#This Row],[TOTAL]]*TbPrestamo[[#This Row],[P.U. (2)]]</f>
        <v>0</v>
      </c>
      <c r="Y264" s="82">
        <f>+VLOOKUP(TbPrestamo[[#This Row],[ITEM]],TbPiezas[],7,FALSE)</f>
        <v>80.254500000000007</v>
      </c>
      <c r="Z264" s="84">
        <f>+TbPrestamo[[#This Row],[TOTAL]]*TbPrestamo[[#This Row],[P.U. (3)]]</f>
        <v>0</v>
      </c>
    </row>
    <row r="265" spans="1:26" ht="15" customHeight="1" x14ac:dyDescent="0.3">
      <c r="A265" s="2"/>
      <c r="B265" s="85">
        <v>247</v>
      </c>
      <c r="C265" s="71" t="s">
        <v>495</v>
      </c>
      <c r="D265" s="72" t="s">
        <v>496</v>
      </c>
      <c r="E265" s="73"/>
      <c r="F265" s="74">
        <f>+VLOOKUP(C265,TbPrestamo[],13,FALSE)</f>
        <v>0</v>
      </c>
      <c r="G265" s="2"/>
      <c r="H265" s="75" t="str">
        <f t="shared" si="6"/>
        <v>AE.7300</v>
      </c>
      <c r="I265" s="59" t="str">
        <f t="shared" si="7"/>
        <v>ok</v>
      </c>
      <c r="J265" s="77">
        <f>IFERROR(VLOOKUP($H265,TG[],3,FALSE),"NA")</f>
        <v>0</v>
      </c>
      <c r="K265" s="77" t="str">
        <f>IFERROR(VLOOKUP($H265,TF[],3,FALSE),"NA")</f>
        <v>NA</v>
      </c>
      <c r="L265" s="77" t="str">
        <f>IFERROR(VLOOKUP($H265,TT[],3,FALSE),"NA")</f>
        <v>NA</v>
      </c>
      <c r="M265" s="77" t="str">
        <f>IFERROR(VLOOKUP($H265,TES[],3,FALSE),"NA")</f>
        <v>NA</v>
      </c>
      <c r="N265" s="77" t="str">
        <f>IFERROR(VLOOKUP($H265,TEC[],3,FALSE),"NA")</f>
        <v>NA</v>
      </c>
      <c r="O265" s="77" t="str">
        <f>IFERROR(VLOOKUP($H265,TP[],3,FALSE),"NA")</f>
        <v>NA</v>
      </c>
      <c r="P265" s="77" t="str">
        <f>IFERROR(VLOOKUP($H265,TEN[],3,FALSE),"NA")</f>
        <v>NA</v>
      </c>
      <c r="Q265" s="77" t="str">
        <f>IFERROR(VLOOKUP($H265,TD[],3,FALSE),"NA")</f>
        <v>NA</v>
      </c>
      <c r="R265" s="77">
        <f>IFERROR(VLOOKUP($H265,TC[],3,FALSE),"NA")</f>
        <v>0</v>
      </c>
      <c r="S265" s="77" t="str">
        <f>IFERROR(VLOOKUP($H265,TEV[],3,FALSE),"NA")</f>
        <v>NA</v>
      </c>
      <c r="T265" s="79">
        <f>SUM(TbPrestamo[[#This Row],[GENERAL]:[ELEVADOR]])</f>
        <v>0</v>
      </c>
      <c r="U265" s="80">
        <f>IF(VLOOKUP(TbPrestamo[[#This Row],[ITEM]],TbPiezas[],5,FALSE)="NA",0,VLOOKUP(TbPrestamo[[#This Row],[ITEM]],TbPiezas[],5,FALSE))</f>
        <v>20.700000000000003</v>
      </c>
      <c r="V265" s="81">
        <f>+TbPrestamo[[#This Row],[TOTAL]]*TbPrestamo[[#This Row],[P.U. (1)]]</f>
        <v>0</v>
      </c>
      <c r="W265" s="82">
        <f>+VLOOKUP(TbPrestamo[[#This Row],[ITEM]],TbPiezas[],6,FALSE)</f>
        <v>1284.07</v>
      </c>
      <c r="X265" s="83">
        <f>+TbPrestamo[[#This Row],[TOTAL]]*TbPrestamo[[#This Row],[P.U. (2)]]</f>
        <v>0</v>
      </c>
      <c r="Y265" s="82">
        <f>+VLOOKUP(TbPrestamo[[#This Row],[ITEM]],TbPiezas[],7,FALSE)</f>
        <v>64.203500000000005</v>
      </c>
      <c r="Z265" s="84">
        <f>+TbPrestamo[[#This Row],[TOTAL]]*TbPrestamo[[#This Row],[P.U. (3)]]</f>
        <v>0</v>
      </c>
    </row>
    <row r="266" spans="1:26" ht="15" customHeight="1" x14ac:dyDescent="0.3">
      <c r="A266" s="2"/>
      <c r="B266" s="85">
        <v>248</v>
      </c>
      <c r="C266" s="71" t="s">
        <v>497</v>
      </c>
      <c r="D266" s="72" t="s">
        <v>498</v>
      </c>
      <c r="E266" s="73"/>
      <c r="F266" s="74">
        <f>+VLOOKUP(C266,TbPrestamo[],13,FALSE)</f>
        <v>0</v>
      </c>
      <c r="G266" s="2"/>
      <c r="H266" s="75" t="str">
        <f t="shared" si="6"/>
        <v>AE.7400</v>
      </c>
      <c r="I266" s="59" t="str">
        <f t="shared" si="7"/>
        <v>ok</v>
      </c>
      <c r="J266" s="77">
        <f>IFERROR(VLOOKUP($H266,TG[],3,FALSE),"NA")</f>
        <v>0</v>
      </c>
      <c r="K266" s="77" t="str">
        <f>IFERROR(VLOOKUP($H266,TF[],3,FALSE),"NA")</f>
        <v>NA</v>
      </c>
      <c r="L266" s="77" t="str">
        <f>IFERROR(VLOOKUP($H266,TT[],3,FALSE),"NA")</f>
        <v>NA</v>
      </c>
      <c r="M266" s="77" t="str">
        <f>IFERROR(VLOOKUP($H266,TES[],3,FALSE),"NA")</f>
        <v>NA</v>
      </c>
      <c r="N266" s="77" t="str">
        <f>IFERROR(VLOOKUP($H266,TEC[],3,FALSE),"NA")</f>
        <v>NA</v>
      </c>
      <c r="O266" s="77" t="str">
        <f>IFERROR(VLOOKUP($H266,TP[],3,FALSE),"NA")</f>
        <v>NA</v>
      </c>
      <c r="P266" s="77" t="str">
        <f>IFERROR(VLOOKUP($H266,TEN[],3,FALSE),"NA")</f>
        <v>NA</v>
      </c>
      <c r="Q266" s="77" t="str">
        <f>IFERROR(VLOOKUP($H266,TD[],3,FALSE),"NA")</f>
        <v>NA</v>
      </c>
      <c r="R266" s="77">
        <f>IFERROR(VLOOKUP($H266,TC[],3,FALSE),"NA")</f>
        <v>0</v>
      </c>
      <c r="S266" s="77" t="str">
        <f>IFERROR(VLOOKUP($H266,TEV[],3,FALSE),"NA")</f>
        <v>NA</v>
      </c>
      <c r="T266" s="79">
        <f>SUM(TbPrestamo[[#This Row],[GENERAL]:[ELEVADOR]])</f>
        <v>0</v>
      </c>
      <c r="U266" s="80">
        <f>IF(VLOOKUP(TbPrestamo[[#This Row],[ITEM]],TbPiezas[],5,FALSE)="NA",0,VLOOKUP(TbPrestamo[[#This Row],[ITEM]],TbPiezas[],5,FALSE))</f>
        <v>18.100000000000009</v>
      </c>
      <c r="V266" s="81">
        <f>+TbPrestamo[[#This Row],[TOTAL]]*TbPrestamo[[#This Row],[P.U. (1)]]</f>
        <v>0</v>
      </c>
      <c r="W266" s="82">
        <f>+VLOOKUP(TbPrestamo[[#This Row],[ITEM]],TbPiezas[],6,FALSE)</f>
        <v>1123.56</v>
      </c>
      <c r="X266" s="83">
        <f>+TbPrestamo[[#This Row],[TOTAL]]*TbPrestamo[[#This Row],[P.U. (2)]]</f>
        <v>0</v>
      </c>
      <c r="Y266" s="82">
        <f>+VLOOKUP(TbPrestamo[[#This Row],[ITEM]],TbPiezas[],7,FALSE)</f>
        <v>56.177999999999997</v>
      </c>
      <c r="Z266" s="84">
        <f>+TbPrestamo[[#This Row],[TOTAL]]*TbPrestamo[[#This Row],[P.U. (3)]]</f>
        <v>0</v>
      </c>
    </row>
    <row r="267" spans="1:26" ht="15" customHeight="1" x14ac:dyDescent="0.3">
      <c r="A267" s="2"/>
      <c r="B267" s="85">
        <v>249</v>
      </c>
      <c r="C267" s="71" t="s">
        <v>499</v>
      </c>
      <c r="D267" s="72" t="s">
        <v>500</v>
      </c>
      <c r="E267" s="73"/>
      <c r="F267" s="74">
        <f>+VLOOKUP(C267,TbPrestamo[],13,FALSE)</f>
        <v>0</v>
      </c>
      <c r="G267" s="2"/>
      <c r="H267" s="75" t="str">
        <f t="shared" si="6"/>
        <v>AE.7450</v>
      </c>
      <c r="I267" s="59" t="str">
        <f t="shared" si="7"/>
        <v>ok</v>
      </c>
      <c r="J267" s="77">
        <f>IFERROR(VLOOKUP($H267,TG[],3,FALSE),"NA")</f>
        <v>0</v>
      </c>
      <c r="K267" s="77" t="str">
        <f>IFERROR(VLOOKUP($H267,TF[],3,FALSE),"NA")</f>
        <v>NA</v>
      </c>
      <c r="L267" s="77" t="str">
        <f>IFERROR(VLOOKUP($H267,TT[],3,FALSE),"NA")</f>
        <v>NA</v>
      </c>
      <c r="M267" s="77" t="str">
        <f>IFERROR(VLOOKUP($H267,TES[],3,FALSE),"NA")</f>
        <v>NA</v>
      </c>
      <c r="N267" s="77" t="str">
        <f>IFERROR(VLOOKUP($H267,TEC[],3,FALSE),"NA")</f>
        <v>NA</v>
      </c>
      <c r="O267" s="77" t="str">
        <f>IFERROR(VLOOKUP($H267,TP[],3,FALSE),"NA")</f>
        <v>NA</v>
      </c>
      <c r="P267" s="77" t="str">
        <f>IFERROR(VLOOKUP($H267,TEN[],3,FALSE),"NA")</f>
        <v>NA</v>
      </c>
      <c r="Q267" s="77" t="str">
        <f>IFERROR(VLOOKUP($H267,TD[],3,FALSE),"NA")</f>
        <v>NA</v>
      </c>
      <c r="R267" s="77">
        <f>IFERROR(VLOOKUP($H267,TC[],3,FALSE),"NA")</f>
        <v>0</v>
      </c>
      <c r="S267" s="77" t="str">
        <f>IFERROR(VLOOKUP($H267,TEV[],3,FALSE),"NA")</f>
        <v>NA</v>
      </c>
      <c r="T267" s="79">
        <f>SUM(TbPrestamo[[#This Row],[GENERAL]:[ELEVADOR]])</f>
        <v>0</v>
      </c>
      <c r="U267" s="80">
        <f>IF(VLOOKUP(TbPrestamo[[#This Row],[ITEM]],TbPiezas[],5,FALSE)="NA",0,VLOOKUP(TbPrestamo[[#This Row],[ITEM]],TbPiezas[],5,FALSE))</f>
        <v>10.350000000000001</v>
      </c>
      <c r="V267" s="81">
        <f>+TbPrestamo[[#This Row],[TOTAL]]*TbPrestamo[[#This Row],[P.U. (1)]]</f>
        <v>0</v>
      </c>
      <c r="W267" s="82">
        <f>+VLOOKUP(TbPrestamo[[#This Row],[ITEM]],TbPiezas[],6,FALSE)</f>
        <v>813.44</v>
      </c>
      <c r="X267" s="83">
        <f>+TbPrestamo[[#This Row],[TOTAL]]*TbPrestamo[[#This Row],[P.U. (2)]]</f>
        <v>0</v>
      </c>
      <c r="Y267" s="82">
        <f>+VLOOKUP(TbPrestamo[[#This Row],[ITEM]],TbPiezas[],7,FALSE)</f>
        <v>40.672000000000004</v>
      </c>
      <c r="Z267" s="84">
        <f>+TbPrestamo[[#This Row],[TOTAL]]*TbPrestamo[[#This Row],[P.U. (3)]]</f>
        <v>0</v>
      </c>
    </row>
    <row r="268" spans="1:26" ht="15" customHeight="1" x14ac:dyDescent="0.3">
      <c r="A268" s="2"/>
      <c r="B268" s="85">
        <v>250</v>
      </c>
      <c r="C268" s="71" t="s">
        <v>501</v>
      </c>
      <c r="D268" s="72" t="s">
        <v>502</v>
      </c>
      <c r="E268" s="73"/>
      <c r="F268" s="74">
        <f>+VLOOKUP(C268,TbPrestamo[],13,FALSE)</f>
        <v>0</v>
      </c>
      <c r="G268" s="2"/>
      <c r="H268" s="75" t="str">
        <f t="shared" si="6"/>
        <v>AE.7500</v>
      </c>
      <c r="I268" s="59" t="str">
        <f t="shared" si="7"/>
        <v>ok</v>
      </c>
      <c r="J268" s="77">
        <f>IFERROR(VLOOKUP($H268,TG[],3,FALSE),"NA")</f>
        <v>0</v>
      </c>
      <c r="K268" s="77" t="str">
        <f>IFERROR(VLOOKUP($H268,TF[],3,FALSE),"NA")</f>
        <v>NA</v>
      </c>
      <c r="L268" s="77" t="str">
        <f>IFERROR(VLOOKUP($H268,TT[],3,FALSE),"NA")</f>
        <v>NA</v>
      </c>
      <c r="M268" s="77" t="str">
        <f>IFERROR(VLOOKUP($H268,TES[],3,FALSE),"NA")</f>
        <v>NA</v>
      </c>
      <c r="N268" s="77" t="str">
        <f>IFERROR(VLOOKUP($H268,TEC[],3,FALSE),"NA")</f>
        <v>NA</v>
      </c>
      <c r="O268" s="77" t="str">
        <f>IFERROR(VLOOKUP($H268,TP[],3,FALSE),"NA")</f>
        <v>NA</v>
      </c>
      <c r="P268" s="77" t="str">
        <f>IFERROR(VLOOKUP($H268,TEN[],3,FALSE),"NA")</f>
        <v>NA</v>
      </c>
      <c r="Q268" s="77" t="str">
        <f>IFERROR(VLOOKUP($H268,TD[],3,FALSE),"NA")</f>
        <v>NA</v>
      </c>
      <c r="R268" s="77">
        <f>IFERROR(VLOOKUP($H268,TC[],3,FALSE),"NA")</f>
        <v>0</v>
      </c>
      <c r="S268" s="77" t="str">
        <f>IFERROR(VLOOKUP($H268,TEV[],3,FALSE),"NA")</f>
        <v>NA</v>
      </c>
      <c r="T268" s="79">
        <f>SUM(TbPrestamo[[#This Row],[GENERAL]:[ELEVADOR]])</f>
        <v>0</v>
      </c>
      <c r="U268" s="80">
        <f>IF(VLOOKUP(TbPrestamo[[#This Row],[ITEM]],TbPiezas[],5,FALSE)="NA",0,VLOOKUP(TbPrestamo[[#This Row],[ITEM]],TbPiezas[],5,FALSE))</f>
        <v>0.20000000000000284</v>
      </c>
      <c r="V268" s="81">
        <f>+TbPrestamo[[#This Row],[TOTAL]]*TbPrestamo[[#This Row],[P.U. (1)]]</f>
        <v>0</v>
      </c>
      <c r="W268" s="82">
        <f>+VLOOKUP(TbPrestamo[[#This Row],[ITEM]],TbPiezas[],6,FALSE)</f>
        <v>88.94</v>
      </c>
      <c r="X268" s="83">
        <f>+TbPrestamo[[#This Row],[TOTAL]]*TbPrestamo[[#This Row],[P.U. (2)]]</f>
        <v>0</v>
      </c>
      <c r="Y268" s="82">
        <f>+VLOOKUP(TbPrestamo[[#This Row],[ITEM]],TbPiezas[],7,FALSE)</f>
        <v>4.4470000000000001</v>
      </c>
      <c r="Z268" s="84">
        <f>+TbPrestamo[[#This Row],[TOTAL]]*TbPrestamo[[#This Row],[P.U. (3)]]</f>
        <v>0</v>
      </c>
    </row>
    <row r="269" spans="1:26" ht="15" customHeight="1" x14ac:dyDescent="0.3">
      <c r="A269" s="2"/>
      <c r="B269" s="85">
        <v>251</v>
      </c>
      <c r="C269" s="71" t="s">
        <v>503</v>
      </c>
      <c r="D269" s="72" t="s">
        <v>504</v>
      </c>
      <c r="E269" s="73"/>
      <c r="F269" s="74">
        <f>+VLOOKUP(C269,TbPrestamo[],13,FALSE)</f>
        <v>0</v>
      </c>
      <c r="G269" s="2"/>
      <c r="H269" s="75" t="str">
        <f t="shared" si="6"/>
        <v>AE.7600</v>
      </c>
      <c r="I269" s="59" t="str">
        <f t="shared" si="7"/>
        <v>ok</v>
      </c>
      <c r="J269" s="77">
        <f>IFERROR(VLOOKUP($H269,TG[],3,FALSE),"NA")</f>
        <v>0</v>
      </c>
      <c r="K269" s="77" t="str">
        <f>IFERROR(VLOOKUP($H269,TF[],3,FALSE),"NA")</f>
        <v>NA</v>
      </c>
      <c r="L269" s="77" t="str">
        <f>IFERROR(VLOOKUP($H269,TT[],3,FALSE),"NA")</f>
        <v>NA</v>
      </c>
      <c r="M269" s="77" t="str">
        <f>IFERROR(VLOOKUP($H269,TES[],3,FALSE),"NA")</f>
        <v>NA</v>
      </c>
      <c r="N269" s="77" t="str">
        <f>IFERROR(VLOOKUP($H269,TEC[],3,FALSE),"NA")</f>
        <v>NA</v>
      </c>
      <c r="O269" s="77" t="str">
        <f>IFERROR(VLOOKUP($H269,TP[],3,FALSE),"NA")</f>
        <v>NA</v>
      </c>
      <c r="P269" s="77" t="str">
        <f>IFERROR(VLOOKUP($H269,TEN[],3,FALSE),"NA")</f>
        <v>NA</v>
      </c>
      <c r="Q269" s="77" t="str">
        <f>IFERROR(VLOOKUP($H269,TD[],3,FALSE),"NA")</f>
        <v>NA</v>
      </c>
      <c r="R269" s="77">
        <f>IFERROR(VLOOKUP($H269,TC[],3,FALSE),"NA")</f>
        <v>0</v>
      </c>
      <c r="S269" s="77" t="str">
        <f>IFERROR(VLOOKUP($H269,TEV[],3,FALSE),"NA")</f>
        <v>NA</v>
      </c>
      <c r="T269" s="79">
        <f>SUM(TbPrestamo[[#This Row],[GENERAL]:[ELEVADOR]])</f>
        <v>0</v>
      </c>
      <c r="U269" s="80">
        <f>IF(VLOOKUP(TbPrestamo[[#This Row],[ITEM]],TbPiezas[],5,FALSE)="NA",0,VLOOKUP(TbPrestamo[[#This Row],[ITEM]],TbPiezas[],5,FALSE))</f>
        <v>0.20000000000000284</v>
      </c>
      <c r="V269" s="81">
        <f>+TbPrestamo[[#This Row],[TOTAL]]*TbPrestamo[[#This Row],[P.U. (1)]]</f>
        <v>0</v>
      </c>
      <c r="W269" s="82">
        <f>+VLOOKUP(TbPrestamo[[#This Row],[ITEM]],TbPiezas[],6,FALSE)</f>
        <v>88.94</v>
      </c>
      <c r="X269" s="83">
        <f>+TbPrestamo[[#This Row],[TOTAL]]*TbPrestamo[[#This Row],[P.U. (2)]]</f>
        <v>0</v>
      </c>
      <c r="Y269" s="82">
        <f>+VLOOKUP(TbPrestamo[[#This Row],[ITEM]],TbPiezas[],7,FALSE)</f>
        <v>4.4470000000000001</v>
      </c>
      <c r="Z269" s="84">
        <f>+TbPrestamo[[#This Row],[TOTAL]]*TbPrestamo[[#This Row],[P.U. (3)]]</f>
        <v>0</v>
      </c>
    </row>
    <row r="270" spans="1:26" ht="15" customHeight="1" x14ac:dyDescent="0.3">
      <c r="A270" s="2"/>
      <c r="B270" s="85">
        <v>252</v>
      </c>
      <c r="C270" s="71" t="s">
        <v>505</v>
      </c>
      <c r="D270" s="72" t="s">
        <v>506</v>
      </c>
      <c r="E270" s="73"/>
      <c r="F270" s="74">
        <f>+VLOOKUP(C270,TbPrestamo[],13,FALSE)</f>
        <v>0</v>
      </c>
      <c r="G270" s="2"/>
      <c r="H270" s="75" t="str">
        <f t="shared" si="6"/>
        <v>AE.7700</v>
      </c>
      <c r="I270" s="59" t="str">
        <f t="shared" si="7"/>
        <v>ok</v>
      </c>
      <c r="J270" s="77">
        <f>IFERROR(VLOOKUP($H270,TG[],3,FALSE),"NA")</f>
        <v>0</v>
      </c>
      <c r="K270" s="77" t="str">
        <f>IFERROR(VLOOKUP($H270,TF[],3,FALSE),"NA")</f>
        <v>NA</v>
      </c>
      <c r="L270" s="77" t="str">
        <f>IFERROR(VLOOKUP($H270,TT[],3,FALSE),"NA")</f>
        <v>NA</v>
      </c>
      <c r="M270" s="77" t="str">
        <f>IFERROR(VLOOKUP($H270,TES[],3,FALSE),"NA")</f>
        <v>NA</v>
      </c>
      <c r="N270" s="77" t="str">
        <f>IFERROR(VLOOKUP($H270,TEC[],3,FALSE),"NA")</f>
        <v>NA</v>
      </c>
      <c r="O270" s="77" t="str">
        <f>IFERROR(VLOOKUP($H270,TP[],3,FALSE),"NA")</f>
        <v>NA</v>
      </c>
      <c r="P270" s="77" t="str">
        <f>IFERROR(VLOOKUP($H270,TEN[],3,FALSE),"NA")</f>
        <v>NA</v>
      </c>
      <c r="Q270" s="77" t="str">
        <f>IFERROR(VLOOKUP($H270,TD[],3,FALSE),"NA")</f>
        <v>NA</v>
      </c>
      <c r="R270" s="77">
        <f>IFERROR(VLOOKUP($H270,TC[],3,FALSE),"NA")</f>
        <v>0</v>
      </c>
      <c r="S270" s="77" t="str">
        <f>IFERROR(VLOOKUP($H270,TEV[],3,FALSE),"NA")</f>
        <v>NA</v>
      </c>
      <c r="T270" s="79">
        <f>SUM(TbPrestamo[[#This Row],[GENERAL]:[ELEVADOR]])</f>
        <v>0</v>
      </c>
      <c r="U270" s="80">
        <f>IF(VLOOKUP(TbPrestamo[[#This Row],[ITEM]],TbPiezas[],5,FALSE)="NA",0,VLOOKUP(TbPrestamo[[#This Row],[ITEM]],TbPiezas[],5,FALSE))</f>
        <v>0.5</v>
      </c>
      <c r="V270" s="81">
        <f>+TbPrestamo[[#This Row],[TOTAL]]*TbPrestamo[[#This Row],[P.U. (1)]]</f>
        <v>0</v>
      </c>
      <c r="W270" s="82">
        <f>+VLOOKUP(TbPrestamo[[#This Row],[ITEM]],TbPiezas[],6,FALSE)</f>
        <v>210.09</v>
      </c>
      <c r="X270" s="83">
        <f>+TbPrestamo[[#This Row],[TOTAL]]*TbPrestamo[[#This Row],[P.U. (2)]]</f>
        <v>0</v>
      </c>
      <c r="Y270" s="82">
        <f>+VLOOKUP(TbPrestamo[[#This Row],[ITEM]],TbPiezas[],7,FALSE)</f>
        <v>10.5045</v>
      </c>
      <c r="Z270" s="84">
        <f>+TbPrestamo[[#This Row],[TOTAL]]*TbPrestamo[[#This Row],[P.U. (3)]]</f>
        <v>0</v>
      </c>
    </row>
    <row r="271" spans="1:26" ht="15" customHeight="1" x14ac:dyDescent="0.3">
      <c r="A271" s="2"/>
      <c r="B271" s="85">
        <v>253</v>
      </c>
      <c r="C271" s="71" t="s">
        <v>507</v>
      </c>
      <c r="D271" s="72" t="s">
        <v>508</v>
      </c>
      <c r="E271" s="73"/>
      <c r="F271" s="74">
        <f>+VLOOKUP(C271,TbPrestamo[],13,FALSE)</f>
        <v>0</v>
      </c>
      <c r="G271" s="2"/>
      <c r="H271" s="75" t="str">
        <f t="shared" si="6"/>
        <v>AE.7800</v>
      </c>
      <c r="I271" s="59" t="str">
        <f t="shared" si="7"/>
        <v>ok</v>
      </c>
      <c r="J271" s="77">
        <f>IFERROR(VLOOKUP($H271,TG[],3,FALSE),"NA")</f>
        <v>0</v>
      </c>
      <c r="K271" s="77" t="str">
        <f>IFERROR(VLOOKUP($H271,TF[],3,FALSE),"NA")</f>
        <v>NA</v>
      </c>
      <c r="L271" s="77" t="str">
        <f>IFERROR(VLOOKUP($H271,TT[],3,FALSE),"NA")</f>
        <v>NA</v>
      </c>
      <c r="M271" s="77" t="str">
        <f>IFERROR(VLOOKUP($H271,TES[],3,FALSE),"NA")</f>
        <v>NA</v>
      </c>
      <c r="N271" s="77" t="str">
        <f>IFERROR(VLOOKUP($H271,TEC[],3,FALSE),"NA")</f>
        <v>NA</v>
      </c>
      <c r="O271" s="77" t="str">
        <f>IFERROR(VLOOKUP($H271,TP[],3,FALSE),"NA")</f>
        <v>NA</v>
      </c>
      <c r="P271" s="77" t="str">
        <f>IFERROR(VLOOKUP($H271,TEN[],3,FALSE),"NA")</f>
        <v>NA</v>
      </c>
      <c r="Q271" s="77" t="str">
        <f>IFERROR(VLOOKUP($H271,TD[],3,FALSE),"NA")</f>
        <v>NA</v>
      </c>
      <c r="R271" s="77">
        <f>IFERROR(VLOOKUP($H271,TC[],3,FALSE),"NA")</f>
        <v>0</v>
      </c>
      <c r="S271" s="77" t="str">
        <f>IFERROR(VLOOKUP($H271,TEV[],3,FALSE),"NA")</f>
        <v>NA</v>
      </c>
      <c r="T271" s="79">
        <f>SUM(TbPrestamo[[#This Row],[GENERAL]:[ELEVADOR]])</f>
        <v>0</v>
      </c>
      <c r="U271" s="80">
        <f>IF(VLOOKUP(TbPrestamo[[#This Row],[ITEM]],TbPiezas[],5,FALSE)="NA",0,VLOOKUP(TbPrestamo[[#This Row],[ITEM]],TbPiezas[],5,FALSE))</f>
        <v>0.5</v>
      </c>
      <c r="V271" s="81">
        <f>+TbPrestamo[[#This Row],[TOTAL]]*TbPrestamo[[#This Row],[P.U. (1)]]</f>
        <v>0</v>
      </c>
      <c r="W271" s="82">
        <f>+VLOOKUP(TbPrestamo[[#This Row],[ITEM]],TbPiezas[],6,FALSE)</f>
        <v>210.09</v>
      </c>
      <c r="X271" s="83">
        <f>+TbPrestamo[[#This Row],[TOTAL]]*TbPrestamo[[#This Row],[P.U. (2)]]</f>
        <v>0</v>
      </c>
      <c r="Y271" s="82">
        <f>+VLOOKUP(TbPrestamo[[#This Row],[ITEM]],TbPiezas[],7,FALSE)</f>
        <v>10.5045</v>
      </c>
      <c r="Z271" s="84">
        <f>+TbPrestamo[[#This Row],[TOTAL]]*TbPrestamo[[#This Row],[P.U. (3)]]</f>
        <v>0</v>
      </c>
    </row>
    <row r="272" spans="1:26" ht="15" customHeight="1" x14ac:dyDescent="0.3">
      <c r="A272" s="2"/>
      <c r="B272" s="85">
        <v>254</v>
      </c>
      <c r="C272" s="71" t="s">
        <v>509</v>
      </c>
      <c r="D272" s="72" t="s">
        <v>510</v>
      </c>
      <c r="E272" s="73"/>
      <c r="F272" s="74">
        <f>+VLOOKUP(C272,TbPrestamo[],13,FALSE)</f>
        <v>0</v>
      </c>
      <c r="G272" s="2"/>
      <c r="H272" s="75" t="str">
        <f t="shared" si="6"/>
        <v>AE.7900</v>
      </c>
      <c r="I272" s="59" t="str">
        <f t="shared" si="7"/>
        <v>ok</v>
      </c>
      <c r="J272" s="77">
        <f>IFERROR(VLOOKUP($H272,TG[],3,FALSE),"NA")</f>
        <v>0</v>
      </c>
      <c r="K272" s="77" t="str">
        <f>IFERROR(VLOOKUP($H272,TF[],3,FALSE),"NA")</f>
        <v>NA</v>
      </c>
      <c r="L272" s="77" t="str">
        <f>IFERROR(VLOOKUP($H272,TT[],3,FALSE),"NA")</f>
        <v>NA</v>
      </c>
      <c r="M272" s="77" t="str">
        <f>IFERROR(VLOOKUP($H272,TES[],3,FALSE),"NA")</f>
        <v>NA</v>
      </c>
      <c r="N272" s="77" t="str">
        <f>IFERROR(VLOOKUP($H272,TEC[],3,FALSE),"NA")</f>
        <v>NA</v>
      </c>
      <c r="O272" s="77" t="str">
        <f>IFERROR(VLOOKUP($H272,TP[],3,FALSE),"NA")</f>
        <v>NA</v>
      </c>
      <c r="P272" s="77" t="str">
        <f>IFERROR(VLOOKUP($H272,TEN[],3,FALSE),"NA")</f>
        <v>NA</v>
      </c>
      <c r="Q272" s="77" t="str">
        <f>IFERROR(VLOOKUP($H272,TD[],3,FALSE),"NA")</f>
        <v>NA</v>
      </c>
      <c r="R272" s="77">
        <f>IFERROR(VLOOKUP($H272,TC[],3,FALSE),"NA")</f>
        <v>0</v>
      </c>
      <c r="S272" s="77" t="str">
        <f>IFERROR(VLOOKUP($H272,TEV[],3,FALSE),"NA")</f>
        <v>NA</v>
      </c>
      <c r="T272" s="79">
        <f>SUM(TbPrestamo[[#This Row],[GENERAL]:[ELEVADOR]])</f>
        <v>0</v>
      </c>
      <c r="U272" s="80">
        <f>IF(VLOOKUP(TbPrestamo[[#This Row],[ITEM]],TbPiezas[],5,FALSE)="NA",0,VLOOKUP(TbPrestamo[[#This Row],[ITEM]],TbPiezas[],5,FALSE))</f>
        <v>0.5</v>
      </c>
      <c r="V272" s="81">
        <f>+TbPrestamo[[#This Row],[TOTAL]]*TbPrestamo[[#This Row],[P.U. (1)]]</f>
        <v>0</v>
      </c>
      <c r="W272" s="82">
        <f>+VLOOKUP(TbPrestamo[[#This Row],[ITEM]],TbPiezas[],6,FALSE)</f>
        <v>157.1</v>
      </c>
      <c r="X272" s="83">
        <f>+TbPrestamo[[#This Row],[TOTAL]]*TbPrestamo[[#This Row],[P.U. (2)]]</f>
        <v>0</v>
      </c>
      <c r="Y272" s="82">
        <f>+VLOOKUP(TbPrestamo[[#This Row],[ITEM]],TbPiezas[],7,FALSE)</f>
        <v>7.8550000000000004</v>
      </c>
      <c r="Z272" s="84">
        <f>+TbPrestamo[[#This Row],[TOTAL]]*TbPrestamo[[#This Row],[P.U. (3)]]</f>
        <v>0</v>
      </c>
    </row>
    <row r="273" spans="1:26" ht="15" customHeight="1" x14ac:dyDescent="0.3">
      <c r="A273" s="2"/>
      <c r="B273" s="85">
        <v>255</v>
      </c>
      <c r="C273" s="71" t="s">
        <v>511</v>
      </c>
      <c r="D273" s="72" t="s">
        <v>512</v>
      </c>
      <c r="E273" s="73"/>
      <c r="F273" s="74">
        <f>+VLOOKUP(C273,TbPrestamo[],13,FALSE)</f>
        <v>0</v>
      </c>
      <c r="G273" s="2"/>
      <c r="H273" s="75" t="str">
        <f t="shared" si="6"/>
        <v>AE.8000</v>
      </c>
      <c r="I273" s="59" t="str">
        <f t="shared" si="7"/>
        <v>ok</v>
      </c>
      <c r="J273" s="77">
        <f>IFERROR(VLOOKUP($H273,TG[],3,FALSE),"NA")</f>
        <v>0</v>
      </c>
      <c r="K273" s="77" t="str">
        <f>IFERROR(VLOOKUP($H273,TF[],3,FALSE),"NA")</f>
        <v>NA</v>
      </c>
      <c r="L273" s="77" t="str">
        <f>IFERROR(VLOOKUP($H273,TT[],3,FALSE),"NA")</f>
        <v>NA</v>
      </c>
      <c r="M273" s="77" t="str">
        <f>IFERROR(VLOOKUP($H273,TES[],3,FALSE),"NA")</f>
        <v>NA</v>
      </c>
      <c r="N273" s="77" t="str">
        <f>IFERROR(VLOOKUP($H273,TEC[],3,FALSE),"NA")</f>
        <v>NA</v>
      </c>
      <c r="O273" s="77" t="str">
        <f>IFERROR(VLOOKUP($H273,TP[],3,FALSE),"NA")</f>
        <v>NA</v>
      </c>
      <c r="P273" s="77" t="str">
        <f>IFERROR(VLOOKUP($H273,TEN[],3,FALSE),"NA")</f>
        <v>NA</v>
      </c>
      <c r="Q273" s="77" t="str">
        <f>IFERROR(VLOOKUP($H273,TD[],3,FALSE),"NA")</f>
        <v>NA</v>
      </c>
      <c r="R273" s="77">
        <f>IFERROR(VLOOKUP($H273,TC[],3,FALSE),"NA")</f>
        <v>0</v>
      </c>
      <c r="S273" s="77" t="str">
        <f>IFERROR(VLOOKUP($H273,TEV[],3,FALSE),"NA")</f>
        <v>NA</v>
      </c>
      <c r="T273" s="79">
        <f>SUM(TbPrestamo[[#This Row],[GENERAL]:[ELEVADOR]])</f>
        <v>0</v>
      </c>
      <c r="U273" s="80">
        <f>IF(VLOOKUP(TbPrestamo[[#This Row],[ITEM]],TbPiezas[],5,FALSE)="NA",0,VLOOKUP(TbPrestamo[[#This Row],[ITEM]],TbPiezas[],5,FALSE))</f>
        <v>0.5</v>
      </c>
      <c r="V273" s="81">
        <f>+TbPrestamo[[#This Row],[TOTAL]]*TbPrestamo[[#This Row],[P.U. (1)]]</f>
        <v>0</v>
      </c>
      <c r="W273" s="82">
        <f>+VLOOKUP(TbPrestamo[[#This Row],[ITEM]],TbPiezas[],6,FALSE)</f>
        <v>19.059999999999999</v>
      </c>
      <c r="X273" s="83">
        <f>+TbPrestamo[[#This Row],[TOTAL]]*TbPrestamo[[#This Row],[P.U. (2)]]</f>
        <v>0</v>
      </c>
      <c r="Y273" s="82">
        <f>+VLOOKUP(TbPrestamo[[#This Row],[ITEM]],TbPiezas[],7,FALSE)</f>
        <v>0.95299999999999996</v>
      </c>
      <c r="Z273" s="84">
        <f>+TbPrestamo[[#This Row],[TOTAL]]*TbPrestamo[[#This Row],[P.U. (3)]]</f>
        <v>0</v>
      </c>
    </row>
    <row r="274" spans="1:26" ht="15" customHeight="1" x14ac:dyDescent="0.3">
      <c r="A274" s="2"/>
      <c r="B274" s="85">
        <v>256</v>
      </c>
      <c r="C274" s="71" t="s">
        <v>513</v>
      </c>
      <c r="D274" s="72" t="s">
        <v>514</v>
      </c>
      <c r="E274" s="73"/>
      <c r="F274" s="74">
        <f>+VLOOKUP(C274,TbPrestamo[],13,FALSE)</f>
        <v>0</v>
      </c>
      <c r="G274" s="2"/>
      <c r="H274" s="75" t="str">
        <f t="shared" ref="H274:H337" si="8">+C274</f>
        <v>AE.8100</v>
      </c>
      <c r="I274" s="59" t="str">
        <f t="shared" ref="I274:I337" si="9">+IF(C274=H274,"ok","mal")</f>
        <v>ok</v>
      </c>
      <c r="J274" s="77">
        <f>IFERROR(VLOOKUP($H274,TG[],3,FALSE),"NA")</f>
        <v>0</v>
      </c>
      <c r="K274" s="77" t="str">
        <f>IFERROR(VLOOKUP($H274,TF[],3,FALSE),"NA")</f>
        <v>NA</v>
      </c>
      <c r="L274" s="77" t="str">
        <f>IFERROR(VLOOKUP($H274,TT[],3,FALSE),"NA")</f>
        <v>NA</v>
      </c>
      <c r="M274" s="77" t="str">
        <f>IFERROR(VLOOKUP($H274,TES[],3,FALSE),"NA")</f>
        <v>NA</v>
      </c>
      <c r="N274" s="77" t="str">
        <f>IFERROR(VLOOKUP($H274,TEC[],3,FALSE),"NA")</f>
        <v>NA</v>
      </c>
      <c r="O274" s="77" t="str">
        <f>IFERROR(VLOOKUP($H274,TP[],3,FALSE),"NA")</f>
        <v>NA</v>
      </c>
      <c r="P274" s="77" t="str">
        <f>IFERROR(VLOOKUP($H274,TEN[],3,FALSE),"NA")</f>
        <v>NA</v>
      </c>
      <c r="Q274" s="77" t="str">
        <f>IFERROR(VLOOKUP($H274,TD[],3,FALSE),"NA")</f>
        <v>NA</v>
      </c>
      <c r="R274" s="77">
        <f>IFERROR(VLOOKUP($H274,TC[],3,FALSE),"NA")</f>
        <v>0</v>
      </c>
      <c r="S274" s="77" t="str">
        <f>IFERROR(VLOOKUP($H274,TEV[],3,FALSE),"NA")</f>
        <v>NA</v>
      </c>
      <c r="T274" s="79">
        <f>SUM(TbPrestamo[[#This Row],[GENERAL]:[ELEVADOR]])</f>
        <v>0</v>
      </c>
      <c r="U274" s="80">
        <f>IF(VLOOKUP(TbPrestamo[[#This Row],[ITEM]],TbPiezas[],5,FALSE)="NA",0,VLOOKUP(TbPrestamo[[#This Row],[ITEM]],TbPiezas[],5,FALSE))</f>
        <v>2</v>
      </c>
      <c r="V274" s="81">
        <f>+TbPrestamo[[#This Row],[TOTAL]]*TbPrestamo[[#This Row],[P.U. (1)]]</f>
        <v>0</v>
      </c>
      <c r="W274" s="82">
        <f>+VLOOKUP(TbPrestamo[[#This Row],[ITEM]],TbPiezas[],6,FALSE)</f>
        <v>19.059999999999999</v>
      </c>
      <c r="X274" s="83">
        <f>+TbPrestamo[[#This Row],[TOTAL]]*TbPrestamo[[#This Row],[P.U. (2)]]</f>
        <v>0</v>
      </c>
      <c r="Y274" s="82">
        <f>+VLOOKUP(TbPrestamo[[#This Row],[ITEM]],TbPiezas[],7,FALSE)</f>
        <v>0.95299999999999996</v>
      </c>
      <c r="Z274" s="84">
        <f>+TbPrestamo[[#This Row],[TOTAL]]*TbPrestamo[[#This Row],[P.U. (3)]]</f>
        <v>0</v>
      </c>
    </row>
    <row r="275" spans="1:26" ht="15" customHeight="1" x14ac:dyDescent="0.3">
      <c r="A275" s="2"/>
      <c r="B275" s="85">
        <v>257</v>
      </c>
      <c r="C275" s="71" t="s">
        <v>515</v>
      </c>
      <c r="D275" s="72" t="s">
        <v>516</v>
      </c>
      <c r="E275" s="73"/>
      <c r="F275" s="74">
        <f>+VLOOKUP(C275,TbPrestamo[],13,FALSE)</f>
        <v>0</v>
      </c>
      <c r="G275" s="2"/>
      <c r="H275" s="75" t="str">
        <f t="shared" si="8"/>
        <v>AE.8200</v>
      </c>
      <c r="I275" s="59" t="str">
        <f t="shared" si="9"/>
        <v>ok</v>
      </c>
      <c r="J275" s="77">
        <f>IFERROR(VLOOKUP($H275,TG[],3,FALSE),"NA")</f>
        <v>0</v>
      </c>
      <c r="K275" s="77" t="str">
        <f>IFERROR(VLOOKUP($H275,TF[],3,FALSE),"NA")</f>
        <v>NA</v>
      </c>
      <c r="L275" s="77" t="str">
        <f>IFERROR(VLOOKUP($H275,TT[],3,FALSE),"NA")</f>
        <v>NA</v>
      </c>
      <c r="M275" s="77" t="str">
        <f>IFERROR(VLOOKUP($H275,TES[],3,FALSE),"NA")</f>
        <v>NA</v>
      </c>
      <c r="N275" s="77" t="str">
        <f>IFERROR(VLOOKUP($H275,TEC[],3,FALSE),"NA")</f>
        <v>NA</v>
      </c>
      <c r="O275" s="77" t="str">
        <f>IFERROR(VLOOKUP($H275,TP[],3,FALSE),"NA")</f>
        <v>NA</v>
      </c>
      <c r="P275" s="77" t="str">
        <f>IFERROR(VLOOKUP($H275,TEN[],3,FALSE),"NA")</f>
        <v>NA</v>
      </c>
      <c r="Q275" s="77" t="str">
        <f>IFERROR(VLOOKUP($H275,TD[],3,FALSE),"NA")</f>
        <v>NA</v>
      </c>
      <c r="R275" s="77">
        <f>IFERROR(VLOOKUP($H275,TC[],3,FALSE),"NA")</f>
        <v>0</v>
      </c>
      <c r="S275" s="77" t="str">
        <f>IFERROR(VLOOKUP($H275,TEV[],3,FALSE),"NA")</f>
        <v>NA</v>
      </c>
      <c r="T275" s="79">
        <f>SUM(TbPrestamo[[#This Row],[GENERAL]:[ELEVADOR]])</f>
        <v>0</v>
      </c>
      <c r="U275" s="80">
        <f>IF(VLOOKUP(TbPrestamo[[#This Row],[ITEM]],TbPiezas[],5,FALSE)="NA",0,VLOOKUP(TbPrestamo[[#This Row],[ITEM]],TbPiezas[],5,FALSE))</f>
        <v>4.3999999999999915</v>
      </c>
      <c r="V275" s="81">
        <f>+TbPrestamo[[#This Row],[TOTAL]]*TbPrestamo[[#This Row],[P.U. (1)]]</f>
        <v>0</v>
      </c>
      <c r="W275" s="82">
        <f>+VLOOKUP(TbPrestamo[[#This Row],[ITEM]],TbPiezas[],6,FALSE)</f>
        <v>312.10000000000002</v>
      </c>
      <c r="X275" s="83">
        <f>+TbPrestamo[[#This Row],[TOTAL]]*TbPrestamo[[#This Row],[P.U. (2)]]</f>
        <v>0</v>
      </c>
      <c r="Y275" s="82">
        <f>+VLOOKUP(TbPrestamo[[#This Row],[ITEM]],TbPiezas[],7,FALSE)</f>
        <v>15.605000000000002</v>
      </c>
      <c r="Z275" s="84">
        <f>+TbPrestamo[[#This Row],[TOTAL]]*TbPrestamo[[#This Row],[P.U. (3)]]</f>
        <v>0</v>
      </c>
    </row>
    <row r="276" spans="1:26" ht="15" customHeight="1" x14ac:dyDescent="0.3">
      <c r="A276" s="2"/>
      <c r="B276" s="85">
        <v>258</v>
      </c>
      <c r="C276" s="71" t="s">
        <v>517</v>
      </c>
      <c r="D276" s="72" t="s">
        <v>518</v>
      </c>
      <c r="E276" s="73"/>
      <c r="F276" s="74">
        <f>+VLOOKUP(C276,TbPrestamo[],13,FALSE)</f>
        <v>0</v>
      </c>
      <c r="G276" s="2"/>
      <c r="H276" s="75" t="str">
        <f t="shared" si="8"/>
        <v>AE.8300</v>
      </c>
      <c r="I276" s="59" t="str">
        <f t="shared" si="9"/>
        <v>ok</v>
      </c>
      <c r="J276" s="77">
        <f>IFERROR(VLOOKUP($H276,TG[],3,FALSE),"NA")</f>
        <v>0</v>
      </c>
      <c r="K276" s="77" t="str">
        <f>IFERROR(VLOOKUP($H276,TF[],3,FALSE),"NA")</f>
        <v>NA</v>
      </c>
      <c r="L276" s="77" t="str">
        <f>IFERROR(VLOOKUP($H276,TT[],3,FALSE),"NA")</f>
        <v>NA</v>
      </c>
      <c r="M276" s="77" t="str">
        <f>IFERROR(VLOOKUP($H276,TES[],3,FALSE),"NA")</f>
        <v>NA</v>
      </c>
      <c r="N276" s="77" t="str">
        <f>IFERROR(VLOOKUP($H276,TEC[],3,FALSE),"NA")</f>
        <v>NA</v>
      </c>
      <c r="O276" s="77" t="str">
        <f>IFERROR(VLOOKUP($H276,TP[],3,FALSE),"NA")</f>
        <v>NA</v>
      </c>
      <c r="P276" s="77" t="str">
        <f>IFERROR(VLOOKUP($H276,TEN[],3,FALSE),"NA")</f>
        <v>NA</v>
      </c>
      <c r="Q276" s="77" t="str">
        <f>IFERROR(VLOOKUP($H276,TD[],3,FALSE),"NA")</f>
        <v>NA</v>
      </c>
      <c r="R276" s="77">
        <f>IFERROR(VLOOKUP($H276,TC[],3,FALSE),"NA")</f>
        <v>0</v>
      </c>
      <c r="S276" s="77" t="str">
        <f>IFERROR(VLOOKUP($H276,TEV[],3,FALSE),"NA")</f>
        <v>NA</v>
      </c>
      <c r="T276" s="79">
        <f>SUM(TbPrestamo[[#This Row],[GENERAL]:[ELEVADOR]])</f>
        <v>0</v>
      </c>
      <c r="U276" s="80">
        <f>IF(VLOOKUP(TbPrestamo[[#This Row],[ITEM]],TbPiezas[],5,FALSE)="NA",0,VLOOKUP(TbPrestamo[[#This Row],[ITEM]],TbPiezas[],5,FALSE))</f>
        <v>3.7999999999999972</v>
      </c>
      <c r="V276" s="81">
        <f>+TbPrestamo[[#This Row],[TOTAL]]*TbPrestamo[[#This Row],[P.U. (1)]]</f>
        <v>0</v>
      </c>
      <c r="W276" s="82">
        <f>+VLOOKUP(TbPrestamo[[#This Row],[ITEM]],TbPiezas[],6,FALSE)</f>
        <v>312.10000000000002</v>
      </c>
      <c r="X276" s="83">
        <f>+TbPrestamo[[#This Row],[TOTAL]]*TbPrestamo[[#This Row],[P.U. (2)]]</f>
        <v>0</v>
      </c>
      <c r="Y276" s="82">
        <f>+VLOOKUP(TbPrestamo[[#This Row],[ITEM]],TbPiezas[],7,FALSE)</f>
        <v>15.605000000000002</v>
      </c>
      <c r="Z276" s="84">
        <f>+TbPrestamo[[#This Row],[TOTAL]]*TbPrestamo[[#This Row],[P.U. (3)]]</f>
        <v>0</v>
      </c>
    </row>
    <row r="277" spans="1:26" ht="15" customHeight="1" x14ac:dyDescent="0.3">
      <c r="A277" s="2"/>
      <c r="B277" s="85">
        <v>259</v>
      </c>
      <c r="C277" s="71" t="s">
        <v>519</v>
      </c>
      <c r="D277" s="72" t="s">
        <v>520</v>
      </c>
      <c r="E277" s="73"/>
      <c r="F277" s="74">
        <f>+VLOOKUP(C277,TbPrestamo[],13,FALSE)</f>
        <v>0</v>
      </c>
      <c r="G277" s="2"/>
      <c r="H277" s="75" t="str">
        <f t="shared" si="8"/>
        <v>AE.8400</v>
      </c>
      <c r="I277" s="59" t="str">
        <f t="shared" si="9"/>
        <v>ok</v>
      </c>
      <c r="J277" s="77">
        <f>IFERROR(VLOOKUP($H277,TG[],3,FALSE),"NA")</f>
        <v>0</v>
      </c>
      <c r="K277" s="77" t="str">
        <f>IFERROR(VLOOKUP($H277,TF[],3,FALSE),"NA")</f>
        <v>NA</v>
      </c>
      <c r="L277" s="77" t="str">
        <f>IFERROR(VLOOKUP($H277,TT[],3,FALSE),"NA")</f>
        <v>NA</v>
      </c>
      <c r="M277" s="77" t="str">
        <f>IFERROR(VLOOKUP($H277,TES[],3,FALSE),"NA")</f>
        <v>NA</v>
      </c>
      <c r="N277" s="77" t="str">
        <f>IFERROR(VLOOKUP($H277,TEC[],3,FALSE),"NA")</f>
        <v>NA</v>
      </c>
      <c r="O277" s="77" t="str">
        <f>IFERROR(VLOOKUP($H277,TP[],3,FALSE),"NA")</f>
        <v>NA</v>
      </c>
      <c r="P277" s="77" t="str">
        <f>IFERROR(VLOOKUP($H277,TEN[],3,FALSE),"NA")</f>
        <v>NA</v>
      </c>
      <c r="Q277" s="77" t="str">
        <f>IFERROR(VLOOKUP($H277,TD[],3,FALSE),"NA")</f>
        <v>NA</v>
      </c>
      <c r="R277" s="77">
        <f>IFERROR(VLOOKUP($H277,TC[],3,FALSE),"NA")</f>
        <v>0</v>
      </c>
      <c r="S277" s="77" t="str">
        <f>IFERROR(VLOOKUP($H277,TEV[],3,FALSE),"NA")</f>
        <v>NA</v>
      </c>
      <c r="T277" s="79">
        <f>SUM(TbPrestamo[[#This Row],[GENERAL]:[ELEVADOR]])</f>
        <v>0</v>
      </c>
      <c r="U277" s="80">
        <f>IF(VLOOKUP(TbPrestamo[[#This Row],[ITEM]],TbPiezas[],5,FALSE)="NA",0,VLOOKUP(TbPrestamo[[#This Row],[ITEM]],TbPiezas[],5,FALSE))</f>
        <v>9.9999999999994316E-2</v>
      </c>
      <c r="V277" s="81">
        <f>+TbPrestamo[[#This Row],[TOTAL]]*TbPrestamo[[#This Row],[P.U. (1)]]</f>
        <v>0</v>
      </c>
      <c r="W277" s="82">
        <f>+VLOOKUP(TbPrestamo[[#This Row],[ITEM]],TbPiezas[],6,FALSE)</f>
        <v>63.53</v>
      </c>
      <c r="X277" s="83">
        <f>+TbPrestamo[[#This Row],[TOTAL]]*TbPrestamo[[#This Row],[P.U. (2)]]</f>
        <v>0</v>
      </c>
      <c r="Y277" s="82">
        <f>+VLOOKUP(TbPrestamo[[#This Row],[ITEM]],TbPiezas[],7,FALSE)</f>
        <v>3.1765000000000003</v>
      </c>
      <c r="Z277" s="84">
        <f>+TbPrestamo[[#This Row],[TOTAL]]*TbPrestamo[[#This Row],[P.U. (3)]]</f>
        <v>0</v>
      </c>
    </row>
    <row r="278" spans="1:26" ht="15" customHeight="1" x14ac:dyDescent="0.3">
      <c r="A278" s="2"/>
      <c r="B278" s="85">
        <v>260</v>
      </c>
      <c r="C278" s="71" t="s">
        <v>521</v>
      </c>
      <c r="D278" s="72" t="s">
        <v>522</v>
      </c>
      <c r="E278" s="73"/>
      <c r="F278" s="74">
        <f>+VLOOKUP(C278,TbPrestamo[],13,FALSE)</f>
        <v>0</v>
      </c>
      <c r="G278" s="2"/>
      <c r="H278" s="75" t="str">
        <f t="shared" si="8"/>
        <v>AE.8440</v>
      </c>
      <c r="I278" s="59" t="str">
        <f t="shared" si="9"/>
        <v>ok</v>
      </c>
      <c r="J278" s="77">
        <f>IFERROR(VLOOKUP($H278,TG[],3,FALSE),"NA")</f>
        <v>0</v>
      </c>
      <c r="K278" s="77" t="str">
        <f>IFERROR(VLOOKUP($H278,TF[],3,FALSE),"NA")</f>
        <v>NA</v>
      </c>
      <c r="L278" s="77" t="str">
        <f>IFERROR(VLOOKUP($H278,TT[],3,FALSE),"NA")</f>
        <v>NA</v>
      </c>
      <c r="M278" s="77" t="str">
        <f>IFERROR(VLOOKUP($H278,TES[],3,FALSE),"NA")</f>
        <v>NA</v>
      </c>
      <c r="N278" s="77" t="str">
        <f>IFERROR(VLOOKUP($H278,TEC[],3,FALSE),"NA")</f>
        <v>NA</v>
      </c>
      <c r="O278" s="77" t="str">
        <f>IFERROR(VLOOKUP($H278,TP[],3,FALSE),"NA")</f>
        <v>NA</v>
      </c>
      <c r="P278" s="77" t="str">
        <f>IFERROR(VLOOKUP($H278,TEN[],3,FALSE),"NA")</f>
        <v>NA</v>
      </c>
      <c r="Q278" s="77" t="str">
        <f>IFERROR(VLOOKUP($H278,TD[],3,FALSE),"NA")</f>
        <v>NA</v>
      </c>
      <c r="R278" s="77">
        <f>IFERROR(VLOOKUP($H278,TC[],3,FALSE),"NA")</f>
        <v>0</v>
      </c>
      <c r="S278" s="77" t="str">
        <f>IFERROR(VLOOKUP($H278,TEV[],3,FALSE),"NA")</f>
        <v>NA</v>
      </c>
      <c r="T278" s="79">
        <f>SUM(TbPrestamo[[#This Row],[GENERAL]:[ELEVADOR]])</f>
        <v>0</v>
      </c>
      <c r="U278" s="80">
        <f>IF(VLOOKUP(TbPrestamo[[#This Row],[ITEM]],TbPiezas[],5,FALSE)="NA",0,VLOOKUP(TbPrestamo[[#This Row],[ITEM]],TbPiezas[],5,FALSE))</f>
        <v>19.2</v>
      </c>
      <c r="V278" s="81">
        <f>+TbPrestamo[[#This Row],[TOTAL]]*TbPrestamo[[#This Row],[P.U. (1)]]</f>
        <v>0</v>
      </c>
      <c r="W278" s="82">
        <f>+VLOOKUP(TbPrestamo[[#This Row],[ITEM]],TbPiezas[],6,FALSE)</f>
        <v>1040.03</v>
      </c>
      <c r="X278" s="83">
        <f>+TbPrestamo[[#This Row],[TOTAL]]*TbPrestamo[[#This Row],[P.U. (2)]]</f>
        <v>0</v>
      </c>
      <c r="Y278" s="82">
        <f>+VLOOKUP(TbPrestamo[[#This Row],[ITEM]],TbPiezas[],7,FALSE)</f>
        <v>52.0015</v>
      </c>
      <c r="Z278" s="84">
        <f>+TbPrestamo[[#This Row],[TOTAL]]*TbPrestamo[[#This Row],[P.U. (3)]]</f>
        <v>0</v>
      </c>
    </row>
    <row r="279" spans="1:26" ht="15" customHeight="1" x14ac:dyDescent="0.3">
      <c r="A279" s="2"/>
      <c r="B279" s="85">
        <v>261</v>
      </c>
      <c r="C279" s="71" t="s">
        <v>523</v>
      </c>
      <c r="D279" s="72" t="s">
        <v>524</v>
      </c>
      <c r="E279" s="73"/>
      <c r="F279" s="74">
        <f>+VLOOKUP(C279,TbPrestamo[],13,FALSE)</f>
        <v>0</v>
      </c>
      <c r="G279" s="2"/>
      <c r="H279" s="75" t="str">
        <f t="shared" si="8"/>
        <v>AE.8450</v>
      </c>
      <c r="I279" s="59" t="str">
        <f t="shared" si="9"/>
        <v>ok</v>
      </c>
      <c r="J279" s="77">
        <f>IFERROR(VLOOKUP($H279,TG[],3,FALSE),"NA")</f>
        <v>0</v>
      </c>
      <c r="K279" s="77" t="str">
        <f>IFERROR(VLOOKUP($H279,TF[],3,FALSE),"NA")</f>
        <v>NA</v>
      </c>
      <c r="L279" s="77" t="str">
        <f>IFERROR(VLOOKUP($H279,TT[],3,FALSE),"NA")</f>
        <v>NA</v>
      </c>
      <c r="M279" s="77" t="str">
        <f>IFERROR(VLOOKUP($H279,TES[],3,FALSE),"NA")</f>
        <v>NA</v>
      </c>
      <c r="N279" s="77" t="str">
        <f>IFERROR(VLOOKUP($H279,TEC[],3,FALSE),"NA")</f>
        <v>NA</v>
      </c>
      <c r="O279" s="77" t="str">
        <f>IFERROR(VLOOKUP($H279,TP[],3,FALSE),"NA")</f>
        <v>NA</v>
      </c>
      <c r="P279" s="77" t="str">
        <f>IFERROR(VLOOKUP($H279,TEN[],3,FALSE),"NA")</f>
        <v>NA</v>
      </c>
      <c r="Q279" s="77" t="str">
        <f>IFERROR(VLOOKUP($H279,TD[],3,FALSE),"NA")</f>
        <v>NA</v>
      </c>
      <c r="R279" s="77">
        <f>IFERROR(VLOOKUP($H279,TC[],3,FALSE),"NA")</f>
        <v>0</v>
      </c>
      <c r="S279" s="77" t="str">
        <f>IFERROR(VLOOKUP($H279,TEV[],3,FALSE),"NA")</f>
        <v>NA</v>
      </c>
      <c r="T279" s="79">
        <f>SUM(TbPrestamo[[#This Row],[GENERAL]:[ELEVADOR]])</f>
        <v>0</v>
      </c>
      <c r="U279" s="80">
        <f>IF(VLOOKUP(TbPrestamo[[#This Row],[ITEM]],TbPiezas[],5,FALSE)="NA",0,VLOOKUP(TbPrestamo[[#This Row],[ITEM]],TbPiezas[],5,FALSE))</f>
        <v>17.22</v>
      </c>
      <c r="V279" s="81">
        <f>+TbPrestamo[[#This Row],[TOTAL]]*TbPrestamo[[#This Row],[P.U. (1)]]</f>
        <v>0</v>
      </c>
      <c r="W279" s="82">
        <f>+VLOOKUP(TbPrestamo[[#This Row],[ITEM]],TbPiezas[],6,FALSE)</f>
        <v>960.03</v>
      </c>
      <c r="X279" s="83">
        <f>+TbPrestamo[[#This Row],[TOTAL]]*TbPrestamo[[#This Row],[P.U. (2)]]</f>
        <v>0</v>
      </c>
      <c r="Y279" s="82">
        <f>+VLOOKUP(TbPrestamo[[#This Row],[ITEM]],TbPiezas[],7,FALSE)</f>
        <v>48.0015</v>
      </c>
      <c r="Z279" s="84">
        <f>+TbPrestamo[[#This Row],[TOTAL]]*TbPrestamo[[#This Row],[P.U. (3)]]</f>
        <v>0</v>
      </c>
    </row>
    <row r="280" spans="1:26" ht="15" customHeight="1" x14ac:dyDescent="0.3">
      <c r="A280" s="2"/>
      <c r="B280" s="85">
        <v>262</v>
      </c>
      <c r="C280" s="71" t="s">
        <v>525</v>
      </c>
      <c r="D280" s="72" t="s">
        <v>526</v>
      </c>
      <c r="E280" s="73"/>
      <c r="F280" s="74">
        <f>+VLOOKUP(C280,TbPrestamo[],13,FALSE)</f>
        <v>0</v>
      </c>
      <c r="G280" s="2"/>
      <c r="H280" s="75" t="str">
        <f t="shared" si="8"/>
        <v>AE.8500</v>
      </c>
      <c r="I280" s="59" t="str">
        <f t="shared" si="9"/>
        <v>ok</v>
      </c>
      <c r="J280" s="77">
        <f>IFERROR(VLOOKUP($H280,TG[],3,FALSE),"NA")</f>
        <v>0</v>
      </c>
      <c r="K280" s="77" t="str">
        <f>IFERROR(VLOOKUP($H280,TF[],3,FALSE),"NA")</f>
        <v>NA</v>
      </c>
      <c r="L280" s="77" t="str">
        <f>IFERROR(VLOOKUP($H280,TT[],3,FALSE),"NA")</f>
        <v>NA</v>
      </c>
      <c r="M280" s="77" t="str">
        <f>IFERROR(VLOOKUP($H280,TES[],3,FALSE),"NA")</f>
        <v>NA</v>
      </c>
      <c r="N280" s="77" t="str">
        <f>IFERROR(VLOOKUP($H280,TEC[],3,FALSE),"NA")</f>
        <v>NA</v>
      </c>
      <c r="O280" s="77" t="str">
        <f>IFERROR(VLOOKUP($H280,TP[],3,FALSE),"NA")</f>
        <v>NA</v>
      </c>
      <c r="P280" s="77" t="str">
        <f>IFERROR(VLOOKUP($H280,TEN[],3,FALSE),"NA")</f>
        <v>NA</v>
      </c>
      <c r="Q280" s="77" t="str">
        <f>IFERROR(VLOOKUP($H280,TD[],3,FALSE),"NA")</f>
        <v>NA</v>
      </c>
      <c r="R280" s="77">
        <f>IFERROR(VLOOKUP($H280,TC[],3,FALSE),"NA")</f>
        <v>0</v>
      </c>
      <c r="S280" s="77" t="str">
        <f>IFERROR(VLOOKUP($H280,TEV[],3,FALSE),"NA")</f>
        <v>NA</v>
      </c>
      <c r="T280" s="79">
        <f>SUM(TbPrestamo[[#This Row],[GENERAL]:[ELEVADOR]])</f>
        <v>0</v>
      </c>
      <c r="U280" s="80">
        <f>IF(VLOOKUP(TbPrestamo[[#This Row],[ITEM]],TbPiezas[],5,FALSE)="NA",0,VLOOKUP(TbPrestamo[[#This Row],[ITEM]],TbPiezas[],5,FALSE))</f>
        <v>12.299999999999997</v>
      </c>
      <c r="V280" s="81">
        <f>+TbPrestamo[[#This Row],[TOTAL]]*TbPrestamo[[#This Row],[P.U. (1)]]</f>
        <v>0</v>
      </c>
      <c r="W280" s="82">
        <f>+VLOOKUP(TbPrestamo[[#This Row],[ITEM]],TbPiezas[],6,FALSE)</f>
        <v>635.25</v>
      </c>
      <c r="X280" s="83">
        <f>+TbPrestamo[[#This Row],[TOTAL]]*TbPrestamo[[#This Row],[P.U. (2)]]</f>
        <v>0</v>
      </c>
      <c r="Y280" s="82">
        <f>+VLOOKUP(TbPrestamo[[#This Row],[ITEM]],TbPiezas[],7,FALSE)</f>
        <v>31.762500000000003</v>
      </c>
      <c r="Z280" s="84">
        <f>+TbPrestamo[[#This Row],[TOTAL]]*TbPrestamo[[#This Row],[P.U. (3)]]</f>
        <v>0</v>
      </c>
    </row>
    <row r="281" spans="1:26" ht="15" customHeight="1" x14ac:dyDescent="0.3">
      <c r="A281" s="2"/>
      <c r="B281" s="85">
        <v>263</v>
      </c>
      <c r="C281" s="71" t="s">
        <v>527</v>
      </c>
      <c r="D281" s="72" t="s">
        <v>528</v>
      </c>
      <c r="E281" s="73"/>
      <c r="F281" s="74">
        <f>+VLOOKUP(C281,TbPrestamo[],13,FALSE)</f>
        <v>0</v>
      </c>
      <c r="G281" s="2"/>
      <c r="H281" s="75" t="str">
        <f t="shared" si="8"/>
        <v>AE.8600</v>
      </c>
      <c r="I281" s="59" t="str">
        <f t="shared" si="9"/>
        <v>ok</v>
      </c>
      <c r="J281" s="77">
        <f>IFERROR(VLOOKUP($H281,TG[],3,FALSE),"NA")</f>
        <v>0</v>
      </c>
      <c r="K281" s="77" t="str">
        <f>IFERROR(VLOOKUP($H281,TF[],3,FALSE),"NA")</f>
        <v>NA</v>
      </c>
      <c r="L281" s="77" t="str">
        <f>IFERROR(VLOOKUP($H281,TT[],3,FALSE),"NA")</f>
        <v>NA</v>
      </c>
      <c r="M281" s="77" t="str">
        <f>IFERROR(VLOOKUP($H281,TES[],3,FALSE),"NA")</f>
        <v>NA</v>
      </c>
      <c r="N281" s="77" t="str">
        <f>IFERROR(VLOOKUP($H281,TEC[],3,FALSE),"NA")</f>
        <v>NA</v>
      </c>
      <c r="O281" s="77" t="str">
        <f>IFERROR(VLOOKUP($H281,TP[],3,FALSE),"NA")</f>
        <v>NA</v>
      </c>
      <c r="P281" s="77" t="str">
        <f>IFERROR(VLOOKUP($H281,TEN[],3,FALSE),"NA")</f>
        <v>NA</v>
      </c>
      <c r="Q281" s="77" t="str">
        <f>IFERROR(VLOOKUP($H281,TD[],3,FALSE),"NA")</f>
        <v>NA</v>
      </c>
      <c r="R281" s="77">
        <f>IFERROR(VLOOKUP($H281,TC[],3,FALSE),"NA")</f>
        <v>0</v>
      </c>
      <c r="S281" s="77" t="str">
        <f>IFERROR(VLOOKUP($H281,TEV[],3,FALSE),"NA")</f>
        <v>NA</v>
      </c>
      <c r="T281" s="79">
        <f>SUM(TbPrestamo[[#This Row],[GENERAL]:[ELEVADOR]])</f>
        <v>0</v>
      </c>
      <c r="U281" s="80">
        <f>IF(VLOOKUP(TbPrestamo[[#This Row],[ITEM]],TbPiezas[],5,FALSE)="NA",0,VLOOKUP(TbPrestamo[[#This Row],[ITEM]],TbPiezas[],5,FALSE))</f>
        <v>12.299999999999997</v>
      </c>
      <c r="V281" s="81">
        <f>+TbPrestamo[[#This Row],[TOTAL]]*TbPrestamo[[#This Row],[P.U. (1)]]</f>
        <v>0</v>
      </c>
      <c r="W281" s="82">
        <f>+VLOOKUP(TbPrestamo[[#This Row],[ITEM]],TbPiezas[],6,FALSE)</f>
        <v>508.2</v>
      </c>
      <c r="X281" s="83">
        <f>+TbPrestamo[[#This Row],[TOTAL]]*TbPrestamo[[#This Row],[P.U. (2)]]</f>
        <v>0</v>
      </c>
      <c r="Y281" s="82">
        <f>+VLOOKUP(TbPrestamo[[#This Row],[ITEM]],TbPiezas[],7,FALSE)</f>
        <v>25.41</v>
      </c>
      <c r="Z281" s="84">
        <f>+TbPrestamo[[#This Row],[TOTAL]]*TbPrestamo[[#This Row],[P.U. (3)]]</f>
        <v>0</v>
      </c>
    </row>
    <row r="282" spans="1:26" ht="15" customHeight="1" x14ac:dyDescent="0.3">
      <c r="A282" s="2"/>
      <c r="B282" s="85">
        <v>264</v>
      </c>
      <c r="C282" s="71" t="s">
        <v>529</v>
      </c>
      <c r="D282" s="72" t="s">
        <v>530</v>
      </c>
      <c r="E282" s="73"/>
      <c r="F282" s="74">
        <f>+VLOOKUP(C282,TbPrestamo[],13,FALSE)</f>
        <v>0</v>
      </c>
      <c r="G282" s="2"/>
      <c r="H282" s="75" t="str">
        <f t="shared" si="8"/>
        <v>AE.8700</v>
      </c>
      <c r="I282" s="59" t="str">
        <f t="shared" si="9"/>
        <v>ok</v>
      </c>
      <c r="J282" s="77">
        <f>IFERROR(VLOOKUP($H282,TG[],3,FALSE),"NA")</f>
        <v>0</v>
      </c>
      <c r="K282" s="77" t="str">
        <f>IFERROR(VLOOKUP($H282,TF[],3,FALSE),"NA")</f>
        <v>NA</v>
      </c>
      <c r="L282" s="77" t="str">
        <f>IFERROR(VLOOKUP($H282,TT[],3,FALSE),"NA")</f>
        <v>NA</v>
      </c>
      <c r="M282" s="77" t="str">
        <f>IFERROR(VLOOKUP($H282,TES[],3,FALSE),"NA")</f>
        <v>NA</v>
      </c>
      <c r="N282" s="77" t="str">
        <f>IFERROR(VLOOKUP($H282,TEC[],3,FALSE),"NA")</f>
        <v>NA</v>
      </c>
      <c r="O282" s="77" t="str">
        <f>IFERROR(VLOOKUP($H282,TP[],3,FALSE),"NA")</f>
        <v>NA</v>
      </c>
      <c r="P282" s="77" t="str">
        <f>IFERROR(VLOOKUP($H282,TEN[],3,FALSE),"NA")</f>
        <v>NA</v>
      </c>
      <c r="Q282" s="77" t="str">
        <f>IFERROR(VLOOKUP($H282,TD[],3,FALSE),"NA")</f>
        <v>NA</v>
      </c>
      <c r="R282" s="77">
        <f>IFERROR(VLOOKUP($H282,TC[],3,FALSE),"NA")</f>
        <v>0</v>
      </c>
      <c r="S282" s="77" t="str">
        <f>IFERROR(VLOOKUP($H282,TEV[],3,FALSE),"NA")</f>
        <v>NA</v>
      </c>
      <c r="T282" s="79">
        <f>SUM(TbPrestamo[[#This Row],[GENERAL]:[ELEVADOR]])</f>
        <v>0</v>
      </c>
      <c r="U282" s="80">
        <f>IF(VLOOKUP(TbPrestamo[[#This Row],[ITEM]],TbPiezas[],5,FALSE)="NA",0,VLOOKUP(TbPrestamo[[#This Row],[ITEM]],TbPiezas[],5,FALSE))</f>
        <v>9.8400000000000034</v>
      </c>
      <c r="V282" s="81">
        <f>+TbPrestamo[[#This Row],[TOTAL]]*TbPrestamo[[#This Row],[P.U. (1)]]</f>
        <v>0</v>
      </c>
      <c r="W282" s="82">
        <f>+VLOOKUP(TbPrestamo[[#This Row],[ITEM]],TbPiezas[],6,FALSE)</f>
        <v>444.68</v>
      </c>
      <c r="X282" s="83">
        <f>+TbPrestamo[[#This Row],[TOTAL]]*TbPrestamo[[#This Row],[P.U. (2)]]</f>
        <v>0</v>
      </c>
      <c r="Y282" s="82">
        <f>+VLOOKUP(TbPrestamo[[#This Row],[ITEM]],TbPiezas[],7,FALSE)</f>
        <v>22.234000000000002</v>
      </c>
      <c r="Z282" s="84">
        <f>+TbPrestamo[[#This Row],[TOTAL]]*TbPrestamo[[#This Row],[P.U. (3)]]</f>
        <v>0</v>
      </c>
    </row>
    <row r="283" spans="1:26" ht="15" customHeight="1" x14ac:dyDescent="0.3">
      <c r="A283" s="2"/>
      <c r="B283" s="85">
        <v>265</v>
      </c>
      <c r="C283" s="71" t="s">
        <v>531</v>
      </c>
      <c r="D283" s="72" t="s">
        <v>532</v>
      </c>
      <c r="E283" s="73"/>
      <c r="F283" s="74">
        <f>+VLOOKUP(C283,TbPrestamo[],13,FALSE)</f>
        <v>0</v>
      </c>
      <c r="G283" s="2"/>
      <c r="H283" s="75" t="str">
        <f t="shared" si="8"/>
        <v>AE.8800</v>
      </c>
      <c r="I283" s="59" t="str">
        <f t="shared" si="9"/>
        <v>ok</v>
      </c>
      <c r="J283" s="77">
        <f>IFERROR(VLOOKUP($H283,TG[],3,FALSE),"NA")</f>
        <v>0</v>
      </c>
      <c r="K283" s="77" t="str">
        <f>IFERROR(VLOOKUP($H283,TF[],3,FALSE),"NA")</f>
        <v>NA</v>
      </c>
      <c r="L283" s="77" t="str">
        <f>IFERROR(VLOOKUP($H283,TT[],3,FALSE),"NA")</f>
        <v>NA</v>
      </c>
      <c r="M283" s="77" t="str">
        <f>IFERROR(VLOOKUP($H283,TES[],3,FALSE),"NA")</f>
        <v>NA</v>
      </c>
      <c r="N283" s="77" t="str">
        <f>IFERROR(VLOOKUP($H283,TEC[],3,FALSE),"NA")</f>
        <v>NA</v>
      </c>
      <c r="O283" s="77" t="str">
        <f>IFERROR(VLOOKUP($H283,TP[],3,FALSE),"NA")</f>
        <v>NA</v>
      </c>
      <c r="P283" s="77" t="str">
        <f>IFERROR(VLOOKUP($H283,TEN[],3,FALSE),"NA")</f>
        <v>NA</v>
      </c>
      <c r="Q283" s="77" t="str">
        <f>IFERROR(VLOOKUP($H283,TD[],3,FALSE),"NA")</f>
        <v>NA</v>
      </c>
      <c r="R283" s="77">
        <f>IFERROR(VLOOKUP($H283,TC[],3,FALSE),"NA")</f>
        <v>0</v>
      </c>
      <c r="S283" s="77" t="str">
        <f>IFERROR(VLOOKUP($H283,TEV[],3,FALSE),"NA")</f>
        <v>NA</v>
      </c>
      <c r="T283" s="79">
        <f>SUM(TbPrestamo[[#This Row],[GENERAL]:[ELEVADOR]])</f>
        <v>0</v>
      </c>
      <c r="U283" s="80">
        <f>IF(VLOOKUP(TbPrestamo[[#This Row],[ITEM]],TbPiezas[],5,FALSE)="NA",0,VLOOKUP(TbPrestamo[[#This Row],[ITEM]],TbPiezas[],5,FALSE))</f>
        <v>8.61</v>
      </c>
      <c r="V283" s="81">
        <f>+TbPrestamo[[#This Row],[TOTAL]]*TbPrestamo[[#This Row],[P.U. (1)]]</f>
        <v>0</v>
      </c>
      <c r="W283" s="82">
        <f>+VLOOKUP(TbPrestamo[[#This Row],[ITEM]],TbPiezas[],6,FALSE)</f>
        <v>381.15</v>
      </c>
      <c r="X283" s="83">
        <f>+TbPrestamo[[#This Row],[TOTAL]]*TbPrestamo[[#This Row],[P.U. (2)]]</f>
        <v>0</v>
      </c>
      <c r="Y283" s="82">
        <f>+VLOOKUP(TbPrestamo[[#This Row],[ITEM]],TbPiezas[],7,FALSE)</f>
        <v>19.057500000000001</v>
      </c>
      <c r="Z283" s="84">
        <f>+TbPrestamo[[#This Row],[TOTAL]]*TbPrestamo[[#This Row],[P.U. (3)]]</f>
        <v>0</v>
      </c>
    </row>
    <row r="284" spans="1:26" ht="15" customHeight="1" x14ac:dyDescent="0.3">
      <c r="A284" s="2"/>
      <c r="B284" s="85">
        <v>266</v>
      </c>
      <c r="C284" s="71" t="s">
        <v>533</v>
      </c>
      <c r="D284" s="72" t="s">
        <v>534</v>
      </c>
      <c r="E284" s="73"/>
      <c r="F284" s="74">
        <f>+VLOOKUP(C284,TbPrestamo[],13,FALSE)</f>
        <v>0</v>
      </c>
      <c r="G284" s="2"/>
      <c r="H284" s="75" t="str">
        <f t="shared" si="8"/>
        <v>AE.8900</v>
      </c>
      <c r="I284" s="59" t="str">
        <f t="shared" si="9"/>
        <v>ok</v>
      </c>
      <c r="J284" s="77">
        <f>IFERROR(VLOOKUP($H284,TG[],3,FALSE),"NA")</f>
        <v>0</v>
      </c>
      <c r="K284" s="77" t="str">
        <f>IFERROR(VLOOKUP($H284,TF[],3,FALSE),"NA")</f>
        <v>NA</v>
      </c>
      <c r="L284" s="77" t="str">
        <f>IFERROR(VLOOKUP($H284,TT[],3,FALSE),"NA")</f>
        <v>NA</v>
      </c>
      <c r="M284" s="77" t="str">
        <f>IFERROR(VLOOKUP($H284,TES[],3,FALSE),"NA")</f>
        <v>NA</v>
      </c>
      <c r="N284" s="77" t="str">
        <f>IFERROR(VLOOKUP($H284,TEC[],3,FALSE),"NA")</f>
        <v>NA</v>
      </c>
      <c r="O284" s="77" t="str">
        <f>IFERROR(VLOOKUP($H284,TP[],3,FALSE),"NA")</f>
        <v>NA</v>
      </c>
      <c r="P284" s="77" t="str">
        <f>IFERROR(VLOOKUP($H284,TEN[],3,FALSE),"NA")</f>
        <v>NA</v>
      </c>
      <c r="Q284" s="77" t="str">
        <f>IFERROR(VLOOKUP($H284,TD[],3,FALSE),"NA")</f>
        <v>NA</v>
      </c>
      <c r="R284" s="77">
        <f>IFERROR(VLOOKUP($H284,TC[],3,FALSE),"NA")</f>
        <v>0</v>
      </c>
      <c r="S284" s="77" t="str">
        <f>IFERROR(VLOOKUP($H284,TEV[],3,FALSE),"NA")</f>
        <v>NA</v>
      </c>
      <c r="T284" s="79">
        <f>SUM(TbPrestamo[[#This Row],[GENERAL]:[ELEVADOR]])</f>
        <v>0</v>
      </c>
      <c r="U284" s="80">
        <f>IF(VLOOKUP(TbPrestamo[[#This Row],[ITEM]],TbPiezas[],5,FALSE)="NA",0,VLOOKUP(TbPrestamo[[#This Row],[ITEM]],TbPiezas[],5,FALSE))</f>
        <v>7.3799999999999955</v>
      </c>
      <c r="V284" s="81">
        <f>+TbPrestamo[[#This Row],[TOTAL]]*TbPrestamo[[#This Row],[P.U. (1)]]</f>
        <v>0</v>
      </c>
      <c r="W284" s="82">
        <f>+VLOOKUP(TbPrestamo[[#This Row],[ITEM]],TbPiezas[],6,FALSE)</f>
        <v>317.63</v>
      </c>
      <c r="X284" s="83">
        <f>+TbPrestamo[[#This Row],[TOTAL]]*TbPrestamo[[#This Row],[P.U. (2)]]</f>
        <v>0</v>
      </c>
      <c r="Y284" s="82">
        <f>+VLOOKUP(TbPrestamo[[#This Row],[ITEM]],TbPiezas[],7,FALSE)</f>
        <v>15.881500000000001</v>
      </c>
      <c r="Z284" s="84">
        <f>+TbPrestamo[[#This Row],[TOTAL]]*TbPrestamo[[#This Row],[P.U. (3)]]</f>
        <v>0</v>
      </c>
    </row>
    <row r="285" spans="1:26" ht="15" customHeight="1" x14ac:dyDescent="0.3">
      <c r="A285" s="2"/>
      <c r="B285" s="85">
        <v>267</v>
      </c>
      <c r="C285" s="71" t="s">
        <v>535</v>
      </c>
      <c r="D285" s="72" t="s">
        <v>536</v>
      </c>
      <c r="E285" s="73"/>
      <c r="F285" s="74">
        <f>+VLOOKUP(C285,TbPrestamo[],13,FALSE)</f>
        <v>0</v>
      </c>
      <c r="G285" s="2"/>
      <c r="H285" s="75" t="str">
        <f t="shared" si="8"/>
        <v>AE.9000</v>
      </c>
      <c r="I285" s="59" t="str">
        <f t="shared" si="9"/>
        <v>ok</v>
      </c>
      <c r="J285" s="77">
        <f>IFERROR(VLOOKUP($H285,TG[],3,FALSE),"NA")</f>
        <v>0</v>
      </c>
      <c r="K285" s="77" t="str">
        <f>IFERROR(VLOOKUP($H285,TF[],3,FALSE),"NA")</f>
        <v>NA</v>
      </c>
      <c r="L285" s="77" t="str">
        <f>IFERROR(VLOOKUP($H285,TT[],3,FALSE),"NA")</f>
        <v>NA</v>
      </c>
      <c r="M285" s="77" t="str">
        <f>IFERROR(VLOOKUP($H285,TES[],3,FALSE),"NA")</f>
        <v>NA</v>
      </c>
      <c r="N285" s="77" t="str">
        <f>IFERROR(VLOOKUP($H285,TEC[],3,FALSE),"NA")</f>
        <v>NA</v>
      </c>
      <c r="O285" s="77" t="str">
        <f>IFERROR(VLOOKUP($H285,TP[],3,FALSE),"NA")</f>
        <v>NA</v>
      </c>
      <c r="P285" s="77" t="str">
        <f>IFERROR(VLOOKUP($H285,TEN[],3,FALSE),"NA")</f>
        <v>NA</v>
      </c>
      <c r="Q285" s="77" t="str">
        <f>IFERROR(VLOOKUP($H285,TD[],3,FALSE),"NA")</f>
        <v>NA</v>
      </c>
      <c r="R285" s="77">
        <f>IFERROR(VLOOKUP($H285,TC[],3,FALSE),"NA")</f>
        <v>0</v>
      </c>
      <c r="S285" s="77" t="str">
        <f>IFERROR(VLOOKUP($H285,TEV[],3,FALSE),"NA")</f>
        <v>NA</v>
      </c>
      <c r="T285" s="79">
        <f>SUM(TbPrestamo[[#This Row],[GENERAL]:[ELEVADOR]])</f>
        <v>0</v>
      </c>
      <c r="U285" s="80">
        <f>IF(VLOOKUP(TbPrestamo[[#This Row],[ITEM]],TbPiezas[],5,FALSE)="NA",0,VLOOKUP(TbPrestamo[[#This Row],[ITEM]],TbPiezas[],5,FALSE))</f>
        <v>20</v>
      </c>
      <c r="V285" s="81">
        <f>+TbPrestamo[[#This Row],[TOTAL]]*TbPrestamo[[#This Row],[P.U. (1)]]</f>
        <v>0</v>
      </c>
      <c r="W285" s="82">
        <f>+VLOOKUP(TbPrestamo[[#This Row],[ITEM]],TbPiezas[],6,FALSE)</f>
        <v>635.25</v>
      </c>
      <c r="X285" s="83">
        <f>+TbPrestamo[[#This Row],[TOTAL]]*TbPrestamo[[#This Row],[P.U. (2)]]</f>
        <v>0</v>
      </c>
      <c r="Y285" s="82">
        <f>+VLOOKUP(TbPrestamo[[#This Row],[ITEM]],TbPiezas[],7,FALSE)</f>
        <v>31.762500000000003</v>
      </c>
      <c r="Z285" s="84">
        <f>+TbPrestamo[[#This Row],[TOTAL]]*TbPrestamo[[#This Row],[P.U. (3)]]</f>
        <v>0</v>
      </c>
    </row>
    <row r="286" spans="1:26" ht="15" customHeight="1" x14ac:dyDescent="0.3">
      <c r="A286" s="2"/>
      <c r="B286" s="85">
        <v>268</v>
      </c>
      <c r="C286" s="71" t="s">
        <v>537</v>
      </c>
      <c r="D286" s="72" t="s">
        <v>538</v>
      </c>
      <c r="E286" s="73"/>
      <c r="F286" s="74">
        <f>+VLOOKUP(C286,TbPrestamo[],13,FALSE)</f>
        <v>0</v>
      </c>
      <c r="G286" s="2"/>
      <c r="H286" s="75" t="str">
        <f t="shared" si="8"/>
        <v>AE.9100</v>
      </c>
      <c r="I286" s="59" t="str">
        <f t="shared" si="9"/>
        <v>ok</v>
      </c>
      <c r="J286" s="77">
        <f>IFERROR(VLOOKUP($H286,TG[],3,FALSE),"NA")</f>
        <v>0</v>
      </c>
      <c r="K286" s="77" t="str">
        <f>IFERROR(VLOOKUP($H286,TF[],3,FALSE),"NA")</f>
        <v>NA</v>
      </c>
      <c r="L286" s="77" t="str">
        <f>IFERROR(VLOOKUP($H286,TT[],3,FALSE),"NA")</f>
        <v>NA</v>
      </c>
      <c r="M286" s="77" t="str">
        <f>IFERROR(VLOOKUP($H286,TES[],3,FALSE),"NA")</f>
        <v>NA</v>
      </c>
      <c r="N286" s="77" t="str">
        <f>IFERROR(VLOOKUP($H286,TEC[],3,FALSE),"NA")</f>
        <v>NA</v>
      </c>
      <c r="O286" s="77" t="str">
        <f>IFERROR(VLOOKUP($H286,TP[],3,FALSE),"NA")</f>
        <v>NA</v>
      </c>
      <c r="P286" s="77" t="str">
        <f>IFERROR(VLOOKUP($H286,TEN[],3,FALSE),"NA")</f>
        <v>NA</v>
      </c>
      <c r="Q286" s="77" t="str">
        <f>IFERROR(VLOOKUP($H286,TD[],3,FALSE),"NA")</f>
        <v>NA</v>
      </c>
      <c r="R286" s="77">
        <f>IFERROR(VLOOKUP($H286,TC[],3,FALSE),"NA")</f>
        <v>0</v>
      </c>
      <c r="S286" s="77" t="str">
        <f>IFERROR(VLOOKUP($H286,TEV[],3,FALSE),"NA")</f>
        <v>NA</v>
      </c>
      <c r="T286" s="79">
        <f>SUM(TbPrestamo[[#This Row],[GENERAL]:[ELEVADOR]])</f>
        <v>0</v>
      </c>
      <c r="U286" s="80">
        <f>IF(VLOOKUP(TbPrestamo[[#This Row],[ITEM]],TbPiezas[],5,FALSE)="NA",0,VLOOKUP(TbPrestamo[[#This Row],[ITEM]],TbPiezas[],5,FALSE))</f>
        <v>16</v>
      </c>
      <c r="V286" s="81">
        <f>+TbPrestamo[[#This Row],[TOTAL]]*TbPrestamo[[#This Row],[P.U. (1)]]</f>
        <v>0</v>
      </c>
      <c r="W286" s="82">
        <f>+VLOOKUP(TbPrestamo[[#This Row],[ITEM]],TbPiezas[],6,FALSE)</f>
        <v>508.2</v>
      </c>
      <c r="X286" s="83">
        <f>+TbPrestamo[[#This Row],[TOTAL]]*TbPrestamo[[#This Row],[P.U. (2)]]</f>
        <v>0</v>
      </c>
      <c r="Y286" s="82">
        <f>+VLOOKUP(TbPrestamo[[#This Row],[ITEM]],TbPiezas[],7,FALSE)</f>
        <v>25.41</v>
      </c>
      <c r="Z286" s="84">
        <f>+TbPrestamo[[#This Row],[TOTAL]]*TbPrestamo[[#This Row],[P.U. (3)]]</f>
        <v>0</v>
      </c>
    </row>
    <row r="287" spans="1:26" ht="15" customHeight="1" x14ac:dyDescent="0.3">
      <c r="A287" s="2"/>
      <c r="B287" s="85">
        <v>269</v>
      </c>
      <c r="C287" s="71" t="s">
        <v>539</v>
      </c>
      <c r="D287" s="72" t="s">
        <v>540</v>
      </c>
      <c r="E287" s="73"/>
      <c r="F287" s="74">
        <f>+VLOOKUP(C287,TbPrestamo[],13,FALSE)</f>
        <v>0</v>
      </c>
      <c r="G287" s="2"/>
      <c r="H287" s="75" t="str">
        <f t="shared" si="8"/>
        <v>AE.9200</v>
      </c>
      <c r="I287" s="59" t="str">
        <f t="shared" si="9"/>
        <v>ok</v>
      </c>
      <c r="J287" s="77">
        <f>IFERROR(VLOOKUP($H287,TG[],3,FALSE),"NA")</f>
        <v>0</v>
      </c>
      <c r="K287" s="77" t="str">
        <f>IFERROR(VLOOKUP($H287,TF[],3,FALSE),"NA")</f>
        <v>NA</v>
      </c>
      <c r="L287" s="77" t="str">
        <f>IFERROR(VLOOKUP($H287,TT[],3,FALSE),"NA")</f>
        <v>NA</v>
      </c>
      <c r="M287" s="77" t="str">
        <f>IFERROR(VLOOKUP($H287,TES[],3,FALSE),"NA")</f>
        <v>NA</v>
      </c>
      <c r="N287" s="77" t="str">
        <f>IFERROR(VLOOKUP($H287,TEC[],3,FALSE),"NA")</f>
        <v>NA</v>
      </c>
      <c r="O287" s="77" t="str">
        <f>IFERROR(VLOOKUP($H287,TP[],3,FALSE),"NA")</f>
        <v>NA</v>
      </c>
      <c r="P287" s="77" t="str">
        <f>IFERROR(VLOOKUP($H287,TEN[],3,FALSE),"NA")</f>
        <v>NA</v>
      </c>
      <c r="Q287" s="77" t="str">
        <f>IFERROR(VLOOKUP($H287,TD[],3,FALSE),"NA")</f>
        <v>NA</v>
      </c>
      <c r="R287" s="77">
        <f>IFERROR(VLOOKUP($H287,TC[],3,FALSE),"NA")</f>
        <v>0</v>
      </c>
      <c r="S287" s="77" t="str">
        <f>IFERROR(VLOOKUP($H287,TEV[],3,FALSE),"NA")</f>
        <v>NA</v>
      </c>
      <c r="T287" s="79">
        <f>SUM(TbPrestamo[[#This Row],[GENERAL]:[ELEVADOR]])</f>
        <v>0</v>
      </c>
      <c r="U287" s="80">
        <f>IF(VLOOKUP(TbPrestamo[[#This Row],[ITEM]],TbPiezas[],5,FALSE)="NA",0,VLOOKUP(TbPrestamo[[#This Row],[ITEM]],TbPiezas[],5,FALSE))</f>
        <v>15</v>
      </c>
      <c r="V287" s="81">
        <f>+TbPrestamo[[#This Row],[TOTAL]]*TbPrestamo[[#This Row],[P.U. (1)]]</f>
        <v>0</v>
      </c>
      <c r="W287" s="82">
        <f>+VLOOKUP(TbPrestamo[[#This Row],[ITEM]],TbPiezas[],6,FALSE)</f>
        <v>444.68</v>
      </c>
      <c r="X287" s="83">
        <f>+TbPrestamo[[#This Row],[TOTAL]]*TbPrestamo[[#This Row],[P.U. (2)]]</f>
        <v>0</v>
      </c>
      <c r="Y287" s="82">
        <f>+VLOOKUP(TbPrestamo[[#This Row],[ITEM]],TbPiezas[],7,FALSE)</f>
        <v>22.234000000000002</v>
      </c>
      <c r="Z287" s="84">
        <f>+TbPrestamo[[#This Row],[TOTAL]]*TbPrestamo[[#This Row],[P.U. (3)]]</f>
        <v>0</v>
      </c>
    </row>
    <row r="288" spans="1:26" ht="15" customHeight="1" x14ac:dyDescent="0.3">
      <c r="A288" s="2"/>
      <c r="B288" s="85">
        <v>270</v>
      </c>
      <c r="C288" s="71" t="s">
        <v>541</v>
      </c>
      <c r="D288" s="72" t="s">
        <v>542</v>
      </c>
      <c r="E288" s="73"/>
      <c r="F288" s="74">
        <f>+VLOOKUP(C288,TbPrestamo[],13,FALSE)</f>
        <v>0</v>
      </c>
      <c r="G288" s="2"/>
      <c r="H288" s="75" t="str">
        <f t="shared" si="8"/>
        <v>AE.9300</v>
      </c>
      <c r="I288" s="59" t="str">
        <f t="shared" si="9"/>
        <v>ok</v>
      </c>
      <c r="J288" s="77">
        <f>IFERROR(VLOOKUP($H288,TG[],3,FALSE),"NA")</f>
        <v>0</v>
      </c>
      <c r="K288" s="77" t="str">
        <f>IFERROR(VLOOKUP($H288,TF[],3,FALSE),"NA")</f>
        <v>NA</v>
      </c>
      <c r="L288" s="77" t="str">
        <f>IFERROR(VLOOKUP($H288,TT[],3,FALSE),"NA")</f>
        <v>NA</v>
      </c>
      <c r="M288" s="77" t="str">
        <f>IFERROR(VLOOKUP($H288,TES[],3,FALSE),"NA")</f>
        <v>NA</v>
      </c>
      <c r="N288" s="77" t="str">
        <f>IFERROR(VLOOKUP($H288,TEC[],3,FALSE),"NA")</f>
        <v>NA</v>
      </c>
      <c r="O288" s="77" t="str">
        <f>IFERROR(VLOOKUP($H288,TP[],3,FALSE),"NA")</f>
        <v>NA</v>
      </c>
      <c r="P288" s="77" t="str">
        <f>IFERROR(VLOOKUP($H288,TEN[],3,FALSE),"NA")</f>
        <v>NA</v>
      </c>
      <c r="Q288" s="77" t="str">
        <f>IFERROR(VLOOKUP($H288,TD[],3,FALSE),"NA")</f>
        <v>NA</v>
      </c>
      <c r="R288" s="77">
        <f>IFERROR(VLOOKUP($H288,TC[],3,FALSE),"NA")</f>
        <v>0</v>
      </c>
      <c r="S288" s="77" t="str">
        <f>IFERROR(VLOOKUP($H288,TEV[],3,FALSE),"NA")</f>
        <v>NA</v>
      </c>
      <c r="T288" s="79">
        <f>SUM(TbPrestamo[[#This Row],[GENERAL]:[ELEVADOR]])</f>
        <v>0</v>
      </c>
      <c r="U288" s="80">
        <f>IF(VLOOKUP(TbPrestamo[[#This Row],[ITEM]],TbPiezas[],5,FALSE)="NA",0,VLOOKUP(TbPrestamo[[#This Row],[ITEM]],TbPiezas[],5,FALSE))</f>
        <v>12</v>
      </c>
      <c r="V288" s="81">
        <f>+TbPrestamo[[#This Row],[TOTAL]]*TbPrestamo[[#This Row],[P.U. (1)]]</f>
        <v>0</v>
      </c>
      <c r="W288" s="82">
        <f>+VLOOKUP(TbPrestamo[[#This Row],[ITEM]],TbPiezas[],6,FALSE)</f>
        <v>381.15</v>
      </c>
      <c r="X288" s="83">
        <f>+TbPrestamo[[#This Row],[TOTAL]]*TbPrestamo[[#This Row],[P.U. (2)]]</f>
        <v>0</v>
      </c>
      <c r="Y288" s="82">
        <f>+VLOOKUP(TbPrestamo[[#This Row],[ITEM]],TbPiezas[],7,FALSE)</f>
        <v>19.057500000000001</v>
      </c>
      <c r="Z288" s="84">
        <f>+TbPrestamo[[#This Row],[TOTAL]]*TbPrestamo[[#This Row],[P.U. (3)]]</f>
        <v>0</v>
      </c>
    </row>
    <row r="289" spans="1:26" ht="15" customHeight="1" x14ac:dyDescent="0.3">
      <c r="A289" s="2"/>
      <c r="B289" s="85">
        <v>271</v>
      </c>
      <c r="C289" s="71" t="s">
        <v>543</v>
      </c>
      <c r="D289" s="72" t="s">
        <v>544</v>
      </c>
      <c r="E289" s="73"/>
      <c r="F289" s="74">
        <f>+VLOOKUP(C289,TbPrestamo[],13,FALSE)</f>
        <v>0</v>
      </c>
      <c r="G289" s="2"/>
      <c r="H289" s="75" t="str">
        <f t="shared" si="8"/>
        <v>AE.9400</v>
      </c>
      <c r="I289" s="59" t="str">
        <f t="shared" si="9"/>
        <v>ok</v>
      </c>
      <c r="J289" s="77">
        <f>IFERROR(VLOOKUP($H289,TG[],3,FALSE),"NA")</f>
        <v>0</v>
      </c>
      <c r="K289" s="77" t="str">
        <f>IFERROR(VLOOKUP($H289,TF[],3,FALSE),"NA")</f>
        <v>NA</v>
      </c>
      <c r="L289" s="77" t="str">
        <f>IFERROR(VLOOKUP($H289,TT[],3,FALSE),"NA")</f>
        <v>NA</v>
      </c>
      <c r="M289" s="77" t="str">
        <f>IFERROR(VLOOKUP($H289,TES[],3,FALSE),"NA")</f>
        <v>NA</v>
      </c>
      <c r="N289" s="77" t="str">
        <f>IFERROR(VLOOKUP($H289,TEC[],3,FALSE),"NA")</f>
        <v>NA</v>
      </c>
      <c r="O289" s="77" t="str">
        <f>IFERROR(VLOOKUP($H289,TP[],3,FALSE),"NA")</f>
        <v>NA</v>
      </c>
      <c r="P289" s="77" t="str">
        <f>IFERROR(VLOOKUP($H289,TEN[],3,FALSE),"NA")</f>
        <v>NA</v>
      </c>
      <c r="Q289" s="77" t="str">
        <f>IFERROR(VLOOKUP($H289,TD[],3,FALSE),"NA")</f>
        <v>NA</v>
      </c>
      <c r="R289" s="77">
        <f>IFERROR(VLOOKUP($H289,TC[],3,FALSE),"NA")</f>
        <v>0</v>
      </c>
      <c r="S289" s="77" t="str">
        <f>IFERROR(VLOOKUP($H289,TEV[],3,FALSE),"NA")</f>
        <v>NA</v>
      </c>
      <c r="T289" s="79">
        <f>SUM(TbPrestamo[[#This Row],[GENERAL]:[ELEVADOR]])</f>
        <v>0</v>
      </c>
      <c r="U289" s="80">
        <f>IF(VLOOKUP(TbPrestamo[[#This Row],[ITEM]],TbPiezas[],5,FALSE)="NA",0,VLOOKUP(TbPrestamo[[#This Row],[ITEM]],TbPiezas[],5,FALSE))</f>
        <v>10</v>
      </c>
      <c r="V289" s="81">
        <f>+TbPrestamo[[#This Row],[TOTAL]]*TbPrestamo[[#This Row],[P.U. (1)]]</f>
        <v>0</v>
      </c>
      <c r="W289" s="82">
        <f>+VLOOKUP(TbPrestamo[[#This Row],[ITEM]],TbPiezas[],6,FALSE)</f>
        <v>317.63</v>
      </c>
      <c r="X289" s="83">
        <f>+TbPrestamo[[#This Row],[TOTAL]]*TbPrestamo[[#This Row],[P.U. (2)]]</f>
        <v>0</v>
      </c>
      <c r="Y289" s="82">
        <f>+VLOOKUP(TbPrestamo[[#This Row],[ITEM]],TbPiezas[],7,FALSE)</f>
        <v>15.881500000000001</v>
      </c>
      <c r="Z289" s="84">
        <f>+TbPrestamo[[#This Row],[TOTAL]]*TbPrestamo[[#This Row],[P.U. (3)]]</f>
        <v>0</v>
      </c>
    </row>
    <row r="290" spans="1:26" ht="15" customHeight="1" x14ac:dyDescent="0.3">
      <c r="A290" s="2"/>
      <c r="B290" s="85">
        <v>272</v>
      </c>
      <c r="C290" s="71" t="s">
        <v>545</v>
      </c>
      <c r="D290" s="72" t="s">
        <v>546</v>
      </c>
      <c r="E290" s="73"/>
      <c r="F290" s="74">
        <f>+VLOOKUP(C290,TbPrestamo[],13,FALSE)</f>
        <v>0</v>
      </c>
      <c r="G290" s="2"/>
      <c r="H290" s="75" t="str">
        <f t="shared" si="8"/>
        <v>AE.9500</v>
      </c>
      <c r="I290" s="59" t="str">
        <f t="shared" si="9"/>
        <v>ok</v>
      </c>
      <c r="J290" s="77">
        <f>IFERROR(VLOOKUP($H290,TG[],3,FALSE),"NA")</f>
        <v>0</v>
      </c>
      <c r="K290" s="77" t="str">
        <f>IFERROR(VLOOKUP($H290,TF[],3,FALSE),"NA")</f>
        <v>NA</v>
      </c>
      <c r="L290" s="77" t="str">
        <f>IFERROR(VLOOKUP($H290,TT[],3,FALSE),"NA")</f>
        <v>NA</v>
      </c>
      <c r="M290" s="77" t="str">
        <f>IFERROR(VLOOKUP($H290,TES[],3,FALSE),"NA")</f>
        <v>NA</v>
      </c>
      <c r="N290" s="77" t="str">
        <f>IFERROR(VLOOKUP($H290,TEC[],3,FALSE),"NA")</f>
        <v>NA</v>
      </c>
      <c r="O290" s="77" t="str">
        <f>IFERROR(VLOOKUP($H290,TP[],3,FALSE),"NA")</f>
        <v>NA</v>
      </c>
      <c r="P290" s="77" t="str">
        <f>IFERROR(VLOOKUP($H290,TEN[],3,FALSE),"NA")</f>
        <v>NA</v>
      </c>
      <c r="Q290" s="77" t="str">
        <f>IFERROR(VLOOKUP($H290,TD[],3,FALSE),"NA")</f>
        <v>NA</v>
      </c>
      <c r="R290" s="77">
        <f>IFERROR(VLOOKUP($H290,TC[],3,FALSE),"NA")</f>
        <v>0</v>
      </c>
      <c r="S290" s="77" t="str">
        <f>IFERROR(VLOOKUP($H290,TEV[],3,FALSE),"NA")</f>
        <v>NA</v>
      </c>
      <c r="T290" s="79">
        <f>SUM(TbPrestamo[[#This Row],[GENERAL]:[ELEVADOR]])</f>
        <v>0</v>
      </c>
      <c r="U290" s="80">
        <f>IF(VLOOKUP(TbPrestamo[[#This Row],[ITEM]],TbPiezas[],5,FALSE)="NA",0,VLOOKUP(TbPrestamo[[#This Row],[ITEM]],TbPiezas[],5,FALSE))</f>
        <v>0.5</v>
      </c>
      <c r="V290" s="81">
        <f>+TbPrestamo[[#This Row],[TOTAL]]*TbPrestamo[[#This Row],[P.U. (1)]]</f>
        <v>0</v>
      </c>
      <c r="W290" s="82">
        <f>+VLOOKUP(TbPrestamo[[#This Row],[ITEM]],TbPiezas[],6,FALSE)</f>
        <v>464.53</v>
      </c>
      <c r="X290" s="83">
        <f>+TbPrestamo[[#This Row],[TOTAL]]*TbPrestamo[[#This Row],[P.U. (2)]]</f>
        <v>0</v>
      </c>
      <c r="Y290" s="82">
        <f>+VLOOKUP(TbPrestamo[[#This Row],[ITEM]],TbPiezas[],7,FALSE)</f>
        <v>23.226500000000001</v>
      </c>
      <c r="Z290" s="84">
        <f>+TbPrestamo[[#This Row],[TOTAL]]*TbPrestamo[[#This Row],[P.U. (3)]]</f>
        <v>0</v>
      </c>
    </row>
    <row r="291" spans="1:26" ht="15" customHeight="1" x14ac:dyDescent="0.3">
      <c r="A291" s="2"/>
      <c r="B291" s="85">
        <v>273</v>
      </c>
      <c r="C291" s="71" t="s">
        <v>547</v>
      </c>
      <c r="D291" s="72" t="s">
        <v>548</v>
      </c>
      <c r="E291" s="73"/>
      <c r="F291" s="74">
        <f>+VLOOKUP(C291,TbPrestamo[],13,FALSE)</f>
        <v>0</v>
      </c>
      <c r="G291" s="2"/>
      <c r="H291" s="75" t="str">
        <f t="shared" si="8"/>
        <v>AE.9600</v>
      </c>
      <c r="I291" s="59" t="str">
        <f t="shared" si="9"/>
        <v>ok</v>
      </c>
      <c r="J291" s="77">
        <f>IFERROR(VLOOKUP($H291,TG[],3,FALSE),"NA")</f>
        <v>0</v>
      </c>
      <c r="K291" s="77" t="str">
        <f>IFERROR(VLOOKUP($H291,TF[],3,FALSE),"NA")</f>
        <v>NA</v>
      </c>
      <c r="L291" s="77" t="str">
        <f>IFERROR(VLOOKUP($H291,TT[],3,FALSE),"NA")</f>
        <v>NA</v>
      </c>
      <c r="M291" s="77" t="str">
        <f>IFERROR(VLOOKUP($H291,TES[],3,FALSE),"NA")</f>
        <v>NA</v>
      </c>
      <c r="N291" s="77" t="str">
        <f>IFERROR(VLOOKUP($H291,TEC[],3,FALSE),"NA")</f>
        <v>NA</v>
      </c>
      <c r="O291" s="77" t="str">
        <f>IFERROR(VLOOKUP($H291,TP[],3,FALSE),"NA")</f>
        <v>NA</v>
      </c>
      <c r="P291" s="77" t="str">
        <f>IFERROR(VLOOKUP($H291,TEN[],3,FALSE),"NA")</f>
        <v>NA</v>
      </c>
      <c r="Q291" s="77" t="str">
        <f>IFERROR(VLOOKUP($H291,TD[],3,FALSE),"NA")</f>
        <v>NA</v>
      </c>
      <c r="R291" s="77">
        <f>IFERROR(VLOOKUP($H291,TC[],3,FALSE),"NA")</f>
        <v>0</v>
      </c>
      <c r="S291" s="77" t="str">
        <f>IFERROR(VLOOKUP($H291,TEV[],3,FALSE),"NA")</f>
        <v>NA</v>
      </c>
      <c r="T291" s="79">
        <f>SUM(TbPrestamo[[#This Row],[GENERAL]:[ELEVADOR]])</f>
        <v>0</v>
      </c>
      <c r="U291" s="80">
        <f>IF(VLOOKUP(TbPrestamo[[#This Row],[ITEM]],TbPiezas[],5,FALSE)="NA",0,VLOOKUP(TbPrestamo[[#This Row],[ITEM]],TbPiezas[],5,FALSE))</f>
        <v>0.5</v>
      </c>
      <c r="V291" s="81">
        <f>+TbPrestamo[[#This Row],[TOTAL]]*TbPrestamo[[#This Row],[P.U. (1)]]</f>
        <v>0</v>
      </c>
      <c r="W291" s="82">
        <f>+VLOOKUP(TbPrestamo[[#This Row],[ITEM]],TbPiezas[],6,FALSE)</f>
        <v>464.53</v>
      </c>
      <c r="X291" s="83">
        <f>+TbPrestamo[[#This Row],[TOTAL]]*TbPrestamo[[#This Row],[P.U. (2)]]</f>
        <v>0</v>
      </c>
      <c r="Y291" s="82">
        <f>+VLOOKUP(TbPrestamo[[#This Row],[ITEM]],TbPiezas[],7,FALSE)</f>
        <v>23.226500000000001</v>
      </c>
      <c r="Z291" s="84">
        <f>+TbPrestamo[[#This Row],[TOTAL]]*TbPrestamo[[#This Row],[P.U. (3)]]</f>
        <v>0</v>
      </c>
    </row>
    <row r="292" spans="1:26" ht="15" customHeight="1" x14ac:dyDescent="0.3">
      <c r="A292" s="2"/>
      <c r="B292" s="85">
        <v>274</v>
      </c>
      <c r="C292" s="71" t="s">
        <v>549</v>
      </c>
      <c r="D292" s="72" t="s">
        <v>550</v>
      </c>
      <c r="E292" s="73"/>
      <c r="F292" s="74">
        <f>+VLOOKUP(C292,TbPrestamo[],13,FALSE)</f>
        <v>0</v>
      </c>
      <c r="G292" s="2"/>
      <c r="H292" s="75" t="str">
        <f t="shared" si="8"/>
        <v>AE.9700</v>
      </c>
      <c r="I292" s="59" t="str">
        <f t="shared" si="9"/>
        <v>ok</v>
      </c>
      <c r="J292" s="77">
        <f>IFERROR(VLOOKUP($H292,TG[],3,FALSE),"NA")</f>
        <v>0</v>
      </c>
      <c r="K292" s="77" t="str">
        <f>IFERROR(VLOOKUP($H292,TF[],3,FALSE),"NA")</f>
        <v>NA</v>
      </c>
      <c r="L292" s="77" t="str">
        <f>IFERROR(VLOOKUP($H292,TT[],3,FALSE),"NA")</f>
        <v>NA</v>
      </c>
      <c r="M292" s="77" t="str">
        <f>IFERROR(VLOOKUP($H292,TES[],3,FALSE),"NA")</f>
        <v>NA</v>
      </c>
      <c r="N292" s="77" t="str">
        <f>IFERROR(VLOOKUP($H292,TEC[],3,FALSE),"NA")</f>
        <v>NA</v>
      </c>
      <c r="O292" s="77" t="str">
        <f>IFERROR(VLOOKUP($H292,TP[],3,FALSE),"NA")</f>
        <v>NA</v>
      </c>
      <c r="P292" s="77" t="str">
        <f>IFERROR(VLOOKUP($H292,TEN[],3,FALSE),"NA")</f>
        <v>NA</v>
      </c>
      <c r="Q292" s="77" t="str">
        <f>IFERROR(VLOOKUP($H292,TD[],3,FALSE),"NA")</f>
        <v>NA</v>
      </c>
      <c r="R292" s="77">
        <f>IFERROR(VLOOKUP($H292,TC[],3,FALSE),"NA")</f>
        <v>0</v>
      </c>
      <c r="S292" s="77" t="str">
        <f>IFERROR(VLOOKUP($H292,TEV[],3,FALSE),"NA")</f>
        <v>NA</v>
      </c>
      <c r="T292" s="79">
        <f>SUM(TbPrestamo[[#This Row],[GENERAL]:[ELEVADOR]])</f>
        <v>0</v>
      </c>
      <c r="U292" s="80">
        <f>IF(VLOOKUP(TbPrestamo[[#This Row],[ITEM]],TbPiezas[],5,FALSE)="NA",0,VLOOKUP(TbPrestamo[[#This Row],[ITEM]],TbPiezas[],5,FALSE))</f>
        <v>0.5</v>
      </c>
      <c r="V292" s="81">
        <f>+TbPrestamo[[#This Row],[TOTAL]]*TbPrestamo[[#This Row],[P.U. (1)]]</f>
        <v>0</v>
      </c>
      <c r="W292" s="82">
        <f>+VLOOKUP(TbPrestamo[[#This Row],[ITEM]],TbPiezas[],6,FALSE)</f>
        <v>464.53</v>
      </c>
      <c r="X292" s="83">
        <f>+TbPrestamo[[#This Row],[TOTAL]]*TbPrestamo[[#This Row],[P.U. (2)]]</f>
        <v>0</v>
      </c>
      <c r="Y292" s="82">
        <f>+VLOOKUP(TbPrestamo[[#This Row],[ITEM]],TbPiezas[],7,FALSE)</f>
        <v>23.226500000000001</v>
      </c>
      <c r="Z292" s="84">
        <f>+TbPrestamo[[#This Row],[TOTAL]]*TbPrestamo[[#This Row],[P.U. (3)]]</f>
        <v>0</v>
      </c>
    </row>
    <row r="293" spans="1:26" ht="15" customHeight="1" x14ac:dyDescent="0.3">
      <c r="A293" s="2"/>
      <c r="B293" s="85">
        <v>275</v>
      </c>
      <c r="C293" s="71" t="s">
        <v>551</v>
      </c>
      <c r="D293" s="72" t="s">
        <v>552</v>
      </c>
      <c r="E293" s="73"/>
      <c r="F293" s="74">
        <f>+VLOOKUP(C293,TbPrestamo[],13,FALSE)</f>
        <v>0</v>
      </c>
      <c r="G293" s="2"/>
      <c r="H293" s="75" t="str">
        <f t="shared" si="8"/>
        <v>AE.9800</v>
      </c>
      <c r="I293" s="59" t="str">
        <f t="shared" si="9"/>
        <v>ok</v>
      </c>
      <c r="J293" s="77">
        <f>IFERROR(VLOOKUP($H293,TG[],3,FALSE),"NA")</f>
        <v>0</v>
      </c>
      <c r="K293" s="77" t="str">
        <f>IFERROR(VLOOKUP($H293,TF[],3,FALSE),"NA")</f>
        <v>NA</v>
      </c>
      <c r="L293" s="77" t="str">
        <f>IFERROR(VLOOKUP($H293,TT[],3,FALSE),"NA")</f>
        <v>NA</v>
      </c>
      <c r="M293" s="77" t="str">
        <f>IFERROR(VLOOKUP($H293,TES[],3,FALSE),"NA")</f>
        <v>NA</v>
      </c>
      <c r="N293" s="77" t="str">
        <f>IFERROR(VLOOKUP($H293,TEC[],3,FALSE),"NA")</f>
        <v>NA</v>
      </c>
      <c r="O293" s="77" t="str">
        <f>IFERROR(VLOOKUP($H293,TP[],3,FALSE),"NA")</f>
        <v>NA</v>
      </c>
      <c r="P293" s="77" t="str">
        <f>IFERROR(VLOOKUP($H293,TEN[],3,FALSE),"NA")</f>
        <v>NA</v>
      </c>
      <c r="Q293" s="77" t="str">
        <f>IFERROR(VLOOKUP($H293,TD[],3,FALSE),"NA")</f>
        <v>NA</v>
      </c>
      <c r="R293" s="77">
        <f>IFERROR(VLOOKUP($H293,TC[],3,FALSE),"NA")</f>
        <v>0</v>
      </c>
      <c r="S293" s="77" t="str">
        <f>IFERROR(VLOOKUP($H293,TEV[],3,FALSE),"NA")</f>
        <v>NA</v>
      </c>
      <c r="T293" s="79">
        <f>SUM(TbPrestamo[[#This Row],[GENERAL]:[ELEVADOR]])</f>
        <v>0</v>
      </c>
      <c r="U293" s="80">
        <f>IF(VLOOKUP(TbPrestamo[[#This Row],[ITEM]],TbPiezas[],5,FALSE)="NA",0,VLOOKUP(TbPrestamo[[#This Row],[ITEM]],TbPiezas[],5,FALSE))</f>
        <v>9.9999999999994316E-2</v>
      </c>
      <c r="V293" s="81">
        <f>+TbPrestamo[[#This Row],[TOTAL]]*TbPrestamo[[#This Row],[P.U. (1)]]</f>
        <v>0</v>
      </c>
      <c r="W293" s="82">
        <f>+VLOOKUP(TbPrestamo[[#This Row],[ITEM]],TbPiezas[],6,FALSE)</f>
        <v>10.16</v>
      </c>
      <c r="X293" s="83">
        <f>+TbPrestamo[[#This Row],[TOTAL]]*TbPrestamo[[#This Row],[P.U. (2)]]</f>
        <v>0</v>
      </c>
      <c r="Y293" s="82">
        <f>+VLOOKUP(TbPrestamo[[#This Row],[ITEM]],TbPiezas[],7,FALSE)</f>
        <v>0.50800000000000001</v>
      </c>
      <c r="Z293" s="84">
        <f>+TbPrestamo[[#This Row],[TOTAL]]*TbPrestamo[[#This Row],[P.U. (3)]]</f>
        <v>0</v>
      </c>
    </row>
    <row r="294" spans="1:26" ht="15" customHeight="1" x14ac:dyDescent="0.3">
      <c r="A294" s="2"/>
      <c r="B294" s="85">
        <v>276</v>
      </c>
      <c r="C294" s="71" t="s">
        <v>553</v>
      </c>
      <c r="D294" s="72" t="s">
        <v>554</v>
      </c>
      <c r="E294" s="73"/>
      <c r="F294" s="74">
        <f>+VLOOKUP(C294,TbPrestamo[],13,FALSE)</f>
        <v>0</v>
      </c>
      <c r="G294" s="2"/>
      <c r="H294" s="75" t="str">
        <f t="shared" si="8"/>
        <v>AE.9900</v>
      </c>
      <c r="I294" s="59" t="str">
        <f t="shared" si="9"/>
        <v>ok</v>
      </c>
      <c r="J294" s="77">
        <f>IFERROR(VLOOKUP($H294,TG[],3,FALSE),"NA")</f>
        <v>0</v>
      </c>
      <c r="K294" s="77" t="str">
        <f>IFERROR(VLOOKUP($H294,TF[],3,FALSE),"NA")</f>
        <v>NA</v>
      </c>
      <c r="L294" s="77" t="str">
        <f>IFERROR(VLOOKUP($H294,TT[],3,FALSE),"NA")</f>
        <v>NA</v>
      </c>
      <c r="M294" s="77" t="str">
        <f>IFERROR(VLOOKUP($H294,TES[],3,FALSE),"NA")</f>
        <v>NA</v>
      </c>
      <c r="N294" s="77" t="str">
        <f>IFERROR(VLOOKUP($H294,TEC[],3,FALSE),"NA")</f>
        <v>NA</v>
      </c>
      <c r="O294" s="77" t="str">
        <f>IFERROR(VLOOKUP($H294,TP[],3,FALSE),"NA")</f>
        <v>NA</v>
      </c>
      <c r="P294" s="77" t="str">
        <f>IFERROR(VLOOKUP($H294,TEN[],3,FALSE),"NA")</f>
        <v>NA</v>
      </c>
      <c r="Q294" s="77" t="str">
        <f>IFERROR(VLOOKUP($H294,TD[],3,FALSE),"NA")</f>
        <v>NA</v>
      </c>
      <c r="R294" s="77">
        <f>IFERROR(VLOOKUP($H294,TC[],3,FALSE),"NA")</f>
        <v>0</v>
      </c>
      <c r="S294" s="77" t="str">
        <f>IFERROR(VLOOKUP($H294,TEV[],3,FALSE),"NA")</f>
        <v>NA</v>
      </c>
      <c r="T294" s="79">
        <f>SUM(TbPrestamo[[#This Row],[GENERAL]:[ELEVADOR]])</f>
        <v>0</v>
      </c>
      <c r="U294" s="80">
        <f>IF(VLOOKUP(TbPrestamo[[#This Row],[ITEM]],TbPiezas[],5,FALSE)="NA",0,VLOOKUP(TbPrestamo[[#This Row],[ITEM]],TbPiezas[],5,FALSE))</f>
        <v>9.9999999999994316E-2</v>
      </c>
      <c r="V294" s="81">
        <f>+TbPrestamo[[#This Row],[TOTAL]]*TbPrestamo[[#This Row],[P.U. (1)]]</f>
        <v>0</v>
      </c>
      <c r="W294" s="82">
        <f>+VLOOKUP(TbPrestamo[[#This Row],[ITEM]],TbPiezas[],6,FALSE)</f>
        <v>10.16</v>
      </c>
      <c r="X294" s="83">
        <f>+TbPrestamo[[#This Row],[TOTAL]]*TbPrestamo[[#This Row],[P.U. (2)]]</f>
        <v>0</v>
      </c>
      <c r="Y294" s="82">
        <f>+VLOOKUP(TbPrestamo[[#This Row],[ITEM]],TbPiezas[],7,FALSE)</f>
        <v>0.50800000000000001</v>
      </c>
      <c r="Z294" s="84">
        <f>+TbPrestamo[[#This Row],[TOTAL]]*TbPrestamo[[#This Row],[P.U. (3)]]</f>
        <v>0</v>
      </c>
    </row>
    <row r="295" spans="1:26" ht="15" customHeight="1" x14ac:dyDescent="0.3">
      <c r="A295" s="2"/>
      <c r="B295" s="85">
        <v>277</v>
      </c>
      <c r="C295" s="71" t="s">
        <v>555</v>
      </c>
      <c r="D295" s="72" t="s">
        <v>556</v>
      </c>
      <c r="E295" s="73"/>
      <c r="F295" s="74">
        <f>+VLOOKUP(C295,TbPrestamo[],13,FALSE)</f>
        <v>0</v>
      </c>
      <c r="G295" s="2"/>
      <c r="H295" s="75" t="str">
        <f t="shared" si="8"/>
        <v>AE.10000</v>
      </c>
      <c r="I295" s="59" t="str">
        <f t="shared" si="9"/>
        <v>ok</v>
      </c>
      <c r="J295" s="77">
        <f>IFERROR(VLOOKUP($H295,TG[],3,FALSE),"NA")</f>
        <v>0</v>
      </c>
      <c r="K295" s="77" t="str">
        <f>IFERROR(VLOOKUP($H295,TF[],3,FALSE),"NA")</f>
        <v>NA</v>
      </c>
      <c r="L295" s="77" t="str">
        <f>IFERROR(VLOOKUP($H295,TT[],3,FALSE),"NA")</f>
        <v>NA</v>
      </c>
      <c r="M295" s="77" t="str">
        <f>IFERROR(VLOOKUP($H295,TES[],3,FALSE),"NA")</f>
        <v>NA</v>
      </c>
      <c r="N295" s="77" t="str">
        <f>IFERROR(VLOOKUP($H295,TEC[],3,FALSE),"NA")</f>
        <v>NA</v>
      </c>
      <c r="O295" s="77" t="str">
        <f>IFERROR(VLOOKUP($H295,TP[],3,FALSE),"NA")</f>
        <v>NA</v>
      </c>
      <c r="P295" s="77" t="str">
        <f>IFERROR(VLOOKUP($H295,TEN[],3,FALSE),"NA")</f>
        <v>NA</v>
      </c>
      <c r="Q295" s="77" t="str">
        <f>IFERROR(VLOOKUP($H295,TD[],3,FALSE),"NA")</f>
        <v>NA</v>
      </c>
      <c r="R295" s="77">
        <f>IFERROR(VLOOKUP($H295,TC[],3,FALSE),"NA")</f>
        <v>0</v>
      </c>
      <c r="S295" s="77" t="str">
        <f>IFERROR(VLOOKUP($H295,TEV[],3,FALSE),"NA")</f>
        <v>NA</v>
      </c>
      <c r="T295" s="79">
        <f>SUM(TbPrestamo[[#This Row],[GENERAL]:[ELEVADOR]])</f>
        <v>0</v>
      </c>
      <c r="U295" s="80">
        <f>IF(VLOOKUP(TbPrestamo[[#This Row],[ITEM]],TbPiezas[],5,FALSE)="NA",0,VLOOKUP(TbPrestamo[[#This Row],[ITEM]],TbPiezas[],5,FALSE))</f>
        <v>9.9999999999994316E-2</v>
      </c>
      <c r="V295" s="81">
        <f>+TbPrestamo[[#This Row],[TOTAL]]*TbPrestamo[[#This Row],[P.U. (1)]]</f>
        <v>0</v>
      </c>
      <c r="W295" s="82">
        <f>+VLOOKUP(TbPrestamo[[#This Row],[ITEM]],TbPiezas[],6,FALSE)</f>
        <v>10.16</v>
      </c>
      <c r="X295" s="83">
        <f>+TbPrestamo[[#This Row],[TOTAL]]*TbPrestamo[[#This Row],[P.U. (2)]]</f>
        <v>0</v>
      </c>
      <c r="Y295" s="82">
        <f>+VLOOKUP(TbPrestamo[[#This Row],[ITEM]],TbPiezas[],7,FALSE)</f>
        <v>0.50800000000000001</v>
      </c>
      <c r="Z295" s="84">
        <f>+TbPrestamo[[#This Row],[TOTAL]]*TbPrestamo[[#This Row],[P.U. (3)]]</f>
        <v>0</v>
      </c>
    </row>
    <row r="296" spans="1:26" ht="15" customHeight="1" x14ac:dyDescent="0.3">
      <c r="A296" s="2"/>
      <c r="B296" s="85">
        <v>278</v>
      </c>
      <c r="C296" s="71" t="s">
        <v>557</v>
      </c>
      <c r="D296" s="72" t="s">
        <v>558</v>
      </c>
      <c r="E296" s="73"/>
      <c r="F296" s="74">
        <f>+VLOOKUP(C296,TbPrestamo[],13,FALSE)</f>
        <v>0</v>
      </c>
      <c r="G296" s="2"/>
      <c r="H296" s="75" t="str">
        <f t="shared" si="8"/>
        <v>AE.10100</v>
      </c>
      <c r="I296" s="59" t="str">
        <f t="shared" si="9"/>
        <v>ok</v>
      </c>
      <c r="J296" s="77">
        <f>IFERROR(VLOOKUP($H296,TG[],3,FALSE),"NA")</f>
        <v>0</v>
      </c>
      <c r="K296" s="77" t="str">
        <f>IFERROR(VLOOKUP($H296,TF[],3,FALSE),"NA")</f>
        <v>NA</v>
      </c>
      <c r="L296" s="77" t="str">
        <f>IFERROR(VLOOKUP($H296,TT[],3,FALSE),"NA")</f>
        <v>NA</v>
      </c>
      <c r="M296" s="77" t="str">
        <f>IFERROR(VLOOKUP($H296,TES[],3,FALSE),"NA")</f>
        <v>NA</v>
      </c>
      <c r="N296" s="77" t="str">
        <f>IFERROR(VLOOKUP($H296,TEC[],3,FALSE),"NA")</f>
        <v>NA</v>
      </c>
      <c r="O296" s="77" t="str">
        <f>IFERROR(VLOOKUP($H296,TP[],3,FALSE),"NA")</f>
        <v>NA</v>
      </c>
      <c r="P296" s="77" t="str">
        <f>IFERROR(VLOOKUP($H296,TEN[],3,FALSE),"NA")</f>
        <v>NA</v>
      </c>
      <c r="Q296" s="77" t="str">
        <f>IFERROR(VLOOKUP($H296,TD[],3,FALSE),"NA")</f>
        <v>NA</v>
      </c>
      <c r="R296" s="77">
        <f>IFERROR(VLOOKUP($H296,TC[],3,FALSE),"NA")</f>
        <v>0</v>
      </c>
      <c r="S296" s="77" t="str">
        <f>IFERROR(VLOOKUP($H296,TEV[],3,FALSE),"NA")</f>
        <v>NA</v>
      </c>
      <c r="T296" s="79">
        <f>SUM(TbPrestamo[[#This Row],[GENERAL]:[ELEVADOR]])</f>
        <v>0</v>
      </c>
      <c r="U296" s="80">
        <f>IF(VLOOKUP(TbPrestamo[[#This Row],[ITEM]],TbPiezas[],5,FALSE)="NA",0,VLOOKUP(TbPrestamo[[#This Row],[ITEM]],TbPiezas[],5,FALSE))</f>
        <v>9.9999999999994316E-2</v>
      </c>
      <c r="V296" s="81">
        <f>+TbPrestamo[[#This Row],[TOTAL]]*TbPrestamo[[#This Row],[P.U. (1)]]</f>
        <v>0</v>
      </c>
      <c r="W296" s="82">
        <f>+VLOOKUP(TbPrestamo[[#This Row],[ITEM]],TbPiezas[],6,FALSE)</f>
        <v>10.16</v>
      </c>
      <c r="X296" s="83">
        <f>+TbPrestamo[[#This Row],[TOTAL]]*TbPrestamo[[#This Row],[P.U. (2)]]</f>
        <v>0</v>
      </c>
      <c r="Y296" s="82">
        <f>+VLOOKUP(TbPrestamo[[#This Row],[ITEM]],TbPiezas[],7,FALSE)</f>
        <v>0.50800000000000001</v>
      </c>
      <c r="Z296" s="84">
        <f>+TbPrestamo[[#This Row],[TOTAL]]*TbPrestamo[[#This Row],[P.U. (3)]]</f>
        <v>0</v>
      </c>
    </row>
    <row r="297" spans="1:26" ht="15" customHeight="1" x14ac:dyDescent="0.3">
      <c r="A297" s="2"/>
      <c r="B297" s="85">
        <v>279</v>
      </c>
      <c r="C297" s="71" t="s">
        <v>559</v>
      </c>
      <c r="D297" s="72" t="s">
        <v>560</v>
      </c>
      <c r="E297" s="73"/>
      <c r="F297" s="74">
        <f>+VLOOKUP(C297,TbPrestamo[],13,FALSE)</f>
        <v>0</v>
      </c>
      <c r="G297" s="2"/>
      <c r="H297" s="75" t="str">
        <f t="shared" si="8"/>
        <v>AE.10200</v>
      </c>
      <c r="I297" s="59" t="str">
        <f t="shared" si="9"/>
        <v>ok</v>
      </c>
      <c r="J297" s="77">
        <f>IFERROR(VLOOKUP($H297,TG[],3,FALSE),"NA")</f>
        <v>0</v>
      </c>
      <c r="K297" s="77" t="str">
        <f>IFERROR(VLOOKUP($H297,TF[],3,FALSE),"NA")</f>
        <v>NA</v>
      </c>
      <c r="L297" s="77" t="str">
        <f>IFERROR(VLOOKUP($H297,TT[],3,FALSE),"NA")</f>
        <v>NA</v>
      </c>
      <c r="M297" s="77" t="str">
        <f>IFERROR(VLOOKUP($H297,TES[],3,FALSE),"NA")</f>
        <v>NA</v>
      </c>
      <c r="N297" s="77" t="str">
        <f>IFERROR(VLOOKUP($H297,TEC[],3,FALSE),"NA")</f>
        <v>NA</v>
      </c>
      <c r="O297" s="77" t="str">
        <f>IFERROR(VLOOKUP($H297,TP[],3,FALSE),"NA")</f>
        <v>NA</v>
      </c>
      <c r="P297" s="77" t="str">
        <f>IFERROR(VLOOKUP($H297,TEN[],3,FALSE),"NA")</f>
        <v>NA</v>
      </c>
      <c r="Q297" s="77" t="str">
        <f>IFERROR(VLOOKUP($H297,TD[],3,FALSE),"NA")</f>
        <v>NA</v>
      </c>
      <c r="R297" s="77">
        <f>IFERROR(VLOOKUP($H297,TC[],3,FALSE),"NA")</f>
        <v>0</v>
      </c>
      <c r="S297" s="77" t="str">
        <f>IFERROR(VLOOKUP($H297,TEV[],3,FALSE),"NA")</f>
        <v>NA</v>
      </c>
      <c r="T297" s="79">
        <f>SUM(TbPrestamo[[#This Row],[GENERAL]:[ELEVADOR]])</f>
        <v>0</v>
      </c>
      <c r="U297" s="80">
        <f>IF(VLOOKUP(TbPrestamo[[#This Row],[ITEM]],TbPiezas[],5,FALSE)="NA",0,VLOOKUP(TbPrestamo[[#This Row],[ITEM]],TbPiezas[],5,FALSE))</f>
        <v>9.9999999999994316E-2</v>
      </c>
      <c r="V297" s="81">
        <f>+TbPrestamo[[#This Row],[TOTAL]]*TbPrestamo[[#This Row],[P.U. (1)]]</f>
        <v>0</v>
      </c>
      <c r="W297" s="82">
        <f>+VLOOKUP(TbPrestamo[[#This Row],[ITEM]],TbPiezas[],6,FALSE)</f>
        <v>10.16</v>
      </c>
      <c r="X297" s="83">
        <f>+TbPrestamo[[#This Row],[TOTAL]]*TbPrestamo[[#This Row],[P.U. (2)]]</f>
        <v>0</v>
      </c>
      <c r="Y297" s="82">
        <f>+VLOOKUP(TbPrestamo[[#This Row],[ITEM]],TbPiezas[],7,FALSE)</f>
        <v>0.50800000000000001</v>
      </c>
      <c r="Z297" s="84">
        <f>+TbPrestamo[[#This Row],[TOTAL]]*TbPrestamo[[#This Row],[P.U. (3)]]</f>
        <v>0</v>
      </c>
    </row>
    <row r="298" spans="1:26" ht="15" customHeight="1" x14ac:dyDescent="0.3">
      <c r="A298" s="2"/>
      <c r="B298" s="85">
        <v>280</v>
      </c>
      <c r="C298" s="71" t="s">
        <v>561</v>
      </c>
      <c r="D298" s="72" t="s">
        <v>562</v>
      </c>
      <c r="E298" s="73"/>
      <c r="F298" s="74">
        <f>+VLOOKUP(C298,TbPrestamo[],13,FALSE)</f>
        <v>0</v>
      </c>
      <c r="G298" s="2"/>
      <c r="H298" s="75" t="str">
        <f t="shared" si="8"/>
        <v>AE.10300</v>
      </c>
      <c r="I298" s="59" t="str">
        <f t="shared" si="9"/>
        <v>ok</v>
      </c>
      <c r="J298" s="77">
        <f>IFERROR(VLOOKUP($H298,TG[],3,FALSE),"NA")</f>
        <v>0</v>
      </c>
      <c r="K298" s="77" t="str">
        <f>IFERROR(VLOOKUP($H298,TF[],3,FALSE),"NA")</f>
        <v>NA</v>
      </c>
      <c r="L298" s="77" t="str">
        <f>IFERROR(VLOOKUP($H298,TT[],3,FALSE),"NA")</f>
        <v>NA</v>
      </c>
      <c r="M298" s="77" t="str">
        <f>IFERROR(VLOOKUP($H298,TES[],3,FALSE),"NA")</f>
        <v>NA</v>
      </c>
      <c r="N298" s="77" t="str">
        <f>IFERROR(VLOOKUP($H298,TEC[],3,FALSE),"NA")</f>
        <v>NA</v>
      </c>
      <c r="O298" s="77" t="str">
        <f>IFERROR(VLOOKUP($H298,TP[],3,FALSE),"NA")</f>
        <v>NA</v>
      </c>
      <c r="P298" s="77" t="str">
        <f>IFERROR(VLOOKUP($H298,TEN[],3,FALSE),"NA")</f>
        <v>NA</v>
      </c>
      <c r="Q298" s="77" t="str">
        <f>IFERROR(VLOOKUP($H298,TD[],3,FALSE),"NA")</f>
        <v>NA</v>
      </c>
      <c r="R298" s="77">
        <f>IFERROR(VLOOKUP($H298,TC[],3,FALSE),"NA")</f>
        <v>0</v>
      </c>
      <c r="S298" s="77" t="str">
        <f>IFERROR(VLOOKUP($H298,TEV[],3,FALSE),"NA")</f>
        <v>NA</v>
      </c>
      <c r="T298" s="79">
        <f>SUM(TbPrestamo[[#This Row],[GENERAL]:[ELEVADOR]])</f>
        <v>0</v>
      </c>
      <c r="U298" s="80">
        <f>IF(VLOOKUP(TbPrestamo[[#This Row],[ITEM]],TbPiezas[],5,FALSE)="NA",0,VLOOKUP(TbPrestamo[[#This Row],[ITEM]],TbPiezas[],5,FALSE))</f>
        <v>9.9999999999994316E-2</v>
      </c>
      <c r="V298" s="81">
        <f>+TbPrestamo[[#This Row],[TOTAL]]*TbPrestamo[[#This Row],[P.U. (1)]]</f>
        <v>0</v>
      </c>
      <c r="W298" s="82">
        <f>+VLOOKUP(TbPrestamo[[#This Row],[ITEM]],TbPiezas[],6,FALSE)</f>
        <v>10.16</v>
      </c>
      <c r="X298" s="83">
        <f>+TbPrestamo[[#This Row],[TOTAL]]*TbPrestamo[[#This Row],[P.U. (2)]]</f>
        <v>0</v>
      </c>
      <c r="Y298" s="82">
        <f>+VLOOKUP(TbPrestamo[[#This Row],[ITEM]],TbPiezas[],7,FALSE)</f>
        <v>0.50800000000000001</v>
      </c>
      <c r="Z298" s="84">
        <f>+TbPrestamo[[#This Row],[TOTAL]]*TbPrestamo[[#This Row],[P.U. (3)]]</f>
        <v>0</v>
      </c>
    </row>
    <row r="299" spans="1:26" ht="15" customHeight="1" x14ac:dyDescent="0.3">
      <c r="A299" s="2"/>
      <c r="B299" s="85">
        <v>281</v>
      </c>
      <c r="C299" s="71" t="s">
        <v>563</v>
      </c>
      <c r="D299" s="72" t="s">
        <v>564</v>
      </c>
      <c r="E299" s="73"/>
      <c r="F299" s="74">
        <f>+VLOOKUP(C299,TbPrestamo[],13,FALSE)</f>
        <v>0</v>
      </c>
      <c r="G299" s="2"/>
      <c r="H299" s="75" t="str">
        <f t="shared" si="8"/>
        <v>AE.10400</v>
      </c>
      <c r="I299" s="59" t="str">
        <f t="shared" si="9"/>
        <v>ok</v>
      </c>
      <c r="J299" s="77">
        <f>IFERROR(VLOOKUP($H299,TG[],3,FALSE),"NA")</f>
        <v>0</v>
      </c>
      <c r="K299" s="77" t="str">
        <f>IFERROR(VLOOKUP($H299,TF[],3,FALSE),"NA")</f>
        <v>NA</v>
      </c>
      <c r="L299" s="77" t="str">
        <f>IFERROR(VLOOKUP($H299,TT[],3,FALSE),"NA")</f>
        <v>NA</v>
      </c>
      <c r="M299" s="77" t="str">
        <f>IFERROR(VLOOKUP($H299,TES[],3,FALSE),"NA")</f>
        <v>NA</v>
      </c>
      <c r="N299" s="77" t="str">
        <f>IFERROR(VLOOKUP($H299,TEC[],3,FALSE),"NA")</f>
        <v>NA</v>
      </c>
      <c r="O299" s="77" t="str">
        <f>IFERROR(VLOOKUP($H299,TP[],3,FALSE),"NA")</f>
        <v>NA</v>
      </c>
      <c r="P299" s="77" t="str">
        <f>IFERROR(VLOOKUP($H299,TEN[],3,FALSE),"NA")</f>
        <v>NA</v>
      </c>
      <c r="Q299" s="77" t="str">
        <f>IFERROR(VLOOKUP($H299,TD[],3,FALSE),"NA")</f>
        <v>NA</v>
      </c>
      <c r="R299" s="77">
        <f>IFERROR(VLOOKUP($H299,TC[],3,FALSE),"NA")</f>
        <v>0</v>
      </c>
      <c r="S299" s="77" t="str">
        <f>IFERROR(VLOOKUP($H299,TEV[],3,FALSE),"NA")</f>
        <v>NA</v>
      </c>
      <c r="T299" s="79">
        <f>SUM(TbPrestamo[[#This Row],[GENERAL]:[ELEVADOR]])</f>
        <v>0</v>
      </c>
      <c r="U299" s="80">
        <f>IF(VLOOKUP(TbPrestamo[[#This Row],[ITEM]],TbPiezas[],5,FALSE)="NA",0,VLOOKUP(TbPrestamo[[#This Row],[ITEM]],TbPiezas[],5,FALSE))</f>
        <v>9.9999999999994316E-2</v>
      </c>
      <c r="V299" s="81">
        <f>+TbPrestamo[[#This Row],[TOTAL]]*TbPrestamo[[#This Row],[P.U. (1)]]</f>
        <v>0</v>
      </c>
      <c r="W299" s="82">
        <f>+VLOOKUP(TbPrestamo[[#This Row],[ITEM]],TbPiezas[],6,FALSE)</f>
        <v>10.16</v>
      </c>
      <c r="X299" s="83">
        <f>+TbPrestamo[[#This Row],[TOTAL]]*TbPrestamo[[#This Row],[P.U. (2)]]</f>
        <v>0</v>
      </c>
      <c r="Y299" s="82">
        <f>+VLOOKUP(TbPrestamo[[#This Row],[ITEM]],TbPiezas[],7,FALSE)</f>
        <v>0.50800000000000001</v>
      </c>
      <c r="Z299" s="84">
        <f>+TbPrestamo[[#This Row],[TOTAL]]*TbPrestamo[[#This Row],[P.U. (3)]]</f>
        <v>0</v>
      </c>
    </row>
    <row r="300" spans="1:26" ht="15" customHeight="1" x14ac:dyDescent="0.3">
      <c r="A300" s="2"/>
      <c r="B300" s="85">
        <v>282</v>
      </c>
      <c r="C300" s="71" t="s">
        <v>565</v>
      </c>
      <c r="D300" s="72" t="s">
        <v>566</v>
      </c>
      <c r="E300" s="73"/>
      <c r="F300" s="74">
        <f>+VLOOKUP(C300,TbPrestamo[],13,FALSE)</f>
        <v>0</v>
      </c>
      <c r="G300" s="2"/>
      <c r="H300" s="75" t="str">
        <f t="shared" si="8"/>
        <v>AE.10500</v>
      </c>
      <c r="I300" s="59" t="str">
        <f t="shared" si="9"/>
        <v>ok</v>
      </c>
      <c r="J300" s="77">
        <f>IFERROR(VLOOKUP($H300,TG[],3,FALSE),"NA")</f>
        <v>0</v>
      </c>
      <c r="K300" s="77" t="str">
        <f>IFERROR(VLOOKUP($H300,TF[],3,FALSE),"NA")</f>
        <v>NA</v>
      </c>
      <c r="L300" s="77" t="str">
        <f>IFERROR(VLOOKUP($H300,TT[],3,FALSE),"NA")</f>
        <v>NA</v>
      </c>
      <c r="M300" s="77" t="str">
        <f>IFERROR(VLOOKUP($H300,TES[],3,FALSE),"NA")</f>
        <v>NA</v>
      </c>
      <c r="N300" s="77" t="str">
        <f>IFERROR(VLOOKUP($H300,TEC[],3,FALSE),"NA")</f>
        <v>NA</v>
      </c>
      <c r="O300" s="77" t="str">
        <f>IFERROR(VLOOKUP($H300,TP[],3,FALSE),"NA")</f>
        <v>NA</v>
      </c>
      <c r="P300" s="77" t="str">
        <f>IFERROR(VLOOKUP($H300,TEN[],3,FALSE),"NA")</f>
        <v>NA</v>
      </c>
      <c r="Q300" s="77" t="str">
        <f>IFERROR(VLOOKUP($H300,TD[],3,FALSE),"NA")</f>
        <v>NA</v>
      </c>
      <c r="R300" s="77">
        <f>IFERROR(VLOOKUP($H300,TC[],3,FALSE),"NA")</f>
        <v>0</v>
      </c>
      <c r="S300" s="77" t="str">
        <f>IFERROR(VLOOKUP($H300,TEV[],3,FALSE),"NA")</f>
        <v>NA</v>
      </c>
      <c r="T300" s="79">
        <f>SUM(TbPrestamo[[#This Row],[GENERAL]:[ELEVADOR]])</f>
        <v>0</v>
      </c>
      <c r="U300" s="80">
        <f>IF(VLOOKUP(TbPrestamo[[#This Row],[ITEM]],TbPiezas[],5,FALSE)="NA",0,VLOOKUP(TbPrestamo[[#This Row],[ITEM]],TbPiezas[],5,FALSE))</f>
        <v>9.9999999999994316E-2</v>
      </c>
      <c r="V300" s="81">
        <f>+TbPrestamo[[#This Row],[TOTAL]]*TbPrestamo[[#This Row],[P.U. (1)]]</f>
        <v>0</v>
      </c>
      <c r="W300" s="82">
        <f>+VLOOKUP(TbPrestamo[[#This Row],[ITEM]],TbPiezas[],6,FALSE)</f>
        <v>10.16</v>
      </c>
      <c r="X300" s="83">
        <f>+TbPrestamo[[#This Row],[TOTAL]]*TbPrestamo[[#This Row],[P.U. (2)]]</f>
        <v>0</v>
      </c>
      <c r="Y300" s="82">
        <f>+VLOOKUP(TbPrestamo[[#This Row],[ITEM]],TbPiezas[],7,FALSE)</f>
        <v>0.50800000000000001</v>
      </c>
      <c r="Z300" s="84">
        <f>+TbPrestamo[[#This Row],[TOTAL]]*TbPrestamo[[#This Row],[P.U. (3)]]</f>
        <v>0</v>
      </c>
    </row>
    <row r="301" spans="1:26" ht="15" customHeight="1" x14ac:dyDescent="0.3">
      <c r="A301" s="2"/>
      <c r="B301" s="85">
        <v>283</v>
      </c>
      <c r="C301" s="71" t="s">
        <v>567</v>
      </c>
      <c r="D301" s="72" t="s">
        <v>568</v>
      </c>
      <c r="E301" s="73"/>
      <c r="F301" s="74">
        <f>+VLOOKUP(C301,TbPrestamo[],13,FALSE)</f>
        <v>0</v>
      </c>
      <c r="G301" s="2"/>
      <c r="H301" s="75" t="str">
        <f t="shared" si="8"/>
        <v>AE.10600</v>
      </c>
      <c r="I301" s="59" t="str">
        <f t="shared" si="9"/>
        <v>ok</v>
      </c>
      <c r="J301" s="77">
        <f>IFERROR(VLOOKUP($H301,TG[],3,FALSE),"NA")</f>
        <v>0</v>
      </c>
      <c r="K301" s="77" t="str">
        <f>IFERROR(VLOOKUP($H301,TF[],3,FALSE),"NA")</f>
        <v>NA</v>
      </c>
      <c r="L301" s="77" t="str">
        <f>IFERROR(VLOOKUP($H301,TT[],3,FALSE),"NA")</f>
        <v>NA</v>
      </c>
      <c r="M301" s="77" t="str">
        <f>IFERROR(VLOOKUP($H301,TES[],3,FALSE),"NA")</f>
        <v>NA</v>
      </c>
      <c r="N301" s="77" t="str">
        <f>IFERROR(VLOOKUP($H301,TEC[],3,FALSE),"NA")</f>
        <v>NA</v>
      </c>
      <c r="O301" s="77" t="str">
        <f>IFERROR(VLOOKUP($H301,TP[],3,FALSE),"NA")</f>
        <v>NA</v>
      </c>
      <c r="P301" s="77" t="str">
        <f>IFERROR(VLOOKUP($H301,TEN[],3,FALSE),"NA")</f>
        <v>NA</v>
      </c>
      <c r="Q301" s="77" t="str">
        <f>IFERROR(VLOOKUP($H301,TD[],3,FALSE),"NA")</f>
        <v>NA</v>
      </c>
      <c r="R301" s="77">
        <f>IFERROR(VLOOKUP($H301,TC[],3,FALSE),"NA")</f>
        <v>0</v>
      </c>
      <c r="S301" s="77" t="str">
        <f>IFERROR(VLOOKUP($H301,TEV[],3,FALSE),"NA")</f>
        <v>NA</v>
      </c>
      <c r="T301" s="79">
        <f>SUM(TbPrestamo[[#This Row],[GENERAL]:[ELEVADOR]])</f>
        <v>0</v>
      </c>
      <c r="U301" s="80">
        <f>IF(VLOOKUP(TbPrestamo[[#This Row],[ITEM]],TbPiezas[],5,FALSE)="NA",0,VLOOKUP(TbPrestamo[[#This Row],[ITEM]],TbPiezas[],5,FALSE))</f>
        <v>9.9999999999994316E-2</v>
      </c>
      <c r="V301" s="81">
        <f>+TbPrestamo[[#This Row],[TOTAL]]*TbPrestamo[[#This Row],[P.U. (1)]]</f>
        <v>0</v>
      </c>
      <c r="W301" s="82">
        <f>+VLOOKUP(TbPrestamo[[#This Row],[ITEM]],TbPiezas[],6,FALSE)</f>
        <v>10.16</v>
      </c>
      <c r="X301" s="83">
        <f>+TbPrestamo[[#This Row],[TOTAL]]*TbPrestamo[[#This Row],[P.U. (2)]]</f>
        <v>0</v>
      </c>
      <c r="Y301" s="82">
        <f>+VLOOKUP(TbPrestamo[[#This Row],[ITEM]],TbPiezas[],7,FALSE)</f>
        <v>0.50800000000000001</v>
      </c>
      <c r="Z301" s="84">
        <f>+TbPrestamo[[#This Row],[TOTAL]]*TbPrestamo[[#This Row],[P.U. (3)]]</f>
        <v>0</v>
      </c>
    </row>
    <row r="302" spans="1:26" ht="15" customHeight="1" x14ac:dyDescent="0.3">
      <c r="A302" s="2"/>
      <c r="B302" s="85">
        <v>284</v>
      </c>
      <c r="C302" s="71" t="s">
        <v>569</v>
      </c>
      <c r="D302" s="72" t="s">
        <v>570</v>
      </c>
      <c r="E302" s="73"/>
      <c r="F302" s="74">
        <f>+VLOOKUP(C302,TbPrestamo[],13,FALSE)</f>
        <v>0</v>
      </c>
      <c r="G302" s="2"/>
      <c r="H302" s="75" t="str">
        <f t="shared" si="8"/>
        <v>AE.10700</v>
      </c>
      <c r="I302" s="59" t="str">
        <f t="shared" si="9"/>
        <v>ok</v>
      </c>
      <c r="J302" s="77">
        <f>IFERROR(VLOOKUP($H302,TG[],3,FALSE),"NA")</f>
        <v>0</v>
      </c>
      <c r="K302" s="77" t="str">
        <f>IFERROR(VLOOKUP($H302,TF[],3,FALSE),"NA")</f>
        <v>NA</v>
      </c>
      <c r="L302" s="77" t="str">
        <f>IFERROR(VLOOKUP($H302,TT[],3,FALSE),"NA")</f>
        <v>NA</v>
      </c>
      <c r="M302" s="77" t="str">
        <f>IFERROR(VLOOKUP($H302,TES[],3,FALSE),"NA")</f>
        <v>NA</v>
      </c>
      <c r="N302" s="77" t="str">
        <f>IFERROR(VLOOKUP($H302,TEC[],3,FALSE),"NA")</f>
        <v>NA</v>
      </c>
      <c r="O302" s="77" t="str">
        <f>IFERROR(VLOOKUP($H302,TP[],3,FALSE),"NA")</f>
        <v>NA</v>
      </c>
      <c r="P302" s="77" t="str">
        <f>IFERROR(VLOOKUP($H302,TEN[],3,FALSE),"NA")</f>
        <v>NA</v>
      </c>
      <c r="Q302" s="77" t="str">
        <f>IFERROR(VLOOKUP($H302,TD[],3,FALSE),"NA")</f>
        <v>NA</v>
      </c>
      <c r="R302" s="77">
        <f>IFERROR(VLOOKUP($H302,TC[],3,FALSE),"NA")</f>
        <v>0</v>
      </c>
      <c r="S302" s="77" t="str">
        <f>IFERROR(VLOOKUP($H302,TEV[],3,FALSE),"NA")</f>
        <v>NA</v>
      </c>
      <c r="T302" s="79">
        <f>SUM(TbPrestamo[[#This Row],[GENERAL]:[ELEVADOR]])</f>
        <v>0</v>
      </c>
      <c r="U302" s="80">
        <f>IF(VLOOKUP(TbPrestamo[[#This Row],[ITEM]],TbPiezas[],5,FALSE)="NA",0,VLOOKUP(TbPrestamo[[#This Row],[ITEM]],TbPiezas[],5,FALSE))</f>
        <v>9.9999999999994316E-2</v>
      </c>
      <c r="V302" s="81">
        <f>+TbPrestamo[[#This Row],[TOTAL]]*TbPrestamo[[#This Row],[P.U. (1)]]</f>
        <v>0</v>
      </c>
      <c r="W302" s="82">
        <f>+VLOOKUP(TbPrestamo[[#This Row],[ITEM]],TbPiezas[],6,FALSE)</f>
        <v>10.16</v>
      </c>
      <c r="X302" s="83">
        <f>+TbPrestamo[[#This Row],[TOTAL]]*TbPrestamo[[#This Row],[P.U. (2)]]</f>
        <v>0</v>
      </c>
      <c r="Y302" s="82">
        <f>+VLOOKUP(TbPrestamo[[#This Row],[ITEM]],TbPiezas[],7,FALSE)</f>
        <v>0.50800000000000001</v>
      </c>
      <c r="Z302" s="84">
        <f>+TbPrestamo[[#This Row],[TOTAL]]*TbPrestamo[[#This Row],[P.U. (3)]]</f>
        <v>0</v>
      </c>
    </row>
    <row r="303" spans="1:26" ht="15" customHeight="1" x14ac:dyDescent="0.3">
      <c r="A303" s="2"/>
      <c r="B303" s="85">
        <v>285</v>
      </c>
      <c r="C303" s="71" t="s">
        <v>571</v>
      </c>
      <c r="D303" s="72" t="s">
        <v>572</v>
      </c>
      <c r="E303" s="73"/>
      <c r="F303" s="74">
        <f>+VLOOKUP(C303,TbPrestamo[],13,FALSE)</f>
        <v>0</v>
      </c>
      <c r="G303" s="2"/>
      <c r="H303" s="75" t="str">
        <f t="shared" si="8"/>
        <v>AE.10800</v>
      </c>
      <c r="I303" s="59" t="str">
        <f t="shared" si="9"/>
        <v>ok</v>
      </c>
      <c r="J303" s="77">
        <f>IFERROR(VLOOKUP($H303,TG[],3,FALSE),"NA")</f>
        <v>0</v>
      </c>
      <c r="K303" s="77" t="str">
        <f>IFERROR(VLOOKUP($H303,TF[],3,FALSE),"NA")</f>
        <v>NA</v>
      </c>
      <c r="L303" s="77" t="str">
        <f>IFERROR(VLOOKUP($H303,TT[],3,FALSE),"NA")</f>
        <v>NA</v>
      </c>
      <c r="M303" s="77" t="str">
        <f>IFERROR(VLOOKUP($H303,TES[],3,FALSE),"NA")</f>
        <v>NA</v>
      </c>
      <c r="N303" s="77" t="str">
        <f>IFERROR(VLOOKUP($H303,TEC[],3,FALSE),"NA")</f>
        <v>NA</v>
      </c>
      <c r="O303" s="77" t="str">
        <f>IFERROR(VLOOKUP($H303,TP[],3,FALSE),"NA")</f>
        <v>NA</v>
      </c>
      <c r="P303" s="77" t="str">
        <f>IFERROR(VLOOKUP($H303,TEN[],3,FALSE),"NA")</f>
        <v>NA</v>
      </c>
      <c r="Q303" s="77" t="str">
        <f>IFERROR(VLOOKUP($H303,TD[],3,FALSE),"NA")</f>
        <v>NA</v>
      </c>
      <c r="R303" s="77">
        <f>IFERROR(VLOOKUP($H303,TC[],3,FALSE),"NA")</f>
        <v>0</v>
      </c>
      <c r="S303" s="77" t="str">
        <f>IFERROR(VLOOKUP($H303,TEV[],3,FALSE),"NA")</f>
        <v>NA</v>
      </c>
      <c r="T303" s="79">
        <f>SUM(TbPrestamo[[#This Row],[GENERAL]:[ELEVADOR]])</f>
        <v>0</v>
      </c>
      <c r="U303" s="80">
        <f>IF(VLOOKUP(TbPrestamo[[#This Row],[ITEM]],TbPiezas[],5,FALSE)="NA",0,VLOOKUP(TbPrestamo[[#This Row],[ITEM]],TbPiezas[],5,FALSE))</f>
        <v>9.9999999999994316E-2</v>
      </c>
      <c r="V303" s="81">
        <f>+TbPrestamo[[#This Row],[TOTAL]]*TbPrestamo[[#This Row],[P.U. (1)]]</f>
        <v>0</v>
      </c>
      <c r="W303" s="82">
        <f>+VLOOKUP(TbPrestamo[[#This Row],[ITEM]],TbPiezas[],6,FALSE)</f>
        <v>10.16</v>
      </c>
      <c r="X303" s="83">
        <f>+TbPrestamo[[#This Row],[TOTAL]]*TbPrestamo[[#This Row],[P.U. (2)]]</f>
        <v>0</v>
      </c>
      <c r="Y303" s="82">
        <f>+VLOOKUP(TbPrestamo[[#This Row],[ITEM]],TbPiezas[],7,FALSE)</f>
        <v>0.50800000000000001</v>
      </c>
      <c r="Z303" s="84">
        <f>+TbPrestamo[[#This Row],[TOTAL]]*TbPrestamo[[#This Row],[P.U. (3)]]</f>
        <v>0</v>
      </c>
    </row>
    <row r="304" spans="1:26" ht="15" customHeight="1" x14ac:dyDescent="0.3">
      <c r="A304" s="2"/>
      <c r="B304" s="85">
        <v>286</v>
      </c>
      <c r="C304" s="71" t="s">
        <v>573</v>
      </c>
      <c r="D304" s="72" t="s">
        <v>574</v>
      </c>
      <c r="E304" s="73"/>
      <c r="F304" s="74">
        <f>+VLOOKUP(C304,TbPrestamo[],13,FALSE)</f>
        <v>0</v>
      </c>
      <c r="G304" s="2"/>
      <c r="H304" s="75" t="str">
        <f t="shared" si="8"/>
        <v>AE.10900</v>
      </c>
      <c r="I304" s="59" t="str">
        <f t="shared" si="9"/>
        <v>ok</v>
      </c>
      <c r="J304" s="77">
        <f>IFERROR(VLOOKUP($H304,TG[],3,FALSE),"NA")</f>
        <v>0</v>
      </c>
      <c r="K304" s="77" t="str">
        <f>IFERROR(VLOOKUP($H304,TF[],3,FALSE),"NA")</f>
        <v>NA</v>
      </c>
      <c r="L304" s="77" t="str">
        <f>IFERROR(VLOOKUP($H304,TT[],3,FALSE),"NA")</f>
        <v>NA</v>
      </c>
      <c r="M304" s="77" t="str">
        <f>IFERROR(VLOOKUP($H304,TES[],3,FALSE),"NA")</f>
        <v>NA</v>
      </c>
      <c r="N304" s="77" t="str">
        <f>IFERROR(VLOOKUP($H304,TEC[],3,FALSE),"NA")</f>
        <v>NA</v>
      </c>
      <c r="O304" s="77" t="str">
        <f>IFERROR(VLOOKUP($H304,TP[],3,FALSE),"NA")</f>
        <v>NA</v>
      </c>
      <c r="P304" s="77" t="str">
        <f>IFERROR(VLOOKUP($H304,TEN[],3,FALSE),"NA")</f>
        <v>NA</v>
      </c>
      <c r="Q304" s="77" t="str">
        <f>IFERROR(VLOOKUP($H304,TD[],3,FALSE),"NA")</f>
        <v>NA</v>
      </c>
      <c r="R304" s="77">
        <f>IFERROR(VLOOKUP($H304,TC[],3,FALSE),"NA")</f>
        <v>0</v>
      </c>
      <c r="S304" s="77" t="str">
        <f>IFERROR(VLOOKUP($H304,TEV[],3,FALSE),"NA")</f>
        <v>NA</v>
      </c>
      <c r="T304" s="79">
        <f>SUM(TbPrestamo[[#This Row],[GENERAL]:[ELEVADOR]])</f>
        <v>0</v>
      </c>
      <c r="U304" s="80">
        <f>IF(VLOOKUP(TbPrestamo[[#This Row],[ITEM]],TbPiezas[],5,FALSE)="NA",0,VLOOKUP(TbPrestamo[[#This Row],[ITEM]],TbPiezas[],5,FALSE))</f>
        <v>9.9999999999994316E-2</v>
      </c>
      <c r="V304" s="81">
        <f>+TbPrestamo[[#This Row],[TOTAL]]*TbPrestamo[[#This Row],[P.U. (1)]]</f>
        <v>0</v>
      </c>
      <c r="W304" s="82">
        <f>+VLOOKUP(TbPrestamo[[#This Row],[ITEM]],TbPiezas[],6,FALSE)</f>
        <v>10.16</v>
      </c>
      <c r="X304" s="83">
        <f>+TbPrestamo[[#This Row],[TOTAL]]*TbPrestamo[[#This Row],[P.U. (2)]]</f>
        <v>0</v>
      </c>
      <c r="Y304" s="82">
        <f>+VLOOKUP(TbPrestamo[[#This Row],[ITEM]],TbPiezas[],7,FALSE)</f>
        <v>0.50800000000000001</v>
      </c>
      <c r="Z304" s="84">
        <f>+TbPrestamo[[#This Row],[TOTAL]]*TbPrestamo[[#This Row],[P.U. (3)]]</f>
        <v>0</v>
      </c>
    </row>
    <row r="305" spans="1:26" ht="15" customHeight="1" x14ac:dyDescent="0.3">
      <c r="A305" s="2"/>
      <c r="B305" s="85">
        <v>287</v>
      </c>
      <c r="C305" s="71" t="s">
        <v>575</v>
      </c>
      <c r="D305" s="72" t="s">
        <v>576</v>
      </c>
      <c r="E305" s="73"/>
      <c r="F305" s="74">
        <f>+VLOOKUP(C305,TbPrestamo[],13,FALSE)</f>
        <v>0</v>
      </c>
      <c r="G305" s="2"/>
      <c r="H305" s="75" t="str">
        <f t="shared" si="8"/>
        <v>AE.11000</v>
      </c>
      <c r="I305" s="59" t="str">
        <f t="shared" si="9"/>
        <v>ok</v>
      </c>
      <c r="J305" s="77">
        <f>IFERROR(VLOOKUP($H305,TG[],3,FALSE),"NA")</f>
        <v>0</v>
      </c>
      <c r="K305" s="77" t="str">
        <f>IFERROR(VLOOKUP($H305,TF[],3,FALSE),"NA")</f>
        <v>NA</v>
      </c>
      <c r="L305" s="77" t="str">
        <f>IFERROR(VLOOKUP($H305,TT[],3,FALSE),"NA")</f>
        <v>NA</v>
      </c>
      <c r="M305" s="77" t="str">
        <f>IFERROR(VLOOKUP($H305,TES[],3,FALSE),"NA")</f>
        <v>NA</v>
      </c>
      <c r="N305" s="77" t="str">
        <f>IFERROR(VLOOKUP($H305,TEC[],3,FALSE),"NA")</f>
        <v>NA</v>
      </c>
      <c r="O305" s="77" t="str">
        <f>IFERROR(VLOOKUP($H305,TP[],3,FALSE),"NA")</f>
        <v>NA</v>
      </c>
      <c r="P305" s="77" t="str">
        <f>IFERROR(VLOOKUP($H305,TEN[],3,FALSE),"NA")</f>
        <v>NA</v>
      </c>
      <c r="Q305" s="77" t="str">
        <f>IFERROR(VLOOKUP($H305,TD[],3,FALSE),"NA")</f>
        <v>NA</v>
      </c>
      <c r="R305" s="77">
        <f>IFERROR(VLOOKUP($H305,TC[],3,FALSE),"NA")</f>
        <v>0</v>
      </c>
      <c r="S305" s="77" t="str">
        <f>IFERROR(VLOOKUP($H305,TEV[],3,FALSE),"NA")</f>
        <v>NA</v>
      </c>
      <c r="T305" s="79">
        <f>SUM(TbPrestamo[[#This Row],[GENERAL]:[ELEVADOR]])</f>
        <v>0</v>
      </c>
      <c r="U305" s="80">
        <f>IF(VLOOKUP(TbPrestamo[[#This Row],[ITEM]],TbPiezas[],5,FALSE)="NA",0,VLOOKUP(TbPrestamo[[#This Row],[ITEM]],TbPiezas[],5,FALSE))</f>
        <v>9.9999999999994316E-2</v>
      </c>
      <c r="V305" s="81">
        <f>+TbPrestamo[[#This Row],[TOTAL]]*TbPrestamo[[#This Row],[P.U. (1)]]</f>
        <v>0</v>
      </c>
      <c r="W305" s="82">
        <f>+VLOOKUP(TbPrestamo[[#This Row],[ITEM]],TbPiezas[],6,FALSE)</f>
        <v>10.16</v>
      </c>
      <c r="X305" s="83">
        <f>+TbPrestamo[[#This Row],[TOTAL]]*TbPrestamo[[#This Row],[P.U. (2)]]</f>
        <v>0</v>
      </c>
      <c r="Y305" s="82">
        <f>+VLOOKUP(TbPrestamo[[#This Row],[ITEM]],TbPiezas[],7,FALSE)</f>
        <v>0.50800000000000001</v>
      </c>
      <c r="Z305" s="84">
        <f>+TbPrestamo[[#This Row],[TOTAL]]*TbPrestamo[[#This Row],[P.U. (3)]]</f>
        <v>0</v>
      </c>
    </row>
    <row r="306" spans="1:26" ht="15" customHeight="1" x14ac:dyDescent="0.3">
      <c r="A306" s="2"/>
      <c r="B306" s="85">
        <v>288</v>
      </c>
      <c r="C306" s="71" t="s">
        <v>577</v>
      </c>
      <c r="D306" s="72" t="s">
        <v>578</v>
      </c>
      <c r="E306" s="73"/>
      <c r="F306" s="74">
        <f>+VLOOKUP(C306,TbPrestamo[],13,FALSE)</f>
        <v>0</v>
      </c>
      <c r="G306" s="2"/>
      <c r="H306" s="75" t="str">
        <f t="shared" si="8"/>
        <v>AE.11100</v>
      </c>
      <c r="I306" s="59" t="str">
        <f t="shared" si="9"/>
        <v>ok</v>
      </c>
      <c r="J306" s="77">
        <f>IFERROR(VLOOKUP($H306,TG[],3,FALSE),"NA")</f>
        <v>0</v>
      </c>
      <c r="K306" s="77" t="str">
        <f>IFERROR(VLOOKUP($H306,TF[],3,FALSE),"NA")</f>
        <v>NA</v>
      </c>
      <c r="L306" s="77" t="str">
        <f>IFERROR(VLOOKUP($H306,TT[],3,FALSE),"NA")</f>
        <v>NA</v>
      </c>
      <c r="M306" s="77" t="str">
        <f>IFERROR(VLOOKUP($H306,TES[],3,FALSE),"NA")</f>
        <v>NA</v>
      </c>
      <c r="N306" s="77" t="str">
        <f>IFERROR(VLOOKUP($H306,TEC[],3,FALSE),"NA")</f>
        <v>NA</v>
      </c>
      <c r="O306" s="77" t="str">
        <f>IFERROR(VLOOKUP($H306,TP[],3,FALSE),"NA")</f>
        <v>NA</v>
      </c>
      <c r="P306" s="77" t="str">
        <f>IFERROR(VLOOKUP($H306,TEN[],3,FALSE),"NA")</f>
        <v>NA</v>
      </c>
      <c r="Q306" s="77" t="str">
        <f>IFERROR(VLOOKUP($H306,TD[],3,FALSE),"NA")</f>
        <v>NA</v>
      </c>
      <c r="R306" s="77">
        <f>IFERROR(VLOOKUP($H306,TC[],3,FALSE),"NA")</f>
        <v>0</v>
      </c>
      <c r="S306" s="77" t="str">
        <f>IFERROR(VLOOKUP($H306,TEV[],3,FALSE),"NA")</f>
        <v>NA</v>
      </c>
      <c r="T306" s="79">
        <f>SUM(TbPrestamo[[#This Row],[GENERAL]:[ELEVADOR]])</f>
        <v>0</v>
      </c>
      <c r="U306" s="80">
        <f>IF(VLOOKUP(TbPrestamo[[#This Row],[ITEM]],TbPiezas[],5,FALSE)="NA",0,VLOOKUP(TbPrestamo[[#This Row],[ITEM]],TbPiezas[],5,FALSE))</f>
        <v>9.9999999999994316E-2</v>
      </c>
      <c r="V306" s="81">
        <f>+TbPrestamo[[#This Row],[TOTAL]]*TbPrestamo[[#This Row],[P.U. (1)]]</f>
        <v>0</v>
      </c>
      <c r="W306" s="82">
        <f>+VLOOKUP(TbPrestamo[[#This Row],[ITEM]],TbPiezas[],6,FALSE)</f>
        <v>10.16</v>
      </c>
      <c r="X306" s="83">
        <f>+TbPrestamo[[#This Row],[TOTAL]]*TbPrestamo[[#This Row],[P.U. (2)]]</f>
        <v>0</v>
      </c>
      <c r="Y306" s="82">
        <f>+VLOOKUP(TbPrestamo[[#This Row],[ITEM]],TbPiezas[],7,FALSE)</f>
        <v>0.50800000000000001</v>
      </c>
      <c r="Z306" s="84">
        <f>+TbPrestamo[[#This Row],[TOTAL]]*TbPrestamo[[#This Row],[P.U. (3)]]</f>
        <v>0</v>
      </c>
    </row>
    <row r="307" spans="1:26" ht="15" customHeight="1" x14ac:dyDescent="0.3">
      <c r="A307" s="2"/>
      <c r="B307" s="85">
        <v>289</v>
      </c>
      <c r="C307" s="71" t="s">
        <v>579</v>
      </c>
      <c r="D307" s="72" t="s">
        <v>580</v>
      </c>
      <c r="E307" s="73"/>
      <c r="F307" s="74">
        <f>+VLOOKUP(C307,TbPrestamo[],13,FALSE)</f>
        <v>0</v>
      </c>
      <c r="G307" s="2"/>
      <c r="H307" s="75" t="str">
        <f t="shared" si="8"/>
        <v>AE.11200</v>
      </c>
      <c r="I307" s="59" t="str">
        <f t="shared" si="9"/>
        <v>ok</v>
      </c>
      <c r="J307" s="77">
        <f>IFERROR(VLOOKUP($H307,TG[],3,FALSE),"NA")</f>
        <v>0</v>
      </c>
      <c r="K307" s="77" t="str">
        <f>IFERROR(VLOOKUP($H307,TF[],3,FALSE),"NA")</f>
        <v>NA</v>
      </c>
      <c r="L307" s="77" t="str">
        <f>IFERROR(VLOOKUP($H307,TT[],3,FALSE),"NA")</f>
        <v>NA</v>
      </c>
      <c r="M307" s="77" t="str">
        <f>IFERROR(VLOOKUP($H307,TES[],3,FALSE),"NA")</f>
        <v>NA</v>
      </c>
      <c r="N307" s="77" t="str">
        <f>IFERROR(VLOOKUP($H307,TEC[],3,FALSE),"NA")</f>
        <v>NA</v>
      </c>
      <c r="O307" s="77" t="str">
        <f>IFERROR(VLOOKUP($H307,TP[],3,FALSE),"NA")</f>
        <v>NA</v>
      </c>
      <c r="P307" s="77" t="str">
        <f>IFERROR(VLOOKUP($H307,TEN[],3,FALSE),"NA")</f>
        <v>NA</v>
      </c>
      <c r="Q307" s="77" t="str">
        <f>IFERROR(VLOOKUP($H307,TD[],3,FALSE),"NA")</f>
        <v>NA</v>
      </c>
      <c r="R307" s="77">
        <f>IFERROR(VLOOKUP($H307,TC[],3,FALSE),"NA")</f>
        <v>0</v>
      </c>
      <c r="S307" s="77" t="str">
        <f>IFERROR(VLOOKUP($H307,TEV[],3,FALSE),"NA")</f>
        <v>NA</v>
      </c>
      <c r="T307" s="79">
        <f>SUM(TbPrestamo[[#This Row],[GENERAL]:[ELEVADOR]])</f>
        <v>0</v>
      </c>
      <c r="U307" s="80">
        <f>IF(VLOOKUP(TbPrestamo[[#This Row],[ITEM]],TbPiezas[],5,FALSE)="NA",0,VLOOKUP(TbPrestamo[[#This Row],[ITEM]],TbPiezas[],5,FALSE))</f>
        <v>9.9999999999994316E-2</v>
      </c>
      <c r="V307" s="81">
        <f>+TbPrestamo[[#This Row],[TOTAL]]*TbPrestamo[[#This Row],[P.U. (1)]]</f>
        <v>0</v>
      </c>
      <c r="W307" s="82">
        <f>+VLOOKUP(TbPrestamo[[#This Row],[ITEM]],TbPiezas[],6,FALSE)</f>
        <v>10.16</v>
      </c>
      <c r="X307" s="83">
        <f>+TbPrestamo[[#This Row],[TOTAL]]*TbPrestamo[[#This Row],[P.U. (2)]]</f>
        <v>0</v>
      </c>
      <c r="Y307" s="82">
        <f>+VLOOKUP(TbPrestamo[[#This Row],[ITEM]],TbPiezas[],7,FALSE)</f>
        <v>0.50800000000000001</v>
      </c>
      <c r="Z307" s="84">
        <f>+TbPrestamo[[#This Row],[TOTAL]]*TbPrestamo[[#This Row],[P.U. (3)]]</f>
        <v>0</v>
      </c>
    </row>
    <row r="308" spans="1:26" ht="15" customHeight="1" x14ac:dyDescent="0.3">
      <c r="A308" s="2"/>
      <c r="B308" s="85">
        <v>290</v>
      </c>
      <c r="C308" s="71" t="s">
        <v>581</v>
      </c>
      <c r="D308" s="72" t="s">
        <v>582</v>
      </c>
      <c r="E308" s="73"/>
      <c r="F308" s="74">
        <f>+VLOOKUP(C308,TbPrestamo[],13,FALSE)</f>
        <v>0</v>
      </c>
      <c r="G308" s="2"/>
      <c r="H308" s="75" t="str">
        <f t="shared" si="8"/>
        <v>AE.11300</v>
      </c>
      <c r="I308" s="59" t="str">
        <f t="shared" si="9"/>
        <v>ok</v>
      </c>
      <c r="J308" s="77">
        <f>IFERROR(VLOOKUP($H308,TG[],3,FALSE),"NA")</f>
        <v>0</v>
      </c>
      <c r="K308" s="77" t="str">
        <f>IFERROR(VLOOKUP($H308,TF[],3,FALSE),"NA")</f>
        <v>NA</v>
      </c>
      <c r="L308" s="77" t="str">
        <f>IFERROR(VLOOKUP($H308,TT[],3,FALSE),"NA")</f>
        <v>NA</v>
      </c>
      <c r="M308" s="77" t="str">
        <f>IFERROR(VLOOKUP($H308,TES[],3,FALSE),"NA")</f>
        <v>NA</v>
      </c>
      <c r="N308" s="77" t="str">
        <f>IFERROR(VLOOKUP($H308,TEC[],3,FALSE),"NA")</f>
        <v>NA</v>
      </c>
      <c r="O308" s="77" t="str">
        <f>IFERROR(VLOOKUP($H308,TP[],3,FALSE),"NA")</f>
        <v>NA</v>
      </c>
      <c r="P308" s="77" t="str">
        <f>IFERROR(VLOOKUP($H308,TEN[],3,FALSE),"NA")</f>
        <v>NA</v>
      </c>
      <c r="Q308" s="77" t="str">
        <f>IFERROR(VLOOKUP($H308,TD[],3,FALSE),"NA")</f>
        <v>NA</v>
      </c>
      <c r="R308" s="77">
        <f>IFERROR(VLOOKUP($H308,TC[],3,FALSE),"NA")</f>
        <v>0</v>
      </c>
      <c r="S308" s="77" t="str">
        <f>IFERROR(VLOOKUP($H308,TEV[],3,FALSE),"NA")</f>
        <v>NA</v>
      </c>
      <c r="T308" s="79">
        <f>SUM(TbPrestamo[[#This Row],[GENERAL]:[ELEVADOR]])</f>
        <v>0</v>
      </c>
      <c r="U308" s="80">
        <f>IF(VLOOKUP(TbPrestamo[[#This Row],[ITEM]],TbPiezas[],5,FALSE)="NA",0,VLOOKUP(TbPrestamo[[#This Row],[ITEM]],TbPiezas[],5,FALSE))</f>
        <v>9.9999999999994316E-2</v>
      </c>
      <c r="V308" s="81">
        <f>+TbPrestamo[[#This Row],[TOTAL]]*TbPrestamo[[#This Row],[P.U. (1)]]</f>
        <v>0</v>
      </c>
      <c r="W308" s="82">
        <f>+VLOOKUP(TbPrestamo[[#This Row],[ITEM]],TbPiezas[],6,FALSE)</f>
        <v>10.16</v>
      </c>
      <c r="X308" s="83">
        <f>+TbPrestamo[[#This Row],[TOTAL]]*TbPrestamo[[#This Row],[P.U. (2)]]</f>
        <v>0</v>
      </c>
      <c r="Y308" s="82">
        <f>+VLOOKUP(TbPrestamo[[#This Row],[ITEM]],TbPiezas[],7,FALSE)</f>
        <v>0.50800000000000001</v>
      </c>
      <c r="Z308" s="84">
        <f>+TbPrestamo[[#This Row],[TOTAL]]*TbPrestamo[[#This Row],[P.U. (3)]]</f>
        <v>0</v>
      </c>
    </row>
    <row r="309" spans="1:26" ht="15" customHeight="1" x14ac:dyDescent="0.3">
      <c r="A309" s="2"/>
      <c r="B309" s="85">
        <v>291</v>
      </c>
      <c r="C309" s="71" t="s">
        <v>583</v>
      </c>
      <c r="D309" s="72" t="s">
        <v>584</v>
      </c>
      <c r="E309" s="73"/>
      <c r="F309" s="74">
        <f>+VLOOKUP(C309,TbPrestamo[],13,FALSE)</f>
        <v>0</v>
      </c>
      <c r="G309" s="2"/>
      <c r="H309" s="75" t="str">
        <f t="shared" si="8"/>
        <v>AE.11400</v>
      </c>
      <c r="I309" s="59" t="str">
        <f t="shared" si="9"/>
        <v>ok</v>
      </c>
      <c r="J309" s="77">
        <f>IFERROR(VLOOKUP($H309,TG[],3,FALSE),"NA")</f>
        <v>0</v>
      </c>
      <c r="K309" s="77" t="str">
        <f>IFERROR(VLOOKUP($H309,TF[],3,FALSE),"NA")</f>
        <v>NA</v>
      </c>
      <c r="L309" s="77" t="str">
        <f>IFERROR(VLOOKUP($H309,TT[],3,FALSE),"NA")</f>
        <v>NA</v>
      </c>
      <c r="M309" s="77">
        <f>IFERROR(VLOOKUP($H309,TES[],3,FALSE),"NA")</f>
        <v>0</v>
      </c>
      <c r="N309" s="77" t="str">
        <f>IFERROR(VLOOKUP($H309,TEC[],3,FALSE),"NA")</f>
        <v>NA</v>
      </c>
      <c r="O309" s="77" t="str">
        <f>IFERROR(VLOOKUP($H309,TP[],3,FALSE),"NA")</f>
        <v>NA</v>
      </c>
      <c r="P309" s="77" t="str">
        <f>IFERROR(VLOOKUP($H309,TEN[],3,FALSE),"NA")</f>
        <v>NA</v>
      </c>
      <c r="Q309" s="77" t="str">
        <f>IFERROR(VLOOKUP($H309,TD[],3,FALSE),"NA")</f>
        <v>NA</v>
      </c>
      <c r="R309" s="77">
        <f>IFERROR(VLOOKUP($H309,TC[],3,FALSE),"NA")</f>
        <v>0</v>
      </c>
      <c r="S309" s="77" t="str">
        <f>IFERROR(VLOOKUP($H309,TEV[],3,FALSE),"NA")</f>
        <v>NA</v>
      </c>
      <c r="T309" s="79">
        <f>SUM(TbPrestamo[[#This Row],[GENERAL]:[ELEVADOR]])</f>
        <v>0</v>
      </c>
      <c r="U309" s="80">
        <f>IF(VLOOKUP(TbPrestamo[[#This Row],[ITEM]],TbPiezas[],5,FALSE)="NA",0,VLOOKUP(TbPrestamo[[#This Row],[ITEM]],TbPiezas[],5,FALSE))</f>
        <v>9.9999999999994316E-2</v>
      </c>
      <c r="V309" s="81">
        <f>+TbPrestamo[[#This Row],[TOTAL]]*TbPrestamo[[#This Row],[P.U. (1)]]</f>
        <v>0</v>
      </c>
      <c r="W309" s="82">
        <f>+VLOOKUP(TbPrestamo[[#This Row],[ITEM]],TbPiezas[],6,FALSE)</f>
        <v>10.16</v>
      </c>
      <c r="X309" s="83">
        <f>+TbPrestamo[[#This Row],[TOTAL]]*TbPrestamo[[#This Row],[P.U. (2)]]</f>
        <v>0</v>
      </c>
      <c r="Y309" s="82">
        <f>+VLOOKUP(TbPrestamo[[#This Row],[ITEM]],TbPiezas[],7,FALSE)</f>
        <v>0.50800000000000001</v>
      </c>
      <c r="Z309" s="84">
        <f>+TbPrestamo[[#This Row],[TOTAL]]*TbPrestamo[[#This Row],[P.U. (3)]]</f>
        <v>0</v>
      </c>
    </row>
    <row r="310" spans="1:26" ht="15" customHeight="1" x14ac:dyDescent="0.3">
      <c r="A310" s="2"/>
      <c r="B310" s="85">
        <v>292</v>
      </c>
      <c r="C310" s="71" t="s">
        <v>585</v>
      </c>
      <c r="D310" s="72" t="s">
        <v>586</v>
      </c>
      <c r="E310" s="73"/>
      <c r="F310" s="74">
        <f>+VLOOKUP(C310,TbPrestamo[],13,FALSE)</f>
        <v>0</v>
      </c>
      <c r="G310" s="2"/>
      <c r="H310" s="75" t="str">
        <f t="shared" si="8"/>
        <v>AE.11500</v>
      </c>
      <c r="I310" s="59" t="str">
        <f t="shared" si="9"/>
        <v>ok</v>
      </c>
      <c r="J310" s="77">
        <f>IFERROR(VLOOKUP($H310,TG[],3,FALSE),"NA")</f>
        <v>0</v>
      </c>
      <c r="K310" s="77" t="str">
        <f>IFERROR(VLOOKUP($H310,TF[],3,FALSE),"NA")</f>
        <v>NA</v>
      </c>
      <c r="L310" s="77" t="str">
        <f>IFERROR(VLOOKUP($H310,TT[],3,FALSE),"NA")</f>
        <v>NA</v>
      </c>
      <c r="M310" s="77" t="str">
        <f>IFERROR(VLOOKUP($H310,TES[],3,FALSE),"NA")</f>
        <v>NA</v>
      </c>
      <c r="N310" s="77" t="str">
        <f>IFERROR(VLOOKUP($H310,TEC[],3,FALSE),"NA")</f>
        <v>NA</v>
      </c>
      <c r="O310" s="77" t="str">
        <f>IFERROR(VLOOKUP($H310,TP[],3,FALSE),"NA")</f>
        <v>NA</v>
      </c>
      <c r="P310" s="77" t="str">
        <f>IFERROR(VLOOKUP($H310,TEN[],3,FALSE),"NA")</f>
        <v>NA</v>
      </c>
      <c r="Q310" s="77" t="str">
        <f>IFERROR(VLOOKUP($H310,TD[],3,FALSE),"NA")</f>
        <v>NA</v>
      </c>
      <c r="R310" s="77">
        <f>IFERROR(VLOOKUP($H310,TC[],3,FALSE),"NA")</f>
        <v>0</v>
      </c>
      <c r="S310" s="77" t="str">
        <f>IFERROR(VLOOKUP($H310,TEV[],3,FALSE),"NA")</f>
        <v>NA</v>
      </c>
      <c r="T310" s="79">
        <f>SUM(TbPrestamo[[#This Row],[GENERAL]:[ELEVADOR]])</f>
        <v>0</v>
      </c>
      <c r="U310" s="80">
        <f>IF(VLOOKUP(TbPrestamo[[#This Row],[ITEM]],TbPiezas[],5,FALSE)="NA",0,VLOOKUP(TbPrestamo[[#This Row],[ITEM]],TbPiezas[],5,FALSE))</f>
        <v>25</v>
      </c>
      <c r="V310" s="81">
        <f>+TbPrestamo[[#This Row],[TOTAL]]*TbPrestamo[[#This Row],[P.U. (1)]]</f>
        <v>0</v>
      </c>
      <c r="W310" s="82">
        <f>+VLOOKUP(TbPrestamo[[#This Row],[ITEM]],TbPiezas[],6,FALSE)</f>
        <v>229.52</v>
      </c>
      <c r="X310" s="83">
        <f>+TbPrestamo[[#This Row],[TOTAL]]*TbPrestamo[[#This Row],[P.U. (2)]]</f>
        <v>0</v>
      </c>
      <c r="Y310" s="82">
        <f>+VLOOKUP(TbPrestamo[[#This Row],[ITEM]],TbPiezas[],7,FALSE)</f>
        <v>11.476000000000001</v>
      </c>
      <c r="Z310" s="84">
        <f>+TbPrestamo[[#This Row],[TOTAL]]*TbPrestamo[[#This Row],[P.U. (3)]]</f>
        <v>0</v>
      </c>
    </row>
    <row r="311" spans="1:26" ht="15" customHeight="1" x14ac:dyDescent="0.3">
      <c r="A311" s="2"/>
      <c r="B311" s="85">
        <v>293</v>
      </c>
      <c r="C311" s="71" t="s">
        <v>587</v>
      </c>
      <c r="D311" s="72" t="s">
        <v>588</v>
      </c>
      <c r="E311" s="73"/>
      <c r="F311" s="74">
        <f>+VLOOKUP(C311,TbPrestamo[],13,FALSE)</f>
        <v>0</v>
      </c>
      <c r="G311" s="2"/>
      <c r="H311" s="75" t="str">
        <f t="shared" si="8"/>
        <v>AE.11600</v>
      </c>
      <c r="I311" s="59" t="str">
        <f t="shared" si="9"/>
        <v>ok</v>
      </c>
      <c r="J311" s="77">
        <f>IFERROR(VLOOKUP($H311,TG[],3,FALSE),"NA")</f>
        <v>0</v>
      </c>
      <c r="K311" s="77" t="str">
        <f>IFERROR(VLOOKUP($H311,TF[],3,FALSE),"NA")</f>
        <v>NA</v>
      </c>
      <c r="L311" s="77" t="str">
        <f>IFERROR(VLOOKUP($H311,TT[],3,FALSE),"NA")</f>
        <v>NA</v>
      </c>
      <c r="M311" s="77" t="str">
        <f>IFERROR(VLOOKUP($H311,TES[],3,FALSE),"NA")</f>
        <v>NA</v>
      </c>
      <c r="N311" s="77" t="str">
        <f>IFERROR(VLOOKUP($H311,TEC[],3,FALSE),"NA")</f>
        <v>NA</v>
      </c>
      <c r="O311" s="77" t="str">
        <f>IFERROR(VLOOKUP($H311,TP[],3,FALSE),"NA")</f>
        <v>NA</v>
      </c>
      <c r="P311" s="77" t="str">
        <f>IFERROR(VLOOKUP($H311,TEN[],3,FALSE),"NA")</f>
        <v>NA</v>
      </c>
      <c r="Q311" s="77" t="str">
        <f>IFERROR(VLOOKUP($H311,TD[],3,FALSE),"NA")</f>
        <v>NA</v>
      </c>
      <c r="R311" s="77">
        <f>IFERROR(VLOOKUP($H311,TC[],3,FALSE),"NA")</f>
        <v>0</v>
      </c>
      <c r="S311" s="77" t="str">
        <f>IFERROR(VLOOKUP($H311,TEV[],3,FALSE),"NA")</f>
        <v>NA</v>
      </c>
      <c r="T311" s="79">
        <f>SUM(TbPrestamo[[#This Row],[GENERAL]:[ELEVADOR]])</f>
        <v>0</v>
      </c>
      <c r="U311" s="80">
        <f>IF(VLOOKUP(TbPrestamo[[#This Row],[ITEM]],TbPiezas[],5,FALSE)="NA",0,VLOOKUP(TbPrestamo[[#This Row],[ITEM]],TbPiezas[],5,FALSE))</f>
        <v>11.799999999999997</v>
      </c>
      <c r="V311" s="81">
        <f>+TbPrestamo[[#This Row],[TOTAL]]*TbPrestamo[[#This Row],[P.U. (1)]]</f>
        <v>0</v>
      </c>
      <c r="W311" s="82">
        <f>+VLOOKUP(TbPrestamo[[#This Row],[ITEM]],TbPiezas[],6,FALSE)</f>
        <v>229.52</v>
      </c>
      <c r="X311" s="83">
        <f>+TbPrestamo[[#This Row],[TOTAL]]*TbPrestamo[[#This Row],[P.U. (2)]]</f>
        <v>0</v>
      </c>
      <c r="Y311" s="82">
        <f>+VLOOKUP(TbPrestamo[[#This Row],[ITEM]],TbPiezas[],7,FALSE)</f>
        <v>11.476000000000001</v>
      </c>
      <c r="Z311" s="84">
        <f>+TbPrestamo[[#This Row],[TOTAL]]*TbPrestamo[[#This Row],[P.U. (3)]]</f>
        <v>0</v>
      </c>
    </row>
    <row r="312" spans="1:26" ht="15" customHeight="1" x14ac:dyDescent="0.3">
      <c r="A312" s="2"/>
      <c r="B312" s="85">
        <v>294</v>
      </c>
      <c r="C312" s="71" t="s">
        <v>589</v>
      </c>
      <c r="D312" s="72" t="s">
        <v>590</v>
      </c>
      <c r="E312" s="73"/>
      <c r="F312" s="74">
        <f>+VLOOKUP(C312,TbPrestamo[],13,FALSE)</f>
        <v>0</v>
      </c>
      <c r="G312" s="2"/>
      <c r="H312" s="75" t="str">
        <f t="shared" si="8"/>
        <v>AE.11700</v>
      </c>
      <c r="I312" s="59" t="str">
        <f t="shared" si="9"/>
        <v>ok</v>
      </c>
      <c r="J312" s="77">
        <f>IFERROR(VLOOKUP($H312,TG[],3,FALSE),"NA")</f>
        <v>0</v>
      </c>
      <c r="K312" s="77" t="str">
        <f>IFERROR(VLOOKUP($H312,TF[],3,FALSE),"NA")</f>
        <v>NA</v>
      </c>
      <c r="L312" s="77" t="str">
        <f>IFERROR(VLOOKUP($H312,TT[],3,FALSE),"NA")</f>
        <v>NA</v>
      </c>
      <c r="M312" s="77" t="str">
        <f>IFERROR(VLOOKUP($H312,TES[],3,FALSE),"NA")</f>
        <v>NA</v>
      </c>
      <c r="N312" s="77" t="str">
        <f>IFERROR(VLOOKUP($H312,TEC[],3,FALSE),"NA")</f>
        <v>NA</v>
      </c>
      <c r="O312" s="77" t="str">
        <f>IFERROR(VLOOKUP($H312,TP[],3,FALSE),"NA")</f>
        <v>NA</v>
      </c>
      <c r="P312" s="77" t="str">
        <f>IFERROR(VLOOKUP($H312,TEN[],3,FALSE),"NA")</f>
        <v>NA</v>
      </c>
      <c r="Q312" s="77" t="str">
        <f>IFERROR(VLOOKUP($H312,TD[],3,FALSE),"NA")</f>
        <v>NA</v>
      </c>
      <c r="R312" s="77">
        <f>IFERROR(VLOOKUP($H312,TC[],3,FALSE),"NA")</f>
        <v>0</v>
      </c>
      <c r="S312" s="77" t="str">
        <f>IFERROR(VLOOKUP($H312,TEV[],3,FALSE),"NA")</f>
        <v>NA</v>
      </c>
      <c r="T312" s="79">
        <f>SUM(TbPrestamo[[#This Row],[GENERAL]:[ELEVADOR]])</f>
        <v>0</v>
      </c>
      <c r="U312" s="80">
        <f>IF(VLOOKUP(TbPrestamo[[#This Row],[ITEM]],TbPiezas[],5,FALSE)="NA",0,VLOOKUP(TbPrestamo[[#This Row],[ITEM]],TbPiezas[],5,FALSE))</f>
        <v>11.799999999999997</v>
      </c>
      <c r="V312" s="81">
        <f>+TbPrestamo[[#This Row],[TOTAL]]*TbPrestamo[[#This Row],[P.U. (1)]]</f>
        <v>0</v>
      </c>
      <c r="W312" s="82">
        <f>+VLOOKUP(TbPrestamo[[#This Row],[ITEM]],TbPiezas[],6,FALSE)</f>
        <v>229.52</v>
      </c>
      <c r="X312" s="83">
        <f>+TbPrestamo[[#This Row],[TOTAL]]*TbPrestamo[[#This Row],[P.U. (2)]]</f>
        <v>0</v>
      </c>
      <c r="Y312" s="82">
        <f>+VLOOKUP(TbPrestamo[[#This Row],[ITEM]],TbPiezas[],7,FALSE)</f>
        <v>11.476000000000001</v>
      </c>
      <c r="Z312" s="84">
        <f>+TbPrestamo[[#This Row],[TOTAL]]*TbPrestamo[[#This Row],[P.U. (3)]]</f>
        <v>0</v>
      </c>
    </row>
    <row r="313" spans="1:26" ht="15" customHeight="1" x14ac:dyDescent="0.3">
      <c r="A313" s="2"/>
      <c r="B313" s="85">
        <v>295</v>
      </c>
      <c r="C313" s="71" t="s">
        <v>591</v>
      </c>
      <c r="D313" s="72" t="s">
        <v>592</v>
      </c>
      <c r="E313" s="73"/>
      <c r="F313" s="74">
        <f>+VLOOKUP(C313,TbPrestamo[],13,FALSE)</f>
        <v>0</v>
      </c>
      <c r="G313" s="2"/>
      <c r="H313" s="75" t="str">
        <f t="shared" si="8"/>
        <v>AE.11800</v>
      </c>
      <c r="I313" s="59" t="str">
        <f t="shared" si="9"/>
        <v>ok</v>
      </c>
      <c r="J313" s="77">
        <f>IFERROR(VLOOKUP($H313,TG[],3,FALSE),"NA")</f>
        <v>0</v>
      </c>
      <c r="K313" s="77" t="str">
        <f>IFERROR(VLOOKUP($H313,TF[],3,FALSE),"NA")</f>
        <v>NA</v>
      </c>
      <c r="L313" s="77" t="str">
        <f>IFERROR(VLOOKUP($H313,TT[],3,FALSE),"NA")</f>
        <v>NA</v>
      </c>
      <c r="M313" s="77" t="str">
        <f>IFERROR(VLOOKUP($H313,TES[],3,FALSE),"NA")</f>
        <v>NA</v>
      </c>
      <c r="N313" s="77" t="str">
        <f>IFERROR(VLOOKUP($H313,TEC[],3,FALSE),"NA")</f>
        <v>NA</v>
      </c>
      <c r="O313" s="77" t="str">
        <f>IFERROR(VLOOKUP($H313,TP[],3,FALSE),"NA")</f>
        <v>NA</v>
      </c>
      <c r="P313" s="77" t="str">
        <f>IFERROR(VLOOKUP($H313,TEN[],3,FALSE),"NA")</f>
        <v>NA</v>
      </c>
      <c r="Q313" s="77" t="str">
        <f>IFERROR(VLOOKUP($H313,TD[],3,FALSE),"NA")</f>
        <v>NA</v>
      </c>
      <c r="R313" s="77">
        <f>IFERROR(VLOOKUP($H313,TC[],3,FALSE),"NA")</f>
        <v>0</v>
      </c>
      <c r="S313" s="77" t="str">
        <f>IFERROR(VLOOKUP($H313,TEV[],3,FALSE),"NA")</f>
        <v>NA</v>
      </c>
      <c r="T313" s="79">
        <f>SUM(TbPrestamo[[#This Row],[GENERAL]:[ELEVADOR]])</f>
        <v>0</v>
      </c>
      <c r="U313" s="80">
        <f>IF(VLOOKUP(TbPrestamo[[#This Row],[ITEM]],TbPiezas[],5,FALSE)="NA",0,VLOOKUP(TbPrestamo[[#This Row],[ITEM]],TbPiezas[],5,FALSE))</f>
        <v>28.899999999999991</v>
      </c>
      <c r="V313" s="81">
        <f>+TbPrestamo[[#This Row],[TOTAL]]*TbPrestamo[[#This Row],[P.U. (1)]]</f>
        <v>0</v>
      </c>
      <c r="W313" s="82">
        <f>+VLOOKUP(TbPrestamo[[#This Row],[ITEM]],TbPiezas[],6,FALSE)</f>
        <v>1099.44</v>
      </c>
      <c r="X313" s="83">
        <f>+TbPrestamo[[#This Row],[TOTAL]]*TbPrestamo[[#This Row],[P.U. (2)]]</f>
        <v>0</v>
      </c>
      <c r="Y313" s="82">
        <f>+VLOOKUP(TbPrestamo[[#This Row],[ITEM]],TbPiezas[],7,FALSE)</f>
        <v>54.972000000000008</v>
      </c>
      <c r="Z313" s="84">
        <f>+TbPrestamo[[#This Row],[TOTAL]]*TbPrestamo[[#This Row],[P.U. (3)]]</f>
        <v>0</v>
      </c>
    </row>
    <row r="314" spans="1:26" ht="15" customHeight="1" x14ac:dyDescent="0.3">
      <c r="A314" s="2"/>
      <c r="B314" s="85">
        <v>296</v>
      </c>
      <c r="C314" s="71" t="s">
        <v>593</v>
      </c>
      <c r="D314" s="72" t="s">
        <v>594</v>
      </c>
      <c r="E314" s="73"/>
      <c r="F314" s="74">
        <f>+VLOOKUP(C314,TbPrestamo[],13,FALSE)</f>
        <v>0</v>
      </c>
      <c r="G314" s="2"/>
      <c r="H314" s="75" t="str">
        <f t="shared" si="8"/>
        <v>AE.11850</v>
      </c>
      <c r="I314" s="59" t="str">
        <f t="shared" si="9"/>
        <v>ok</v>
      </c>
      <c r="J314" s="77">
        <f>IFERROR(VLOOKUP($H314,TG[],3,FALSE),"NA")</f>
        <v>0</v>
      </c>
      <c r="K314" s="77" t="str">
        <f>IFERROR(VLOOKUP($H314,TF[],3,FALSE),"NA")</f>
        <v>NA</v>
      </c>
      <c r="L314" s="77" t="str">
        <f>IFERROR(VLOOKUP($H314,TT[],3,FALSE),"NA")</f>
        <v>NA</v>
      </c>
      <c r="M314" s="77" t="str">
        <f>IFERROR(VLOOKUP($H314,TES[],3,FALSE),"NA")</f>
        <v>NA</v>
      </c>
      <c r="N314" s="77" t="str">
        <f>IFERROR(VLOOKUP($H314,TEC[],3,FALSE),"NA")</f>
        <v>NA</v>
      </c>
      <c r="O314" s="77" t="str">
        <f>IFERROR(VLOOKUP($H314,TP[],3,FALSE),"NA")</f>
        <v>NA</v>
      </c>
      <c r="P314" s="77" t="str">
        <f>IFERROR(VLOOKUP($H314,TEN[],3,FALSE),"NA")</f>
        <v>NA</v>
      </c>
      <c r="Q314" s="77" t="str">
        <f>IFERROR(VLOOKUP($H314,TD[],3,FALSE),"NA")</f>
        <v>NA</v>
      </c>
      <c r="R314" s="77">
        <f>IFERROR(VLOOKUP($H314,TC[],3,FALSE),"NA")</f>
        <v>0</v>
      </c>
      <c r="S314" s="77" t="str">
        <f>IFERROR(VLOOKUP($H314,TEV[],3,FALSE),"NA")</f>
        <v>NA</v>
      </c>
      <c r="T314" s="79">
        <f>SUM(TbPrestamo[[#This Row],[GENERAL]:[ELEVADOR]])</f>
        <v>0</v>
      </c>
      <c r="U314" s="80">
        <f>IF(VLOOKUP(TbPrestamo[[#This Row],[ITEM]],TbPiezas[],5,FALSE)="NA",0,VLOOKUP(TbPrestamo[[#This Row],[ITEM]],TbPiezas[],5,FALSE))</f>
        <v>74.099999999999994</v>
      </c>
      <c r="V314" s="81">
        <f>+TbPrestamo[[#This Row],[TOTAL]]*TbPrestamo[[#This Row],[P.U. (1)]]</f>
        <v>0</v>
      </c>
      <c r="W314" s="82">
        <f>+VLOOKUP(TbPrestamo[[#This Row],[ITEM]],TbPiezas[],6,FALSE)</f>
        <v>3176.25</v>
      </c>
      <c r="X314" s="83">
        <f>+TbPrestamo[[#This Row],[TOTAL]]*TbPrestamo[[#This Row],[P.U. (2)]]</f>
        <v>0</v>
      </c>
      <c r="Y314" s="82">
        <f>+VLOOKUP(TbPrestamo[[#This Row],[ITEM]],TbPiezas[],7,FALSE)</f>
        <v>158.8125</v>
      </c>
      <c r="Z314" s="84">
        <f>+TbPrestamo[[#This Row],[TOTAL]]*TbPrestamo[[#This Row],[P.U. (3)]]</f>
        <v>0</v>
      </c>
    </row>
    <row r="315" spans="1:26" ht="15" customHeight="1" x14ac:dyDescent="0.3">
      <c r="A315" s="2"/>
      <c r="B315" s="85">
        <v>297</v>
      </c>
      <c r="C315" s="71" t="s">
        <v>595</v>
      </c>
      <c r="D315" s="72" t="s">
        <v>596</v>
      </c>
      <c r="E315" s="73"/>
      <c r="F315" s="74">
        <f>+VLOOKUP(C315,TbPrestamo[],13,FALSE)</f>
        <v>0</v>
      </c>
      <c r="G315" s="2"/>
      <c r="H315" s="75" t="str">
        <f t="shared" si="8"/>
        <v>AE.11900</v>
      </c>
      <c r="I315" s="59" t="str">
        <f t="shared" si="9"/>
        <v>ok</v>
      </c>
      <c r="J315" s="77">
        <f>IFERROR(VLOOKUP($H315,TG[],3,FALSE),"NA")</f>
        <v>0</v>
      </c>
      <c r="K315" s="77" t="str">
        <f>IFERROR(VLOOKUP($H315,TF[],3,FALSE),"NA")</f>
        <v>NA</v>
      </c>
      <c r="L315" s="77" t="str">
        <f>IFERROR(VLOOKUP($H315,TT[],3,FALSE),"NA")</f>
        <v>NA</v>
      </c>
      <c r="M315" s="77" t="str">
        <f>IFERROR(VLOOKUP($H315,TES[],3,FALSE),"NA")</f>
        <v>NA</v>
      </c>
      <c r="N315" s="77" t="str">
        <f>IFERROR(VLOOKUP($H315,TEC[],3,FALSE),"NA")</f>
        <v>NA</v>
      </c>
      <c r="O315" s="77" t="str">
        <f>IFERROR(VLOOKUP($H315,TP[],3,FALSE),"NA")</f>
        <v>NA</v>
      </c>
      <c r="P315" s="77" t="str">
        <f>IFERROR(VLOOKUP($H315,TEN[],3,FALSE),"NA")</f>
        <v>NA</v>
      </c>
      <c r="Q315" s="77" t="str">
        <f>IFERROR(VLOOKUP($H315,TD[],3,FALSE),"NA")</f>
        <v>NA</v>
      </c>
      <c r="R315" s="77">
        <f>IFERROR(VLOOKUP($H315,TC[],3,FALSE),"NA")</f>
        <v>0</v>
      </c>
      <c r="S315" s="77" t="str">
        <f>IFERROR(VLOOKUP($H315,TEV[],3,FALSE),"NA")</f>
        <v>NA</v>
      </c>
      <c r="T315" s="79">
        <f>SUM(TbPrestamo[[#This Row],[GENERAL]:[ELEVADOR]])</f>
        <v>0</v>
      </c>
      <c r="U315" s="80">
        <f>IF(VLOOKUP(TbPrestamo[[#This Row],[ITEM]],TbPiezas[],5,FALSE)="NA",0,VLOOKUP(TbPrestamo[[#This Row],[ITEM]],TbPiezas[],5,FALSE))</f>
        <v>0.5</v>
      </c>
      <c r="V315" s="81">
        <f>+TbPrestamo[[#This Row],[TOTAL]]*TbPrestamo[[#This Row],[P.U. (1)]]</f>
        <v>0</v>
      </c>
      <c r="W315" s="82">
        <f>+VLOOKUP(TbPrestamo[[#This Row],[ITEM]],TbPiezas[],6,FALSE)</f>
        <v>157.1</v>
      </c>
      <c r="X315" s="83">
        <f>+TbPrestamo[[#This Row],[TOTAL]]*TbPrestamo[[#This Row],[P.U. (2)]]</f>
        <v>0</v>
      </c>
      <c r="Y315" s="82">
        <f>+VLOOKUP(TbPrestamo[[#This Row],[ITEM]],TbPiezas[],7,FALSE)</f>
        <v>7.8550000000000004</v>
      </c>
      <c r="Z315" s="84">
        <f>+TbPrestamo[[#This Row],[TOTAL]]*TbPrestamo[[#This Row],[P.U. (3)]]</f>
        <v>0</v>
      </c>
    </row>
    <row r="316" spans="1:26" ht="15" customHeight="1" x14ac:dyDescent="0.3">
      <c r="A316" s="2"/>
      <c r="B316" s="85">
        <v>298</v>
      </c>
      <c r="C316" s="71" t="s">
        <v>597</v>
      </c>
      <c r="D316" s="72" t="s">
        <v>598</v>
      </c>
      <c r="E316" s="73"/>
      <c r="F316" s="74">
        <f>+VLOOKUP(C316,TbPrestamo[],13,FALSE)</f>
        <v>0</v>
      </c>
      <c r="G316" s="2"/>
      <c r="H316" s="75" t="str">
        <f t="shared" si="8"/>
        <v>AE.12000</v>
      </c>
      <c r="I316" s="59" t="str">
        <f t="shared" si="9"/>
        <v>ok</v>
      </c>
      <c r="J316" s="77">
        <f>IFERROR(VLOOKUP($H316,TG[],3,FALSE),"NA")</f>
        <v>0</v>
      </c>
      <c r="K316" s="77" t="str">
        <f>IFERROR(VLOOKUP($H316,TF[],3,FALSE),"NA")</f>
        <v>NA</v>
      </c>
      <c r="L316" s="77" t="str">
        <f>IFERROR(VLOOKUP($H316,TT[],3,FALSE),"NA")</f>
        <v>NA</v>
      </c>
      <c r="M316" s="77" t="str">
        <f>IFERROR(VLOOKUP($H316,TES[],3,FALSE),"NA")</f>
        <v>NA</v>
      </c>
      <c r="N316" s="77" t="str">
        <f>IFERROR(VLOOKUP($H316,TEC[],3,FALSE),"NA")</f>
        <v>NA</v>
      </c>
      <c r="O316" s="77" t="str">
        <f>IFERROR(VLOOKUP($H316,TP[],3,FALSE),"NA")</f>
        <v>NA</v>
      </c>
      <c r="P316" s="77" t="str">
        <f>IFERROR(VLOOKUP($H316,TEN[],3,FALSE),"NA")</f>
        <v>NA</v>
      </c>
      <c r="Q316" s="77" t="str">
        <f>IFERROR(VLOOKUP($H316,TD[],3,FALSE),"NA")</f>
        <v>NA</v>
      </c>
      <c r="R316" s="77">
        <f>IFERROR(VLOOKUP($H316,TC[],3,FALSE),"NA")</f>
        <v>0</v>
      </c>
      <c r="S316" s="77" t="str">
        <f>IFERROR(VLOOKUP($H316,TEV[],3,FALSE),"NA")</f>
        <v>NA</v>
      </c>
      <c r="T316" s="79">
        <f>SUM(TbPrestamo[[#This Row],[GENERAL]:[ELEVADOR]])</f>
        <v>0</v>
      </c>
      <c r="U316" s="80">
        <f>IF(VLOOKUP(TbPrestamo[[#This Row],[ITEM]],TbPiezas[],5,FALSE)="NA",0,VLOOKUP(TbPrestamo[[#This Row],[ITEM]],TbPiezas[],5,FALSE))</f>
        <v>7.0999999999999943</v>
      </c>
      <c r="V316" s="81">
        <f>+TbPrestamo[[#This Row],[TOTAL]]*TbPrestamo[[#This Row],[P.U. (1)]]</f>
        <v>0</v>
      </c>
      <c r="W316" s="82">
        <f>+VLOOKUP(TbPrestamo[[#This Row],[ITEM]],TbPiezas[],6,FALSE)</f>
        <v>381.15</v>
      </c>
      <c r="X316" s="83">
        <f>+TbPrestamo[[#This Row],[TOTAL]]*TbPrestamo[[#This Row],[P.U. (2)]]</f>
        <v>0</v>
      </c>
      <c r="Y316" s="82">
        <f>+VLOOKUP(TbPrestamo[[#This Row],[ITEM]],TbPiezas[],7,FALSE)</f>
        <v>19.057500000000001</v>
      </c>
      <c r="Z316" s="84">
        <f>+TbPrestamo[[#This Row],[TOTAL]]*TbPrestamo[[#This Row],[P.U. (3)]]</f>
        <v>0</v>
      </c>
    </row>
    <row r="317" spans="1:26" ht="15" customHeight="1" x14ac:dyDescent="0.3">
      <c r="A317" s="2"/>
      <c r="B317" s="85">
        <v>299</v>
      </c>
      <c r="C317" s="71" t="s">
        <v>599</v>
      </c>
      <c r="D317" s="72" t="s">
        <v>600</v>
      </c>
      <c r="E317" s="73"/>
      <c r="F317" s="74">
        <f>+VLOOKUP(C317,TbPrestamo[],13,FALSE)</f>
        <v>0</v>
      </c>
      <c r="G317" s="2"/>
      <c r="H317" s="75" t="str">
        <f t="shared" si="8"/>
        <v>AE.12100</v>
      </c>
      <c r="I317" s="59" t="str">
        <f t="shared" si="9"/>
        <v>ok</v>
      </c>
      <c r="J317" s="77">
        <f>IFERROR(VLOOKUP($H317,TG[],3,FALSE),"NA")</f>
        <v>0</v>
      </c>
      <c r="K317" s="77" t="str">
        <f>IFERROR(VLOOKUP($H317,TF[],3,FALSE),"NA")</f>
        <v>NA</v>
      </c>
      <c r="L317" s="77" t="str">
        <f>IFERROR(VLOOKUP($H317,TT[],3,FALSE),"NA")</f>
        <v>NA</v>
      </c>
      <c r="M317" s="77" t="str">
        <f>IFERROR(VLOOKUP($H317,TES[],3,FALSE),"NA")</f>
        <v>NA</v>
      </c>
      <c r="N317" s="77" t="str">
        <f>IFERROR(VLOOKUP($H317,TEC[],3,FALSE),"NA")</f>
        <v>NA</v>
      </c>
      <c r="O317" s="77" t="str">
        <f>IFERROR(VLOOKUP($H317,TP[],3,FALSE),"NA")</f>
        <v>NA</v>
      </c>
      <c r="P317" s="77" t="str">
        <f>IFERROR(VLOOKUP($H317,TEN[],3,FALSE),"NA")</f>
        <v>NA</v>
      </c>
      <c r="Q317" s="77" t="str">
        <f>IFERROR(VLOOKUP($H317,TD[],3,FALSE),"NA")</f>
        <v>NA</v>
      </c>
      <c r="R317" s="77">
        <f>IFERROR(VLOOKUP($H317,TC[],3,FALSE),"NA")</f>
        <v>0</v>
      </c>
      <c r="S317" s="77" t="str">
        <f>IFERROR(VLOOKUP($H317,TEV[],3,FALSE),"NA")</f>
        <v>NA</v>
      </c>
      <c r="T317" s="79">
        <f>SUM(TbPrestamo[[#This Row],[GENERAL]:[ELEVADOR]])</f>
        <v>0</v>
      </c>
      <c r="U317" s="80">
        <f>IF(VLOOKUP(TbPrestamo[[#This Row],[ITEM]],TbPiezas[],5,FALSE)="NA",0,VLOOKUP(TbPrestamo[[#This Row],[ITEM]],TbPiezas[],5,FALSE))</f>
        <v>0.5</v>
      </c>
      <c r="V317" s="81">
        <f>+TbPrestamo[[#This Row],[TOTAL]]*TbPrestamo[[#This Row],[P.U. (1)]]</f>
        <v>0</v>
      </c>
      <c r="W317" s="82">
        <f>+VLOOKUP(TbPrestamo[[#This Row],[ITEM]],TbPiezas[],6,FALSE)</f>
        <v>88.94</v>
      </c>
      <c r="X317" s="83">
        <f>+TbPrestamo[[#This Row],[TOTAL]]*TbPrestamo[[#This Row],[P.U. (2)]]</f>
        <v>0</v>
      </c>
      <c r="Y317" s="82">
        <f>+VLOOKUP(TbPrestamo[[#This Row],[ITEM]],TbPiezas[],7,FALSE)</f>
        <v>4.4470000000000001</v>
      </c>
      <c r="Z317" s="84">
        <f>+TbPrestamo[[#This Row],[TOTAL]]*TbPrestamo[[#This Row],[P.U. (3)]]</f>
        <v>0</v>
      </c>
    </row>
    <row r="318" spans="1:26" ht="15" customHeight="1" x14ac:dyDescent="0.3">
      <c r="A318" s="2"/>
      <c r="B318" s="85">
        <v>300</v>
      </c>
      <c r="C318" s="71" t="s">
        <v>601</v>
      </c>
      <c r="D318" s="72" t="s">
        <v>602</v>
      </c>
      <c r="E318" s="73"/>
      <c r="F318" s="74">
        <f>+VLOOKUP(C318,TbPrestamo[],13,FALSE)</f>
        <v>0</v>
      </c>
      <c r="G318" s="2"/>
      <c r="H318" s="75" t="str">
        <f t="shared" si="8"/>
        <v>AE.12200</v>
      </c>
      <c r="I318" s="59" t="str">
        <f t="shared" si="9"/>
        <v>ok</v>
      </c>
      <c r="J318" s="77">
        <f>IFERROR(VLOOKUP($H318,TG[],3,FALSE),"NA")</f>
        <v>0</v>
      </c>
      <c r="K318" s="77" t="str">
        <f>IFERROR(VLOOKUP($H318,TF[],3,FALSE),"NA")</f>
        <v>NA</v>
      </c>
      <c r="L318" s="77" t="str">
        <f>IFERROR(VLOOKUP($H318,TT[],3,FALSE),"NA")</f>
        <v>NA</v>
      </c>
      <c r="M318" s="77" t="str">
        <f>IFERROR(VLOOKUP($H318,TES[],3,FALSE),"NA")</f>
        <v>NA</v>
      </c>
      <c r="N318" s="77" t="str">
        <f>IFERROR(VLOOKUP($H318,TEC[],3,FALSE),"NA")</f>
        <v>NA</v>
      </c>
      <c r="O318" s="77" t="str">
        <f>IFERROR(VLOOKUP($H318,TP[],3,FALSE),"NA")</f>
        <v>NA</v>
      </c>
      <c r="P318" s="77" t="str">
        <f>IFERROR(VLOOKUP($H318,TEN[],3,FALSE),"NA")</f>
        <v>NA</v>
      </c>
      <c r="Q318" s="77" t="str">
        <f>IFERROR(VLOOKUP($H318,TD[],3,FALSE),"NA")</f>
        <v>NA</v>
      </c>
      <c r="R318" s="77">
        <f>IFERROR(VLOOKUP($H318,TC[],3,FALSE),"NA")</f>
        <v>0</v>
      </c>
      <c r="S318" s="77" t="str">
        <f>IFERROR(VLOOKUP($H318,TEV[],3,FALSE),"NA")</f>
        <v>NA</v>
      </c>
      <c r="T318" s="79">
        <f>SUM(TbPrestamo[[#This Row],[GENERAL]:[ELEVADOR]])</f>
        <v>0</v>
      </c>
      <c r="U318" s="80">
        <f>IF(VLOOKUP(TbPrestamo[[#This Row],[ITEM]],TbPiezas[],5,FALSE)="NA",0,VLOOKUP(TbPrestamo[[#This Row],[ITEM]],TbPiezas[],5,FALSE))</f>
        <v>0.75</v>
      </c>
      <c r="V318" s="81">
        <f>+TbPrestamo[[#This Row],[TOTAL]]*TbPrestamo[[#This Row],[P.U. (1)]]</f>
        <v>0</v>
      </c>
      <c r="W318" s="82">
        <f>+VLOOKUP(TbPrestamo[[#This Row],[ITEM]],TbPiezas[],6,FALSE)</f>
        <v>200</v>
      </c>
      <c r="X318" s="83">
        <f>+TbPrestamo[[#This Row],[TOTAL]]*TbPrestamo[[#This Row],[P.U. (2)]]</f>
        <v>0</v>
      </c>
      <c r="Y318" s="82">
        <f>+VLOOKUP(TbPrestamo[[#This Row],[ITEM]],TbPiezas[],7,FALSE)</f>
        <v>10</v>
      </c>
      <c r="Z318" s="84">
        <f>+TbPrestamo[[#This Row],[TOTAL]]*TbPrestamo[[#This Row],[P.U. (3)]]</f>
        <v>0</v>
      </c>
    </row>
    <row r="319" spans="1:26" ht="15" customHeight="1" x14ac:dyDescent="0.3">
      <c r="A319" s="2"/>
      <c r="B319" s="85">
        <v>301</v>
      </c>
      <c r="C319" s="71" t="s">
        <v>603</v>
      </c>
      <c r="D319" s="72" t="s">
        <v>604</v>
      </c>
      <c r="E319" s="73"/>
      <c r="F319" s="74">
        <f>+VLOOKUP(C319,TbPrestamo[],13,FALSE)</f>
        <v>0</v>
      </c>
      <c r="G319" s="2"/>
      <c r="H319" s="75" t="str">
        <f t="shared" si="8"/>
        <v>AE.12300</v>
      </c>
      <c r="I319" s="59" t="str">
        <f t="shared" si="9"/>
        <v>ok</v>
      </c>
      <c r="J319" s="77">
        <f>IFERROR(VLOOKUP($H319,TG[],3,FALSE),"NA")</f>
        <v>0</v>
      </c>
      <c r="K319" s="77" t="str">
        <f>IFERROR(VLOOKUP($H319,TF[],3,FALSE),"NA")</f>
        <v>NA</v>
      </c>
      <c r="L319" s="77" t="str">
        <f>IFERROR(VLOOKUP($H319,TT[],3,FALSE),"NA")</f>
        <v>NA</v>
      </c>
      <c r="M319" s="77" t="str">
        <f>IFERROR(VLOOKUP($H319,TES[],3,FALSE),"NA")</f>
        <v>NA</v>
      </c>
      <c r="N319" s="77" t="str">
        <f>IFERROR(VLOOKUP($H319,TEC[],3,FALSE),"NA")</f>
        <v>NA</v>
      </c>
      <c r="O319" s="77" t="str">
        <f>IFERROR(VLOOKUP($H319,TP[],3,FALSE),"NA")</f>
        <v>NA</v>
      </c>
      <c r="P319" s="77" t="str">
        <f>IFERROR(VLOOKUP($H319,TEN[],3,FALSE),"NA")</f>
        <v>NA</v>
      </c>
      <c r="Q319" s="77" t="str">
        <f>IFERROR(VLOOKUP($H319,TD[],3,FALSE),"NA")</f>
        <v>NA</v>
      </c>
      <c r="R319" s="77">
        <f>IFERROR(VLOOKUP($H319,TC[],3,FALSE),"NA")</f>
        <v>0</v>
      </c>
      <c r="S319" s="77" t="str">
        <f>IFERROR(VLOOKUP($H319,TEV[],3,FALSE),"NA")</f>
        <v>NA</v>
      </c>
      <c r="T319" s="79">
        <f>SUM(TbPrestamo[[#This Row],[GENERAL]:[ELEVADOR]])</f>
        <v>0</v>
      </c>
      <c r="U319" s="80">
        <f>IF(VLOOKUP(TbPrestamo[[#This Row],[ITEM]],TbPiezas[],5,FALSE)="NA",0,VLOOKUP(TbPrestamo[[#This Row],[ITEM]],TbPiezas[],5,FALSE))</f>
        <v>0.1</v>
      </c>
      <c r="V319" s="81">
        <f>+TbPrestamo[[#This Row],[TOTAL]]*TbPrestamo[[#This Row],[P.U. (1)]]</f>
        <v>0</v>
      </c>
      <c r="W319" s="82">
        <f>+VLOOKUP(TbPrestamo[[#This Row],[ITEM]],TbPiezas[],6,FALSE)</f>
        <v>200</v>
      </c>
      <c r="X319" s="83">
        <f>+TbPrestamo[[#This Row],[TOTAL]]*TbPrestamo[[#This Row],[P.U. (2)]]</f>
        <v>0</v>
      </c>
      <c r="Y319" s="82">
        <f>+VLOOKUP(TbPrestamo[[#This Row],[ITEM]],TbPiezas[],7,FALSE)</f>
        <v>10</v>
      </c>
      <c r="Z319" s="84">
        <f>+TbPrestamo[[#This Row],[TOTAL]]*TbPrestamo[[#This Row],[P.U. (3)]]</f>
        <v>0</v>
      </c>
    </row>
    <row r="320" spans="1:26" ht="15" customHeight="1" x14ac:dyDescent="0.3">
      <c r="A320" s="2"/>
      <c r="B320" s="85">
        <v>302</v>
      </c>
      <c r="C320" s="71" t="s">
        <v>605</v>
      </c>
      <c r="D320" s="72" t="s">
        <v>606</v>
      </c>
      <c r="E320" s="73"/>
      <c r="F320" s="74">
        <f>+VLOOKUP(C320,TbPrestamo[],13,FALSE)</f>
        <v>0</v>
      </c>
      <c r="G320" s="2"/>
      <c r="H320" s="75" t="str">
        <f t="shared" si="8"/>
        <v>EN.0100</v>
      </c>
      <c r="I320" s="59" t="str">
        <f t="shared" si="9"/>
        <v>ok</v>
      </c>
      <c r="J320" s="77">
        <f>IFERROR(VLOOKUP($H320,TG[],3,FALSE),"NA")</f>
        <v>0</v>
      </c>
      <c r="K320" s="77" t="str">
        <f>IFERROR(VLOOKUP($H320,TF[],3,FALSE),"NA")</f>
        <v>NA</v>
      </c>
      <c r="L320" s="77" t="str">
        <f>IFERROR(VLOOKUP($H320,TT[],3,FALSE),"NA")</f>
        <v>NA</v>
      </c>
      <c r="M320" s="77" t="str">
        <f>IFERROR(VLOOKUP($H320,TES[],3,FALSE),"NA")</f>
        <v>NA</v>
      </c>
      <c r="N320" s="77" t="str">
        <f>IFERROR(VLOOKUP($H320,TEC[],3,FALSE),"NA")</f>
        <v>NA</v>
      </c>
      <c r="O320" s="77" t="str">
        <f>IFERROR(VLOOKUP($H320,TP[],3,FALSE),"NA")</f>
        <v>NA</v>
      </c>
      <c r="P320" s="77">
        <f>IFERROR(VLOOKUP($H320,TEN[],3,FALSE),"NA")</f>
        <v>0</v>
      </c>
      <c r="Q320" s="77" t="str">
        <f>IFERROR(VLOOKUP($H320,TD[],3,FALSE),"NA")</f>
        <v>NA</v>
      </c>
      <c r="R320" s="77" t="str">
        <f>IFERROR(VLOOKUP($H320,TC[],3,FALSE),"NA")</f>
        <v>NA</v>
      </c>
      <c r="S320" s="77" t="str">
        <f>IFERROR(VLOOKUP($H320,TEV[],3,FALSE),"NA")</f>
        <v>NA</v>
      </c>
      <c r="T320" s="79">
        <f>SUM(TbPrestamo[[#This Row],[GENERAL]:[ELEVADOR]])</f>
        <v>0</v>
      </c>
      <c r="U320" s="80">
        <f>IF(VLOOKUP(TbPrestamo[[#This Row],[ITEM]],TbPiezas[],5,FALSE)="NA",0,VLOOKUP(TbPrestamo[[#This Row],[ITEM]],TbPiezas[],5,FALSE))</f>
        <v>2.4</v>
      </c>
      <c r="V320" s="81">
        <f>+TbPrestamo[[#This Row],[TOTAL]]*TbPrestamo[[#This Row],[P.U. (1)]]</f>
        <v>0</v>
      </c>
      <c r="W320" s="82">
        <f>+VLOOKUP(TbPrestamo[[#This Row],[ITEM]],TbPiezas[],6,FALSE)</f>
        <v>102.82</v>
      </c>
      <c r="X320" s="83">
        <f>+TbPrestamo[[#This Row],[TOTAL]]*TbPrestamo[[#This Row],[P.U. (2)]]</f>
        <v>0</v>
      </c>
      <c r="Y320" s="82">
        <f>+VLOOKUP(TbPrestamo[[#This Row],[ITEM]],TbPiezas[],7,FALSE)</f>
        <v>5.141</v>
      </c>
      <c r="Z320" s="84">
        <f>+TbPrestamo[[#This Row],[TOTAL]]*TbPrestamo[[#This Row],[P.U. (3)]]</f>
        <v>0</v>
      </c>
    </row>
    <row r="321" spans="1:26" ht="15" customHeight="1" x14ac:dyDescent="0.3">
      <c r="A321" s="2"/>
      <c r="B321" s="85">
        <v>303</v>
      </c>
      <c r="C321" s="71" t="s">
        <v>607</v>
      </c>
      <c r="D321" s="72" t="s">
        <v>608</v>
      </c>
      <c r="E321" s="73"/>
      <c r="F321" s="74">
        <f>+VLOOKUP(C321,TbPrestamo[],13,FALSE)</f>
        <v>0</v>
      </c>
      <c r="G321" s="2"/>
      <c r="H321" s="75" t="str">
        <f t="shared" si="8"/>
        <v>EN.0200</v>
      </c>
      <c r="I321" s="59" t="str">
        <f t="shared" si="9"/>
        <v>ok</v>
      </c>
      <c r="J321" s="77">
        <f>IFERROR(VLOOKUP($H321,TG[],3,FALSE),"NA")</f>
        <v>0</v>
      </c>
      <c r="K321" s="77" t="str">
        <f>IFERROR(VLOOKUP($H321,TF[],3,FALSE),"NA")</f>
        <v>NA</v>
      </c>
      <c r="L321" s="77" t="str">
        <f>IFERROR(VLOOKUP($H321,TT[],3,FALSE),"NA")</f>
        <v>NA</v>
      </c>
      <c r="M321" s="77" t="str">
        <f>IFERROR(VLOOKUP($H321,TES[],3,FALSE),"NA")</f>
        <v>NA</v>
      </c>
      <c r="N321" s="77" t="str">
        <f>IFERROR(VLOOKUP($H321,TEC[],3,FALSE),"NA")</f>
        <v>NA</v>
      </c>
      <c r="O321" s="77" t="str">
        <f>IFERROR(VLOOKUP($H321,TP[],3,FALSE),"NA")</f>
        <v>NA</v>
      </c>
      <c r="P321" s="77">
        <f>IFERROR(VLOOKUP($H321,TEN[],3,FALSE),"NA")</f>
        <v>0</v>
      </c>
      <c r="Q321" s="77" t="str">
        <f>IFERROR(VLOOKUP($H321,TD[],3,FALSE),"NA")</f>
        <v>NA</v>
      </c>
      <c r="R321" s="77" t="str">
        <f>IFERROR(VLOOKUP($H321,TC[],3,FALSE),"NA")</f>
        <v>NA</v>
      </c>
      <c r="S321" s="77" t="str">
        <f>IFERROR(VLOOKUP($H321,TEV[],3,FALSE),"NA")</f>
        <v>NA</v>
      </c>
      <c r="T321" s="79">
        <f>SUM(TbPrestamo[[#This Row],[GENERAL]:[ELEVADOR]])</f>
        <v>0</v>
      </c>
      <c r="U321" s="80">
        <f>IF(VLOOKUP(TbPrestamo[[#This Row],[ITEM]],TbPiezas[],5,FALSE)="NA",0,VLOOKUP(TbPrestamo[[#This Row],[ITEM]],TbPiezas[],5,FALSE))</f>
        <v>2</v>
      </c>
      <c r="V321" s="81">
        <f>+TbPrestamo[[#This Row],[TOTAL]]*TbPrestamo[[#This Row],[P.U. (1)]]</f>
        <v>0</v>
      </c>
      <c r="W321" s="82">
        <f>+VLOOKUP(TbPrestamo[[#This Row],[ITEM]],TbPiezas[],6,FALSE)</f>
        <v>85.68</v>
      </c>
      <c r="X321" s="83">
        <f>+TbPrestamo[[#This Row],[TOTAL]]*TbPrestamo[[#This Row],[P.U. (2)]]</f>
        <v>0</v>
      </c>
      <c r="Y321" s="82">
        <f>+VLOOKUP(TbPrestamo[[#This Row],[ITEM]],TbPiezas[],7,FALSE)</f>
        <v>4.2840000000000007</v>
      </c>
      <c r="Z321" s="84">
        <f>+TbPrestamo[[#This Row],[TOTAL]]*TbPrestamo[[#This Row],[P.U. (3)]]</f>
        <v>0</v>
      </c>
    </row>
    <row r="322" spans="1:26" ht="15" customHeight="1" x14ac:dyDescent="0.3">
      <c r="A322" s="2"/>
      <c r="B322" s="85">
        <v>304</v>
      </c>
      <c r="C322" s="71" t="s">
        <v>609</v>
      </c>
      <c r="D322" s="72" t="s">
        <v>610</v>
      </c>
      <c r="E322" s="73"/>
      <c r="F322" s="74">
        <f>+VLOOKUP(C322,TbPrestamo[],13,FALSE)</f>
        <v>0</v>
      </c>
      <c r="G322" s="2"/>
      <c r="H322" s="75" t="str">
        <f t="shared" si="8"/>
        <v>EN.0300</v>
      </c>
      <c r="I322" s="59" t="str">
        <f t="shared" si="9"/>
        <v>ok</v>
      </c>
      <c r="J322" s="77">
        <f>IFERROR(VLOOKUP($H322,TG[],3,FALSE),"NA")</f>
        <v>0</v>
      </c>
      <c r="K322" s="77" t="str">
        <f>IFERROR(VLOOKUP($H322,TF[],3,FALSE),"NA")</f>
        <v>NA</v>
      </c>
      <c r="L322" s="77" t="str">
        <f>IFERROR(VLOOKUP($H322,TT[],3,FALSE),"NA")</f>
        <v>NA</v>
      </c>
      <c r="M322" s="77" t="str">
        <f>IFERROR(VLOOKUP($H322,TES[],3,FALSE),"NA")</f>
        <v>NA</v>
      </c>
      <c r="N322" s="77" t="str">
        <f>IFERROR(VLOOKUP($H322,TEC[],3,FALSE),"NA")</f>
        <v>NA</v>
      </c>
      <c r="O322" s="77" t="str">
        <f>IFERROR(VLOOKUP($H322,TP[],3,FALSE),"NA")</f>
        <v>NA</v>
      </c>
      <c r="P322" s="77">
        <f>IFERROR(VLOOKUP($H322,TEN[],3,FALSE),"NA")</f>
        <v>0</v>
      </c>
      <c r="Q322" s="77" t="str">
        <f>IFERROR(VLOOKUP($H322,TD[],3,FALSE),"NA")</f>
        <v>NA</v>
      </c>
      <c r="R322" s="77" t="str">
        <f>IFERROR(VLOOKUP($H322,TC[],3,FALSE),"NA")</f>
        <v>NA</v>
      </c>
      <c r="S322" s="77" t="str">
        <f>IFERROR(VLOOKUP($H322,TEV[],3,FALSE),"NA")</f>
        <v>NA</v>
      </c>
      <c r="T322" s="79">
        <f>SUM(TbPrestamo[[#This Row],[GENERAL]:[ELEVADOR]])</f>
        <v>0</v>
      </c>
      <c r="U322" s="80">
        <f>IF(VLOOKUP(TbPrestamo[[#This Row],[ITEM]],TbPiezas[],5,FALSE)="NA",0,VLOOKUP(TbPrestamo[[#This Row],[ITEM]],TbPiezas[],5,FALSE))</f>
        <v>0.5</v>
      </c>
      <c r="V322" s="81">
        <f>+TbPrestamo[[#This Row],[TOTAL]]*TbPrestamo[[#This Row],[P.U. (1)]]</f>
        <v>0</v>
      </c>
      <c r="W322" s="82">
        <f>+VLOOKUP(TbPrestamo[[#This Row],[ITEM]],TbPiezas[],6,FALSE)</f>
        <v>40.020000000000003</v>
      </c>
      <c r="X322" s="83">
        <f>+TbPrestamo[[#This Row],[TOTAL]]*TbPrestamo[[#This Row],[P.U. (2)]]</f>
        <v>0</v>
      </c>
      <c r="Y322" s="82">
        <f>+VLOOKUP(TbPrestamo[[#This Row],[ITEM]],TbPiezas[],7,FALSE)</f>
        <v>2.0010000000000003</v>
      </c>
      <c r="Z322" s="84">
        <f>+TbPrestamo[[#This Row],[TOTAL]]*TbPrestamo[[#This Row],[P.U. (3)]]</f>
        <v>0</v>
      </c>
    </row>
    <row r="323" spans="1:26" ht="15" customHeight="1" x14ac:dyDescent="0.3">
      <c r="A323" s="2"/>
      <c r="B323" s="85">
        <v>305</v>
      </c>
      <c r="C323" s="71" t="s">
        <v>611</v>
      </c>
      <c r="D323" s="72" t="s">
        <v>612</v>
      </c>
      <c r="E323" s="73"/>
      <c r="F323" s="74">
        <f>+VLOOKUP(C323,TbPrestamo[],13,FALSE)</f>
        <v>0</v>
      </c>
      <c r="G323" s="2"/>
      <c r="H323" s="75" t="str">
        <f t="shared" si="8"/>
        <v>EN.0310</v>
      </c>
      <c r="I323" s="59" t="str">
        <f t="shared" si="9"/>
        <v>ok</v>
      </c>
      <c r="J323" s="77">
        <f>IFERROR(VLOOKUP($H323,TG[],3,FALSE),"NA")</f>
        <v>0</v>
      </c>
      <c r="K323" s="77" t="str">
        <f>IFERROR(VLOOKUP($H323,TF[],3,FALSE),"NA")</f>
        <v>NA</v>
      </c>
      <c r="L323" s="77" t="str">
        <f>IFERROR(VLOOKUP($H323,TT[],3,FALSE),"NA")</f>
        <v>NA</v>
      </c>
      <c r="M323" s="77" t="str">
        <f>IFERROR(VLOOKUP($H323,TES[],3,FALSE),"NA")</f>
        <v>NA</v>
      </c>
      <c r="N323" s="77">
        <f>IFERROR(VLOOKUP($H323,TEC[],3,FALSE),"NA")</f>
        <v>0</v>
      </c>
      <c r="O323" s="77" t="str">
        <f>IFERROR(VLOOKUP($H323,TP[],3,FALSE),"NA")</f>
        <v>NA</v>
      </c>
      <c r="P323" s="77">
        <f>IFERROR(VLOOKUP($H323,TEN[],3,FALSE),"NA")</f>
        <v>0</v>
      </c>
      <c r="Q323" s="77" t="str">
        <f>IFERROR(VLOOKUP($H323,TD[],3,FALSE),"NA")</f>
        <v>NA</v>
      </c>
      <c r="R323" s="77" t="str">
        <f>IFERROR(VLOOKUP($H323,TC[],3,FALSE),"NA")</f>
        <v>NA</v>
      </c>
      <c r="S323" s="77" t="str">
        <f>IFERROR(VLOOKUP($H323,TEV[],3,FALSE),"NA")</f>
        <v>NA</v>
      </c>
      <c r="T323" s="79">
        <f>SUM(TbPrestamo[[#This Row],[GENERAL]:[ELEVADOR]])</f>
        <v>0</v>
      </c>
      <c r="U323" s="80">
        <f>IF(VLOOKUP(TbPrestamo[[#This Row],[ITEM]],TbPiezas[],5,FALSE)="NA",0,VLOOKUP(TbPrestamo[[#This Row],[ITEM]],TbPiezas[],5,FALSE))</f>
        <v>3</v>
      </c>
      <c r="V323" s="81">
        <f>+TbPrestamo[[#This Row],[TOTAL]]*TbPrestamo[[#This Row],[P.U. (1)]]</f>
        <v>0</v>
      </c>
      <c r="W323" s="82">
        <f>+VLOOKUP(TbPrestamo[[#This Row],[ITEM]],TbPiezas[],6,FALSE)</f>
        <v>128.53</v>
      </c>
      <c r="X323" s="83">
        <f>+TbPrestamo[[#This Row],[TOTAL]]*TbPrestamo[[#This Row],[P.U. (2)]]</f>
        <v>0</v>
      </c>
      <c r="Y323" s="82">
        <f>+VLOOKUP(TbPrestamo[[#This Row],[ITEM]],TbPiezas[],7,FALSE)</f>
        <v>6.4265000000000008</v>
      </c>
      <c r="Z323" s="84">
        <f>+TbPrestamo[[#This Row],[TOTAL]]*TbPrestamo[[#This Row],[P.U. (3)]]</f>
        <v>0</v>
      </c>
    </row>
    <row r="324" spans="1:26" ht="15" customHeight="1" x14ac:dyDescent="0.3">
      <c r="A324" s="2"/>
      <c r="B324" s="85">
        <v>306</v>
      </c>
      <c r="C324" s="71" t="s">
        <v>613</v>
      </c>
      <c r="D324" s="72" t="s">
        <v>614</v>
      </c>
      <c r="E324" s="73"/>
      <c r="F324" s="74">
        <f>+VLOOKUP(C324,TbPrestamo[],13,FALSE)</f>
        <v>0</v>
      </c>
      <c r="G324" s="2"/>
      <c r="H324" s="75" t="str">
        <f t="shared" si="8"/>
        <v>EN.0320</v>
      </c>
      <c r="I324" s="59" t="str">
        <f t="shared" si="9"/>
        <v>ok</v>
      </c>
      <c r="J324" s="77">
        <f>IFERROR(VLOOKUP($H324,TG[],3,FALSE),"NA")</f>
        <v>0</v>
      </c>
      <c r="K324" s="77" t="str">
        <f>IFERROR(VLOOKUP($H324,TF[],3,FALSE),"NA")</f>
        <v>NA</v>
      </c>
      <c r="L324" s="77" t="str">
        <f>IFERROR(VLOOKUP($H324,TT[],3,FALSE),"NA")</f>
        <v>NA</v>
      </c>
      <c r="M324" s="77" t="str">
        <f>IFERROR(VLOOKUP($H324,TES[],3,FALSE),"NA")</f>
        <v>NA</v>
      </c>
      <c r="N324" s="77" t="str">
        <f>IFERROR(VLOOKUP($H324,TEC[],3,FALSE),"NA")</f>
        <v>NA</v>
      </c>
      <c r="O324" s="77" t="str">
        <f>IFERROR(VLOOKUP($H324,TP[],3,FALSE),"NA")</f>
        <v>NA</v>
      </c>
      <c r="P324" s="77">
        <f>IFERROR(VLOOKUP($H324,TEN[],3,FALSE),"NA")</f>
        <v>0</v>
      </c>
      <c r="Q324" s="77" t="str">
        <f>IFERROR(VLOOKUP($H324,TD[],3,FALSE),"NA")</f>
        <v>NA</v>
      </c>
      <c r="R324" s="77" t="str">
        <f>IFERROR(VLOOKUP($H324,TC[],3,FALSE),"NA")</f>
        <v>NA</v>
      </c>
      <c r="S324" s="77">
        <f>IFERROR(VLOOKUP($H324,TEV[],3,FALSE),"NA")</f>
        <v>0</v>
      </c>
      <c r="T324" s="79">
        <f>SUM(TbPrestamo[[#This Row],[GENERAL]:[ELEVADOR]])</f>
        <v>0</v>
      </c>
      <c r="U324" s="80">
        <f>IF(VLOOKUP(TbPrestamo[[#This Row],[ITEM]],TbPiezas[],5,FALSE)="NA",0,VLOOKUP(TbPrestamo[[#This Row],[ITEM]],TbPiezas[],5,FALSE))</f>
        <v>2.2999999999999998</v>
      </c>
      <c r="V324" s="81">
        <f>+TbPrestamo[[#This Row],[TOTAL]]*TbPrestamo[[#This Row],[P.U. (1)]]</f>
        <v>0</v>
      </c>
      <c r="W324" s="82">
        <f>+VLOOKUP(TbPrestamo[[#This Row],[ITEM]],TbPiezas[],6,FALSE)</f>
        <v>107.99</v>
      </c>
      <c r="X324" s="83">
        <f>+TbPrestamo[[#This Row],[TOTAL]]*TbPrestamo[[#This Row],[P.U. (2)]]</f>
        <v>0</v>
      </c>
      <c r="Y324" s="82">
        <f>+VLOOKUP(TbPrestamo[[#This Row],[ITEM]],TbPiezas[],7,FALSE)</f>
        <v>5.3994999999999997</v>
      </c>
      <c r="Z324" s="84">
        <f>+TbPrestamo[[#This Row],[TOTAL]]*TbPrestamo[[#This Row],[P.U. (3)]]</f>
        <v>0</v>
      </c>
    </row>
    <row r="325" spans="1:26" ht="15" customHeight="1" x14ac:dyDescent="0.3">
      <c r="A325" s="2"/>
      <c r="B325" s="85">
        <v>307</v>
      </c>
      <c r="C325" s="71" t="s">
        <v>615</v>
      </c>
      <c r="D325" s="72" t="s">
        <v>616</v>
      </c>
      <c r="E325" s="73"/>
      <c r="F325" s="74">
        <f>+VLOOKUP(C325,TbPrestamo[],13,FALSE)</f>
        <v>0</v>
      </c>
      <c r="G325" s="2"/>
      <c r="H325" s="75" t="str">
        <f t="shared" si="8"/>
        <v>EN.0325</v>
      </c>
      <c r="I325" s="59" t="str">
        <f t="shared" si="9"/>
        <v>ok</v>
      </c>
      <c r="J325" s="77">
        <f>IFERROR(VLOOKUP($H325,TG[],3,FALSE),"NA")</f>
        <v>0</v>
      </c>
      <c r="K325" s="77" t="str">
        <f>IFERROR(VLOOKUP($H325,TF[],3,FALSE),"NA")</f>
        <v>NA</v>
      </c>
      <c r="L325" s="77" t="str">
        <f>IFERROR(VLOOKUP($H325,TT[],3,FALSE),"NA")</f>
        <v>NA</v>
      </c>
      <c r="M325" s="77" t="str">
        <f>IFERROR(VLOOKUP($H325,TES[],3,FALSE),"NA")</f>
        <v>NA</v>
      </c>
      <c r="N325" s="77" t="str">
        <f>IFERROR(VLOOKUP($H325,TEC[],3,FALSE),"NA")</f>
        <v>NA</v>
      </c>
      <c r="O325" s="77" t="str">
        <f>IFERROR(VLOOKUP($H325,TP[],3,FALSE),"NA")</f>
        <v>NA</v>
      </c>
      <c r="P325" s="77">
        <f>IFERROR(VLOOKUP($H325,TEN[],3,FALSE),"NA")</f>
        <v>0</v>
      </c>
      <c r="Q325" s="77" t="str">
        <f>IFERROR(VLOOKUP($H325,TD[],3,FALSE),"NA")</f>
        <v>NA</v>
      </c>
      <c r="R325" s="77" t="str">
        <f>IFERROR(VLOOKUP($H325,TC[],3,FALSE),"NA")</f>
        <v>NA</v>
      </c>
      <c r="S325" s="77">
        <f>IFERROR(VLOOKUP($H325,TEV[],3,FALSE),"NA")</f>
        <v>0</v>
      </c>
      <c r="T325" s="79">
        <f>SUM(TbPrestamo[[#This Row],[GENERAL]:[ELEVADOR]])</f>
        <v>0</v>
      </c>
      <c r="U325" s="80">
        <f>IF(VLOOKUP(TbPrestamo[[#This Row],[ITEM]],TbPiezas[],5,FALSE)="NA",0,VLOOKUP(TbPrestamo[[#This Row],[ITEM]],TbPiezas[],5,FALSE))</f>
        <v>1.7</v>
      </c>
      <c r="V325" s="81">
        <f>+TbPrestamo[[#This Row],[TOTAL]]*TbPrestamo[[#This Row],[P.U. (1)]]</f>
        <v>0</v>
      </c>
      <c r="W325" s="82">
        <f>+VLOOKUP(TbPrestamo[[#This Row],[ITEM]],TbPiezas[],6,FALSE)</f>
        <v>79.34</v>
      </c>
      <c r="X325" s="83">
        <f>+TbPrestamo[[#This Row],[TOTAL]]*TbPrestamo[[#This Row],[P.U. (2)]]</f>
        <v>0</v>
      </c>
      <c r="Y325" s="82">
        <f>+VLOOKUP(TbPrestamo[[#This Row],[ITEM]],TbPiezas[],7,FALSE)</f>
        <v>3.9670000000000005</v>
      </c>
      <c r="Z325" s="84">
        <f>+TbPrestamo[[#This Row],[TOTAL]]*TbPrestamo[[#This Row],[P.U. (3)]]</f>
        <v>0</v>
      </c>
    </row>
    <row r="326" spans="1:26" ht="15" customHeight="1" x14ac:dyDescent="0.3">
      <c r="A326" s="2"/>
      <c r="B326" s="85">
        <v>308</v>
      </c>
      <c r="C326" s="71" t="s">
        <v>617</v>
      </c>
      <c r="D326" s="72" t="s">
        <v>618</v>
      </c>
      <c r="E326" s="73"/>
      <c r="F326" s="74">
        <f>+VLOOKUP(C326,TbPrestamo[],13,FALSE)</f>
        <v>0</v>
      </c>
      <c r="G326" s="2"/>
      <c r="H326" s="75" t="str">
        <f t="shared" si="8"/>
        <v>EN.0330</v>
      </c>
      <c r="I326" s="59" t="str">
        <f t="shared" si="9"/>
        <v>ok</v>
      </c>
      <c r="J326" s="77">
        <f>IFERROR(VLOOKUP($H326,TG[],3,FALSE),"NA")</f>
        <v>0</v>
      </c>
      <c r="K326" s="77" t="str">
        <f>IFERROR(VLOOKUP($H326,TF[],3,FALSE),"NA")</f>
        <v>NA</v>
      </c>
      <c r="L326" s="77" t="str">
        <f>IFERROR(VLOOKUP($H326,TT[],3,FALSE),"NA")</f>
        <v>NA</v>
      </c>
      <c r="M326" s="77" t="str">
        <f>IFERROR(VLOOKUP($H326,TES[],3,FALSE),"NA")</f>
        <v>NA</v>
      </c>
      <c r="N326" s="77" t="str">
        <f>IFERROR(VLOOKUP($H326,TEC[],3,FALSE),"NA")</f>
        <v>NA</v>
      </c>
      <c r="O326" s="77" t="str">
        <f>IFERROR(VLOOKUP($H326,TP[],3,FALSE),"NA")</f>
        <v>NA</v>
      </c>
      <c r="P326" s="77">
        <f>IFERROR(VLOOKUP($H326,TEN[],3,FALSE),"NA")</f>
        <v>0</v>
      </c>
      <c r="Q326" s="77" t="str">
        <f>IFERROR(VLOOKUP($H326,TD[],3,FALSE),"NA")</f>
        <v>NA</v>
      </c>
      <c r="R326" s="77" t="str">
        <f>IFERROR(VLOOKUP($H326,TC[],3,FALSE),"NA")</f>
        <v>NA</v>
      </c>
      <c r="S326" s="77" t="str">
        <f>IFERROR(VLOOKUP($H326,TEV[],3,FALSE),"NA")</f>
        <v>NA</v>
      </c>
      <c r="T326" s="79">
        <f>SUM(TbPrestamo[[#This Row],[GENERAL]:[ELEVADOR]])</f>
        <v>0</v>
      </c>
      <c r="U326" s="80">
        <f>IF(VLOOKUP(TbPrestamo[[#This Row],[ITEM]],TbPiezas[],5,FALSE)="NA",0,VLOOKUP(TbPrestamo[[#This Row],[ITEM]],TbPiezas[],5,FALSE))</f>
        <v>1.4</v>
      </c>
      <c r="V326" s="81">
        <f>+TbPrestamo[[#This Row],[TOTAL]]*TbPrestamo[[#This Row],[P.U. (1)]]</f>
        <v>0</v>
      </c>
      <c r="W326" s="82">
        <f>+VLOOKUP(TbPrestamo[[#This Row],[ITEM]],TbPiezas[],6,FALSE)</f>
        <v>82.58</v>
      </c>
      <c r="X326" s="83">
        <f>+TbPrestamo[[#This Row],[TOTAL]]*TbPrestamo[[#This Row],[P.U. (2)]]</f>
        <v>0</v>
      </c>
      <c r="Y326" s="82">
        <f>+VLOOKUP(TbPrestamo[[#This Row],[ITEM]],TbPiezas[],7,FALSE)</f>
        <v>4.1290000000000004</v>
      </c>
      <c r="Z326" s="84">
        <f>+TbPrestamo[[#This Row],[TOTAL]]*TbPrestamo[[#This Row],[P.U. (3)]]</f>
        <v>0</v>
      </c>
    </row>
    <row r="327" spans="1:26" ht="15" customHeight="1" x14ac:dyDescent="0.3">
      <c r="A327" s="2"/>
      <c r="B327" s="85">
        <v>309</v>
      </c>
      <c r="C327" s="71" t="s">
        <v>619</v>
      </c>
      <c r="D327" s="72" t="s">
        <v>620</v>
      </c>
      <c r="E327" s="73"/>
      <c r="F327" s="74">
        <f>+VLOOKUP(C327,TbPrestamo[],13,FALSE)</f>
        <v>0</v>
      </c>
      <c r="G327" s="2"/>
      <c r="H327" s="75" t="str">
        <f t="shared" si="8"/>
        <v>EN.0331</v>
      </c>
      <c r="I327" s="59" t="str">
        <f t="shared" si="9"/>
        <v>ok</v>
      </c>
      <c r="J327" s="77">
        <f>IFERROR(VLOOKUP($H327,TG[],3,FALSE),"NA")</f>
        <v>0</v>
      </c>
      <c r="K327" s="77" t="str">
        <f>IFERROR(VLOOKUP($H327,TF[],3,FALSE),"NA")</f>
        <v>NA</v>
      </c>
      <c r="L327" s="77" t="str">
        <f>IFERROR(VLOOKUP($H327,TT[],3,FALSE),"NA")</f>
        <v>NA</v>
      </c>
      <c r="M327" s="77" t="str">
        <f>IFERROR(VLOOKUP($H327,TES[],3,FALSE),"NA")</f>
        <v>NA</v>
      </c>
      <c r="N327" s="77" t="str">
        <f>IFERROR(VLOOKUP($H327,TEC[],3,FALSE),"NA")</f>
        <v>NA</v>
      </c>
      <c r="O327" s="77" t="str">
        <f>IFERROR(VLOOKUP($H327,TP[],3,FALSE),"NA")</f>
        <v>NA</v>
      </c>
      <c r="P327" s="77">
        <f>IFERROR(VLOOKUP($H327,TEN[],3,FALSE),"NA")</f>
        <v>0</v>
      </c>
      <c r="Q327" s="77" t="str">
        <f>IFERROR(VLOOKUP($H327,TD[],3,FALSE),"NA")</f>
        <v>NA</v>
      </c>
      <c r="R327" s="77" t="str">
        <f>IFERROR(VLOOKUP($H327,TC[],3,FALSE),"NA")</f>
        <v>NA</v>
      </c>
      <c r="S327" s="77" t="str">
        <f>IFERROR(VLOOKUP($H327,TEV[],3,FALSE),"NA")</f>
        <v>NA</v>
      </c>
      <c r="T327" s="79">
        <f>SUM(TbPrestamo[[#This Row],[GENERAL]:[ELEVADOR]])</f>
        <v>0</v>
      </c>
      <c r="U327" s="80">
        <f>IF(VLOOKUP(TbPrestamo[[#This Row],[ITEM]],TbPiezas[],5,FALSE)="NA",0,VLOOKUP(TbPrestamo[[#This Row],[ITEM]],TbPiezas[],5,FALSE))</f>
        <v>1.8</v>
      </c>
      <c r="V327" s="81">
        <f>+TbPrestamo[[#This Row],[TOTAL]]*TbPrestamo[[#This Row],[P.U. (1)]]</f>
        <v>0</v>
      </c>
      <c r="W327" s="82">
        <f>+VLOOKUP(TbPrestamo[[#This Row],[ITEM]],TbPiezas[],6,FALSE)</f>
        <v>95.29</v>
      </c>
      <c r="X327" s="83">
        <f>+TbPrestamo[[#This Row],[TOTAL]]*TbPrestamo[[#This Row],[P.U. (2)]]</f>
        <v>0</v>
      </c>
      <c r="Y327" s="82">
        <f>+VLOOKUP(TbPrestamo[[#This Row],[ITEM]],TbPiezas[],7,FALSE)</f>
        <v>4.7645000000000008</v>
      </c>
      <c r="Z327" s="84">
        <f>+TbPrestamo[[#This Row],[TOTAL]]*TbPrestamo[[#This Row],[P.U. (3)]]</f>
        <v>0</v>
      </c>
    </row>
    <row r="328" spans="1:26" ht="15" customHeight="1" x14ac:dyDescent="0.3">
      <c r="A328" s="2"/>
      <c r="B328" s="85">
        <v>310</v>
      </c>
      <c r="C328" s="71" t="s">
        <v>621</v>
      </c>
      <c r="D328" s="72" t="s">
        <v>622</v>
      </c>
      <c r="E328" s="73"/>
      <c r="F328" s="74">
        <f>+VLOOKUP(C328,TbPrestamo[],13,FALSE)</f>
        <v>0</v>
      </c>
      <c r="G328" s="2"/>
      <c r="H328" s="75" t="str">
        <f t="shared" si="8"/>
        <v>EN.0400</v>
      </c>
      <c r="I328" s="59" t="str">
        <f t="shared" si="9"/>
        <v>ok</v>
      </c>
      <c r="J328" s="77">
        <f>IFERROR(VLOOKUP($H328,TG[],3,FALSE),"NA")</f>
        <v>0</v>
      </c>
      <c r="K328" s="77" t="str">
        <f>IFERROR(VLOOKUP($H328,TF[],3,FALSE),"NA")</f>
        <v>NA</v>
      </c>
      <c r="L328" s="77" t="str">
        <f>IFERROR(VLOOKUP($H328,TT[],3,FALSE),"NA")</f>
        <v>NA</v>
      </c>
      <c r="M328" s="77" t="str">
        <f>IFERROR(VLOOKUP($H328,TES[],3,FALSE),"NA")</f>
        <v>NA</v>
      </c>
      <c r="N328" s="77">
        <f>IFERROR(VLOOKUP($H328,TEC[],3,FALSE),"NA")</f>
        <v>0</v>
      </c>
      <c r="O328" s="77" t="str">
        <f>IFERROR(VLOOKUP($H328,TP[],3,FALSE),"NA")</f>
        <v>NA</v>
      </c>
      <c r="P328" s="77">
        <f>IFERROR(VLOOKUP($H328,TEN[],3,FALSE),"NA")</f>
        <v>0</v>
      </c>
      <c r="Q328" s="77" t="str">
        <f>IFERROR(VLOOKUP($H328,TD[],3,FALSE),"NA")</f>
        <v>NA</v>
      </c>
      <c r="R328" s="77" t="str">
        <f>IFERROR(VLOOKUP($H328,TC[],3,FALSE),"NA")</f>
        <v>NA</v>
      </c>
      <c r="S328" s="77" t="str">
        <f>IFERROR(VLOOKUP($H328,TEV[],3,FALSE),"NA")</f>
        <v>NA</v>
      </c>
      <c r="T328" s="79">
        <f>SUM(TbPrestamo[[#This Row],[GENERAL]:[ELEVADOR]])</f>
        <v>0</v>
      </c>
      <c r="U328" s="80">
        <f>IF(VLOOKUP(TbPrestamo[[#This Row],[ITEM]],TbPiezas[],5,FALSE)="NA",0,VLOOKUP(TbPrestamo[[#This Row],[ITEM]],TbPiezas[],5,FALSE))</f>
        <v>2</v>
      </c>
      <c r="V328" s="81">
        <f>+TbPrestamo[[#This Row],[TOTAL]]*TbPrestamo[[#This Row],[P.U. (1)]]</f>
        <v>0</v>
      </c>
      <c r="W328" s="82">
        <f>+VLOOKUP(TbPrestamo[[#This Row],[ITEM]],TbPiezas[],6,FALSE)</f>
        <v>85.68</v>
      </c>
      <c r="X328" s="83">
        <f>+TbPrestamo[[#This Row],[TOTAL]]*TbPrestamo[[#This Row],[P.U. (2)]]</f>
        <v>0</v>
      </c>
      <c r="Y328" s="82">
        <f>+VLOOKUP(TbPrestamo[[#This Row],[ITEM]],TbPiezas[],7,FALSE)</f>
        <v>4.2840000000000007</v>
      </c>
      <c r="Z328" s="84">
        <f>+TbPrestamo[[#This Row],[TOTAL]]*TbPrestamo[[#This Row],[P.U. (3)]]</f>
        <v>0</v>
      </c>
    </row>
    <row r="329" spans="1:26" ht="15" customHeight="1" x14ac:dyDescent="0.3">
      <c r="A329" s="2"/>
      <c r="B329" s="85">
        <v>311</v>
      </c>
      <c r="C329" s="71" t="s">
        <v>623</v>
      </c>
      <c r="D329" s="72" t="s">
        <v>624</v>
      </c>
      <c r="E329" s="73"/>
      <c r="F329" s="74">
        <f>+VLOOKUP(C329,TbPrestamo[],13,FALSE)</f>
        <v>0</v>
      </c>
      <c r="G329" s="2"/>
      <c r="H329" s="75" t="str">
        <f t="shared" si="8"/>
        <v>EN.0500</v>
      </c>
      <c r="I329" s="59" t="str">
        <f t="shared" si="9"/>
        <v>ok</v>
      </c>
      <c r="J329" s="77">
        <f>IFERROR(VLOOKUP($H329,TG[],3,FALSE),"NA")</f>
        <v>0</v>
      </c>
      <c r="K329" s="77" t="str">
        <f>IFERROR(VLOOKUP($H329,TF[],3,FALSE),"NA")</f>
        <v>NA</v>
      </c>
      <c r="L329" s="77" t="str">
        <f>IFERROR(VLOOKUP($H329,TT[],3,FALSE),"NA")</f>
        <v>NA</v>
      </c>
      <c r="M329" s="77" t="str">
        <f>IFERROR(VLOOKUP($H329,TES[],3,FALSE),"NA")</f>
        <v>NA</v>
      </c>
      <c r="N329" s="77" t="str">
        <f>IFERROR(VLOOKUP($H329,TEC[],3,FALSE),"NA")</f>
        <v>NA</v>
      </c>
      <c r="O329" s="77" t="str">
        <f>IFERROR(VLOOKUP($H329,TP[],3,FALSE),"NA")</f>
        <v>NA</v>
      </c>
      <c r="P329" s="77">
        <f>IFERROR(VLOOKUP($H329,TEN[],3,FALSE),"NA")</f>
        <v>0</v>
      </c>
      <c r="Q329" s="77" t="str">
        <f>IFERROR(VLOOKUP($H329,TD[],3,FALSE),"NA")</f>
        <v>NA</v>
      </c>
      <c r="R329" s="77" t="str">
        <f>IFERROR(VLOOKUP($H329,TC[],3,FALSE),"NA")</f>
        <v>NA</v>
      </c>
      <c r="S329" s="77" t="str">
        <f>IFERROR(VLOOKUP($H329,TEV[],3,FALSE),"NA")</f>
        <v>NA</v>
      </c>
      <c r="T329" s="79">
        <f>SUM(TbPrestamo[[#This Row],[GENERAL]:[ELEVADOR]])</f>
        <v>0</v>
      </c>
      <c r="U329" s="80">
        <f>IF(VLOOKUP(TbPrestamo[[#This Row],[ITEM]],TbPiezas[],5,FALSE)="NA",0,VLOOKUP(TbPrestamo[[#This Row],[ITEM]],TbPiezas[],5,FALSE))</f>
        <v>0.79999999999999716</v>
      </c>
      <c r="V329" s="81">
        <f>+TbPrestamo[[#This Row],[TOTAL]]*TbPrestamo[[#This Row],[P.U. (1)]]</f>
        <v>0</v>
      </c>
      <c r="W329" s="82">
        <f>+VLOOKUP(TbPrestamo[[#This Row],[ITEM]],TbPiezas[],6,FALSE)</f>
        <v>63.53</v>
      </c>
      <c r="X329" s="83">
        <f>+TbPrestamo[[#This Row],[TOTAL]]*TbPrestamo[[#This Row],[P.U. (2)]]</f>
        <v>0</v>
      </c>
      <c r="Y329" s="82">
        <f>+VLOOKUP(TbPrestamo[[#This Row],[ITEM]],TbPiezas[],7,FALSE)</f>
        <v>3.1765000000000003</v>
      </c>
      <c r="Z329" s="84">
        <f>+TbPrestamo[[#This Row],[TOTAL]]*TbPrestamo[[#This Row],[P.U. (3)]]</f>
        <v>0</v>
      </c>
    </row>
    <row r="330" spans="1:26" ht="15" customHeight="1" x14ac:dyDescent="0.3">
      <c r="A330" s="2"/>
      <c r="B330" s="85">
        <v>312</v>
      </c>
      <c r="C330" s="71" t="s">
        <v>625</v>
      </c>
      <c r="D330" s="72" t="s">
        <v>626</v>
      </c>
      <c r="E330" s="73"/>
      <c r="F330" s="74">
        <f>+VLOOKUP(C330,TbPrestamo[],13,FALSE)</f>
        <v>0</v>
      </c>
      <c r="G330" s="2"/>
      <c r="H330" s="75" t="str">
        <f t="shared" si="8"/>
        <v>EN.0550</v>
      </c>
      <c r="I330" s="59" t="str">
        <f t="shared" si="9"/>
        <v>ok</v>
      </c>
      <c r="J330" s="77">
        <f>IFERROR(VLOOKUP($H330,TG[],3,FALSE),"NA")</f>
        <v>0</v>
      </c>
      <c r="K330" s="77" t="str">
        <f>IFERROR(VLOOKUP($H330,TF[],3,FALSE),"NA")</f>
        <v>NA</v>
      </c>
      <c r="L330" s="77" t="str">
        <f>IFERROR(VLOOKUP($H330,TT[],3,FALSE),"NA")</f>
        <v>NA</v>
      </c>
      <c r="M330" s="77" t="str">
        <f>IFERROR(VLOOKUP($H330,TES[],3,FALSE),"NA")</f>
        <v>NA</v>
      </c>
      <c r="N330" s="77" t="str">
        <f>IFERROR(VLOOKUP($H330,TEC[],3,FALSE),"NA")</f>
        <v>NA</v>
      </c>
      <c r="O330" s="77" t="str">
        <f>IFERROR(VLOOKUP($H330,TP[],3,FALSE),"NA")</f>
        <v>NA</v>
      </c>
      <c r="P330" s="77">
        <f>IFERROR(VLOOKUP($H330,TEN[],3,FALSE),"NA")</f>
        <v>0</v>
      </c>
      <c r="Q330" s="77" t="str">
        <f>IFERROR(VLOOKUP($H330,TD[],3,FALSE),"NA")</f>
        <v>NA</v>
      </c>
      <c r="R330" s="77" t="str">
        <f>IFERROR(VLOOKUP($H330,TC[],3,FALSE),"NA")</f>
        <v>NA</v>
      </c>
      <c r="S330" s="77" t="str">
        <f>IFERROR(VLOOKUP($H330,TEV[],3,FALSE),"NA")</f>
        <v>NA</v>
      </c>
      <c r="T330" s="79">
        <f>SUM(TbPrestamo[[#This Row],[GENERAL]:[ELEVADOR]])</f>
        <v>0</v>
      </c>
      <c r="U330" s="80">
        <f>IF(VLOOKUP(TbPrestamo[[#This Row],[ITEM]],TbPiezas[],5,FALSE)="NA",0,VLOOKUP(TbPrestamo[[#This Row],[ITEM]],TbPiezas[],5,FALSE))</f>
        <v>5.5</v>
      </c>
      <c r="V330" s="81">
        <f>+TbPrestamo[[#This Row],[TOTAL]]*TbPrestamo[[#This Row],[P.U. (1)]]</f>
        <v>0</v>
      </c>
      <c r="W330" s="82">
        <f>+VLOOKUP(TbPrestamo[[#This Row],[ITEM]],TbPiezas[],6,FALSE)</f>
        <v>185</v>
      </c>
      <c r="X330" s="83">
        <f>+TbPrestamo[[#This Row],[TOTAL]]*TbPrestamo[[#This Row],[P.U. (2)]]</f>
        <v>0</v>
      </c>
      <c r="Y330" s="82">
        <f>+VLOOKUP(TbPrestamo[[#This Row],[ITEM]],TbPiezas[],7,FALSE)</f>
        <v>9.25</v>
      </c>
      <c r="Z330" s="84">
        <f>+TbPrestamo[[#This Row],[TOTAL]]*TbPrestamo[[#This Row],[P.U. (3)]]</f>
        <v>0</v>
      </c>
    </row>
    <row r="331" spans="1:26" ht="15" customHeight="1" x14ac:dyDescent="0.3">
      <c r="A331" s="2"/>
      <c r="B331" s="85">
        <v>313</v>
      </c>
      <c r="C331" s="71" t="s">
        <v>627</v>
      </c>
      <c r="D331" s="72" t="s">
        <v>628</v>
      </c>
      <c r="E331" s="73"/>
      <c r="F331" s="74">
        <f>+VLOOKUP(C331,TbPrestamo[],13,FALSE)</f>
        <v>0</v>
      </c>
      <c r="G331" s="2"/>
      <c r="H331" s="75" t="str">
        <f t="shared" si="8"/>
        <v>EN.0600</v>
      </c>
      <c r="I331" s="59" t="str">
        <f t="shared" si="9"/>
        <v>ok</v>
      </c>
      <c r="J331" s="77">
        <f>IFERROR(VLOOKUP($H331,TG[],3,FALSE),"NA")</f>
        <v>0</v>
      </c>
      <c r="K331" s="77" t="str">
        <f>IFERROR(VLOOKUP($H331,TF[],3,FALSE),"NA")</f>
        <v>NA</v>
      </c>
      <c r="L331" s="77" t="str">
        <f>IFERROR(VLOOKUP($H331,TT[],3,FALSE),"NA")</f>
        <v>NA</v>
      </c>
      <c r="M331" s="77" t="str">
        <f>IFERROR(VLOOKUP($H331,TES[],3,FALSE),"NA")</f>
        <v>NA</v>
      </c>
      <c r="N331" s="77" t="str">
        <f>IFERROR(VLOOKUP($H331,TEC[],3,FALSE),"NA")</f>
        <v>NA</v>
      </c>
      <c r="O331" s="77" t="str">
        <f>IFERROR(VLOOKUP($H331,TP[],3,FALSE),"NA")</f>
        <v>NA</v>
      </c>
      <c r="P331" s="77">
        <f>IFERROR(VLOOKUP($H331,TEN[],3,FALSE),"NA")</f>
        <v>0</v>
      </c>
      <c r="Q331" s="77" t="str">
        <f>IFERROR(VLOOKUP($H331,TD[],3,FALSE),"NA")</f>
        <v>NA</v>
      </c>
      <c r="R331" s="77" t="str">
        <f>IFERROR(VLOOKUP($H331,TC[],3,FALSE),"NA")</f>
        <v>NA</v>
      </c>
      <c r="S331" s="77" t="str">
        <f>IFERROR(VLOOKUP($H331,TEV[],3,FALSE),"NA")</f>
        <v>NA</v>
      </c>
      <c r="T331" s="79">
        <f>SUM(TbPrestamo[[#This Row],[GENERAL]:[ELEVADOR]])</f>
        <v>0</v>
      </c>
      <c r="U331" s="80">
        <f>IF(VLOOKUP(TbPrestamo[[#This Row],[ITEM]],TbPiezas[],5,FALSE)="NA",0,VLOOKUP(TbPrestamo[[#This Row],[ITEM]],TbPiezas[],5,FALSE))</f>
        <v>17.399999999999991</v>
      </c>
      <c r="V331" s="81">
        <f>+TbPrestamo[[#This Row],[TOTAL]]*TbPrestamo[[#This Row],[P.U. (1)]]</f>
        <v>0</v>
      </c>
      <c r="W331" s="82">
        <f>+VLOOKUP(TbPrestamo[[#This Row],[ITEM]],TbPiezas[],6,FALSE)</f>
        <v>247.38</v>
      </c>
      <c r="X331" s="83">
        <f>+TbPrestamo[[#This Row],[TOTAL]]*TbPrestamo[[#This Row],[P.U. (2)]]</f>
        <v>0</v>
      </c>
      <c r="Y331" s="82">
        <f>+VLOOKUP(TbPrestamo[[#This Row],[ITEM]],TbPiezas[],7,FALSE)</f>
        <v>12.369</v>
      </c>
      <c r="Z331" s="84">
        <f>+TbPrestamo[[#This Row],[TOTAL]]*TbPrestamo[[#This Row],[P.U. (3)]]</f>
        <v>0</v>
      </c>
    </row>
    <row r="332" spans="1:26" ht="15" customHeight="1" x14ac:dyDescent="0.3">
      <c r="A332" s="2"/>
      <c r="B332" s="85">
        <v>314</v>
      </c>
      <c r="C332" s="71" t="s">
        <v>629</v>
      </c>
      <c r="D332" s="72" t="s">
        <v>630</v>
      </c>
      <c r="E332" s="73"/>
      <c r="F332" s="74">
        <f>+VLOOKUP(C332,TbPrestamo[],13,FALSE)</f>
        <v>0</v>
      </c>
      <c r="G332" s="2"/>
      <c r="H332" s="75" t="str">
        <f t="shared" si="8"/>
        <v>EN.0650</v>
      </c>
      <c r="I332" s="59" t="str">
        <f t="shared" si="9"/>
        <v>ok</v>
      </c>
      <c r="J332" s="77">
        <f>IFERROR(VLOOKUP($H332,TG[],3,FALSE),"NA")</f>
        <v>0</v>
      </c>
      <c r="K332" s="77" t="str">
        <f>IFERROR(VLOOKUP($H332,TF[],3,FALSE),"NA")</f>
        <v>NA</v>
      </c>
      <c r="L332" s="77" t="str">
        <f>IFERROR(VLOOKUP($H332,TT[],3,FALSE),"NA")</f>
        <v>NA</v>
      </c>
      <c r="M332" s="77" t="str">
        <f>IFERROR(VLOOKUP($H332,TES[],3,FALSE),"NA")</f>
        <v>NA</v>
      </c>
      <c r="N332" s="77" t="str">
        <f>IFERROR(VLOOKUP($H332,TEC[],3,FALSE),"NA")</f>
        <v>NA</v>
      </c>
      <c r="O332" s="77" t="str">
        <f>IFERROR(VLOOKUP($H332,TP[],3,FALSE),"NA")</f>
        <v>NA</v>
      </c>
      <c r="P332" s="77">
        <f>IFERROR(VLOOKUP($H332,TEN[],3,FALSE),"NA")</f>
        <v>0</v>
      </c>
      <c r="Q332" s="77" t="str">
        <f>IFERROR(VLOOKUP($H332,TD[],3,FALSE),"NA")</f>
        <v>NA</v>
      </c>
      <c r="R332" s="77" t="str">
        <f>IFERROR(VLOOKUP($H332,TC[],3,FALSE),"NA")</f>
        <v>NA</v>
      </c>
      <c r="S332" s="77" t="str">
        <f>IFERROR(VLOOKUP($H332,TEV[],3,FALSE),"NA")</f>
        <v>NA</v>
      </c>
      <c r="T332" s="79">
        <f>SUM(TbPrestamo[[#This Row],[GENERAL]:[ELEVADOR]])</f>
        <v>0</v>
      </c>
      <c r="U332" s="80">
        <f>IF(VLOOKUP(TbPrestamo[[#This Row],[ITEM]],TbPiezas[],5,FALSE)="NA",0,VLOOKUP(TbPrestamo[[#This Row],[ITEM]],TbPiezas[],5,FALSE))</f>
        <v>11.6</v>
      </c>
      <c r="V332" s="81">
        <f>+TbPrestamo[[#This Row],[TOTAL]]*TbPrestamo[[#This Row],[P.U. (1)]]</f>
        <v>0</v>
      </c>
      <c r="W332" s="82">
        <f>+VLOOKUP(TbPrestamo[[#This Row],[ITEM]],TbPiezas[],6,FALSE)</f>
        <v>164.91</v>
      </c>
      <c r="X332" s="83">
        <f>+TbPrestamo[[#This Row],[TOTAL]]*TbPrestamo[[#This Row],[P.U. (2)]]</f>
        <v>0</v>
      </c>
      <c r="Y332" s="82">
        <f>+VLOOKUP(TbPrestamo[[#This Row],[ITEM]],TbPiezas[],7,FALSE)</f>
        <v>8.2454999999999998</v>
      </c>
      <c r="Z332" s="84">
        <f>+TbPrestamo[[#This Row],[TOTAL]]*TbPrestamo[[#This Row],[P.U. (3)]]</f>
        <v>0</v>
      </c>
    </row>
    <row r="333" spans="1:26" ht="15" customHeight="1" x14ac:dyDescent="0.3">
      <c r="A333" s="2"/>
      <c r="B333" s="85">
        <v>315</v>
      </c>
      <c r="C333" s="71" t="s">
        <v>631</v>
      </c>
      <c r="D333" s="72" t="s">
        <v>632</v>
      </c>
      <c r="E333" s="73"/>
      <c r="F333" s="74">
        <f>+VLOOKUP(C333,TbPrestamo[],13,FALSE)</f>
        <v>0</v>
      </c>
      <c r="G333" s="2"/>
      <c r="H333" s="75" t="str">
        <f t="shared" si="8"/>
        <v>EN.0700</v>
      </c>
      <c r="I333" s="59" t="str">
        <f t="shared" si="9"/>
        <v>ok</v>
      </c>
      <c r="J333" s="77">
        <f>IFERROR(VLOOKUP($H333,TG[],3,FALSE),"NA")</f>
        <v>0</v>
      </c>
      <c r="K333" s="77" t="str">
        <f>IFERROR(VLOOKUP($H333,TF[],3,FALSE),"NA")</f>
        <v>NA</v>
      </c>
      <c r="L333" s="77" t="str">
        <f>IFERROR(VLOOKUP($H333,TT[],3,FALSE),"NA")</f>
        <v>NA</v>
      </c>
      <c r="M333" s="77" t="str">
        <f>IFERROR(VLOOKUP($H333,TES[],3,FALSE),"NA")</f>
        <v>NA</v>
      </c>
      <c r="N333" s="77" t="str">
        <f>IFERROR(VLOOKUP($H333,TEC[],3,FALSE),"NA")</f>
        <v>NA</v>
      </c>
      <c r="O333" s="77" t="str">
        <f>IFERROR(VLOOKUP($H333,TP[],3,FALSE),"NA")</f>
        <v>NA</v>
      </c>
      <c r="P333" s="77">
        <f>IFERROR(VLOOKUP($H333,TEN[],3,FALSE),"NA")</f>
        <v>0</v>
      </c>
      <c r="Q333" s="77" t="str">
        <f>IFERROR(VLOOKUP($H333,TD[],3,FALSE),"NA")</f>
        <v>NA</v>
      </c>
      <c r="R333" s="77" t="str">
        <f>IFERROR(VLOOKUP($H333,TC[],3,FALSE),"NA")</f>
        <v>NA</v>
      </c>
      <c r="S333" s="77" t="str">
        <f>IFERROR(VLOOKUP($H333,TEV[],3,FALSE),"NA")</f>
        <v>NA</v>
      </c>
      <c r="T333" s="79">
        <f>SUM(TbPrestamo[[#This Row],[GENERAL]:[ELEVADOR]])</f>
        <v>0</v>
      </c>
      <c r="U333" s="80">
        <f>IF(VLOOKUP(TbPrestamo[[#This Row],[ITEM]],TbPiezas[],5,FALSE)="NA",0,VLOOKUP(TbPrestamo[[#This Row],[ITEM]],TbPiezas[],5,FALSE))</f>
        <v>6.9</v>
      </c>
      <c r="V333" s="81">
        <f>+TbPrestamo[[#This Row],[TOTAL]]*TbPrestamo[[#This Row],[P.U. (1)]]</f>
        <v>0</v>
      </c>
      <c r="W333" s="82">
        <f>+VLOOKUP(TbPrestamo[[#This Row],[ITEM]],TbPiezas[],6,FALSE)</f>
        <v>127.05</v>
      </c>
      <c r="X333" s="83">
        <f>+TbPrestamo[[#This Row],[TOTAL]]*TbPrestamo[[#This Row],[P.U. (2)]]</f>
        <v>0</v>
      </c>
      <c r="Y333" s="82">
        <f>+VLOOKUP(TbPrestamo[[#This Row],[ITEM]],TbPiezas[],7,FALSE)</f>
        <v>6.3525</v>
      </c>
      <c r="Z333" s="84">
        <f>+TbPrestamo[[#This Row],[TOTAL]]*TbPrestamo[[#This Row],[P.U. (3)]]</f>
        <v>0</v>
      </c>
    </row>
    <row r="334" spans="1:26" ht="15" customHeight="1" x14ac:dyDescent="0.3">
      <c r="A334" s="2"/>
      <c r="B334" s="85">
        <v>316</v>
      </c>
      <c r="C334" s="71" t="s">
        <v>633</v>
      </c>
      <c r="D334" s="72" t="s">
        <v>634</v>
      </c>
      <c r="E334" s="73"/>
      <c r="F334" s="74">
        <f>+VLOOKUP(C334,TbPrestamo[],13,FALSE)</f>
        <v>0</v>
      </c>
      <c r="G334" s="2"/>
      <c r="H334" s="75" t="str">
        <f t="shared" si="8"/>
        <v>EN.0800</v>
      </c>
      <c r="I334" s="59" t="str">
        <f t="shared" si="9"/>
        <v>ok</v>
      </c>
      <c r="J334" s="77">
        <f>IFERROR(VLOOKUP($H334,TG[],3,FALSE),"NA")</f>
        <v>0</v>
      </c>
      <c r="K334" s="77" t="str">
        <f>IFERROR(VLOOKUP($H334,TF[],3,FALSE),"NA")</f>
        <v>NA</v>
      </c>
      <c r="L334" s="77" t="str">
        <f>IFERROR(VLOOKUP($H334,TT[],3,FALSE),"NA")</f>
        <v>NA</v>
      </c>
      <c r="M334" s="77" t="str">
        <f>IFERROR(VLOOKUP($H334,TES[],3,FALSE),"NA")</f>
        <v>NA</v>
      </c>
      <c r="N334" s="77" t="str">
        <f>IFERROR(VLOOKUP($H334,TEC[],3,FALSE),"NA")</f>
        <v>NA</v>
      </c>
      <c r="O334" s="77" t="str">
        <f>IFERROR(VLOOKUP($H334,TP[],3,FALSE),"NA")</f>
        <v>NA</v>
      </c>
      <c r="P334" s="77">
        <f>IFERROR(VLOOKUP($H334,TEN[],3,FALSE),"NA")</f>
        <v>0</v>
      </c>
      <c r="Q334" s="77" t="str">
        <f>IFERROR(VLOOKUP($H334,TD[],3,FALSE),"NA")</f>
        <v>NA</v>
      </c>
      <c r="R334" s="77" t="str">
        <f>IFERROR(VLOOKUP($H334,TC[],3,FALSE),"NA")</f>
        <v>NA</v>
      </c>
      <c r="S334" s="77" t="str">
        <f>IFERROR(VLOOKUP($H334,TEV[],3,FALSE),"NA")</f>
        <v>NA</v>
      </c>
      <c r="T334" s="79">
        <f>SUM(TbPrestamo[[#This Row],[GENERAL]:[ELEVADOR]])</f>
        <v>0</v>
      </c>
      <c r="U334" s="80">
        <f>IF(VLOOKUP(TbPrestamo[[#This Row],[ITEM]],TbPiezas[],5,FALSE)="NA",0,VLOOKUP(TbPrestamo[[#This Row],[ITEM]],TbPiezas[],5,FALSE))</f>
        <v>127.5</v>
      </c>
      <c r="V334" s="81">
        <f>+TbPrestamo[[#This Row],[TOTAL]]*TbPrestamo[[#This Row],[P.U. (1)]]</f>
        <v>0</v>
      </c>
      <c r="W334" s="82">
        <f>+VLOOKUP(TbPrestamo[[#This Row],[ITEM]],TbPiezas[],6,FALSE)</f>
        <v>1905.75</v>
      </c>
      <c r="X334" s="83">
        <f>+TbPrestamo[[#This Row],[TOTAL]]*TbPrestamo[[#This Row],[P.U. (2)]]</f>
        <v>0</v>
      </c>
      <c r="Y334" s="82">
        <f>+VLOOKUP(TbPrestamo[[#This Row],[ITEM]],TbPiezas[],7,FALSE)</f>
        <v>95.287500000000009</v>
      </c>
      <c r="Z334" s="84">
        <f>+TbPrestamo[[#This Row],[TOTAL]]*TbPrestamo[[#This Row],[P.U. (3)]]</f>
        <v>0</v>
      </c>
    </row>
    <row r="335" spans="1:26" ht="15" customHeight="1" x14ac:dyDescent="0.3">
      <c r="A335" s="2"/>
      <c r="B335" s="85">
        <v>317</v>
      </c>
      <c r="C335" s="71" t="s">
        <v>635</v>
      </c>
      <c r="D335" s="72" t="s">
        <v>636</v>
      </c>
      <c r="E335" s="73"/>
      <c r="F335" s="74">
        <f>+VLOOKUP(C335,TbPrestamo[],13,FALSE)</f>
        <v>0</v>
      </c>
      <c r="G335" s="2"/>
      <c r="H335" s="75" t="str">
        <f t="shared" si="8"/>
        <v>EN.0900</v>
      </c>
      <c r="I335" s="59" t="str">
        <f t="shared" si="9"/>
        <v>ok</v>
      </c>
      <c r="J335" s="77">
        <f>IFERROR(VLOOKUP($H335,TG[],3,FALSE),"NA")</f>
        <v>0</v>
      </c>
      <c r="K335" s="77" t="str">
        <f>IFERROR(VLOOKUP($H335,TF[],3,FALSE),"NA")</f>
        <v>NA</v>
      </c>
      <c r="L335" s="77" t="str">
        <f>IFERROR(VLOOKUP($H335,TT[],3,FALSE),"NA")</f>
        <v>NA</v>
      </c>
      <c r="M335" s="77" t="str">
        <f>IFERROR(VLOOKUP($H335,TES[],3,FALSE),"NA")</f>
        <v>NA</v>
      </c>
      <c r="N335" s="77" t="str">
        <f>IFERROR(VLOOKUP($H335,TEC[],3,FALSE),"NA")</f>
        <v>NA</v>
      </c>
      <c r="O335" s="77" t="str">
        <f>IFERROR(VLOOKUP($H335,TP[],3,FALSE),"NA")</f>
        <v>NA</v>
      </c>
      <c r="P335" s="77">
        <f>IFERROR(VLOOKUP($H335,TEN[],3,FALSE),"NA")</f>
        <v>0</v>
      </c>
      <c r="Q335" s="77" t="str">
        <f>IFERROR(VLOOKUP($H335,TD[],3,FALSE),"NA")</f>
        <v>NA</v>
      </c>
      <c r="R335" s="77" t="str">
        <f>IFERROR(VLOOKUP($H335,TC[],3,FALSE),"NA")</f>
        <v>NA</v>
      </c>
      <c r="S335" s="77" t="str">
        <f>IFERROR(VLOOKUP($H335,TEV[],3,FALSE),"NA")</f>
        <v>NA</v>
      </c>
      <c r="T335" s="79">
        <f>SUM(TbPrestamo[[#This Row],[GENERAL]:[ELEVADOR]])</f>
        <v>0</v>
      </c>
      <c r="U335" s="80">
        <f>IF(VLOOKUP(TbPrestamo[[#This Row],[ITEM]],TbPiezas[],5,FALSE)="NA",0,VLOOKUP(TbPrestamo[[#This Row],[ITEM]],TbPiezas[],5,FALSE))</f>
        <v>153</v>
      </c>
      <c r="V335" s="81">
        <f>+TbPrestamo[[#This Row],[TOTAL]]*TbPrestamo[[#This Row],[P.U. (1)]]</f>
        <v>0</v>
      </c>
      <c r="W335" s="82">
        <f>+VLOOKUP(TbPrestamo[[#This Row],[ITEM]],TbPiezas[],6,FALSE)</f>
        <v>2286.9</v>
      </c>
      <c r="X335" s="83">
        <f>+TbPrestamo[[#This Row],[TOTAL]]*TbPrestamo[[#This Row],[P.U. (2)]]</f>
        <v>0</v>
      </c>
      <c r="Y335" s="82">
        <f>+VLOOKUP(TbPrestamo[[#This Row],[ITEM]],TbPiezas[],7,FALSE)</f>
        <v>114.34500000000001</v>
      </c>
      <c r="Z335" s="84">
        <f>+TbPrestamo[[#This Row],[TOTAL]]*TbPrestamo[[#This Row],[P.U. (3)]]</f>
        <v>0</v>
      </c>
    </row>
    <row r="336" spans="1:26" ht="15" customHeight="1" x14ac:dyDescent="0.3">
      <c r="A336" s="2"/>
      <c r="B336" s="85">
        <v>318</v>
      </c>
      <c r="C336" s="71" t="s">
        <v>637</v>
      </c>
      <c r="D336" s="72" t="s">
        <v>638</v>
      </c>
      <c r="E336" s="73"/>
      <c r="F336" s="74">
        <f>+VLOOKUP(C336,TbPrestamo[],13,FALSE)</f>
        <v>0</v>
      </c>
      <c r="G336" s="2"/>
      <c r="H336" s="75" t="str">
        <f t="shared" si="8"/>
        <v>EN.1000</v>
      </c>
      <c r="I336" s="59" t="str">
        <f t="shared" si="9"/>
        <v>ok</v>
      </c>
      <c r="J336" s="77">
        <f>IFERROR(VLOOKUP($H336,TG[],3,FALSE),"NA")</f>
        <v>0</v>
      </c>
      <c r="K336" s="77" t="str">
        <f>IFERROR(VLOOKUP($H336,TF[],3,FALSE),"NA")</f>
        <v>NA</v>
      </c>
      <c r="L336" s="77" t="str">
        <f>IFERROR(VLOOKUP($H336,TT[],3,FALSE),"NA")</f>
        <v>NA</v>
      </c>
      <c r="M336" s="77" t="str">
        <f>IFERROR(VLOOKUP($H336,TES[],3,FALSE),"NA")</f>
        <v>NA</v>
      </c>
      <c r="N336" s="77" t="str">
        <f>IFERROR(VLOOKUP($H336,TEC[],3,FALSE),"NA")</f>
        <v>NA</v>
      </c>
      <c r="O336" s="77" t="str">
        <f>IFERROR(VLOOKUP($H336,TP[],3,FALSE),"NA")</f>
        <v>NA</v>
      </c>
      <c r="P336" s="77">
        <f>IFERROR(VLOOKUP($H336,TEN[],3,FALSE),"NA")</f>
        <v>0</v>
      </c>
      <c r="Q336" s="77" t="str">
        <f>IFERROR(VLOOKUP($H336,TD[],3,FALSE),"NA")</f>
        <v>NA</v>
      </c>
      <c r="R336" s="77" t="str">
        <f>IFERROR(VLOOKUP($H336,TC[],3,FALSE),"NA")</f>
        <v>NA</v>
      </c>
      <c r="S336" s="77" t="str">
        <f>IFERROR(VLOOKUP($H336,TEV[],3,FALSE),"NA")</f>
        <v>NA</v>
      </c>
      <c r="T336" s="79">
        <f>SUM(TbPrestamo[[#This Row],[GENERAL]:[ELEVADOR]])</f>
        <v>0</v>
      </c>
      <c r="U336" s="80">
        <f>IF(VLOOKUP(TbPrestamo[[#This Row],[ITEM]],TbPiezas[],5,FALSE)="NA",0,VLOOKUP(TbPrestamo[[#This Row],[ITEM]],TbPiezas[],5,FALSE))</f>
        <v>204</v>
      </c>
      <c r="V336" s="81">
        <f>+TbPrestamo[[#This Row],[TOTAL]]*TbPrestamo[[#This Row],[P.U. (1)]]</f>
        <v>0</v>
      </c>
      <c r="W336" s="82">
        <f>+VLOOKUP(TbPrestamo[[#This Row],[ITEM]],TbPiezas[],6,FALSE)</f>
        <v>3049.2</v>
      </c>
      <c r="X336" s="83">
        <f>+TbPrestamo[[#This Row],[TOTAL]]*TbPrestamo[[#This Row],[P.U. (2)]]</f>
        <v>0</v>
      </c>
      <c r="Y336" s="82">
        <f>+VLOOKUP(TbPrestamo[[#This Row],[ITEM]],TbPiezas[],7,FALSE)</f>
        <v>152.46</v>
      </c>
      <c r="Z336" s="84">
        <f>+TbPrestamo[[#This Row],[TOTAL]]*TbPrestamo[[#This Row],[P.U. (3)]]</f>
        <v>0</v>
      </c>
    </row>
    <row r="337" spans="1:26" ht="15" customHeight="1" x14ac:dyDescent="0.3">
      <c r="A337" s="2"/>
      <c r="B337" s="85">
        <v>319</v>
      </c>
      <c r="C337" s="71" t="s">
        <v>639</v>
      </c>
      <c r="D337" s="72" t="s">
        <v>640</v>
      </c>
      <c r="E337" s="73"/>
      <c r="F337" s="74">
        <f>+VLOOKUP(C337,TbPrestamo[],13,FALSE)</f>
        <v>0</v>
      </c>
      <c r="G337" s="2"/>
      <c r="H337" s="75" t="str">
        <f t="shared" si="8"/>
        <v>EN.1100</v>
      </c>
      <c r="I337" s="59" t="str">
        <f t="shared" si="9"/>
        <v>ok</v>
      </c>
      <c r="J337" s="77">
        <f>IFERROR(VLOOKUP($H337,TG[],3,FALSE),"NA")</f>
        <v>0</v>
      </c>
      <c r="K337" s="77" t="str">
        <f>IFERROR(VLOOKUP($H337,TF[],3,FALSE),"NA")</f>
        <v>NA</v>
      </c>
      <c r="L337" s="77" t="str">
        <f>IFERROR(VLOOKUP($H337,TT[],3,FALSE),"NA")</f>
        <v>NA</v>
      </c>
      <c r="M337" s="77" t="str">
        <f>IFERROR(VLOOKUP($H337,TES[],3,FALSE),"NA")</f>
        <v>NA</v>
      </c>
      <c r="N337" s="77" t="str">
        <f>IFERROR(VLOOKUP($H337,TEC[],3,FALSE),"NA")</f>
        <v>NA</v>
      </c>
      <c r="O337" s="77" t="str">
        <f>IFERROR(VLOOKUP($H337,TP[],3,FALSE),"NA")</f>
        <v>NA</v>
      </c>
      <c r="P337" s="77">
        <f>IFERROR(VLOOKUP($H337,TEN[],3,FALSE),"NA")</f>
        <v>0</v>
      </c>
      <c r="Q337" s="77" t="str">
        <f>IFERROR(VLOOKUP($H337,TD[],3,FALSE),"NA")</f>
        <v>NA</v>
      </c>
      <c r="R337" s="77" t="str">
        <f>IFERROR(VLOOKUP($H337,TC[],3,FALSE),"NA")</f>
        <v>NA</v>
      </c>
      <c r="S337" s="77" t="str">
        <f>IFERROR(VLOOKUP($H337,TEV[],3,FALSE),"NA")</f>
        <v>NA</v>
      </c>
      <c r="T337" s="79">
        <f>SUM(TbPrestamo[[#This Row],[GENERAL]:[ELEVADOR]])</f>
        <v>0</v>
      </c>
      <c r="U337" s="80">
        <f>IF(VLOOKUP(TbPrestamo[[#This Row],[ITEM]],TbPiezas[],5,FALSE)="NA",0,VLOOKUP(TbPrestamo[[#This Row],[ITEM]],TbPiezas[],5,FALSE))</f>
        <v>48.45</v>
      </c>
      <c r="V337" s="81">
        <f>+TbPrestamo[[#This Row],[TOTAL]]*TbPrestamo[[#This Row],[P.U. (1)]]</f>
        <v>0</v>
      </c>
      <c r="W337" s="82">
        <f>+VLOOKUP(TbPrestamo[[#This Row],[ITEM]],TbPiezas[],6,FALSE)</f>
        <v>3811.5</v>
      </c>
      <c r="X337" s="83">
        <f>+TbPrestamo[[#This Row],[TOTAL]]*TbPrestamo[[#This Row],[P.U. (2)]]</f>
        <v>0</v>
      </c>
      <c r="Y337" s="82">
        <f>+VLOOKUP(TbPrestamo[[#This Row],[ITEM]],TbPiezas[],7,FALSE)</f>
        <v>190.57500000000002</v>
      </c>
      <c r="Z337" s="84">
        <f>+TbPrestamo[[#This Row],[TOTAL]]*TbPrestamo[[#This Row],[P.U. (3)]]</f>
        <v>0</v>
      </c>
    </row>
    <row r="338" spans="1:26" ht="15" customHeight="1" x14ac:dyDescent="0.3">
      <c r="A338" s="2"/>
      <c r="B338" s="85">
        <v>320</v>
      </c>
      <c r="C338" s="71" t="s">
        <v>641</v>
      </c>
      <c r="D338" s="72" t="s">
        <v>642</v>
      </c>
      <c r="E338" s="73"/>
      <c r="F338" s="74">
        <f>+VLOOKUP(C338,TbPrestamo[],13,FALSE)</f>
        <v>0</v>
      </c>
      <c r="G338" s="2"/>
      <c r="H338" s="75" t="str">
        <f t="shared" ref="H338:H401" si="10">+C338</f>
        <v>EN.1200</v>
      </c>
      <c r="I338" s="59" t="str">
        <f t="shared" ref="I338:I401" si="11">+IF(C338=H338,"ok","mal")</f>
        <v>ok</v>
      </c>
      <c r="J338" s="77">
        <f>IFERROR(VLOOKUP($H338,TG[],3,FALSE),"NA")</f>
        <v>0</v>
      </c>
      <c r="K338" s="77" t="str">
        <f>IFERROR(VLOOKUP($H338,TF[],3,FALSE),"NA")</f>
        <v>NA</v>
      </c>
      <c r="L338" s="77" t="str">
        <f>IFERROR(VLOOKUP($H338,TT[],3,FALSE),"NA")</f>
        <v>NA</v>
      </c>
      <c r="M338" s="77" t="str">
        <f>IFERROR(VLOOKUP($H338,TES[],3,FALSE),"NA")</f>
        <v>NA</v>
      </c>
      <c r="N338" s="77" t="str">
        <f>IFERROR(VLOOKUP($H338,TEC[],3,FALSE),"NA")</f>
        <v>NA</v>
      </c>
      <c r="O338" s="77" t="str">
        <f>IFERROR(VLOOKUP($H338,TP[],3,FALSE),"NA")</f>
        <v>NA</v>
      </c>
      <c r="P338" s="77">
        <f>IFERROR(VLOOKUP($H338,TEN[],3,FALSE),"NA")</f>
        <v>0</v>
      </c>
      <c r="Q338" s="77" t="str">
        <f>IFERROR(VLOOKUP($H338,TD[],3,FALSE),"NA")</f>
        <v>NA</v>
      </c>
      <c r="R338" s="77" t="str">
        <f>IFERROR(VLOOKUP($H338,TC[],3,FALSE),"NA")</f>
        <v>NA</v>
      </c>
      <c r="S338" s="77" t="str">
        <f>IFERROR(VLOOKUP($H338,TEV[],3,FALSE),"NA")</f>
        <v>NA</v>
      </c>
      <c r="T338" s="79">
        <f>SUM(TbPrestamo[[#This Row],[GENERAL]:[ELEVADOR]])</f>
        <v>0</v>
      </c>
      <c r="U338" s="80">
        <f>IF(VLOOKUP(TbPrestamo[[#This Row],[ITEM]],TbPiezas[],5,FALSE)="NA",0,VLOOKUP(TbPrestamo[[#This Row],[ITEM]],TbPiezas[],5,FALSE))</f>
        <v>9.5</v>
      </c>
      <c r="V338" s="81">
        <f>+TbPrestamo[[#This Row],[TOTAL]]*TbPrestamo[[#This Row],[P.U. (1)]]</f>
        <v>0</v>
      </c>
      <c r="W338" s="82">
        <f>+VLOOKUP(TbPrestamo[[#This Row],[ITEM]],TbPiezas[],6,FALSE)</f>
        <v>1905.75</v>
      </c>
      <c r="X338" s="83">
        <f>+TbPrestamo[[#This Row],[TOTAL]]*TbPrestamo[[#This Row],[P.U. (2)]]</f>
        <v>0</v>
      </c>
      <c r="Y338" s="82">
        <f>+VLOOKUP(TbPrestamo[[#This Row],[ITEM]],TbPiezas[],7,FALSE)</f>
        <v>95.287500000000009</v>
      </c>
      <c r="Z338" s="84">
        <f>+TbPrestamo[[#This Row],[TOTAL]]*TbPrestamo[[#This Row],[P.U. (3)]]</f>
        <v>0</v>
      </c>
    </row>
    <row r="339" spans="1:26" ht="15" customHeight="1" x14ac:dyDescent="0.3">
      <c r="A339" s="2"/>
      <c r="B339" s="85">
        <v>321</v>
      </c>
      <c r="C339" s="71" t="s">
        <v>643</v>
      </c>
      <c r="D339" s="72" t="s">
        <v>644</v>
      </c>
      <c r="E339" s="73"/>
      <c r="F339" s="74">
        <f>+VLOOKUP(C339,TbPrestamo[],13,FALSE)</f>
        <v>0</v>
      </c>
      <c r="G339" s="2"/>
      <c r="H339" s="75" t="str">
        <f t="shared" si="10"/>
        <v>EN.1300</v>
      </c>
      <c r="I339" s="59" t="str">
        <f t="shared" si="11"/>
        <v>ok</v>
      </c>
      <c r="J339" s="77">
        <f>IFERROR(VLOOKUP($H339,TG[],3,FALSE),"NA")</f>
        <v>0</v>
      </c>
      <c r="K339" s="77" t="str">
        <f>IFERROR(VLOOKUP($H339,TF[],3,FALSE),"NA")</f>
        <v>NA</v>
      </c>
      <c r="L339" s="77" t="str">
        <f>IFERROR(VLOOKUP($H339,TT[],3,FALSE),"NA")</f>
        <v>NA</v>
      </c>
      <c r="M339" s="77" t="str">
        <f>IFERROR(VLOOKUP($H339,TES[],3,FALSE),"NA")</f>
        <v>NA</v>
      </c>
      <c r="N339" s="77" t="str">
        <f>IFERROR(VLOOKUP($H339,TEC[],3,FALSE),"NA")</f>
        <v>NA</v>
      </c>
      <c r="O339" s="77" t="str">
        <f>IFERROR(VLOOKUP($H339,TP[],3,FALSE),"NA")</f>
        <v>NA</v>
      </c>
      <c r="P339" s="77">
        <f>IFERROR(VLOOKUP($H339,TEN[],3,FALSE),"NA")</f>
        <v>0</v>
      </c>
      <c r="Q339" s="77" t="str">
        <f>IFERROR(VLOOKUP($H339,TD[],3,FALSE),"NA")</f>
        <v>NA</v>
      </c>
      <c r="R339" s="77" t="str">
        <f>IFERROR(VLOOKUP($H339,TC[],3,FALSE),"NA")</f>
        <v>NA</v>
      </c>
      <c r="S339" s="77" t="str">
        <f>IFERROR(VLOOKUP($H339,TEV[],3,FALSE),"NA")</f>
        <v>NA</v>
      </c>
      <c r="T339" s="79">
        <f>SUM(TbPrestamo[[#This Row],[GENERAL]:[ELEVADOR]])</f>
        <v>0</v>
      </c>
      <c r="U339" s="80">
        <f>IF(VLOOKUP(TbPrestamo[[#This Row],[ITEM]],TbPiezas[],5,FALSE)="NA",0,VLOOKUP(TbPrestamo[[#This Row],[ITEM]],TbPiezas[],5,FALSE))</f>
        <v>0.5</v>
      </c>
      <c r="V339" s="81">
        <f>+TbPrestamo[[#This Row],[TOTAL]]*TbPrestamo[[#This Row],[P.U. (1)]]</f>
        <v>0</v>
      </c>
      <c r="W339" s="82">
        <f>+VLOOKUP(TbPrestamo[[#This Row],[ITEM]],TbPiezas[],6,FALSE)</f>
        <v>27.42</v>
      </c>
      <c r="X339" s="83">
        <f>+TbPrestamo[[#This Row],[TOTAL]]*TbPrestamo[[#This Row],[P.U. (2)]]</f>
        <v>0</v>
      </c>
      <c r="Y339" s="82">
        <f>+VLOOKUP(TbPrestamo[[#This Row],[ITEM]],TbPiezas[],7,FALSE)</f>
        <v>1.3710000000000002</v>
      </c>
      <c r="Z339" s="84">
        <f>+TbPrestamo[[#This Row],[TOTAL]]*TbPrestamo[[#This Row],[P.U. (3)]]</f>
        <v>0</v>
      </c>
    </row>
    <row r="340" spans="1:26" ht="15" customHeight="1" x14ac:dyDescent="0.3">
      <c r="A340" s="2"/>
      <c r="B340" s="85">
        <v>322</v>
      </c>
      <c r="C340" s="71" t="s">
        <v>645</v>
      </c>
      <c r="D340" s="72" t="s">
        <v>646</v>
      </c>
      <c r="E340" s="73"/>
      <c r="F340" s="74">
        <f>+VLOOKUP(C340,TbPrestamo[],13,FALSE)</f>
        <v>0</v>
      </c>
      <c r="G340" s="2"/>
      <c r="H340" s="75" t="str">
        <f t="shared" si="10"/>
        <v>EN.1350</v>
      </c>
      <c r="I340" s="59" t="str">
        <f t="shared" si="11"/>
        <v>ok</v>
      </c>
      <c r="J340" s="77">
        <f>IFERROR(VLOOKUP($H340,TG[],3,FALSE),"NA")</f>
        <v>0</v>
      </c>
      <c r="K340" s="77" t="str">
        <f>IFERROR(VLOOKUP($H340,TF[],3,FALSE),"NA")</f>
        <v>NA</v>
      </c>
      <c r="L340" s="77" t="str">
        <f>IFERROR(VLOOKUP($H340,TT[],3,FALSE),"NA")</f>
        <v>NA</v>
      </c>
      <c r="M340" s="77" t="str">
        <f>IFERROR(VLOOKUP($H340,TES[],3,FALSE),"NA")</f>
        <v>NA</v>
      </c>
      <c r="N340" s="77" t="str">
        <f>IFERROR(VLOOKUP($H340,TEC[],3,FALSE),"NA")</f>
        <v>NA</v>
      </c>
      <c r="O340" s="77" t="str">
        <f>IFERROR(VLOOKUP($H340,TP[],3,FALSE),"NA")</f>
        <v>NA</v>
      </c>
      <c r="P340" s="77">
        <f>IFERROR(VLOOKUP($H340,TEN[],3,FALSE),"NA")</f>
        <v>0</v>
      </c>
      <c r="Q340" s="77" t="str">
        <f>IFERROR(VLOOKUP($H340,TD[],3,FALSE),"NA")</f>
        <v>NA</v>
      </c>
      <c r="R340" s="77" t="str">
        <f>IFERROR(VLOOKUP($H340,TC[],3,FALSE),"NA")</f>
        <v>NA</v>
      </c>
      <c r="S340" s="77" t="str">
        <f>IFERROR(VLOOKUP($H340,TEV[],3,FALSE),"NA")</f>
        <v>NA</v>
      </c>
      <c r="T340" s="79">
        <f>SUM(TbPrestamo[[#This Row],[GENERAL]:[ELEVADOR]])</f>
        <v>0</v>
      </c>
      <c r="U340" s="80">
        <f>IF(VLOOKUP(TbPrestamo[[#This Row],[ITEM]],TbPiezas[],5,FALSE)="NA",0,VLOOKUP(TbPrestamo[[#This Row],[ITEM]],TbPiezas[],5,FALSE))</f>
        <v>0.4</v>
      </c>
      <c r="V340" s="81">
        <f>+TbPrestamo[[#This Row],[TOTAL]]*TbPrestamo[[#This Row],[P.U. (1)]]</f>
        <v>0</v>
      </c>
      <c r="W340" s="82">
        <f>+VLOOKUP(TbPrestamo[[#This Row],[ITEM]],TbPiezas[],6,FALSE)</f>
        <v>34.270000000000003</v>
      </c>
      <c r="X340" s="83">
        <f>+TbPrestamo[[#This Row],[TOTAL]]*TbPrestamo[[#This Row],[P.U. (2)]]</f>
        <v>0</v>
      </c>
      <c r="Y340" s="82">
        <f>+VLOOKUP(TbPrestamo[[#This Row],[ITEM]],TbPiezas[],7,FALSE)</f>
        <v>1.7135000000000002</v>
      </c>
      <c r="Z340" s="84">
        <f>+TbPrestamo[[#This Row],[TOTAL]]*TbPrestamo[[#This Row],[P.U. (3)]]</f>
        <v>0</v>
      </c>
    </row>
    <row r="341" spans="1:26" ht="15" customHeight="1" x14ac:dyDescent="0.3">
      <c r="A341" s="2"/>
      <c r="B341" s="85">
        <v>323</v>
      </c>
      <c r="C341" s="71" t="s">
        <v>647</v>
      </c>
      <c r="D341" s="72" t="s">
        <v>648</v>
      </c>
      <c r="E341" s="73"/>
      <c r="F341" s="74">
        <f>+VLOOKUP(C341,TbPrestamo[],13,FALSE)</f>
        <v>0</v>
      </c>
      <c r="G341" s="2"/>
      <c r="H341" s="75" t="str">
        <f t="shared" si="10"/>
        <v>EN.1360</v>
      </c>
      <c r="I341" s="59" t="str">
        <f t="shared" si="11"/>
        <v>ok</v>
      </c>
      <c r="J341" s="77">
        <f>IFERROR(VLOOKUP($H341,TG[],3,FALSE),"NA")</f>
        <v>0</v>
      </c>
      <c r="K341" s="77" t="str">
        <f>IFERROR(VLOOKUP($H341,TF[],3,FALSE),"NA")</f>
        <v>NA</v>
      </c>
      <c r="L341" s="77" t="str">
        <f>IFERROR(VLOOKUP($H341,TT[],3,FALSE),"NA")</f>
        <v>NA</v>
      </c>
      <c r="M341" s="77" t="str">
        <f>IFERROR(VLOOKUP($H341,TES[],3,FALSE),"NA")</f>
        <v>NA</v>
      </c>
      <c r="N341" s="77" t="str">
        <f>IFERROR(VLOOKUP($H341,TEC[],3,FALSE),"NA")</f>
        <v>NA</v>
      </c>
      <c r="O341" s="77" t="str">
        <f>IFERROR(VLOOKUP($H341,TP[],3,FALSE),"NA")</f>
        <v>NA</v>
      </c>
      <c r="P341" s="77">
        <f>IFERROR(VLOOKUP($H341,TEN[],3,FALSE),"NA")</f>
        <v>0</v>
      </c>
      <c r="Q341" s="77" t="str">
        <f>IFERROR(VLOOKUP($H341,TD[],3,FALSE),"NA")</f>
        <v>NA</v>
      </c>
      <c r="R341" s="77" t="str">
        <f>IFERROR(VLOOKUP($H341,TC[],3,FALSE),"NA")</f>
        <v>NA</v>
      </c>
      <c r="S341" s="77" t="str">
        <f>IFERROR(VLOOKUP($H341,TEV[],3,FALSE),"NA")</f>
        <v>NA</v>
      </c>
      <c r="T341" s="79">
        <f>SUM(TbPrestamo[[#This Row],[GENERAL]:[ELEVADOR]])</f>
        <v>0</v>
      </c>
      <c r="U341" s="80">
        <f>IF(VLOOKUP(TbPrestamo[[#This Row],[ITEM]],TbPiezas[],5,FALSE)="NA",0,VLOOKUP(TbPrestamo[[#This Row],[ITEM]],TbPiezas[],5,FALSE))</f>
        <v>0.5</v>
      </c>
      <c r="V341" s="81">
        <f>+TbPrestamo[[#This Row],[TOTAL]]*TbPrestamo[[#This Row],[P.U. (1)]]</f>
        <v>0</v>
      </c>
      <c r="W341" s="82">
        <f>+VLOOKUP(TbPrestamo[[#This Row],[ITEM]],TbPiezas[],6,FALSE)</f>
        <v>41.13</v>
      </c>
      <c r="X341" s="83">
        <f>+TbPrestamo[[#This Row],[TOTAL]]*TbPrestamo[[#This Row],[P.U. (2)]]</f>
        <v>0</v>
      </c>
      <c r="Y341" s="82">
        <f>+VLOOKUP(TbPrestamo[[#This Row],[ITEM]],TbPiezas[],7,FALSE)</f>
        <v>2.0565000000000002</v>
      </c>
      <c r="Z341" s="84">
        <f>+TbPrestamo[[#This Row],[TOTAL]]*TbPrestamo[[#This Row],[P.U. (3)]]</f>
        <v>0</v>
      </c>
    </row>
    <row r="342" spans="1:26" ht="15" customHeight="1" x14ac:dyDescent="0.3">
      <c r="A342" s="2"/>
      <c r="B342" s="85">
        <v>324</v>
      </c>
      <c r="C342" s="71" t="s">
        <v>649</v>
      </c>
      <c r="D342" s="72" t="s">
        <v>650</v>
      </c>
      <c r="E342" s="73"/>
      <c r="F342" s="74">
        <f>+VLOOKUP(C342,TbPrestamo[],13,FALSE)</f>
        <v>0</v>
      </c>
      <c r="G342" s="2"/>
      <c r="H342" s="75" t="str">
        <f t="shared" si="10"/>
        <v>EN.1400</v>
      </c>
      <c r="I342" s="59" t="str">
        <f t="shared" si="11"/>
        <v>ok</v>
      </c>
      <c r="J342" s="77">
        <f>IFERROR(VLOOKUP($H342,TG[],3,FALSE),"NA")</f>
        <v>0</v>
      </c>
      <c r="K342" s="77" t="str">
        <f>IFERROR(VLOOKUP($H342,TF[],3,FALSE),"NA")</f>
        <v>NA</v>
      </c>
      <c r="L342" s="77" t="str">
        <f>IFERROR(VLOOKUP($H342,TT[],3,FALSE),"NA")</f>
        <v>NA</v>
      </c>
      <c r="M342" s="77" t="str">
        <f>IFERROR(VLOOKUP($H342,TES[],3,FALSE),"NA")</f>
        <v>NA</v>
      </c>
      <c r="N342" s="77" t="str">
        <f>IFERROR(VLOOKUP($H342,TEC[],3,FALSE),"NA")</f>
        <v>NA</v>
      </c>
      <c r="O342" s="77" t="str">
        <f>IFERROR(VLOOKUP($H342,TP[],3,FALSE),"NA")</f>
        <v>NA</v>
      </c>
      <c r="P342" s="77">
        <f>IFERROR(VLOOKUP($H342,TEN[],3,FALSE),"NA")</f>
        <v>0</v>
      </c>
      <c r="Q342" s="77" t="str">
        <f>IFERROR(VLOOKUP($H342,TD[],3,FALSE),"NA")</f>
        <v>NA</v>
      </c>
      <c r="R342" s="77" t="str">
        <f>IFERROR(VLOOKUP($H342,TC[],3,FALSE),"NA")</f>
        <v>NA</v>
      </c>
      <c r="S342" s="77" t="str">
        <f>IFERROR(VLOOKUP($H342,TEV[],3,FALSE),"NA")</f>
        <v>NA</v>
      </c>
      <c r="T342" s="79">
        <f>SUM(TbPrestamo[[#This Row],[GENERAL]:[ELEVADOR]])</f>
        <v>0</v>
      </c>
      <c r="U342" s="80">
        <f>IF(VLOOKUP(TbPrestamo[[#This Row],[ITEM]],TbPiezas[],5,FALSE)="NA",0,VLOOKUP(TbPrestamo[[#This Row],[ITEM]],TbPiezas[],5,FALSE))</f>
        <v>0.5</v>
      </c>
      <c r="V342" s="81">
        <f>+TbPrestamo[[#This Row],[TOTAL]]*TbPrestamo[[#This Row],[P.U. (1)]]</f>
        <v>0</v>
      </c>
      <c r="W342" s="82">
        <f>+VLOOKUP(TbPrestamo[[#This Row],[ITEM]],TbPiezas[],6,FALSE)</f>
        <v>31.76</v>
      </c>
      <c r="X342" s="83">
        <f>+TbPrestamo[[#This Row],[TOTAL]]*TbPrestamo[[#This Row],[P.U. (2)]]</f>
        <v>0</v>
      </c>
      <c r="Y342" s="82">
        <f>+VLOOKUP(TbPrestamo[[#This Row],[ITEM]],TbPiezas[],7,FALSE)</f>
        <v>1.5880000000000001</v>
      </c>
      <c r="Z342" s="84">
        <f>+TbPrestamo[[#This Row],[TOTAL]]*TbPrestamo[[#This Row],[P.U. (3)]]</f>
        <v>0</v>
      </c>
    </row>
    <row r="343" spans="1:26" ht="15" customHeight="1" x14ac:dyDescent="0.3">
      <c r="A343" s="2"/>
      <c r="B343" s="85">
        <v>325</v>
      </c>
      <c r="C343" s="71" t="s">
        <v>651</v>
      </c>
      <c r="D343" s="72" t="s">
        <v>652</v>
      </c>
      <c r="E343" s="73"/>
      <c r="F343" s="74">
        <f>+VLOOKUP(C343,TbPrestamo[],13,FALSE)</f>
        <v>0</v>
      </c>
      <c r="G343" s="2"/>
      <c r="H343" s="75" t="str">
        <f t="shared" si="10"/>
        <v>EN.1500</v>
      </c>
      <c r="I343" s="59" t="str">
        <f t="shared" si="11"/>
        <v>ok</v>
      </c>
      <c r="J343" s="77">
        <f>IFERROR(VLOOKUP($H343,TG[],3,FALSE),"NA")</f>
        <v>0</v>
      </c>
      <c r="K343" s="77" t="str">
        <f>IFERROR(VLOOKUP($H343,TF[],3,FALSE),"NA")</f>
        <v>NA</v>
      </c>
      <c r="L343" s="77" t="str">
        <f>IFERROR(VLOOKUP($H343,TT[],3,FALSE),"NA")</f>
        <v>NA</v>
      </c>
      <c r="M343" s="77" t="str">
        <f>IFERROR(VLOOKUP($H343,TES[],3,FALSE),"NA")</f>
        <v>NA</v>
      </c>
      <c r="N343" s="77" t="str">
        <f>IFERROR(VLOOKUP($H343,TEC[],3,FALSE),"NA")</f>
        <v>NA</v>
      </c>
      <c r="O343" s="77" t="str">
        <f>IFERROR(VLOOKUP($H343,TP[],3,FALSE),"NA")</f>
        <v>NA</v>
      </c>
      <c r="P343" s="77">
        <f>IFERROR(VLOOKUP($H343,TEN[],3,FALSE),"NA")</f>
        <v>0</v>
      </c>
      <c r="Q343" s="77" t="str">
        <f>IFERROR(VLOOKUP($H343,TD[],3,FALSE),"NA")</f>
        <v>NA</v>
      </c>
      <c r="R343" s="77" t="str">
        <f>IFERROR(VLOOKUP($H343,TC[],3,FALSE),"NA")</f>
        <v>NA</v>
      </c>
      <c r="S343" s="77" t="str">
        <f>IFERROR(VLOOKUP($H343,TEV[],3,FALSE),"NA")</f>
        <v>NA</v>
      </c>
      <c r="T343" s="79">
        <f>SUM(TbPrestamo[[#This Row],[GENERAL]:[ELEVADOR]])</f>
        <v>0</v>
      </c>
      <c r="U343" s="80">
        <f>IF(VLOOKUP(TbPrestamo[[#This Row],[ITEM]],TbPiezas[],5,FALSE)="NA",0,VLOOKUP(TbPrestamo[[#This Row],[ITEM]],TbPiezas[],5,FALSE))</f>
        <v>4.5999999999999996</v>
      </c>
      <c r="V343" s="81">
        <f>+TbPrestamo[[#This Row],[TOTAL]]*TbPrestamo[[#This Row],[P.U. (1)]]</f>
        <v>0</v>
      </c>
      <c r="W343" s="82">
        <f>+VLOOKUP(TbPrestamo[[#This Row],[ITEM]],TbPiezas[],6,FALSE)</f>
        <v>317.63</v>
      </c>
      <c r="X343" s="83">
        <f>+TbPrestamo[[#This Row],[TOTAL]]*TbPrestamo[[#This Row],[P.U. (2)]]</f>
        <v>0</v>
      </c>
      <c r="Y343" s="82">
        <f>+VLOOKUP(TbPrestamo[[#This Row],[ITEM]],TbPiezas[],7,FALSE)</f>
        <v>15.881500000000001</v>
      </c>
      <c r="Z343" s="84">
        <f>+TbPrestamo[[#This Row],[TOTAL]]*TbPrestamo[[#This Row],[P.U. (3)]]</f>
        <v>0</v>
      </c>
    </row>
    <row r="344" spans="1:26" ht="15" customHeight="1" x14ac:dyDescent="0.3">
      <c r="A344" s="2"/>
      <c r="B344" s="85">
        <v>326</v>
      </c>
      <c r="C344" s="71" t="s">
        <v>653</v>
      </c>
      <c r="D344" s="72" t="s">
        <v>654</v>
      </c>
      <c r="E344" s="73"/>
      <c r="F344" s="74">
        <f>+VLOOKUP(C344,TbPrestamo[],13,FALSE)</f>
        <v>0</v>
      </c>
      <c r="G344" s="2"/>
      <c r="H344" s="75" t="str">
        <f t="shared" si="10"/>
        <v>EN.1600</v>
      </c>
      <c r="I344" s="59" t="str">
        <f t="shared" si="11"/>
        <v>ok</v>
      </c>
      <c r="J344" s="77">
        <f>IFERROR(VLOOKUP($H344,TG[],3,FALSE),"NA")</f>
        <v>0</v>
      </c>
      <c r="K344" s="77" t="str">
        <f>IFERROR(VLOOKUP($H344,TF[],3,FALSE),"NA")</f>
        <v>NA</v>
      </c>
      <c r="L344" s="77" t="str">
        <f>IFERROR(VLOOKUP($H344,TT[],3,FALSE),"NA")</f>
        <v>NA</v>
      </c>
      <c r="M344" s="77" t="str">
        <f>IFERROR(VLOOKUP($H344,TES[],3,FALSE),"NA")</f>
        <v>NA</v>
      </c>
      <c r="N344" s="77" t="str">
        <f>IFERROR(VLOOKUP($H344,TEC[],3,FALSE),"NA")</f>
        <v>NA</v>
      </c>
      <c r="O344" s="77" t="str">
        <f>IFERROR(VLOOKUP($H344,TP[],3,FALSE),"NA")</f>
        <v>NA</v>
      </c>
      <c r="P344" s="77">
        <f>IFERROR(VLOOKUP($H344,TEN[],3,FALSE),"NA")</f>
        <v>0</v>
      </c>
      <c r="Q344" s="77" t="str">
        <f>IFERROR(VLOOKUP($H344,TD[],3,FALSE),"NA")</f>
        <v>NA</v>
      </c>
      <c r="R344" s="77" t="str">
        <f>IFERROR(VLOOKUP($H344,TC[],3,FALSE),"NA")</f>
        <v>NA</v>
      </c>
      <c r="S344" s="77" t="str">
        <f>IFERROR(VLOOKUP($H344,TEV[],3,FALSE),"NA")</f>
        <v>NA</v>
      </c>
      <c r="T344" s="79">
        <f>SUM(TbPrestamo[[#This Row],[GENERAL]:[ELEVADOR]])</f>
        <v>0</v>
      </c>
      <c r="U344" s="80">
        <f>IF(VLOOKUP(TbPrestamo[[#This Row],[ITEM]],TbPiezas[],5,FALSE)="NA",0,VLOOKUP(TbPrestamo[[#This Row],[ITEM]],TbPiezas[],5,FALSE))</f>
        <v>11.299999999999997</v>
      </c>
      <c r="V344" s="81">
        <f>+TbPrestamo[[#This Row],[TOTAL]]*TbPrestamo[[#This Row],[P.U. (1)]]</f>
        <v>0</v>
      </c>
      <c r="W344" s="82">
        <f>+VLOOKUP(TbPrestamo[[#This Row],[ITEM]],TbPiezas[],6,FALSE)</f>
        <v>317.63</v>
      </c>
      <c r="X344" s="83">
        <f>+TbPrestamo[[#This Row],[TOTAL]]*TbPrestamo[[#This Row],[P.U. (2)]]</f>
        <v>0</v>
      </c>
      <c r="Y344" s="82">
        <f>+VLOOKUP(TbPrestamo[[#This Row],[ITEM]],TbPiezas[],7,FALSE)</f>
        <v>15.881500000000001</v>
      </c>
      <c r="Z344" s="84">
        <f>+TbPrestamo[[#This Row],[TOTAL]]*TbPrestamo[[#This Row],[P.U. (3)]]</f>
        <v>0</v>
      </c>
    </row>
    <row r="345" spans="1:26" ht="15" customHeight="1" x14ac:dyDescent="0.3">
      <c r="A345" s="2"/>
      <c r="B345" s="85">
        <v>327</v>
      </c>
      <c r="C345" s="71" t="s">
        <v>655</v>
      </c>
      <c r="D345" s="72" t="s">
        <v>656</v>
      </c>
      <c r="E345" s="73"/>
      <c r="F345" s="74">
        <f>+VLOOKUP(C345,TbPrestamo[],13,FALSE)</f>
        <v>0</v>
      </c>
      <c r="G345" s="2"/>
      <c r="H345" s="75" t="str">
        <f t="shared" si="10"/>
        <v>EN.1700</v>
      </c>
      <c r="I345" s="59" t="str">
        <f t="shared" si="11"/>
        <v>ok</v>
      </c>
      <c r="J345" s="77">
        <f>IFERROR(VLOOKUP($H345,TG[],3,FALSE),"NA")</f>
        <v>0</v>
      </c>
      <c r="K345" s="77" t="str">
        <f>IFERROR(VLOOKUP($H345,TF[],3,FALSE),"NA")</f>
        <v>NA</v>
      </c>
      <c r="L345" s="77" t="str">
        <f>IFERROR(VLOOKUP($H345,TT[],3,FALSE),"NA")</f>
        <v>NA</v>
      </c>
      <c r="M345" s="77" t="str">
        <f>IFERROR(VLOOKUP($H345,TES[],3,FALSE),"NA")</f>
        <v>NA</v>
      </c>
      <c r="N345" s="77" t="str">
        <f>IFERROR(VLOOKUP($H345,TEC[],3,FALSE),"NA")</f>
        <v>NA</v>
      </c>
      <c r="O345" s="77" t="str">
        <f>IFERROR(VLOOKUP($H345,TP[],3,FALSE),"NA")</f>
        <v>NA</v>
      </c>
      <c r="P345" s="77">
        <f>IFERROR(VLOOKUP($H345,TEN[],3,FALSE),"NA")</f>
        <v>0</v>
      </c>
      <c r="Q345" s="77" t="str">
        <f>IFERROR(VLOOKUP($H345,TD[],3,FALSE),"NA")</f>
        <v>NA</v>
      </c>
      <c r="R345" s="77" t="str">
        <f>IFERROR(VLOOKUP($H345,TC[],3,FALSE),"NA")</f>
        <v>NA</v>
      </c>
      <c r="S345" s="77" t="str">
        <f>IFERROR(VLOOKUP($H345,TEV[],3,FALSE),"NA")</f>
        <v>NA</v>
      </c>
      <c r="T345" s="79">
        <f>SUM(TbPrestamo[[#This Row],[GENERAL]:[ELEVADOR]])</f>
        <v>0</v>
      </c>
      <c r="U345" s="80">
        <f>IF(VLOOKUP(TbPrestamo[[#This Row],[ITEM]],TbPiezas[],5,FALSE)="NA",0,VLOOKUP(TbPrestamo[[#This Row],[ITEM]],TbPiezas[],5,FALSE))</f>
        <v>0</v>
      </c>
      <c r="V345" s="81">
        <f>+TbPrestamo[[#This Row],[TOTAL]]*TbPrestamo[[#This Row],[P.U. (1)]]</f>
        <v>0</v>
      </c>
      <c r="W345" s="82">
        <f>+VLOOKUP(TbPrestamo[[#This Row],[ITEM]],TbPiezas[],6,FALSE)</f>
        <v>444.68</v>
      </c>
      <c r="X345" s="83">
        <f>+TbPrestamo[[#This Row],[TOTAL]]*TbPrestamo[[#This Row],[P.U. (2)]]</f>
        <v>0</v>
      </c>
      <c r="Y345" s="82">
        <f>+VLOOKUP(TbPrestamo[[#This Row],[ITEM]],TbPiezas[],7,FALSE)</f>
        <v>22.234000000000002</v>
      </c>
      <c r="Z345" s="84">
        <f>+TbPrestamo[[#This Row],[TOTAL]]*TbPrestamo[[#This Row],[P.U. (3)]]</f>
        <v>0</v>
      </c>
    </row>
    <row r="346" spans="1:26" ht="15" customHeight="1" x14ac:dyDescent="0.3">
      <c r="A346" s="2"/>
      <c r="B346" s="85">
        <v>328</v>
      </c>
      <c r="C346" s="71" t="s">
        <v>658</v>
      </c>
      <c r="D346" s="72" t="s">
        <v>659</v>
      </c>
      <c r="E346" s="73"/>
      <c r="F346" s="74">
        <f>+VLOOKUP(C346,TbPrestamo[],13,FALSE)</f>
        <v>0</v>
      </c>
      <c r="G346" s="2"/>
      <c r="H346" s="75" t="str">
        <f t="shared" si="10"/>
        <v>EN.1800</v>
      </c>
      <c r="I346" s="59" t="str">
        <f t="shared" si="11"/>
        <v>ok</v>
      </c>
      <c r="J346" s="77">
        <f>IFERROR(VLOOKUP($H346,TG[],3,FALSE),"NA")</f>
        <v>0</v>
      </c>
      <c r="K346" s="77" t="str">
        <f>IFERROR(VLOOKUP($H346,TF[],3,FALSE),"NA")</f>
        <v>NA</v>
      </c>
      <c r="L346" s="77" t="str">
        <f>IFERROR(VLOOKUP($H346,TT[],3,FALSE),"NA")</f>
        <v>NA</v>
      </c>
      <c r="M346" s="77" t="str">
        <f>IFERROR(VLOOKUP($H346,TES[],3,FALSE),"NA")</f>
        <v>NA</v>
      </c>
      <c r="N346" s="77" t="str">
        <f>IFERROR(VLOOKUP($H346,TEC[],3,FALSE),"NA")</f>
        <v>NA</v>
      </c>
      <c r="O346" s="77" t="str">
        <f>IFERROR(VLOOKUP($H346,TP[],3,FALSE),"NA")</f>
        <v>NA</v>
      </c>
      <c r="P346" s="77">
        <f>IFERROR(VLOOKUP($H346,TEN[],3,FALSE),"NA")</f>
        <v>0</v>
      </c>
      <c r="Q346" s="77" t="str">
        <f>IFERROR(VLOOKUP($H346,TD[],3,FALSE),"NA")</f>
        <v>NA</v>
      </c>
      <c r="R346" s="77" t="str">
        <f>IFERROR(VLOOKUP($H346,TC[],3,FALSE),"NA")</f>
        <v>NA</v>
      </c>
      <c r="S346" s="77" t="str">
        <f>IFERROR(VLOOKUP($H346,TEV[],3,FALSE),"NA")</f>
        <v>NA</v>
      </c>
      <c r="T346" s="79">
        <f>SUM(TbPrestamo[[#This Row],[GENERAL]:[ELEVADOR]])</f>
        <v>0</v>
      </c>
      <c r="U346" s="80">
        <f>IF(VLOOKUP(TbPrestamo[[#This Row],[ITEM]],TbPiezas[],5,FALSE)="NA",0,VLOOKUP(TbPrestamo[[#This Row],[ITEM]],TbPiezas[],5,FALSE))</f>
        <v>0</v>
      </c>
      <c r="V346" s="81">
        <f>+TbPrestamo[[#This Row],[TOTAL]]*TbPrestamo[[#This Row],[P.U. (1)]]</f>
        <v>0</v>
      </c>
      <c r="W346" s="82">
        <f>+VLOOKUP(TbPrestamo[[#This Row],[ITEM]],TbPiezas[],6,FALSE)</f>
        <v>63.53</v>
      </c>
      <c r="X346" s="83">
        <f>+TbPrestamo[[#This Row],[TOTAL]]*TbPrestamo[[#This Row],[P.U. (2)]]</f>
        <v>0</v>
      </c>
      <c r="Y346" s="82">
        <f>+VLOOKUP(TbPrestamo[[#This Row],[ITEM]],TbPiezas[],7,FALSE)</f>
        <v>3.1765000000000003</v>
      </c>
      <c r="Z346" s="84">
        <f>+TbPrestamo[[#This Row],[TOTAL]]*TbPrestamo[[#This Row],[P.U. (3)]]</f>
        <v>0</v>
      </c>
    </row>
    <row r="347" spans="1:26" ht="15" customHeight="1" x14ac:dyDescent="0.3">
      <c r="A347" s="2"/>
      <c r="B347" s="85">
        <v>329</v>
      </c>
      <c r="C347" s="71" t="s">
        <v>660</v>
      </c>
      <c r="D347" s="72" t="s">
        <v>661</v>
      </c>
      <c r="E347" s="73"/>
      <c r="F347" s="74">
        <f>+VLOOKUP(C347,TbPrestamo[],13,FALSE)</f>
        <v>0</v>
      </c>
      <c r="G347" s="2"/>
      <c r="H347" s="75" t="str">
        <f t="shared" si="10"/>
        <v>EN.1900</v>
      </c>
      <c r="I347" s="59" t="str">
        <f t="shared" si="11"/>
        <v>ok</v>
      </c>
      <c r="J347" s="77">
        <f>IFERROR(VLOOKUP($H347,TG[],3,FALSE),"NA")</f>
        <v>0</v>
      </c>
      <c r="K347" s="77" t="str">
        <f>IFERROR(VLOOKUP($H347,TF[],3,FALSE),"NA")</f>
        <v>NA</v>
      </c>
      <c r="L347" s="77" t="str">
        <f>IFERROR(VLOOKUP($H347,TT[],3,FALSE),"NA")</f>
        <v>NA</v>
      </c>
      <c r="M347" s="77" t="str">
        <f>IFERROR(VLOOKUP($H347,TES[],3,FALSE),"NA")</f>
        <v>NA</v>
      </c>
      <c r="N347" s="77" t="str">
        <f>IFERROR(VLOOKUP($H347,TEC[],3,FALSE),"NA")</f>
        <v>NA</v>
      </c>
      <c r="O347" s="77" t="str">
        <f>IFERROR(VLOOKUP($H347,TP[],3,FALSE),"NA")</f>
        <v>NA</v>
      </c>
      <c r="P347" s="77">
        <f>IFERROR(VLOOKUP($H347,TEN[],3,FALSE),"NA")</f>
        <v>0</v>
      </c>
      <c r="Q347" s="77" t="str">
        <f>IFERROR(VLOOKUP($H347,TD[],3,FALSE),"NA")</f>
        <v>NA</v>
      </c>
      <c r="R347" s="77" t="str">
        <f>IFERROR(VLOOKUP($H347,TC[],3,FALSE),"NA")</f>
        <v>NA</v>
      </c>
      <c r="S347" s="77" t="str">
        <f>IFERROR(VLOOKUP($H347,TEV[],3,FALSE),"NA")</f>
        <v>NA</v>
      </c>
      <c r="T347" s="79">
        <f>SUM(TbPrestamo[[#This Row],[GENERAL]:[ELEVADOR]])</f>
        <v>0</v>
      </c>
      <c r="U347" s="80">
        <f>IF(VLOOKUP(TbPrestamo[[#This Row],[ITEM]],TbPiezas[],5,FALSE)="NA",0,VLOOKUP(TbPrestamo[[#This Row],[ITEM]],TbPiezas[],5,FALSE))</f>
        <v>0</v>
      </c>
      <c r="V347" s="81">
        <f>+TbPrestamo[[#This Row],[TOTAL]]*TbPrestamo[[#This Row],[P.U. (1)]]</f>
        <v>0</v>
      </c>
      <c r="W347" s="82">
        <f>+VLOOKUP(TbPrestamo[[#This Row],[ITEM]],TbPiezas[],6,FALSE)</f>
        <v>63.53</v>
      </c>
      <c r="X347" s="83">
        <f>+TbPrestamo[[#This Row],[TOTAL]]*TbPrestamo[[#This Row],[P.U. (2)]]</f>
        <v>0</v>
      </c>
      <c r="Y347" s="82">
        <f>+VLOOKUP(TbPrestamo[[#This Row],[ITEM]],TbPiezas[],7,FALSE)</f>
        <v>3.1765000000000003</v>
      </c>
      <c r="Z347" s="84">
        <f>+TbPrestamo[[#This Row],[TOTAL]]*TbPrestamo[[#This Row],[P.U. (3)]]</f>
        <v>0</v>
      </c>
    </row>
    <row r="348" spans="1:26" ht="15" customHeight="1" x14ac:dyDescent="0.3">
      <c r="A348" s="2"/>
      <c r="B348" s="85">
        <v>330</v>
      </c>
      <c r="C348" s="71" t="s">
        <v>662</v>
      </c>
      <c r="D348" s="72" t="s">
        <v>663</v>
      </c>
      <c r="E348" s="73"/>
      <c r="F348" s="74">
        <f>+VLOOKUP(C348,TbPrestamo[],13,FALSE)</f>
        <v>0</v>
      </c>
      <c r="G348" s="2"/>
      <c r="H348" s="75" t="str">
        <f t="shared" si="10"/>
        <v>EN.2000</v>
      </c>
      <c r="I348" s="59" t="str">
        <f t="shared" si="11"/>
        <v>ok</v>
      </c>
      <c r="J348" s="77">
        <f>IFERROR(VLOOKUP($H348,TG[],3,FALSE),"NA")</f>
        <v>0</v>
      </c>
      <c r="K348" s="77" t="str">
        <f>IFERROR(VLOOKUP($H348,TF[],3,FALSE),"NA")</f>
        <v>NA</v>
      </c>
      <c r="L348" s="77" t="str">
        <f>IFERROR(VLOOKUP($H348,TT[],3,FALSE),"NA")</f>
        <v>NA</v>
      </c>
      <c r="M348" s="77" t="str">
        <f>IFERROR(VLOOKUP($H348,TES[],3,FALSE),"NA")</f>
        <v>NA</v>
      </c>
      <c r="N348" s="77" t="str">
        <f>IFERROR(VLOOKUP($H348,TEC[],3,FALSE),"NA")</f>
        <v>NA</v>
      </c>
      <c r="O348" s="77" t="str">
        <f>IFERROR(VLOOKUP($H348,TP[],3,FALSE),"NA")</f>
        <v>NA</v>
      </c>
      <c r="P348" s="77">
        <f>IFERROR(VLOOKUP($H348,TEN[],3,FALSE),"NA")</f>
        <v>0</v>
      </c>
      <c r="Q348" s="77" t="str">
        <f>IFERROR(VLOOKUP($H348,TD[],3,FALSE),"NA")</f>
        <v>NA</v>
      </c>
      <c r="R348" s="77" t="str">
        <f>IFERROR(VLOOKUP($H348,TC[],3,FALSE),"NA")</f>
        <v>NA</v>
      </c>
      <c r="S348" s="77" t="str">
        <f>IFERROR(VLOOKUP($H348,TEV[],3,FALSE),"NA")</f>
        <v>NA</v>
      </c>
      <c r="T348" s="79">
        <f>SUM(TbPrestamo[[#This Row],[GENERAL]:[ELEVADOR]])</f>
        <v>0</v>
      </c>
      <c r="U348" s="80">
        <f>IF(VLOOKUP(TbPrestamo[[#This Row],[ITEM]],TbPiezas[],5,FALSE)="NA",0,VLOOKUP(TbPrestamo[[#This Row],[ITEM]],TbPiezas[],5,FALSE))</f>
        <v>40.700000000000003</v>
      </c>
      <c r="V348" s="81">
        <f>+TbPrestamo[[#This Row],[TOTAL]]*TbPrestamo[[#This Row],[P.U. (1)]]</f>
        <v>0</v>
      </c>
      <c r="W348" s="82">
        <f>+VLOOKUP(TbPrestamo[[#This Row],[ITEM]],TbPiezas[],6,FALSE)</f>
        <v>1003.91</v>
      </c>
      <c r="X348" s="83">
        <f>+TbPrestamo[[#This Row],[TOTAL]]*TbPrestamo[[#This Row],[P.U. (2)]]</f>
        <v>0</v>
      </c>
      <c r="Y348" s="82">
        <f>+VLOOKUP(TbPrestamo[[#This Row],[ITEM]],TbPiezas[],7,FALSE)</f>
        <v>50.195500000000003</v>
      </c>
      <c r="Z348" s="84">
        <f>+TbPrestamo[[#This Row],[TOTAL]]*TbPrestamo[[#This Row],[P.U. (3)]]</f>
        <v>0</v>
      </c>
    </row>
    <row r="349" spans="1:26" ht="15" customHeight="1" x14ac:dyDescent="0.3">
      <c r="A349" s="2"/>
      <c r="B349" s="85">
        <v>331</v>
      </c>
      <c r="C349" s="71" t="s">
        <v>664</v>
      </c>
      <c r="D349" s="72" t="s">
        <v>665</v>
      </c>
      <c r="E349" s="73"/>
      <c r="F349" s="74">
        <f>+VLOOKUP(C349,TbPrestamo[],13,FALSE)</f>
        <v>0</v>
      </c>
      <c r="G349" s="2"/>
      <c r="H349" s="75" t="str">
        <f t="shared" si="10"/>
        <v>EN.2100</v>
      </c>
      <c r="I349" s="59" t="str">
        <f t="shared" si="11"/>
        <v>ok</v>
      </c>
      <c r="J349" s="77">
        <f>IFERROR(VLOOKUP($H349,TG[],3,FALSE),"NA")</f>
        <v>0</v>
      </c>
      <c r="K349" s="77" t="str">
        <f>IFERROR(VLOOKUP($H349,TF[],3,FALSE),"NA")</f>
        <v>NA</v>
      </c>
      <c r="L349" s="77" t="str">
        <f>IFERROR(VLOOKUP($H349,TT[],3,FALSE),"NA")</f>
        <v>NA</v>
      </c>
      <c r="M349" s="77" t="str">
        <f>IFERROR(VLOOKUP($H349,TES[],3,FALSE),"NA")</f>
        <v>NA</v>
      </c>
      <c r="N349" s="77" t="str">
        <f>IFERROR(VLOOKUP($H349,TEC[],3,FALSE),"NA")</f>
        <v>NA</v>
      </c>
      <c r="O349" s="77" t="str">
        <f>IFERROR(VLOOKUP($H349,TP[],3,FALSE),"NA")</f>
        <v>NA</v>
      </c>
      <c r="P349" s="77">
        <f>IFERROR(VLOOKUP($H349,TEN[],3,FALSE),"NA")</f>
        <v>0</v>
      </c>
      <c r="Q349" s="77" t="str">
        <f>IFERROR(VLOOKUP($H349,TD[],3,FALSE),"NA")</f>
        <v>NA</v>
      </c>
      <c r="R349" s="77" t="str">
        <f>IFERROR(VLOOKUP($H349,TC[],3,FALSE),"NA")</f>
        <v>NA</v>
      </c>
      <c r="S349" s="77" t="str">
        <f>IFERROR(VLOOKUP($H349,TEV[],3,FALSE),"NA")</f>
        <v>NA</v>
      </c>
      <c r="T349" s="79">
        <f>SUM(TbPrestamo[[#This Row],[GENERAL]:[ELEVADOR]])</f>
        <v>0</v>
      </c>
      <c r="U349" s="80">
        <f>IF(VLOOKUP(TbPrestamo[[#This Row],[ITEM]],TbPiezas[],5,FALSE)="NA",0,VLOOKUP(TbPrestamo[[#This Row],[ITEM]],TbPiezas[],5,FALSE))</f>
        <v>26</v>
      </c>
      <c r="V349" s="81">
        <f>+TbPrestamo[[#This Row],[TOTAL]]*TbPrestamo[[#This Row],[P.U. (1)]]</f>
        <v>0</v>
      </c>
      <c r="W349" s="82">
        <f>+VLOOKUP(TbPrestamo[[#This Row],[ITEM]],TbPiezas[],6,FALSE)</f>
        <v>738.5</v>
      </c>
      <c r="X349" s="83">
        <f>+TbPrestamo[[#This Row],[TOTAL]]*TbPrestamo[[#This Row],[P.U. (2)]]</f>
        <v>0</v>
      </c>
      <c r="Y349" s="82">
        <f>+VLOOKUP(TbPrestamo[[#This Row],[ITEM]],TbPiezas[],7,FALSE)</f>
        <v>36.925000000000004</v>
      </c>
      <c r="Z349" s="84">
        <f>+TbPrestamo[[#This Row],[TOTAL]]*TbPrestamo[[#This Row],[P.U. (3)]]</f>
        <v>0</v>
      </c>
    </row>
    <row r="350" spans="1:26" ht="15" customHeight="1" x14ac:dyDescent="0.3">
      <c r="A350" s="2"/>
      <c r="B350" s="85">
        <v>332</v>
      </c>
      <c r="C350" s="71" t="s">
        <v>666</v>
      </c>
      <c r="D350" s="72" t="s">
        <v>667</v>
      </c>
      <c r="E350" s="73"/>
      <c r="F350" s="74">
        <f>+VLOOKUP(C350,TbPrestamo[],13,FALSE)</f>
        <v>0</v>
      </c>
      <c r="G350" s="2"/>
      <c r="H350" s="75" t="str">
        <f t="shared" si="10"/>
        <v>EN.2200</v>
      </c>
      <c r="I350" s="59" t="str">
        <f t="shared" si="11"/>
        <v>ok</v>
      </c>
      <c r="J350" s="77">
        <f>IFERROR(VLOOKUP($H350,TG[],3,FALSE),"NA")</f>
        <v>0</v>
      </c>
      <c r="K350" s="77" t="str">
        <f>IFERROR(VLOOKUP($H350,TF[],3,FALSE),"NA")</f>
        <v>NA</v>
      </c>
      <c r="L350" s="77" t="str">
        <f>IFERROR(VLOOKUP($H350,TT[],3,FALSE),"NA")</f>
        <v>NA</v>
      </c>
      <c r="M350" s="77" t="str">
        <f>IFERROR(VLOOKUP($H350,TES[],3,FALSE),"NA")</f>
        <v>NA</v>
      </c>
      <c r="N350" s="77" t="str">
        <f>IFERROR(VLOOKUP($H350,TEC[],3,FALSE),"NA")</f>
        <v>NA</v>
      </c>
      <c r="O350" s="77" t="str">
        <f>IFERROR(VLOOKUP($H350,TP[],3,FALSE),"NA")</f>
        <v>NA</v>
      </c>
      <c r="P350" s="77">
        <f>IFERROR(VLOOKUP($H350,TEN[],3,FALSE),"NA")</f>
        <v>0</v>
      </c>
      <c r="Q350" s="77" t="str">
        <f>IFERROR(VLOOKUP($H350,TD[],3,FALSE),"NA")</f>
        <v>NA</v>
      </c>
      <c r="R350" s="77" t="str">
        <f>IFERROR(VLOOKUP($H350,TC[],3,FALSE),"NA")</f>
        <v>NA</v>
      </c>
      <c r="S350" s="77" t="str">
        <f>IFERROR(VLOOKUP($H350,TEV[],3,FALSE),"NA")</f>
        <v>NA</v>
      </c>
      <c r="T350" s="79">
        <f>SUM(TbPrestamo[[#This Row],[GENERAL]:[ELEVADOR]])</f>
        <v>0</v>
      </c>
      <c r="U350" s="80">
        <f>IF(VLOOKUP(TbPrestamo[[#This Row],[ITEM]],TbPiezas[],5,FALSE)="NA",0,VLOOKUP(TbPrestamo[[#This Row],[ITEM]],TbPiezas[],5,FALSE))</f>
        <v>20.099999999999994</v>
      </c>
      <c r="V350" s="81">
        <f>+TbPrestamo[[#This Row],[TOTAL]]*TbPrestamo[[#This Row],[P.U. (1)]]</f>
        <v>0</v>
      </c>
      <c r="W350" s="82">
        <f>+VLOOKUP(TbPrestamo[[#This Row],[ITEM]],TbPiezas[],6,FALSE)</f>
        <v>588.53</v>
      </c>
      <c r="X350" s="83">
        <f>+TbPrestamo[[#This Row],[TOTAL]]*TbPrestamo[[#This Row],[P.U. (2)]]</f>
        <v>0</v>
      </c>
      <c r="Y350" s="82">
        <f>+VLOOKUP(TbPrestamo[[#This Row],[ITEM]],TbPiezas[],7,FALSE)</f>
        <v>29.426500000000001</v>
      </c>
      <c r="Z350" s="84">
        <f>+TbPrestamo[[#This Row],[TOTAL]]*TbPrestamo[[#This Row],[P.U. (3)]]</f>
        <v>0</v>
      </c>
    </row>
    <row r="351" spans="1:26" ht="15" customHeight="1" x14ac:dyDescent="0.3">
      <c r="A351" s="2"/>
      <c r="B351" s="85">
        <v>333</v>
      </c>
      <c r="C351" s="71" t="s">
        <v>668</v>
      </c>
      <c r="D351" s="72" t="s">
        <v>669</v>
      </c>
      <c r="E351" s="73"/>
      <c r="F351" s="74">
        <f>+VLOOKUP(C351,TbPrestamo[],13,FALSE)</f>
        <v>0</v>
      </c>
      <c r="G351" s="2"/>
      <c r="H351" s="75" t="str">
        <f t="shared" si="10"/>
        <v>EN.2300</v>
      </c>
      <c r="I351" s="59" t="str">
        <f t="shared" si="11"/>
        <v>ok</v>
      </c>
      <c r="J351" s="77">
        <f>IFERROR(VLOOKUP($H351,TG[],3,FALSE),"NA")</f>
        <v>0</v>
      </c>
      <c r="K351" s="77" t="str">
        <f>IFERROR(VLOOKUP($H351,TF[],3,FALSE),"NA")</f>
        <v>NA</v>
      </c>
      <c r="L351" s="77" t="str">
        <f>IFERROR(VLOOKUP($H351,TT[],3,FALSE),"NA")</f>
        <v>NA</v>
      </c>
      <c r="M351" s="77" t="str">
        <f>IFERROR(VLOOKUP($H351,TES[],3,FALSE),"NA")</f>
        <v>NA</v>
      </c>
      <c r="N351" s="77" t="str">
        <f>IFERROR(VLOOKUP($H351,TEC[],3,FALSE),"NA")</f>
        <v>NA</v>
      </c>
      <c r="O351" s="77" t="str">
        <f>IFERROR(VLOOKUP($H351,TP[],3,FALSE),"NA")</f>
        <v>NA</v>
      </c>
      <c r="P351" s="77">
        <f>IFERROR(VLOOKUP($H351,TEN[],3,FALSE),"NA")</f>
        <v>0</v>
      </c>
      <c r="Q351" s="77" t="str">
        <f>IFERROR(VLOOKUP($H351,TD[],3,FALSE),"NA")</f>
        <v>NA</v>
      </c>
      <c r="R351" s="77" t="str">
        <f>IFERROR(VLOOKUP($H351,TC[],3,FALSE),"NA")</f>
        <v>NA</v>
      </c>
      <c r="S351" s="77" t="str">
        <f>IFERROR(VLOOKUP($H351,TEV[],3,FALSE),"NA")</f>
        <v>NA</v>
      </c>
      <c r="T351" s="79">
        <f>SUM(TbPrestamo[[#This Row],[GENERAL]:[ELEVADOR]])</f>
        <v>0</v>
      </c>
      <c r="U351" s="80">
        <f>IF(VLOOKUP(TbPrestamo[[#This Row],[ITEM]],TbPiezas[],5,FALSE)="NA",0,VLOOKUP(TbPrestamo[[#This Row],[ITEM]],TbPiezas[],5,FALSE))</f>
        <v>21.700000000000003</v>
      </c>
      <c r="V351" s="81">
        <f>+TbPrestamo[[#This Row],[TOTAL]]*TbPrestamo[[#This Row],[P.U. (1)]]</f>
        <v>0</v>
      </c>
      <c r="W351" s="82">
        <f>+VLOOKUP(TbPrestamo[[#This Row],[ITEM]],TbPiezas[],6,FALSE)</f>
        <v>646.25</v>
      </c>
      <c r="X351" s="83">
        <f>+TbPrestamo[[#This Row],[TOTAL]]*TbPrestamo[[#This Row],[P.U. (2)]]</f>
        <v>0</v>
      </c>
      <c r="Y351" s="82">
        <f>+VLOOKUP(TbPrestamo[[#This Row],[ITEM]],TbPiezas[],7,FALSE)</f>
        <v>32.3125</v>
      </c>
      <c r="Z351" s="84">
        <f>+TbPrestamo[[#This Row],[TOTAL]]*TbPrestamo[[#This Row],[P.U. (3)]]</f>
        <v>0</v>
      </c>
    </row>
    <row r="352" spans="1:26" ht="15" customHeight="1" x14ac:dyDescent="0.3">
      <c r="A352" s="2"/>
      <c r="B352" s="85">
        <v>334</v>
      </c>
      <c r="C352" s="71" t="s">
        <v>670</v>
      </c>
      <c r="D352" s="72" t="s">
        <v>671</v>
      </c>
      <c r="E352" s="73"/>
      <c r="F352" s="74">
        <f>+VLOOKUP(C352,TbPrestamo[],13,FALSE)</f>
        <v>0</v>
      </c>
      <c r="G352" s="2"/>
      <c r="H352" s="75" t="str">
        <f t="shared" si="10"/>
        <v>EN.2400</v>
      </c>
      <c r="I352" s="59" t="str">
        <f t="shared" si="11"/>
        <v>ok</v>
      </c>
      <c r="J352" s="77">
        <f>IFERROR(VLOOKUP($H352,TG[],3,FALSE),"NA")</f>
        <v>0</v>
      </c>
      <c r="K352" s="77" t="str">
        <f>IFERROR(VLOOKUP($H352,TF[],3,FALSE),"NA")</f>
        <v>NA</v>
      </c>
      <c r="L352" s="77" t="str">
        <f>IFERROR(VLOOKUP($H352,TT[],3,FALSE),"NA")</f>
        <v>NA</v>
      </c>
      <c r="M352" s="77" t="str">
        <f>IFERROR(VLOOKUP($H352,TES[],3,FALSE),"NA")</f>
        <v>NA</v>
      </c>
      <c r="N352" s="77" t="str">
        <f>IFERROR(VLOOKUP($H352,TEC[],3,FALSE),"NA")</f>
        <v>NA</v>
      </c>
      <c r="O352" s="77" t="str">
        <f>IFERROR(VLOOKUP($H352,TP[],3,FALSE),"NA")</f>
        <v>NA</v>
      </c>
      <c r="P352" s="77">
        <f>IFERROR(VLOOKUP($H352,TEN[],3,FALSE),"NA")</f>
        <v>0</v>
      </c>
      <c r="Q352" s="77" t="str">
        <f>IFERROR(VLOOKUP($H352,TD[],3,FALSE),"NA")</f>
        <v>NA</v>
      </c>
      <c r="R352" s="77" t="str">
        <f>IFERROR(VLOOKUP($H352,TC[],3,FALSE),"NA")</f>
        <v>NA</v>
      </c>
      <c r="S352" s="77" t="str">
        <f>IFERROR(VLOOKUP($H352,TEV[],3,FALSE),"NA")</f>
        <v>NA</v>
      </c>
      <c r="T352" s="79">
        <f>SUM(TbPrestamo[[#This Row],[GENERAL]:[ELEVADOR]])</f>
        <v>0</v>
      </c>
      <c r="U352" s="80">
        <f>IF(VLOOKUP(TbPrestamo[[#This Row],[ITEM]],TbPiezas[],5,FALSE)="NA",0,VLOOKUP(TbPrestamo[[#This Row],[ITEM]],TbPiezas[],5,FALSE))</f>
        <v>9</v>
      </c>
      <c r="V352" s="81">
        <f>+TbPrestamo[[#This Row],[TOTAL]]*TbPrestamo[[#This Row],[P.U. (1)]]</f>
        <v>0</v>
      </c>
      <c r="W352" s="82">
        <f>+VLOOKUP(TbPrestamo[[#This Row],[ITEM]],TbPiezas[],6,FALSE)</f>
        <v>311.58999999999997</v>
      </c>
      <c r="X352" s="83">
        <f>+TbPrestamo[[#This Row],[TOTAL]]*TbPrestamo[[#This Row],[P.U. (2)]]</f>
        <v>0</v>
      </c>
      <c r="Y352" s="82">
        <f>+VLOOKUP(TbPrestamo[[#This Row],[ITEM]],TbPiezas[],7,FALSE)</f>
        <v>15.579499999999999</v>
      </c>
      <c r="Z352" s="84">
        <f>+TbPrestamo[[#This Row],[TOTAL]]*TbPrestamo[[#This Row],[P.U. (3)]]</f>
        <v>0</v>
      </c>
    </row>
    <row r="353" spans="1:26" ht="15" customHeight="1" x14ac:dyDescent="0.3">
      <c r="A353" s="2"/>
      <c r="B353" s="85">
        <v>335</v>
      </c>
      <c r="C353" s="71" t="s">
        <v>672</v>
      </c>
      <c r="D353" s="72" t="s">
        <v>673</v>
      </c>
      <c r="E353" s="73"/>
      <c r="F353" s="74">
        <f>+VLOOKUP(C353,TbPrestamo[],13,FALSE)</f>
        <v>0</v>
      </c>
      <c r="G353" s="2"/>
      <c r="H353" s="75" t="str">
        <f t="shared" si="10"/>
        <v>EN.2500</v>
      </c>
      <c r="I353" s="59" t="str">
        <f t="shared" si="11"/>
        <v>ok</v>
      </c>
      <c r="J353" s="77">
        <f>IFERROR(VLOOKUP($H353,TG[],3,FALSE),"NA")</f>
        <v>0</v>
      </c>
      <c r="K353" s="77" t="str">
        <f>IFERROR(VLOOKUP($H353,TF[],3,FALSE),"NA")</f>
        <v>NA</v>
      </c>
      <c r="L353" s="77" t="str">
        <f>IFERROR(VLOOKUP($H353,TT[],3,FALSE),"NA")</f>
        <v>NA</v>
      </c>
      <c r="M353" s="77" t="str">
        <f>IFERROR(VLOOKUP($H353,TES[],3,FALSE),"NA")</f>
        <v>NA</v>
      </c>
      <c r="N353" s="77" t="str">
        <f>IFERROR(VLOOKUP($H353,TEC[],3,FALSE),"NA")</f>
        <v>NA</v>
      </c>
      <c r="O353" s="77" t="str">
        <f>IFERROR(VLOOKUP($H353,TP[],3,FALSE),"NA")</f>
        <v>NA</v>
      </c>
      <c r="P353" s="77">
        <f>IFERROR(VLOOKUP($H353,TEN[],3,FALSE),"NA")</f>
        <v>0</v>
      </c>
      <c r="Q353" s="77" t="str">
        <f>IFERROR(VLOOKUP($H353,TD[],3,FALSE),"NA")</f>
        <v>NA</v>
      </c>
      <c r="R353" s="77" t="str">
        <f>IFERROR(VLOOKUP($H353,TC[],3,FALSE),"NA")</f>
        <v>NA</v>
      </c>
      <c r="S353" s="77" t="str">
        <f>IFERROR(VLOOKUP($H353,TEV[],3,FALSE),"NA")</f>
        <v>NA</v>
      </c>
      <c r="T353" s="79">
        <f>SUM(TbPrestamo[[#This Row],[GENERAL]:[ELEVADOR]])</f>
        <v>0</v>
      </c>
      <c r="U353" s="80">
        <f>IF(VLOOKUP(TbPrestamo[[#This Row],[ITEM]],TbPiezas[],5,FALSE)="NA",0,VLOOKUP(TbPrestamo[[#This Row],[ITEM]],TbPiezas[],5,FALSE))</f>
        <v>10.599999999999994</v>
      </c>
      <c r="V353" s="81">
        <f>+TbPrestamo[[#This Row],[TOTAL]]*TbPrestamo[[#This Row],[P.U. (1)]]</f>
        <v>0</v>
      </c>
      <c r="W353" s="82">
        <f>+VLOOKUP(TbPrestamo[[#This Row],[ITEM]],TbPiezas[],6,FALSE)</f>
        <v>288.49</v>
      </c>
      <c r="X353" s="83">
        <f>+TbPrestamo[[#This Row],[TOTAL]]*TbPrestamo[[#This Row],[P.U. (2)]]</f>
        <v>0</v>
      </c>
      <c r="Y353" s="82">
        <f>+VLOOKUP(TbPrestamo[[#This Row],[ITEM]],TbPiezas[],7,FALSE)</f>
        <v>14.424500000000002</v>
      </c>
      <c r="Z353" s="84">
        <f>+TbPrestamo[[#This Row],[TOTAL]]*TbPrestamo[[#This Row],[P.U. (3)]]</f>
        <v>0</v>
      </c>
    </row>
    <row r="354" spans="1:26" ht="15" customHeight="1" x14ac:dyDescent="0.3">
      <c r="A354" s="2"/>
      <c r="B354" s="85">
        <v>336</v>
      </c>
      <c r="C354" s="71" t="s">
        <v>674</v>
      </c>
      <c r="D354" s="72" t="s">
        <v>675</v>
      </c>
      <c r="E354" s="73"/>
      <c r="F354" s="74">
        <f>+VLOOKUP(C354,TbPrestamo[],13,FALSE)</f>
        <v>0</v>
      </c>
      <c r="G354" s="2"/>
      <c r="H354" s="75" t="str">
        <f t="shared" si="10"/>
        <v>EN.2600</v>
      </c>
      <c r="I354" s="59" t="str">
        <f t="shared" si="11"/>
        <v>ok</v>
      </c>
      <c r="J354" s="77">
        <f>IFERROR(VLOOKUP($H354,TG[],3,FALSE),"NA")</f>
        <v>0</v>
      </c>
      <c r="K354" s="77" t="str">
        <f>IFERROR(VLOOKUP($H354,TF[],3,FALSE),"NA")</f>
        <v>NA</v>
      </c>
      <c r="L354" s="77" t="str">
        <f>IFERROR(VLOOKUP($H354,TT[],3,FALSE),"NA")</f>
        <v>NA</v>
      </c>
      <c r="M354" s="77" t="str">
        <f>IFERROR(VLOOKUP($H354,TES[],3,FALSE),"NA")</f>
        <v>NA</v>
      </c>
      <c r="N354" s="77" t="str">
        <f>IFERROR(VLOOKUP($H354,TEC[],3,FALSE),"NA")</f>
        <v>NA</v>
      </c>
      <c r="O354" s="77" t="str">
        <f>IFERROR(VLOOKUP($H354,TP[],3,FALSE),"NA")</f>
        <v>NA</v>
      </c>
      <c r="P354" s="77">
        <f>IFERROR(VLOOKUP($H354,TEN[],3,FALSE),"NA")</f>
        <v>0</v>
      </c>
      <c r="Q354" s="77" t="str">
        <f>IFERROR(VLOOKUP($H354,TD[],3,FALSE),"NA")</f>
        <v>NA</v>
      </c>
      <c r="R354" s="77" t="str">
        <f>IFERROR(VLOOKUP($H354,TC[],3,FALSE),"NA")</f>
        <v>NA</v>
      </c>
      <c r="S354" s="77" t="str">
        <f>IFERROR(VLOOKUP($H354,TEV[],3,FALSE),"NA")</f>
        <v>NA</v>
      </c>
      <c r="T354" s="79">
        <f>SUM(TbPrestamo[[#This Row],[GENERAL]:[ELEVADOR]])</f>
        <v>0</v>
      </c>
      <c r="U354" s="80">
        <f>IF(VLOOKUP(TbPrestamo[[#This Row],[ITEM]],TbPiezas[],5,FALSE)="NA",0,VLOOKUP(TbPrestamo[[#This Row],[ITEM]],TbPiezas[],5,FALSE))</f>
        <v>10.200000000000003</v>
      </c>
      <c r="V354" s="81">
        <f>+TbPrestamo[[#This Row],[TOTAL]]*TbPrestamo[[#This Row],[P.U. (1)]]</f>
        <v>0</v>
      </c>
      <c r="W354" s="82">
        <f>+VLOOKUP(TbPrestamo[[#This Row],[ITEM]],TbPiezas[],6,FALSE)</f>
        <v>563.89</v>
      </c>
      <c r="X354" s="83">
        <f>+TbPrestamo[[#This Row],[TOTAL]]*TbPrestamo[[#This Row],[P.U. (2)]]</f>
        <v>0</v>
      </c>
      <c r="Y354" s="82">
        <f>+VLOOKUP(TbPrestamo[[#This Row],[ITEM]],TbPiezas[],7,FALSE)</f>
        <v>28.194500000000001</v>
      </c>
      <c r="Z354" s="84">
        <f>+TbPrestamo[[#This Row],[TOTAL]]*TbPrestamo[[#This Row],[P.U. (3)]]</f>
        <v>0</v>
      </c>
    </row>
    <row r="355" spans="1:26" ht="15" customHeight="1" x14ac:dyDescent="0.3">
      <c r="A355" s="2"/>
      <c r="B355" s="85">
        <v>337</v>
      </c>
      <c r="C355" s="71" t="s">
        <v>676</v>
      </c>
      <c r="D355" s="72" t="s">
        <v>677</v>
      </c>
      <c r="E355" s="73"/>
      <c r="F355" s="74">
        <f>+VLOOKUP(C355,TbPrestamo[],13,FALSE)</f>
        <v>0</v>
      </c>
      <c r="G355" s="2"/>
      <c r="H355" s="75" t="str">
        <f t="shared" si="10"/>
        <v>EN.2700</v>
      </c>
      <c r="I355" s="59" t="str">
        <f t="shared" si="11"/>
        <v>ok</v>
      </c>
      <c r="J355" s="77">
        <f>IFERROR(VLOOKUP($H355,TG[],3,FALSE),"NA")</f>
        <v>0</v>
      </c>
      <c r="K355" s="77" t="str">
        <f>IFERROR(VLOOKUP($H355,TF[],3,FALSE),"NA")</f>
        <v>NA</v>
      </c>
      <c r="L355" s="77" t="str">
        <f>IFERROR(VLOOKUP($H355,TT[],3,FALSE),"NA")</f>
        <v>NA</v>
      </c>
      <c r="M355" s="77" t="str">
        <f>IFERROR(VLOOKUP($H355,TES[],3,FALSE),"NA")</f>
        <v>NA</v>
      </c>
      <c r="N355" s="77" t="str">
        <f>IFERROR(VLOOKUP($H355,TEC[],3,FALSE),"NA")</f>
        <v>NA</v>
      </c>
      <c r="O355" s="77" t="str">
        <f>IFERROR(VLOOKUP($H355,TP[],3,FALSE),"NA")</f>
        <v>NA</v>
      </c>
      <c r="P355" s="77">
        <f>IFERROR(VLOOKUP($H355,TEN[],3,FALSE),"NA")</f>
        <v>0</v>
      </c>
      <c r="Q355" s="77" t="str">
        <f>IFERROR(VLOOKUP($H355,TD[],3,FALSE),"NA")</f>
        <v>NA</v>
      </c>
      <c r="R355" s="77" t="str">
        <f>IFERROR(VLOOKUP($H355,TC[],3,FALSE),"NA")</f>
        <v>NA</v>
      </c>
      <c r="S355" s="77" t="str">
        <f>IFERROR(VLOOKUP($H355,TEV[],3,FALSE),"NA")</f>
        <v>NA</v>
      </c>
      <c r="T355" s="79">
        <f>SUM(TbPrestamo[[#This Row],[GENERAL]:[ELEVADOR]])</f>
        <v>0</v>
      </c>
      <c r="U355" s="80">
        <f>IF(VLOOKUP(TbPrestamo[[#This Row],[ITEM]],TbPiezas[],5,FALSE)="NA",0,VLOOKUP(TbPrestamo[[#This Row],[ITEM]],TbPiezas[],5,FALSE))</f>
        <v>7</v>
      </c>
      <c r="V355" s="81">
        <f>+TbPrestamo[[#This Row],[TOTAL]]*TbPrestamo[[#This Row],[P.U. (1)]]</f>
        <v>0</v>
      </c>
      <c r="W355" s="82">
        <f>+VLOOKUP(TbPrestamo[[#This Row],[ITEM]],TbPiezas[],6,FALSE)</f>
        <v>235.87</v>
      </c>
      <c r="X355" s="83">
        <f>+TbPrestamo[[#This Row],[TOTAL]]*TbPrestamo[[#This Row],[P.U. (2)]]</f>
        <v>0</v>
      </c>
      <c r="Y355" s="82">
        <f>+VLOOKUP(TbPrestamo[[#This Row],[ITEM]],TbPiezas[],7,FALSE)</f>
        <v>11.793500000000002</v>
      </c>
      <c r="Z355" s="84">
        <f>+TbPrestamo[[#This Row],[TOTAL]]*TbPrestamo[[#This Row],[P.U. (3)]]</f>
        <v>0</v>
      </c>
    </row>
    <row r="356" spans="1:26" ht="15" customHeight="1" x14ac:dyDescent="0.3">
      <c r="A356" s="2"/>
      <c r="B356" s="85">
        <v>338</v>
      </c>
      <c r="C356" s="71" t="s">
        <v>678</v>
      </c>
      <c r="D356" s="72" t="s">
        <v>679</v>
      </c>
      <c r="E356" s="73"/>
      <c r="F356" s="74">
        <f>+VLOOKUP(C356,TbPrestamo[],13,FALSE)</f>
        <v>0</v>
      </c>
      <c r="G356" s="2"/>
      <c r="H356" s="75" t="str">
        <f t="shared" si="10"/>
        <v>EN.2800</v>
      </c>
      <c r="I356" s="59" t="str">
        <f t="shared" si="11"/>
        <v>ok</v>
      </c>
      <c r="J356" s="77">
        <f>IFERROR(VLOOKUP($H356,TG[],3,FALSE),"NA")</f>
        <v>0</v>
      </c>
      <c r="K356" s="77" t="str">
        <f>IFERROR(VLOOKUP($H356,TF[],3,FALSE),"NA")</f>
        <v>NA</v>
      </c>
      <c r="L356" s="77" t="str">
        <f>IFERROR(VLOOKUP($H356,TT[],3,FALSE),"NA")</f>
        <v>NA</v>
      </c>
      <c r="M356" s="77" t="str">
        <f>IFERROR(VLOOKUP($H356,TES[],3,FALSE),"NA")</f>
        <v>NA</v>
      </c>
      <c r="N356" s="77" t="str">
        <f>IFERROR(VLOOKUP($H356,TEC[],3,FALSE),"NA")</f>
        <v>NA</v>
      </c>
      <c r="O356" s="77" t="str">
        <f>IFERROR(VLOOKUP($H356,TP[],3,FALSE),"NA")</f>
        <v>NA</v>
      </c>
      <c r="P356" s="77">
        <f>IFERROR(VLOOKUP($H356,TEN[],3,FALSE),"NA")</f>
        <v>0</v>
      </c>
      <c r="Q356" s="77" t="str">
        <f>IFERROR(VLOOKUP($H356,TD[],3,FALSE),"NA")</f>
        <v>NA</v>
      </c>
      <c r="R356" s="77" t="str">
        <f>IFERROR(VLOOKUP($H356,TC[],3,FALSE),"NA")</f>
        <v>NA</v>
      </c>
      <c r="S356" s="77" t="str">
        <f>IFERROR(VLOOKUP($H356,TEV[],3,FALSE),"NA")</f>
        <v>NA</v>
      </c>
      <c r="T356" s="79">
        <f>SUM(TbPrestamo[[#This Row],[GENERAL]:[ELEVADOR]])</f>
        <v>0</v>
      </c>
      <c r="U356" s="80">
        <f>IF(VLOOKUP(TbPrestamo[[#This Row],[ITEM]],TbPiezas[],5,FALSE)="NA",0,VLOOKUP(TbPrestamo[[#This Row],[ITEM]],TbPiezas[],5,FALSE))</f>
        <v>0.20000000000000284</v>
      </c>
      <c r="V356" s="81">
        <f>+TbPrestamo[[#This Row],[TOTAL]]*TbPrestamo[[#This Row],[P.U. (1)]]</f>
        <v>0</v>
      </c>
      <c r="W356" s="82">
        <f>+VLOOKUP(TbPrestamo[[#This Row],[ITEM]],TbPiezas[],6,FALSE)</f>
        <v>43.83</v>
      </c>
      <c r="X356" s="83">
        <f>+TbPrestamo[[#This Row],[TOTAL]]*TbPrestamo[[#This Row],[P.U. (2)]]</f>
        <v>0</v>
      </c>
      <c r="Y356" s="82">
        <f>+VLOOKUP(TbPrestamo[[#This Row],[ITEM]],TbPiezas[],7,FALSE)</f>
        <v>2.1915</v>
      </c>
      <c r="Z356" s="84">
        <f>+TbPrestamo[[#This Row],[TOTAL]]*TbPrestamo[[#This Row],[P.U. (3)]]</f>
        <v>0</v>
      </c>
    </row>
    <row r="357" spans="1:26" ht="15" customHeight="1" x14ac:dyDescent="0.3">
      <c r="A357" s="2"/>
      <c r="B357" s="85"/>
      <c r="C357" s="71" t="s">
        <v>1385</v>
      </c>
      <c r="D357" s="72" t="s">
        <v>1386</v>
      </c>
      <c r="E357" s="73"/>
      <c r="F357" s="74">
        <f>+VLOOKUP(C357,TbPrestamo[],13,FALSE)</f>
        <v>0</v>
      </c>
      <c r="G357" s="2"/>
      <c r="H357" s="75" t="str">
        <f t="shared" si="10"/>
        <v>EN.2820</v>
      </c>
      <c r="I357" s="59" t="str">
        <f t="shared" si="11"/>
        <v>ok</v>
      </c>
      <c r="J357" s="77">
        <f>IFERROR(VLOOKUP($H357,TG[],3,FALSE),"NA")</f>
        <v>0</v>
      </c>
      <c r="K357" s="77" t="str">
        <f>IFERROR(VLOOKUP($H357,TF[],3,FALSE),"NA")</f>
        <v>NA</v>
      </c>
      <c r="L357" s="77" t="str">
        <f>IFERROR(VLOOKUP($H357,TT[],3,FALSE),"NA")</f>
        <v>NA</v>
      </c>
      <c r="M357" s="77" t="str">
        <f>IFERROR(VLOOKUP($H357,TES[],3,FALSE),"NA")</f>
        <v>NA</v>
      </c>
      <c r="N357" s="77" t="str">
        <f>IFERROR(VLOOKUP($H357,TEC[],3,FALSE),"NA")</f>
        <v>NA</v>
      </c>
      <c r="O357" s="77" t="str">
        <f>IFERROR(VLOOKUP($H357,TP[],3,FALSE),"NA")</f>
        <v>NA</v>
      </c>
      <c r="P357" s="77">
        <f>IFERROR(VLOOKUP($H357,TEN[],3,FALSE),"NA")</f>
        <v>0</v>
      </c>
      <c r="Q357" s="77" t="str">
        <f>IFERROR(VLOOKUP($H357,TD[],3,FALSE),"NA")</f>
        <v>NA</v>
      </c>
      <c r="R357" s="77" t="str">
        <f>IFERROR(VLOOKUP($H357,TC[],3,FALSE),"NA")</f>
        <v>NA</v>
      </c>
      <c r="S357" s="77" t="str">
        <f>IFERROR(VLOOKUP($H357,TEV[],3,FALSE),"NA")</f>
        <v>NA</v>
      </c>
      <c r="T357" s="79">
        <f>SUM(TbPrestamo[[#This Row],[GENERAL]:[ELEVADOR]])</f>
        <v>0</v>
      </c>
      <c r="U357" s="80">
        <f>IF(VLOOKUP(TbPrestamo[[#This Row],[ITEM]],TbPiezas[],5,FALSE)="NA",0,VLOOKUP(TbPrestamo[[#This Row],[ITEM]],TbPiezas[],5,FALSE))</f>
        <v>0</v>
      </c>
      <c r="V357" s="81">
        <f>+TbPrestamo[[#This Row],[TOTAL]]*TbPrestamo[[#This Row],[P.U. (1)]]</f>
        <v>0</v>
      </c>
      <c r="W357" s="82">
        <f>+VLOOKUP(TbPrestamo[[#This Row],[ITEM]],TbPiezas[],6,FALSE)</f>
        <v>565.36199999999997</v>
      </c>
      <c r="X357" s="83">
        <f>+TbPrestamo[[#This Row],[TOTAL]]*TbPrestamo[[#This Row],[P.U. (2)]]</f>
        <v>0</v>
      </c>
      <c r="Y357" s="82">
        <f>+VLOOKUP(TbPrestamo[[#This Row],[ITEM]],TbPiezas[],7,FALSE)</f>
        <v>28.2681</v>
      </c>
      <c r="Z357" s="84">
        <f>+TbPrestamo[[#This Row],[TOTAL]]*TbPrestamo[[#This Row],[P.U. (3)]]</f>
        <v>0</v>
      </c>
    </row>
    <row r="358" spans="1:26" ht="15" customHeight="1" x14ac:dyDescent="0.3">
      <c r="A358" s="2"/>
      <c r="B358" s="85"/>
      <c r="C358" s="71" t="s">
        <v>1387</v>
      </c>
      <c r="D358" s="72" t="s">
        <v>1388</v>
      </c>
      <c r="E358" s="73"/>
      <c r="F358" s="74">
        <f>+VLOOKUP(C358,TbPrestamo[],13,FALSE)</f>
        <v>0</v>
      </c>
      <c r="G358" s="2"/>
      <c r="H358" s="75" t="str">
        <f t="shared" si="10"/>
        <v>EN.2840</v>
      </c>
      <c r="I358" s="59" t="str">
        <f t="shared" si="11"/>
        <v>ok</v>
      </c>
      <c r="J358" s="77">
        <f>IFERROR(VLOOKUP($H358,TG[],3,FALSE),"NA")</f>
        <v>0</v>
      </c>
      <c r="K358" s="77" t="str">
        <f>IFERROR(VLOOKUP($H358,TF[],3,FALSE),"NA")</f>
        <v>NA</v>
      </c>
      <c r="L358" s="77" t="str">
        <f>IFERROR(VLOOKUP($H358,TT[],3,FALSE),"NA")</f>
        <v>NA</v>
      </c>
      <c r="M358" s="77" t="str">
        <f>IFERROR(VLOOKUP($H358,TES[],3,FALSE),"NA")</f>
        <v>NA</v>
      </c>
      <c r="N358" s="77" t="str">
        <f>IFERROR(VLOOKUP($H358,TEC[],3,FALSE),"NA")</f>
        <v>NA</v>
      </c>
      <c r="O358" s="77" t="str">
        <f>IFERROR(VLOOKUP($H358,TP[],3,FALSE),"NA")</f>
        <v>NA</v>
      </c>
      <c r="P358" s="77">
        <f>IFERROR(VLOOKUP($H358,TEN[],3,FALSE),"NA")</f>
        <v>0</v>
      </c>
      <c r="Q358" s="77" t="str">
        <f>IFERROR(VLOOKUP($H358,TD[],3,FALSE),"NA")</f>
        <v>NA</v>
      </c>
      <c r="R358" s="77" t="str">
        <f>IFERROR(VLOOKUP($H358,TC[],3,FALSE),"NA")</f>
        <v>NA</v>
      </c>
      <c r="S358" s="77" t="str">
        <f>IFERROR(VLOOKUP($H358,TEV[],3,FALSE),"NA")</f>
        <v>NA</v>
      </c>
      <c r="T358" s="79">
        <f>SUM(TbPrestamo[[#This Row],[GENERAL]:[ELEVADOR]])</f>
        <v>0</v>
      </c>
      <c r="U358" s="80">
        <f>IF(VLOOKUP(TbPrestamo[[#This Row],[ITEM]],TbPiezas[],5,FALSE)="NA",0,VLOOKUP(TbPrestamo[[#This Row],[ITEM]],TbPiezas[],5,FALSE))</f>
        <v>17</v>
      </c>
      <c r="V358" s="81">
        <f>+TbPrestamo[[#This Row],[TOTAL]]*TbPrestamo[[#This Row],[P.U. (1)]]</f>
        <v>0</v>
      </c>
      <c r="W358" s="82">
        <f>+VLOOKUP(TbPrestamo[[#This Row],[ITEM]],TbPiezas[],6,FALSE)</f>
        <v>449.98199999999997</v>
      </c>
      <c r="X358" s="83">
        <f>+TbPrestamo[[#This Row],[TOTAL]]*TbPrestamo[[#This Row],[P.U. (2)]]</f>
        <v>0</v>
      </c>
      <c r="Y358" s="82">
        <f>+VLOOKUP(TbPrestamo[[#This Row],[ITEM]],TbPiezas[],7,FALSE)</f>
        <v>22.499099999999999</v>
      </c>
      <c r="Z358" s="84">
        <f>+TbPrestamo[[#This Row],[TOTAL]]*TbPrestamo[[#This Row],[P.U. (3)]]</f>
        <v>0</v>
      </c>
    </row>
    <row r="359" spans="1:26" ht="15" customHeight="1" x14ac:dyDescent="0.3">
      <c r="A359" s="2"/>
      <c r="B359" s="85"/>
      <c r="C359" s="71" t="s">
        <v>1389</v>
      </c>
      <c r="D359" s="72" t="s">
        <v>1390</v>
      </c>
      <c r="E359" s="73"/>
      <c r="F359" s="74">
        <f>+VLOOKUP(C359,TbPrestamo[],13,FALSE)</f>
        <v>0</v>
      </c>
      <c r="G359" s="2"/>
      <c r="H359" s="75" t="str">
        <f t="shared" si="10"/>
        <v>EN.2860</v>
      </c>
      <c r="I359" s="59" t="str">
        <f t="shared" si="11"/>
        <v>ok</v>
      </c>
      <c r="J359" s="77">
        <f>IFERROR(VLOOKUP($H359,TG[],3,FALSE),"NA")</f>
        <v>0</v>
      </c>
      <c r="K359" s="77" t="str">
        <f>IFERROR(VLOOKUP($H359,TF[],3,FALSE),"NA")</f>
        <v>NA</v>
      </c>
      <c r="L359" s="77" t="str">
        <f>IFERROR(VLOOKUP($H359,TT[],3,FALSE),"NA")</f>
        <v>NA</v>
      </c>
      <c r="M359" s="77" t="str">
        <f>IFERROR(VLOOKUP($H359,TES[],3,FALSE),"NA")</f>
        <v>NA</v>
      </c>
      <c r="N359" s="77" t="str">
        <f>IFERROR(VLOOKUP($H359,TEC[],3,FALSE),"NA")</f>
        <v>NA</v>
      </c>
      <c r="O359" s="77" t="str">
        <f>IFERROR(VLOOKUP($H359,TP[],3,FALSE),"NA")</f>
        <v>NA</v>
      </c>
      <c r="P359" s="77">
        <f>IFERROR(VLOOKUP($H359,TEN[],3,FALSE),"NA")</f>
        <v>0</v>
      </c>
      <c r="Q359" s="77" t="str">
        <f>IFERROR(VLOOKUP($H359,TD[],3,FALSE),"NA")</f>
        <v>NA</v>
      </c>
      <c r="R359" s="77" t="str">
        <f>IFERROR(VLOOKUP($H359,TC[],3,FALSE),"NA")</f>
        <v>NA</v>
      </c>
      <c r="S359" s="77" t="str">
        <f>IFERROR(VLOOKUP($H359,TEV[],3,FALSE),"NA")</f>
        <v>NA</v>
      </c>
      <c r="T359" s="79">
        <f>SUM(TbPrestamo[[#This Row],[GENERAL]:[ELEVADOR]])</f>
        <v>0</v>
      </c>
      <c r="U359" s="80">
        <f>IF(VLOOKUP(TbPrestamo[[#This Row],[ITEM]],TbPiezas[],5,FALSE)="NA",0,VLOOKUP(TbPrestamo[[#This Row],[ITEM]],TbPiezas[],5,FALSE))</f>
        <v>0</v>
      </c>
      <c r="V359" s="81">
        <f>+TbPrestamo[[#This Row],[TOTAL]]*TbPrestamo[[#This Row],[P.U. (1)]]</f>
        <v>0</v>
      </c>
      <c r="W359" s="82">
        <f>+VLOOKUP(TbPrestamo[[#This Row],[ITEM]],TbPiezas[],6,FALSE)</f>
        <v>334.60199999999998</v>
      </c>
      <c r="X359" s="83">
        <f>+TbPrestamo[[#This Row],[TOTAL]]*TbPrestamo[[#This Row],[P.U. (2)]]</f>
        <v>0</v>
      </c>
      <c r="Y359" s="82">
        <f>+VLOOKUP(TbPrestamo[[#This Row],[ITEM]],TbPiezas[],7,FALSE)</f>
        <v>16.7301</v>
      </c>
      <c r="Z359" s="84">
        <f>+TbPrestamo[[#This Row],[TOTAL]]*TbPrestamo[[#This Row],[P.U. (3)]]</f>
        <v>0</v>
      </c>
    </row>
    <row r="360" spans="1:26" ht="15" customHeight="1" x14ac:dyDescent="0.3">
      <c r="A360" s="2"/>
      <c r="B360" s="85"/>
      <c r="C360" s="71" t="s">
        <v>1391</v>
      </c>
      <c r="D360" s="72" t="s">
        <v>1392</v>
      </c>
      <c r="E360" s="73"/>
      <c r="F360" s="74">
        <f>+VLOOKUP(C360,TbPrestamo[],13,FALSE)</f>
        <v>0</v>
      </c>
      <c r="G360" s="2"/>
      <c r="H360" s="75" t="str">
        <f t="shared" si="10"/>
        <v>EN.2880</v>
      </c>
      <c r="I360" s="59" t="str">
        <f t="shared" si="11"/>
        <v>ok</v>
      </c>
      <c r="J360" s="77">
        <f>IFERROR(VLOOKUP($H360,TG[],3,FALSE),"NA")</f>
        <v>0</v>
      </c>
      <c r="K360" s="77" t="str">
        <f>IFERROR(VLOOKUP($H360,TF[],3,FALSE),"NA")</f>
        <v>NA</v>
      </c>
      <c r="L360" s="77" t="str">
        <f>IFERROR(VLOOKUP($H360,TT[],3,FALSE),"NA")</f>
        <v>NA</v>
      </c>
      <c r="M360" s="77" t="str">
        <f>IFERROR(VLOOKUP($H360,TES[],3,FALSE),"NA")</f>
        <v>NA</v>
      </c>
      <c r="N360" s="77" t="str">
        <f>IFERROR(VLOOKUP($H360,TEC[],3,FALSE),"NA")</f>
        <v>NA</v>
      </c>
      <c r="O360" s="77" t="str">
        <f>IFERROR(VLOOKUP($H360,TP[],3,FALSE),"NA")</f>
        <v>NA</v>
      </c>
      <c r="P360" s="77">
        <f>IFERROR(VLOOKUP($H360,TEN[],3,FALSE),"NA")</f>
        <v>0</v>
      </c>
      <c r="Q360" s="77" t="str">
        <f>IFERROR(VLOOKUP($H360,TD[],3,FALSE),"NA")</f>
        <v>NA</v>
      </c>
      <c r="R360" s="77" t="str">
        <f>IFERROR(VLOOKUP($H360,TC[],3,FALSE),"NA")</f>
        <v>NA</v>
      </c>
      <c r="S360" s="77" t="str">
        <f>IFERROR(VLOOKUP($H360,TEV[],3,FALSE),"NA")</f>
        <v>NA</v>
      </c>
      <c r="T360" s="79">
        <f>SUM(TbPrestamo[[#This Row],[GENERAL]:[ELEVADOR]])</f>
        <v>0</v>
      </c>
      <c r="U360" s="80">
        <f>IF(VLOOKUP(TbPrestamo[[#This Row],[ITEM]],TbPiezas[],5,FALSE)="NA",0,VLOOKUP(TbPrestamo[[#This Row],[ITEM]],TbPiezas[],5,FALSE))</f>
        <v>0</v>
      </c>
      <c r="V360" s="81">
        <f>+TbPrestamo[[#This Row],[TOTAL]]*TbPrestamo[[#This Row],[P.U. (1)]]</f>
        <v>0</v>
      </c>
      <c r="W360" s="82">
        <f>+VLOOKUP(TbPrestamo[[#This Row],[ITEM]],TbPiezas[],6,FALSE)</f>
        <v>219.22199999999998</v>
      </c>
      <c r="X360" s="83">
        <f>+TbPrestamo[[#This Row],[TOTAL]]*TbPrestamo[[#This Row],[P.U. (2)]]</f>
        <v>0</v>
      </c>
      <c r="Y360" s="82">
        <f>+VLOOKUP(TbPrestamo[[#This Row],[ITEM]],TbPiezas[],7,FALSE)</f>
        <v>10.9611</v>
      </c>
      <c r="Z360" s="84">
        <f>+TbPrestamo[[#This Row],[TOTAL]]*TbPrestamo[[#This Row],[P.U. (3)]]</f>
        <v>0</v>
      </c>
    </row>
    <row r="361" spans="1:26" ht="15" customHeight="1" x14ac:dyDescent="0.3">
      <c r="A361" s="2"/>
      <c r="B361" s="85">
        <v>339</v>
      </c>
      <c r="C361" s="71" t="s">
        <v>680</v>
      </c>
      <c r="D361" s="72" t="s">
        <v>681</v>
      </c>
      <c r="E361" s="73"/>
      <c r="F361" s="74">
        <f>+VLOOKUP(C361,TbPrestamo[],13,FALSE)</f>
        <v>0</v>
      </c>
      <c r="G361" s="2"/>
      <c r="H361" s="75" t="str">
        <f t="shared" si="10"/>
        <v>EN.2900</v>
      </c>
      <c r="I361" s="59" t="str">
        <f t="shared" si="11"/>
        <v>ok</v>
      </c>
      <c r="J361" s="77">
        <f>IFERROR(VLOOKUP($H361,TG[],3,FALSE),"NA")</f>
        <v>0</v>
      </c>
      <c r="K361" s="77" t="str">
        <f>IFERROR(VLOOKUP($H361,TF[],3,FALSE),"NA")</f>
        <v>NA</v>
      </c>
      <c r="L361" s="77" t="str">
        <f>IFERROR(VLOOKUP($H361,TT[],3,FALSE),"NA")</f>
        <v>NA</v>
      </c>
      <c r="M361" s="77" t="str">
        <f>IFERROR(VLOOKUP($H361,TES[],3,FALSE),"NA")</f>
        <v>NA</v>
      </c>
      <c r="N361" s="77" t="str">
        <f>IFERROR(VLOOKUP($H361,TEC[],3,FALSE),"NA")</f>
        <v>NA</v>
      </c>
      <c r="O361" s="77" t="str">
        <f>IFERROR(VLOOKUP($H361,TP[],3,FALSE),"NA")</f>
        <v>NA</v>
      </c>
      <c r="P361" s="77">
        <f>IFERROR(VLOOKUP($H361,TEN[],3,FALSE),"NA")</f>
        <v>0</v>
      </c>
      <c r="Q361" s="77" t="str">
        <f>IFERROR(VLOOKUP($H361,TD[],3,FALSE),"NA")</f>
        <v>NA</v>
      </c>
      <c r="R361" s="77" t="str">
        <f>IFERROR(VLOOKUP($H361,TC[],3,FALSE),"NA")</f>
        <v>NA</v>
      </c>
      <c r="S361" s="77" t="str">
        <f>IFERROR(VLOOKUP($H361,TEV[],3,FALSE),"NA")</f>
        <v>NA</v>
      </c>
      <c r="T361" s="79">
        <f>SUM(TbPrestamo[[#This Row],[GENERAL]:[ELEVADOR]])</f>
        <v>0</v>
      </c>
      <c r="U361" s="80">
        <f>IF(VLOOKUP(TbPrestamo[[#This Row],[ITEM]],TbPiezas[],5,FALSE)="NA",0,VLOOKUP(TbPrestamo[[#This Row],[ITEM]],TbPiezas[],5,FALSE))</f>
        <v>20.8</v>
      </c>
      <c r="V361" s="81">
        <f>+TbPrestamo[[#This Row],[TOTAL]]*TbPrestamo[[#This Row],[P.U. (1)]]</f>
        <v>0</v>
      </c>
      <c r="W361" s="82">
        <f>+VLOOKUP(TbPrestamo[[#This Row],[ITEM]],TbPiezas[],6,FALSE)</f>
        <v>254.1</v>
      </c>
      <c r="X361" s="83">
        <f>+TbPrestamo[[#This Row],[TOTAL]]*TbPrestamo[[#This Row],[P.U. (2)]]</f>
        <v>0</v>
      </c>
      <c r="Y361" s="82">
        <f>+VLOOKUP(TbPrestamo[[#This Row],[ITEM]],TbPiezas[],7,FALSE)</f>
        <v>12.705</v>
      </c>
      <c r="Z361" s="84">
        <f>+TbPrestamo[[#This Row],[TOTAL]]*TbPrestamo[[#This Row],[P.U. (3)]]</f>
        <v>0</v>
      </c>
    </row>
    <row r="362" spans="1:26" ht="15" customHeight="1" x14ac:dyDescent="0.3">
      <c r="A362" s="2"/>
      <c r="B362" s="85">
        <v>340</v>
      </c>
      <c r="C362" s="71" t="s">
        <v>682</v>
      </c>
      <c r="D362" s="72" t="s">
        <v>683</v>
      </c>
      <c r="E362" s="73"/>
      <c r="F362" s="74">
        <f>+VLOOKUP(C362,TbPrestamo[],13,FALSE)</f>
        <v>0</v>
      </c>
      <c r="G362" s="2"/>
      <c r="H362" s="75" t="str">
        <f t="shared" si="10"/>
        <v>EN.3000</v>
      </c>
      <c r="I362" s="59" t="str">
        <f t="shared" si="11"/>
        <v>ok</v>
      </c>
      <c r="J362" s="77">
        <f>IFERROR(VLOOKUP($H362,TG[],3,FALSE),"NA")</f>
        <v>0</v>
      </c>
      <c r="K362" s="77" t="str">
        <f>IFERROR(VLOOKUP($H362,TF[],3,FALSE),"NA")</f>
        <v>NA</v>
      </c>
      <c r="L362" s="77" t="str">
        <f>IFERROR(VLOOKUP($H362,TT[],3,FALSE),"NA")</f>
        <v>NA</v>
      </c>
      <c r="M362" s="77" t="str">
        <f>IFERROR(VLOOKUP($H362,TES[],3,FALSE),"NA")</f>
        <v>NA</v>
      </c>
      <c r="N362" s="77" t="str">
        <f>IFERROR(VLOOKUP($H362,TEC[],3,FALSE),"NA")</f>
        <v>NA</v>
      </c>
      <c r="O362" s="77" t="str">
        <f>IFERROR(VLOOKUP($H362,TP[],3,FALSE),"NA")</f>
        <v>NA</v>
      </c>
      <c r="P362" s="77">
        <f>IFERROR(VLOOKUP($H362,TEN[],3,FALSE),"NA")</f>
        <v>0</v>
      </c>
      <c r="Q362" s="77" t="str">
        <f>IFERROR(VLOOKUP($H362,TD[],3,FALSE),"NA")</f>
        <v>NA</v>
      </c>
      <c r="R362" s="77" t="str">
        <f>IFERROR(VLOOKUP($H362,TC[],3,FALSE),"NA")</f>
        <v>NA</v>
      </c>
      <c r="S362" s="77" t="str">
        <f>IFERROR(VLOOKUP($H362,TEV[],3,FALSE),"NA")</f>
        <v>NA</v>
      </c>
      <c r="T362" s="79">
        <f>SUM(TbPrestamo[[#This Row],[GENERAL]:[ELEVADOR]])</f>
        <v>0</v>
      </c>
      <c r="U362" s="80">
        <f>IF(VLOOKUP(TbPrestamo[[#This Row],[ITEM]],TbPiezas[],5,FALSE)="NA",0,VLOOKUP(TbPrestamo[[#This Row],[ITEM]],TbPiezas[],5,FALSE))</f>
        <v>23</v>
      </c>
      <c r="V362" s="81">
        <f>+TbPrestamo[[#This Row],[TOTAL]]*TbPrestamo[[#This Row],[P.U. (1)]]</f>
        <v>0</v>
      </c>
      <c r="W362" s="82">
        <f>+VLOOKUP(TbPrestamo[[#This Row],[ITEM]],TbPiezas[],6,FALSE)</f>
        <v>285.86</v>
      </c>
      <c r="X362" s="83">
        <f>+TbPrestamo[[#This Row],[TOTAL]]*TbPrestamo[[#This Row],[P.U. (2)]]</f>
        <v>0</v>
      </c>
      <c r="Y362" s="82">
        <f>+VLOOKUP(TbPrestamo[[#This Row],[ITEM]],TbPiezas[],7,FALSE)</f>
        <v>14.293000000000001</v>
      </c>
      <c r="Z362" s="84">
        <f>+TbPrestamo[[#This Row],[TOTAL]]*TbPrestamo[[#This Row],[P.U. (3)]]</f>
        <v>0</v>
      </c>
    </row>
    <row r="363" spans="1:26" ht="15" customHeight="1" x14ac:dyDescent="0.3">
      <c r="A363" s="2"/>
      <c r="B363" s="85">
        <v>341</v>
      </c>
      <c r="C363" s="71" t="s">
        <v>684</v>
      </c>
      <c r="D363" s="72" t="s">
        <v>685</v>
      </c>
      <c r="E363" s="73"/>
      <c r="F363" s="74">
        <f>+VLOOKUP(C363,TbPrestamo[],13,FALSE)</f>
        <v>0</v>
      </c>
      <c r="G363" s="2"/>
      <c r="H363" s="75" t="str">
        <f t="shared" si="10"/>
        <v>EN.3100</v>
      </c>
      <c r="I363" s="59" t="str">
        <f t="shared" si="11"/>
        <v>ok</v>
      </c>
      <c r="J363" s="77">
        <f>IFERROR(VLOOKUP($H363,TG[],3,FALSE),"NA")</f>
        <v>0</v>
      </c>
      <c r="K363" s="77" t="str">
        <f>IFERROR(VLOOKUP($H363,TF[],3,FALSE),"NA")</f>
        <v>NA</v>
      </c>
      <c r="L363" s="77" t="str">
        <f>IFERROR(VLOOKUP($H363,TT[],3,FALSE),"NA")</f>
        <v>NA</v>
      </c>
      <c r="M363" s="77" t="str">
        <f>IFERROR(VLOOKUP($H363,TES[],3,FALSE),"NA")</f>
        <v>NA</v>
      </c>
      <c r="N363" s="77" t="str">
        <f>IFERROR(VLOOKUP($H363,TEC[],3,FALSE),"NA")</f>
        <v>NA</v>
      </c>
      <c r="O363" s="77" t="str">
        <f>IFERROR(VLOOKUP($H363,TP[],3,FALSE),"NA")</f>
        <v>NA</v>
      </c>
      <c r="P363" s="77">
        <f>IFERROR(VLOOKUP($H363,TEN[],3,FALSE),"NA")</f>
        <v>0</v>
      </c>
      <c r="Q363" s="77" t="str">
        <f>IFERROR(VLOOKUP($H363,TD[],3,FALSE),"NA")</f>
        <v>NA</v>
      </c>
      <c r="R363" s="77" t="str">
        <f>IFERROR(VLOOKUP($H363,TC[],3,FALSE),"NA")</f>
        <v>NA</v>
      </c>
      <c r="S363" s="77" t="str">
        <f>IFERROR(VLOOKUP($H363,TEV[],3,FALSE),"NA")</f>
        <v>NA</v>
      </c>
      <c r="T363" s="79">
        <f>SUM(TbPrestamo[[#This Row],[GENERAL]:[ELEVADOR]])</f>
        <v>0</v>
      </c>
      <c r="U363" s="80">
        <f>IF(VLOOKUP(TbPrestamo[[#This Row],[ITEM]],TbPiezas[],5,FALSE)="NA",0,VLOOKUP(TbPrestamo[[#This Row],[ITEM]],TbPiezas[],5,FALSE))</f>
        <v>25.9</v>
      </c>
      <c r="V363" s="81">
        <f>+TbPrestamo[[#This Row],[TOTAL]]*TbPrestamo[[#This Row],[P.U. (1)]]</f>
        <v>0</v>
      </c>
      <c r="W363" s="82">
        <f>+VLOOKUP(TbPrestamo[[#This Row],[ITEM]],TbPiezas[],6,FALSE)</f>
        <v>317.63</v>
      </c>
      <c r="X363" s="83">
        <f>+TbPrestamo[[#This Row],[TOTAL]]*TbPrestamo[[#This Row],[P.U. (2)]]</f>
        <v>0</v>
      </c>
      <c r="Y363" s="82">
        <f>+VLOOKUP(TbPrestamo[[#This Row],[ITEM]],TbPiezas[],7,FALSE)</f>
        <v>15.881500000000001</v>
      </c>
      <c r="Z363" s="84">
        <f>+TbPrestamo[[#This Row],[TOTAL]]*TbPrestamo[[#This Row],[P.U. (3)]]</f>
        <v>0</v>
      </c>
    </row>
    <row r="364" spans="1:26" ht="15" customHeight="1" x14ac:dyDescent="0.3">
      <c r="A364" s="2"/>
      <c r="B364" s="85">
        <v>342</v>
      </c>
      <c r="C364" s="71" t="s">
        <v>686</v>
      </c>
      <c r="D364" s="72" t="s">
        <v>687</v>
      </c>
      <c r="E364" s="73"/>
      <c r="F364" s="74">
        <f>+VLOOKUP(C364,TbPrestamo[],13,FALSE)</f>
        <v>0</v>
      </c>
      <c r="G364" s="2"/>
      <c r="H364" s="75" t="str">
        <f t="shared" si="10"/>
        <v>EN.3200</v>
      </c>
      <c r="I364" s="59" t="str">
        <f t="shared" si="11"/>
        <v>ok</v>
      </c>
      <c r="J364" s="77">
        <f>IFERROR(VLOOKUP($H364,TG[],3,FALSE),"NA")</f>
        <v>0</v>
      </c>
      <c r="K364" s="77" t="str">
        <f>IFERROR(VLOOKUP($H364,TF[],3,FALSE),"NA")</f>
        <v>NA</v>
      </c>
      <c r="L364" s="77" t="str">
        <f>IFERROR(VLOOKUP($H364,TT[],3,FALSE),"NA")</f>
        <v>NA</v>
      </c>
      <c r="M364" s="77" t="str">
        <f>IFERROR(VLOOKUP($H364,TES[],3,FALSE),"NA")</f>
        <v>NA</v>
      </c>
      <c r="N364" s="77" t="str">
        <f>IFERROR(VLOOKUP($H364,TEC[],3,FALSE),"NA")</f>
        <v>NA</v>
      </c>
      <c r="O364" s="77" t="str">
        <f>IFERROR(VLOOKUP($H364,TP[],3,FALSE),"NA")</f>
        <v>NA</v>
      </c>
      <c r="P364" s="77">
        <f>IFERROR(VLOOKUP($H364,TEN[],3,FALSE),"NA")</f>
        <v>0</v>
      </c>
      <c r="Q364" s="77" t="str">
        <f>IFERROR(VLOOKUP($H364,TD[],3,FALSE),"NA")</f>
        <v>NA</v>
      </c>
      <c r="R364" s="77" t="str">
        <f>IFERROR(VLOOKUP($H364,TC[],3,FALSE),"NA")</f>
        <v>NA</v>
      </c>
      <c r="S364" s="77" t="str">
        <f>IFERROR(VLOOKUP($H364,TEV[],3,FALSE),"NA")</f>
        <v>NA</v>
      </c>
      <c r="T364" s="79">
        <f>SUM(TbPrestamo[[#This Row],[GENERAL]:[ELEVADOR]])</f>
        <v>0</v>
      </c>
      <c r="U364" s="80">
        <f>IF(VLOOKUP(TbPrestamo[[#This Row],[ITEM]],TbPiezas[],5,FALSE)="NA",0,VLOOKUP(TbPrestamo[[#This Row],[ITEM]],TbPiezas[],5,FALSE))</f>
        <v>16.599999999999994</v>
      </c>
      <c r="V364" s="81">
        <f>+TbPrestamo[[#This Row],[TOTAL]]*TbPrestamo[[#This Row],[P.U. (1)]]</f>
        <v>0</v>
      </c>
      <c r="W364" s="82">
        <f>+VLOOKUP(TbPrestamo[[#This Row],[ITEM]],TbPiezas[],6,FALSE)</f>
        <v>777.67</v>
      </c>
      <c r="X364" s="83">
        <f>+TbPrestamo[[#This Row],[TOTAL]]*TbPrestamo[[#This Row],[P.U. (2)]]</f>
        <v>0</v>
      </c>
      <c r="Y364" s="82">
        <f>+VLOOKUP(TbPrestamo[[#This Row],[ITEM]],TbPiezas[],7,FALSE)</f>
        <v>38.883499999999998</v>
      </c>
      <c r="Z364" s="84">
        <f>+TbPrestamo[[#This Row],[TOTAL]]*TbPrestamo[[#This Row],[P.U. (3)]]</f>
        <v>0</v>
      </c>
    </row>
    <row r="365" spans="1:26" ht="15" customHeight="1" x14ac:dyDescent="0.3">
      <c r="A365" s="2"/>
      <c r="B365" s="85">
        <v>343</v>
      </c>
      <c r="C365" s="71" t="s">
        <v>688</v>
      </c>
      <c r="D365" s="72" t="s">
        <v>689</v>
      </c>
      <c r="E365" s="73"/>
      <c r="F365" s="74">
        <f>+VLOOKUP(C365,TbPrestamo[],13,FALSE)</f>
        <v>0</v>
      </c>
      <c r="G365" s="2"/>
      <c r="H365" s="75" t="str">
        <f t="shared" si="10"/>
        <v>EN.3300</v>
      </c>
      <c r="I365" s="59" t="str">
        <f t="shared" si="11"/>
        <v>ok</v>
      </c>
      <c r="J365" s="77">
        <f>IFERROR(VLOOKUP($H365,TG[],3,FALSE),"NA")</f>
        <v>0</v>
      </c>
      <c r="K365" s="77" t="str">
        <f>IFERROR(VLOOKUP($H365,TF[],3,FALSE),"NA")</f>
        <v>NA</v>
      </c>
      <c r="L365" s="77" t="str">
        <f>IFERROR(VLOOKUP($H365,TT[],3,FALSE),"NA")</f>
        <v>NA</v>
      </c>
      <c r="M365" s="77" t="str">
        <f>IFERROR(VLOOKUP($H365,TES[],3,FALSE),"NA")</f>
        <v>NA</v>
      </c>
      <c r="N365" s="77" t="str">
        <f>IFERROR(VLOOKUP($H365,TEC[],3,FALSE),"NA")</f>
        <v>NA</v>
      </c>
      <c r="O365" s="77" t="str">
        <f>IFERROR(VLOOKUP($H365,TP[],3,FALSE),"NA")</f>
        <v>NA</v>
      </c>
      <c r="P365" s="77">
        <f>IFERROR(VLOOKUP($H365,TEN[],3,FALSE),"NA")</f>
        <v>0</v>
      </c>
      <c r="Q365" s="77" t="str">
        <f>IFERROR(VLOOKUP($H365,TD[],3,FALSE),"NA")</f>
        <v>NA</v>
      </c>
      <c r="R365" s="77" t="str">
        <f>IFERROR(VLOOKUP($H365,TC[],3,FALSE),"NA")</f>
        <v>NA</v>
      </c>
      <c r="S365" s="77" t="str">
        <f>IFERROR(VLOOKUP($H365,TEV[],3,FALSE),"NA")</f>
        <v>NA</v>
      </c>
      <c r="T365" s="79">
        <f>SUM(TbPrestamo[[#This Row],[GENERAL]:[ELEVADOR]])</f>
        <v>0</v>
      </c>
      <c r="U365" s="80">
        <f>IF(VLOOKUP(TbPrestamo[[#This Row],[ITEM]],TbPiezas[],5,FALSE)="NA",0,VLOOKUP(TbPrestamo[[#This Row],[ITEM]],TbPiezas[],5,FALSE))</f>
        <v>12.099999999999994</v>
      </c>
      <c r="V365" s="81">
        <f>+TbPrestamo[[#This Row],[TOTAL]]*TbPrestamo[[#This Row],[P.U. (1)]]</f>
        <v>0</v>
      </c>
      <c r="W365" s="82">
        <f>+VLOOKUP(TbPrestamo[[#This Row],[ITEM]],TbPiezas[],6,FALSE)</f>
        <v>705.81</v>
      </c>
      <c r="X365" s="83">
        <f>+TbPrestamo[[#This Row],[TOTAL]]*TbPrestamo[[#This Row],[P.U. (2)]]</f>
        <v>0</v>
      </c>
      <c r="Y365" s="82">
        <f>+VLOOKUP(TbPrestamo[[#This Row],[ITEM]],TbPiezas[],7,FALSE)</f>
        <v>35.290500000000002</v>
      </c>
      <c r="Z365" s="84">
        <f>+TbPrestamo[[#This Row],[TOTAL]]*TbPrestamo[[#This Row],[P.U. (3)]]</f>
        <v>0</v>
      </c>
    </row>
    <row r="366" spans="1:26" ht="15" customHeight="1" x14ac:dyDescent="0.3">
      <c r="A366" s="2"/>
      <c r="B366" s="85">
        <v>344</v>
      </c>
      <c r="C366" s="71" t="s">
        <v>690</v>
      </c>
      <c r="D366" s="72" t="s">
        <v>691</v>
      </c>
      <c r="E366" s="73"/>
      <c r="F366" s="74">
        <f>+VLOOKUP(C366,TbPrestamo[],13,FALSE)</f>
        <v>0</v>
      </c>
      <c r="G366" s="2"/>
      <c r="H366" s="75" t="str">
        <f t="shared" si="10"/>
        <v>EN.3400</v>
      </c>
      <c r="I366" s="59" t="str">
        <f t="shared" si="11"/>
        <v>ok</v>
      </c>
      <c r="J366" s="77">
        <f>IFERROR(VLOOKUP($H366,TG[],3,FALSE),"NA")</f>
        <v>0</v>
      </c>
      <c r="K366" s="77" t="str">
        <f>IFERROR(VLOOKUP($H366,TF[],3,FALSE),"NA")</f>
        <v>NA</v>
      </c>
      <c r="L366" s="77" t="str">
        <f>IFERROR(VLOOKUP($H366,TT[],3,FALSE),"NA")</f>
        <v>NA</v>
      </c>
      <c r="M366" s="77" t="str">
        <f>IFERROR(VLOOKUP($H366,TES[],3,FALSE),"NA")</f>
        <v>NA</v>
      </c>
      <c r="N366" s="77" t="str">
        <f>IFERROR(VLOOKUP($H366,TEC[],3,FALSE),"NA")</f>
        <v>NA</v>
      </c>
      <c r="O366" s="77" t="str">
        <f>IFERROR(VLOOKUP($H366,TP[],3,FALSE),"NA")</f>
        <v>NA</v>
      </c>
      <c r="P366" s="77">
        <f>IFERROR(VLOOKUP($H366,TEN[],3,FALSE),"NA")</f>
        <v>0</v>
      </c>
      <c r="Q366" s="77" t="str">
        <f>IFERROR(VLOOKUP($H366,TD[],3,FALSE),"NA")</f>
        <v>NA</v>
      </c>
      <c r="R366" s="77" t="str">
        <f>IFERROR(VLOOKUP($H366,TC[],3,FALSE),"NA")</f>
        <v>NA</v>
      </c>
      <c r="S366" s="77" t="str">
        <f>IFERROR(VLOOKUP($H366,TEV[],3,FALSE),"NA")</f>
        <v>NA</v>
      </c>
      <c r="T366" s="79">
        <f>SUM(TbPrestamo[[#This Row],[GENERAL]:[ELEVADOR]])</f>
        <v>0</v>
      </c>
      <c r="U366" s="80">
        <f>IF(VLOOKUP(TbPrestamo[[#This Row],[ITEM]],TbPiezas[],5,FALSE)="NA",0,VLOOKUP(TbPrestamo[[#This Row],[ITEM]],TbPiezas[],5,FALSE))</f>
        <v>8.2000000000000028</v>
      </c>
      <c r="V366" s="81">
        <f>+TbPrestamo[[#This Row],[TOTAL]]*TbPrestamo[[#This Row],[P.U. (1)]]</f>
        <v>0</v>
      </c>
      <c r="W366" s="82">
        <f>+VLOOKUP(TbPrestamo[[#This Row],[ITEM]],TbPiezas[],6,FALSE)</f>
        <v>610.46</v>
      </c>
      <c r="X366" s="83">
        <f>+TbPrestamo[[#This Row],[TOTAL]]*TbPrestamo[[#This Row],[P.U. (2)]]</f>
        <v>0</v>
      </c>
      <c r="Y366" s="82">
        <f>+VLOOKUP(TbPrestamo[[#This Row],[ITEM]],TbPiezas[],7,FALSE)</f>
        <v>30.523000000000003</v>
      </c>
      <c r="Z366" s="84">
        <f>+TbPrestamo[[#This Row],[TOTAL]]*TbPrestamo[[#This Row],[P.U. (3)]]</f>
        <v>0</v>
      </c>
    </row>
    <row r="367" spans="1:26" ht="15" customHeight="1" x14ac:dyDescent="0.3">
      <c r="A367" s="2"/>
      <c r="B367" s="85">
        <v>345</v>
      </c>
      <c r="C367" s="71" t="s">
        <v>692</v>
      </c>
      <c r="D367" s="72" t="s">
        <v>693</v>
      </c>
      <c r="E367" s="73"/>
      <c r="F367" s="74">
        <f>+VLOOKUP(C367,TbPrestamo[],13,FALSE)</f>
        <v>0</v>
      </c>
      <c r="G367" s="2"/>
      <c r="H367" s="75" t="str">
        <f t="shared" si="10"/>
        <v>EN.3500</v>
      </c>
      <c r="I367" s="59" t="str">
        <f t="shared" si="11"/>
        <v>ok</v>
      </c>
      <c r="J367" s="77">
        <f>IFERROR(VLOOKUP($H367,TG[],3,FALSE),"NA")</f>
        <v>0</v>
      </c>
      <c r="K367" s="77" t="str">
        <f>IFERROR(VLOOKUP($H367,TF[],3,FALSE),"NA")</f>
        <v>NA</v>
      </c>
      <c r="L367" s="77" t="str">
        <f>IFERROR(VLOOKUP($H367,TT[],3,FALSE),"NA")</f>
        <v>NA</v>
      </c>
      <c r="M367" s="77" t="str">
        <f>IFERROR(VLOOKUP($H367,TES[],3,FALSE),"NA")</f>
        <v>NA</v>
      </c>
      <c r="N367" s="77" t="str">
        <f>IFERROR(VLOOKUP($H367,TEC[],3,FALSE),"NA")</f>
        <v>NA</v>
      </c>
      <c r="O367" s="77" t="str">
        <f>IFERROR(VLOOKUP($H367,TP[],3,FALSE),"NA")</f>
        <v>NA</v>
      </c>
      <c r="P367" s="77">
        <f>IFERROR(VLOOKUP($H367,TEN[],3,FALSE),"NA")</f>
        <v>0</v>
      </c>
      <c r="Q367" s="77" t="str">
        <f>IFERROR(VLOOKUP($H367,TD[],3,FALSE),"NA")</f>
        <v>NA</v>
      </c>
      <c r="R367" s="77" t="str">
        <f>IFERROR(VLOOKUP($H367,TC[],3,FALSE),"NA")</f>
        <v>NA</v>
      </c>
      <c r="S367" s="77" t="str">
        <f>IFERROR(VLOOKUP($H367,TEV[],3,FALSE),"NA")</f>
        <v>NA</v>
      </c>
      <c r="T367" s="79">
        <f>SUM(TbPrestamo[[#This Row],[GENERAL]:[ELEVADOR]])</f>
        <v>0</v>
      </c>
      <c r="U367" s="80">
        <f>IF(VLOOKUP(TbPrestamo[[#This Row],[ITEM]],TbPiezas[],5,FALSE)="NA",0,VLOOKUP(TbPrestamo[[#This Row],[ITEM]],TbPiezas[],5,FALSE))</f>
        <v>11.700000000000003</v>
      </c>
      <c r="V367" s="81">
        <f>+TbPrestamo[[#This Row],[TOTAL]]*TbPrestamo[[#This Row],[P.U. (1)]]</f>
        <v>0</v>
      </c>
      <c r="W367" s="82">
        <f>+VLOOKUP(TbPrestamo[[#This Row],[ITEM]],TbPiezas[],6,FALSE)</f>
        <v>568.55999999999995</v>
      </c>
      <c r="X367" s="83">
        <f>+TbPrestamo[[#This Row],[TOTAL]]*TbPrestamo[[#This Row],[P.U. (2)]]</f>
        <v>0</v>
      </c>
      <c r="Y367" s="82">
        <f>+VLOOKUP(TbPrestamo[[#This Row],[ITEM]],TbPiezas[],7,FALSE)</f>
        <v>28.427999999999997</v>
      </c>
      <c r="Z367" s="84">
        <f>+TbPrestamo[[#This Row],[TOTAL]]*TbPrestamo[[#This Row],[P.U. (3)]]</f>
        <v>0</v>
      </c>
    </row>
    <row r="368" spans="1:26" ht="15" customHeight="1" x14ac:dyDescent="0.3">
      <c r="A368" s="2"/>
      <c r="B368" s="85">
        <v>346</v>
      </c>
      <c r="C368" s="71" t="s">
        <v>694</v>
      </c>
      <c r="D368" s="72" t="s">
        <v>695</v>
      </c>
      <c r="E368" s="73"/>
      <c r="F368" s="74">
        <f>+VLOOKUP(C368,TbPrestamo[],13,FALSE)</f>
        <v>0</v>
      </c>
      <c r="G368" s="2"/>
      <c r="H368" s="75" t="str">
        <f t="shared" si="10"/>
        <v>EN.3600</v>
      </c>
      <c r="I368" s="59" t="str">
        <f t="shared" si="11"/>
        <v>ok</v>
      </c>
      <c r="J368" s="77">
        <f>IFERROR(VLOOKUP($H368,TG[],3,FALSE),"NA")</f>
        <v>0</v>
      </c>
      <c r="K368" s="77" t="str">
        <f>IFERROR(VLOOKUP($H368,TF[],3,FALSE),"NA")</f>
        <v>NA</v>
      </c>
      <c r="L368" s="77" t="str">
        <f>IFERROR(VLOOKUP($H368,TT[],3,FALSE),"NA")</f>
        <v>NA</v>
      </c>
      <c r="M368" s="77" t="str">
        <f>IFERROR(VLOOKUP($H368,TES[],3,FALSE),"NA")</f>
        <v>NA</v>
      </c>
      <c r="N368" s="77" t="str">
        <f>IFERROR(VLOOKUP($H368,TEC[],3,FALSE),"NA")</f>
        <v>NA</v>
      </c>
      <c r="O368" s="77" t="str">
        <f>IFERROR(VLOOKUP($H368,TP[],3,FALSE),"NA")</f>
        <v>NA</v>
      </c>
      <c r="P368" s="77">
        <f>IFERROR(VLOOKUP($H368,TEN[],3,FALSE),"NA")</f>
        <v>0</v>
      </c>
      <c r="Q368" s="77" t="str">
        <f>IFERROR(VLOOKUP($H368,TD[],3,FALSE),"NA")</f>
        <v>NA</v>
      </c>
      <c r="R368" s="77" t="str">
        <f>IFERROR(VLOOKUP($H368,TC[],3,FALSE),"NA")</f>
        <v>NA</v>
      </c>
      <c r="S368" s="77" t="str">
        <f>IFERROR(VLOOKUP($H368,TEV[],3,FALSE),"NA")</f>
        <v>NA</v>
      </c>
      <c r="T368" s="79">
        <f>SUM(TbPrestamo[[#This Row],[GENERAL]:[ELEVADOR]])</f>
        <v>0</v>
      </c>
      <c r="U368" s="80">
        <f>IF(VLOOKUP(TbPrestamo[[#This Row],[ITEM]],TbPiezas[],5,FALSE)="NA",0,VLOOKUP(TbPrestamo[[#This Row],[ITEM]],TbPiezas[],5,FALSE))</f>
        <v>8.5999999999999943</v>
      </c>
      <c r="V368" s="81">
        <f>+TbPrestamo[[#This Row],[TOTAL]]*TbPrestamo[[#This Row],[P.U. (1)]]</f>
        <v>0</v>
      </c>
      <c r="W368" s="82">
        <f>+VLOOKUP(TbPrestamo[[#This Row],[ITEM]],TbPiezas[],6,FALSE)</f>
        <v>499.23</v>
      </c>
      <c r="X368" s="83">
        <f>+TbPrestamo[[#This Row],[TOTAL]]*TbPrestamo[[#This Row],[P.U. (2)]]</f>
        <v>0</v>
      </c>
      <c r="Y368" s="82">
        <f>+VLOOKUP(TbPrestamo[[#This Row],[ITEM]],TbPiezas[],7,FALSE)</f>
        <v>24.961500000000001</v>
      </c>
      <c r="Z368" s="84">
        <f>+TbPrestamo[[#This Row],[TOTAL]]*TbPrestamo[[#This Row],[P.U. (3)]]</f>
        <v>0</v>
      </c>
    </row>
    <row r="369" spans="1:26" ht="15" customHeight="1" x14ac:dyDescent="0.3">
      <c r="A369" s="2"/>
      <c r="B369" s="85">
        <v>347</v>
      </c>
      <c r="C369" s="71" t="s">
        <v>696</v>
      </c>
      <c r="D369" s="72" t="s">
        <v>697</v>
      </c>
      <c r="E369" s="73"/>
      <c r="F369" s="74">
        <f>+VLOOKUP(C369,TbPrestamo[],13,FALSE)</f>
        <v>0</v>
      </c>
      <c r="G369" s="2"/>
      <c r="H369" s="75" t="str">
        <f t="shared" si="10"/>
        <v>EN.3700</v>
      </c>
      <c r="I369" s="59" t="str">
        <f t="shared" si="11"/>
        <v>ok</v>
      </c>
      <c r="J369" s="77">
        <f>IFERROR(VLOOKUP($H369,TG[],3,FALSE),"NA")</f>
        <v>0</v>
      </c>
      <c r="K369" s="77" t="str">
        <f>IFERROR(VLOOKUP($H369,TF[],3,FALSE),"NA")</f>
        <v>NA</v>
      </c>
      <c r="L369" s="77" t="str">
        <f>IFERROR(VLOOKUP($H369,TT[],3,FALSE),"NA")</f>
        <v>NA</v>
      </c>
      <c r="M369" s="77" t="str">
        <f>IFERROR(VLOOKUP($H369,TES[],3,FALSE),"NA")</f>
        <v>NA</v>
      </c>
      <c r="N369" s="77" t="str">
        <f>IFERROR(VLOOKUP($H369,TEC[],3,FALSE),"NA")</f>
        <v>NA</v>
      </c>
      <c r="O369" s="77" t="str">
        <f>IFERROR(VLOOKUP($H369,TP[],3,FALSE),"NA")</f>
        <v>NA</v>
      </c>
      <c r="P369" s="77">
        <f>IFERROR(VLOOKUP($H369,TEN[],3,FALSE),"NA")</f>
        <v>0</v>
      </c>
      <c r="Q369" s="77" t="str">
        <f>IFERROR(VLOOKUP($H369,TD[],3,FALSE),"NA")</f>
        <v>NA</v>
      </c>
      <c r="R369" s="77" t="str">
        <f>IFERROR(VLOOKUP($H369,TC[],3,FALSE),"NA")</f>
        <v>NA</v>
      </c>
      <c r="S369" s="77" t="str">
        <f>IFERROR(VLOOKUP($H369,TEV[],3,FALSE),"NA")</f>
        <v>NA</v>
      </c>
      <c r="T369" s="79">
        <f>SUM(TbPrestamo[[#This Row],[GENERAL]:[ELEVADOR]])</f>
        <v>0</v>
      </c>
      <c r="U369" s="80">
        <f>IF(VLOOKUP(TbPrestamo[[#This Row],[ITEM]],TbPiezas[],5,FALSE)="NA",0,VLOOKUP(TbPrestamo[[#This Row],[ITEM]],TbPiezas[],5,FALSE))</f>
        <v>7.5</v>
      </c>
      <c r="V369" s="81">
        <f>+TbPrestamo[[#This Row],[TOTAL]]*TbPrestamo[[#This Row],[P.U. (1)]]</f>
        <v>0</v>
      </c>
      <c r="W369" s="82">
        <f>+VLOOKUP(TbPrestamo[[#This Row],[ITEM]],TbPiezas[],6,FALSE)</f>
        <v>423.29</v>
      </c>
      <c r="X369" s="83">
        <f>+TbPrestamo[[#This Row],[TOTAL]]*TbPrestamo[[#This Row],[P.U. (2)]]</f>
        <v>0</v>
      </c>
      <c r="Y369" s="82">
        <f>+VLOOKUP(TbPrestamo[[#This Row],[ITEM]],TbPiezas[],7,FALSE)</f>
        <v>21.164500000000004</v>
      </c>
      <c r="Z369" s="84">
        <f>+TbPrestamo[[#This Row],[TOTAL]]*TbPrestamo[[#This Row],[P.U. (3)]]</f>
        <v>0</v>
      </c>
    </row>
    <row r="370" spans="1:26" ht="15" customHeight="1" x14ac:dyDescent="0.3">
      <c r="A370" s="2"/>
      <c r="B370" s="85">
        <v>348</v>
      </c>
      <c r="C370" s="71" t="s">
        <v>698</v>
      </c>
      <c r="D370" s="72" t="s">
        <v>699</v>
      </c>
      <c r="E370" s="73"/>
      <c r="F370" s="74">
        <f>+VLOOKUP(C370,TbPrestamo[],13,FALSE)</f>
        <v>0</v>
      </c>
      <c r="G370" s="2"/>
      <c r="H370" s="75" t="str">
        <f t="shared" si="10"/>
        <v>EN.3800</v>
      </c>
      <c r="I370" s="59" t="str">
        <f t="shared" si="11"/>
        <v>ok</v>
      </c>
      <c r="J370" s="77">
        <f>IFERROR(VLOOKUP($H370,TG[],3,FALSE),"NA")</f>
        <v>0</v>
      </c>
      <c r="K370" s="77" t="str">
        <f>IFERROR(VLOOKUP($H370,TF[],3,FALSE),"NA")</f>
        <v>NA</v>
      </c>
      <c r="L370" s="77" t="str">
        <f>IFERROR(VLOOKUP($H370,TT[],3,FALSE),"NA")</f>
        <v>NA</v>
      </c>
      <c r="M370" s="77" t="str">
        <f>IFERROR(VLOOKUP($H370,TES[],3,FALSE),"NA")</f>
        <v>NA</v>
      </c>
      <c r="N370" s="77" t="str">
        <f>IFERROR(VLOOKUP($H370,TEC[],3,FALSE),"NA")</f>
        <v>NA</v>
      </c>
      <c r="O370" s="77" t="str">
        <f>IFERROR(VLOOKUP($H370,TP[],3,FALSE),"NA")</f>
        <v>NA</v>
      </c>
      <c r="P370" s="77">
        <f>IFERROR(VLOOKUP($H370,TEN[],3,FALSE),"NA")</f>
        <v>0</v>
      </c>
      <c r="Q370" s="77" t="str">
        <f>IFERROR(VLOOKUP($H370,TD[],3,FALSE),"NA")</f>
        <v>NA</v>
      </c>
      <c r="R370" s="77" t="str">
        <f>IFERROR(VLOOKUP($H370,TC[],3,FALSE),"NA")</f>
        <v>NA</v>
      </c>
      <c r="S370" s="77" t="str">
        <f>IFERROR(VLOOKUP($H370,TEV[],3,FALSE),"NA")</f>
        <v>NA</v>
      </c>
      <c r="T370" s="79">
        <f>SUM(TbPrestamo[[#This Row],[GENERAL]:[ELEVADOR]])</f>
        <v>0</v>
      </c>
      <c r="U370" s="80">
        <f>IF(VLOOKUP(TbPrestamo[[#This Row],[ITEM]],TbPiezas[],5,FALSE)="NA",0,VLOOKUP(TbPrestamo[[#This Row],[ITEM]],TbPiezas[],5,FALSE))</f>
        <v>17.599999999999994</v>
      </c>
      <c r="V370" s="81">
        <f>+TbPrestamo[[#This Row],[TOTAL]]*TbPrestamo[[#This Row],[P.U. (1)]]</f>
        <v>0</v>
      </c>
      <c r="W370" s="82">
        <f>+VLOOKUP(TbPrestamo[[#This Row],[ITEM]],TbPiezas[],6,FALSE)</f>
        <v>923.91</v>
      </c>
      <c r="X370" s="83">
        <f>+TbPrestamo[[#This Row],[TOTAL]]*TbPrestamo[[#This Row],[P.U. (2)]]</f>
        <v>0</v>
      </c>
      <c r="Y370" s="82">
        <f>+VLOOKUP(TbPrestamo[[#This Row],[ITEM]],TbPiezas[],7,FALSE)</f>
        <v>46.195500000000003</v>
      </c>
      <c r="Z370" s="84">
        <f>+TbPrestamo[[#This Row],[TOTAL]]*TbPrestamo[[#This Row],[P.U. (3)]]</f>
        <v>0</v>
      </c>
    </row>
    <row r="371" spans="1:26" ht="15" customHeight="1" x14ac:dyDescent="0.3">
      <c r="A371" s="2"/>
      <c r="B371" s="85">
        <v>349</v>
      </c>
      <c r="C371" s="71" t="s">
        <v>700</v>
      </c>
      <c r="D371" s="72" t="s">
        <v>701</v>
      </c>
      <c r="E371" s="73"/>
      <c r="F371" s="74">
        <f>+VLOOKUP(C371,TbPrestamo[],13,FALSE)</f>
        <v>0</v>
      </c>
      <c r="G371" s="2"/>
      <c r="H371" s="75" t="str">
        <f t="shared" si="10"/>
        <v>EN.3900</v>
      </c>
      <c r="I371" s="59" t="str">
        <f t="shared" si="11"/>
        <v>ok</v>
      </c>
      <c r="J371" s="77">
        <f>IFERROR(VLOOKUP($H371,TG[],3,FALSE),"NA")</f>
        <v>0</v>
      </c>
      <c r="K371" s="77" t="str">
        <f>IFERROR(VLOOKUP($H371,TF[],3,FALSE),"NA")</f>
        <v>NA</v>
      </c>
      <c r="L371" s="77" t="str">
        <f>IFERROR(VLOOKUP($H371,TT[],3,FALSE),"NA")</f>
        <v>NA</v>
      </c>
      <c r="M371" s="77" t="str">
        <f>IFERROR(VLOOKUP($H371,TES[],3,FALSE),"NA")</f>
        <v>NA</v>
      </c>
      <c r="N371" s="77" t="str">
        <f>IFERROR(VLOOKUP($H371,TEC[],3,FALSE),"NA")</f>
        <v>NA</v>
      </c>
      <c r="O371" s="77" t="str">
        <f>IFERROR(VLOOKUP($H371,TP[],3,FALSE),"NA")</f>
        <v>NA</v>
      </c>
      <c r="P371" s="77">
        <f>IFERROR(VLOOKUP($H371,TEN[],3,FALSE),"NA")</f>
        <v>0</v>
      </c>
      <c r="Q371" s="77" t="str">
        <f>IFERROR(VLOOKUP($H371,TD[],3,FALSE),"NA")</f>
        <v>NA</v>
      </c>
      <c r="R371" s="77" t="str">
        <f>IFERROR(VLOOKUP($H371,TC[],3,FALSE),"NA")</f>
        <v>NA</v>
      </c>
      <c r="S371" s="77" t="str">
        <f>IFERROR(VLOOKUP($H371,TEV[],3,FALSE),"NA")</f>
        <v>NA</v>
      </c>
      <c r="T371" s="79">
        <f>SUM(TbPrestamo[[#This Row],[GENERAL]:[ELEVADOR]])</f>
        <v>0</v>
      </c>
      <c r="U371" s="80">
        <f>IF(VLOOKUP(TbPrestamo[[#This Row],[ITEM]],TbPiezas[],5,FALSE)="NA",0,VLOOKUP(TbPrestamo[[#This Row],[ITEM]],TbPiezas[],5,FALSE))</f>
        <v>9.2999999999999972</v>
      </c>
      <c r="V371" s="81">
        <f>+TbPrestamo[[#This Row],[TOTAL]]*TbPrestamo[[#This Row],[P.U. (1)]]</f>
        <v>0</v>
      </c>
      <c r="W371" s="82">
        <f>+VLOOKUP(TbPrestamo[[#This Row],[ITEM]],TbPiezas[],6,FALSE)</f>
        <v>711.4</v>
      </c>
      <c r="X371" s="83">
        <f>+TbPrestamo[[#This Row],[TOTAL]]*TbPrestamo[[#This Row],[P.U. (2)]]</f>
        <v>0</v>
      </c>
      <c r="Y371" s="82">
        <f>+VLOOKUP(TbPrestamo[[#This Row],[ITEM]],TbPiezas[],7,FALSE)</f>
        <v>35.57</v>
      </c>
      <c r="Z371" s="84">
        <f>+TbPrestamo[[#This Row],[TOTAL]]*TbPrestamo[[#This Row],[P.U. (3)]]</f>
        <v>0</v>
      </c>
    </row>
    <row r="372" spans="1:26" ht="15" customHeight="1" x14ac:dyDescent="0.3">
      <c r="A372" s="2"/>
      <c r="B372" s="85">
        <v>350</v>
      </c>
      <c r="C372" s="71" t="s">
        <v>702</v>
      </c>
      <c r="D372" s="72" t="s">
        <v>703</v>
      </c>
      <c r="E372" s="73"/>
      <c r="F372" s="74">
        <f>+VLOOKUP(C372,TbPrestamo[],13,FALSE)</f>
        <v>0</v>
      </c>
      <c r="G372" s="2"/>
      <c r="H372" s="75" t="str">
        <f t="shared" si="10"/>
        <v>EN.4000</v>
      </c>
      <c r="I372" s="59" t="str">
        <f t="shared" si="11"/>
        <v>ok</v>
      </c>
      <c r="J372" s="77">
        <f>IFERROR(VLOOKUP($H372,TG[],3,FALSE),"NA")</f>
        <v>0</v>
      </c>
      <c r="K372" s="77" t="str">
        <f>IFERROR(VLOOKUP($H372,TF[],3,FALSE),"NA")</f>
        <v>NA</v>
      </c>
      <c r="L372" s="77" t="str">
        <f>IFERROR(VLOOKUP($H372,TT[],3,FALSE),"NA")</f>
        <v>NA</v>
      </c>
      <c r="M372" s="77" t="str">
        <f>IFERROR(VLOOKUP($H372,TES[],3,FALSE),"NA")</f>
        <v>NA</v>
      </c>
      <c r="N372" s="77" t="str">
        <f>IFERROR(VLOOKUP($H372,TEC[],3,FALSE),"NA")</f>
        <v>NA</v>
      </c>
      <c r="O372" s="77" t="str">
        <f>IFERROR(VLOOKUP($H372,TP[],3,FALSE),"NA")</f>
        <v>NA</v>
      </c>
      <c r="P372" s="77">
        <f>IFERROR(VLOOKUP($H372,TEN[],3,FALSE),"NA")</f>
        <v>0</v>
      </c>
      <c r="Q372" s="77" t="str">
        <f>IFERROR(VLOOKUP($H372,TD[],3,FALSE),"NA")</f>
        <v>NA</v>
      </c>
      <c r="R372" s="77" t="str">
        <f>IFERROR(VLOOKUP($H372,TC[],3,FALSE),"NA")</f>
        <v>NA</v>
      </c>
      <c r="S372" s="77" t="str">
        <f>IFERROR(VLOOKUP($H372,TEV[],3,FALSE),"NA")</f>
        <v>NA</v>
      </c>
      <c r="T372" s="79">
        <f>SUM(TbPrestamo[[#This Row],[GENERAL]:[ELEVADOR]])</f>
        <v>0</v>
      </c>
      <c r="U372" s="80">
        <f>IF(VLOOKUP(TbPrestamo[[#This Row],[ITEM]],TbPiezas[],5,FALSE)="NA",0,VLOOKUP(TbPrestamo[[#This Row],[ITEM]],TbPiezas[],5,FALSE))</f>
        <v>4.2999999999999972</v>
      </c>
      <c r="V372" s="81">
        <f>+TbPrestamo[[#This Row],[TOTAL]]*TbPrestamo[[#This Row],[P.U. (1)]]</f>
        <v>0</v>
      </c>
      <c r="W372" s="82">
        <f>+VLOOKUP(TbPrestamo[[#This Row],[ITEM]],TbPiezas[],6,FALSE)</f>
        <v>153.97999999999999</v>
      </c>
      <c r="X372" s="83">
        <f>+TbPrestamo[[#This Row],[TOTAL]]*TbPrestamo[[#This Row],[P.U. (2)]]</f>
        <v>0</v>
      </c>
      <c r="Y372" s="82">
        <f>+VLOOKUP(TbPrestamo[[#This Row],[ITEM]],TbPiezas[],7,FALSE)</f>
        <v>7.6989999999999998</v>
      </c>
      <c r="Z372" s="84">
        <f>+TbPrestamo[[#This Row],[TOTAL]]*TbPrestamo[[#This Row],[P.U. (3)]]</f>
        <v>0</v>
      </c>
    </row>
    <row r="373" spans="1:26" ht="15" customHeight="1" x14ac:dyDescent="0.3">
      <c r="A373" s="2"/>
      <c r="B373" s="85">
        <v>351</v>
      </c>
      <c r="C373" s="71" t="s">
        <v>704</v>
      </c>
      <c r="D373" s="72" t="s">
        <v>705</v>
      </c>
      <c r="E373" s="73"/>
      <c r="F373" s="74">
        <f>+VLOOKUP(C373,TbPrestamo[],13,FALSE)</f>
        <v>0</v>
      </c>
      <c r="G373" s="2"/>
      <c r="H373" s="75" t="str">
        <f t="shared" si="10"/>
        <v>EN.4100</v>
      </c>
      <c r="I373" s="59" t="str">
        <f t="shared" si="11"/>
        <v>ok</v>
      </c>
      <c r="J373" s="77">
        <f>IFERROR(VLOOKUP($H373,TG[],3,FALSE),"NA")</f>
        <v>0</v>
      </c>
      <c r="K373" s="77" t="str">
        <f>IFERROR(VLOOKUP($H373,TF[],3,FALSE),"NA")</f>
        <v>NA</v>
      </c>
      <c r="L373" s="77" t="str">
        <f>IFERROR(VLOOKUP($H373,TT[],3,FALSE),"NA")</f>
        <v>NA</v>
      </c>
      <c r="M373" s="77" t="str">
        <f>IFERROR(VLOOKUP($H373,TES[],3,FALSE),"NA")</f>
        <v>NA</v>
      </c>
      <c r="N373" s="77" t="str">
        <f>IFERROR(VLOOKUP($H373,TEC[],3,FALSE),"NA")</f>
        <v>NA</v>
      </c>
      <c r="O373" s="77" t="str">
        <f>IFERROR(VLOOKUP($H373,TP[],3,FALSE),"NA")</f>
        <v>NA</v>
      </c>
      <c r="P373" s="77">
        <f>IFERROR(VLOOKUP($H373,TEN[],3,FALSE),"NA")</f>
        <v>0</v>
      </c>
      <c r="Q373" s="77" t="str">
        <f>IFERROR(VLOOKUP($H373,TD[],3,FALSE),"NA")</f>
        <v>NA</v>
      </c>
      <c r="R373" s="77" t="str">
        <f>IFERROR(VLOOKUP($H373,TC[],3,FALSE),"NA")</f>
        <v>NA</v>
      </c>
      <c r="S373" s="77" t="str">
        <f>IFERROR(VLOOKUP($H373,TEV[],3,FALSE),"NA")</f>
        <v>NA</v>
      </c>
      <c r="T373" s="79">
        <f>SUM(TbPrestamo[[#This Row],[GENERAL]:[ELEVADOR]])</f>
        <v>0</v>
      </c>
      <c r="U373" s="80">
        <f>IF(VLOOKUP(TbPrestamo[[#This Row],[ITEM]],TbPiezas[],5,FALSE)="NA",0,VLOOKUP(TbPrestamo[[#This Row],[ITEM]],TbPiezas[],5,FALSE))</f>
        <v>9.6999999999999993</v>
      </c>
      <c r="V373" s="81">
        <f>+TbPrestamo[[#This Row],[TOTAL]]*TbPrestamo[[#This Row],[P.U. (1)]]</f>
        <v>0</v>
      </c>
      <c r="W373" s="82">
        <f>+VLOOKUP(TbPrestamo[[#This Row],[ITEM]],TbPiezas[],6,FALSE)</f>
        <v>1588.13</v>
      </c>
      <c r="X373" s="83">
        <f>+TbPrestamo[[#This Row],[TOTAL]]*TbPrestamo[[#This Row],[P.U. (2)]]</f>
        <v>0</v>
      </c>
      <c r="Y373" s="82">
        <f>+VLOOKUP(TbPrestamo[[#This Row],[ITEM]],TbPiezas[],7,FALSE)</f>
        <v>79.406500000000008</v>
      </c>
      <c r="Z373" s="84">
        <f>+TbPrestamo[[#This Row],[TOTAL]]*TbPrestamo[[#This Row],[P.U. (3)]]</f>
        <v>0</v>
      </c>
    </row>
    <row r="374" spans="1:26" ht="15" customHeight="1" x14ac:dyDescent="0.3">
      <c r="A374" s="2"/>
      <c r="B374" s="85">
        <v>352</v>
      </c>
      <c r="C374" s="71" t="s">
        <v>706</v>
      </c>
      <c r="D374" s="72" t="s">
        <v>707</v>
      </c>
      <c r="E374" s="73"/>
      <c r="F374" s="74">
        <f>+VLOOKUP(C374,TbPrestamo[],13,FALSE)</f>
        <v>0</v>
      </c>
      <c r="G374" s="2"/>
      <c r="H374" s="75" t="str">
        <f t="shared" si="10"/>
        <v>EN.4200</v>
      </c>
      <c r="I374" s="59" t="str">
        <f t="shared" si="11"/>
        <v>ok</v>
      </c>
      <c r="J374" s="77">
        <f>IFERROR(VLOOKUP($H374,TG[],3,FALSE),"NA")</f>
        <v>0</v>
      </c>
      <c r="K374" s="77" t="str">
        <f>IFERROR(VLOOKUP($H374,TF[],3,FALSE),"NA")</f>
        <v>NA</v>
      </c>
      <c r="L374" s="77" t="str">
        <f>IFERROR(VLOOKUP($H374,TT[],3,FALSE),"NA")</f>
        <v>NA</v>
      </c>
      <c r="M374" s="77" t="str">
        <f>IFERROR(VLOOKUP($H374,TES[],3,FALSE),"NA")</f>
        <v>NA</v>
      </c>
      <c r="N374" s="77" t="str">
        <f>IFERROR(VLOOKUP($H374,TEC[],3,FALSE),"NA")</f>
        <v>NA</v>
      </c>
      <c r="O374" s="77" t="str">
        <f>IFERROR(VLOOKUP($H374,TP[],3,FALSE),"NA")</f>
        <v>NA</v>
      </c>
      <c r="P374" s="77">
        <f>IFERROR(VLOOKUP($H374,TEN[],3,FALSE),"NA")</f>
        <v>0</v>
      </c>
      <c r="Q374" s="77" t="str">
        <f>IFERROR(VLOOKUP($H374,TD[],3,FALSE),"NA")</f>
        <v>NA</v>
      </c>
      <c r="R374" s="77" t="str">
        <f>IFERROR(VLOOKUP($H374,TC[],3,FALSE),"NA")</f>
        <v>NA</v>
      </c>
      <c r="S374" s="77" t="str">
        <f>IFERROR(VLOOKUP($H374,TEV[],3,FALSE),"NA")</f>
        <v>NA</v>
      </c>
      <c r="T374" s="79">
        <f>SUM(TbPrestamo[[#This Row],[GENERAL]:[ELEVADOR]])</f>
        <v>0</v>
      </c>
      <c r="U374" s="80">
        <f>IF(VLOOKUP(TbPrestamo[[#This Row],[ITEM]],TbPiezas[],5,FALSE)="NA",0,VLOOKUP(TbPrestamo[[#This Row],[ITEM]],TbPiezas[],5,FALSE))</f>
        <v>3</v>
      </c>
      <c r="V374" s="81">
        <f>+TbPrestamo[[#This Row],[TOTAL]]*TbPrestamo[[#This Row],[P.U. (1)]]</f>
        <v>0</v>
      </c>
      <c r="W374" s="82">
        <f>+VLOOKUP(TbPrestamo[[#This Row],[ITEM]],TbPiezas[],6,FALSE)</f>
        <v>54</v>
      </c>
      <c r="X374" s="83">
        <f>+TbPrestamo[[#This Row],[TOTAL]]*TbPrestamo[[#This Row],[P.U. (2)]]</f>
        <v>0</v>
      </c>
      <c r="Y374" s="82">
        <f>+VLOOKUP(TbPrestamo[[#This Row],[ITEM]],TbPiezas[],7,FALSE)</f>
        <v>2.7</v>
      </c>
      <c r="Z374" s="84">
        <f>+TbPrestamo[[#This Row],[TOTAL]]*TbPrestamo[[#This Row],[P.U. (3)]]</f>
        <v>0</v>
      </c>
    </row>
    <row r="375" spans="1:26" ht="15" customHeight="1" x14ac:dyDescent="0.3">
      <c r="A375" s="2"/>
      <c r="B375" s="85">
        <v>353</v>
      </c>
      <c r="C375" s="71" t="s">
        <v>708</v>
      </c>
      <c r="D375" s="72" t="s">
        <v>709</v>
      </c>
      <c r="E375" s="73"/>
      <c r="F375" s="74">
        <f>+VLOOKUP(C375,TbPrestamo[],13,FALSE)</f>
        <v>0</v>
      </c>
      <c r="G375" s="2"/>
      <c r="H375" s="75" t="str">
        <f t="shared" si="10"/>
        <v>EN.4300</v>
      </c>
      <c r="I375" s="59" t="str">
        <f t="shared" si="11"/>
        <v>ok</v>
      </c>
      <c r="J375" s="77">
        <f>IFERROR(VLOOKUP($H375,TG[],3,FALSE),"NA")</f>
        <v>0</v>
      </c>
      <c r="K375" s="77" t="str">
        <f>IFERROR(VLOOKUP($H375,TF[],3,FALSE),"NA")</f>
        <v>NA</v>
      </c>
      <c r="L375" s="77" t="str">
        <f>IFERROR(VLOOKUP($H375,TT[],3,FALSE),"NA")</f>
        <v>NA</v>
      </c>
      <c r="M375" s="77" t="str">
        <f>IFERROR(VLOOKUP($H375,TES[],3,FALSE),"NA")</f>
        <v>NA</v>
      </c>
      <c r="N375" s="77" t="str">
        <f>IFERROR(VLOOKUP($H375,TEC[],3,FALSE),"NA")</f>
        <v>NA</v>
      </c>
      <c r="O375" s="77" t="str">
        <f>IFERROR(VLOOKUP($H375,TP[],3,FALSE),"NA")</f>
        <v>NA</v>
      </c>
      <c r="P375" s="77">
        <f>IFERROR(VLOOKUP($H375,TEN[],3,FALSE),"NA")</f>
        <v>0</v>
      </c>
      <c r="Q375" s="77" t="str">
        <f>IFERROR(VLOOKUP($H375,TD[],3,FALSE),"NA")</f>
        <v>NA</v>
      </c>
      <c r="R375" s="77" t="str">
        <f>IFERROR(VLOOKUP($H375,TC[],3,FALSE),"NA")</f>
        <v>NA</v>
      </c>
      <c r="S375" s="77" t="str">
        <f>IFERROR(VLOOKUP($H375,TEV[],3,FALSE),"NA")</f>
        <v>NA</v>
      </c>
      <c r="T375" s="79">
        <f>SUM(TbPrestamo[[#This Row],[GENERAL]:[ELEVADOR]])</f>
        <v>0</v>
      </c>
      <c r="U375" s="80">
        <f>IF(VLOOKUP(TbPrestamo[[#This Row],[ITEM]],TbPiezas[],5,FALSE)="NA",0,VLOOKUP(TbPrestamo[[#This Row],[ITEM]],TbPiezas[],5,FALSE))</f>
        <v>7.5</v>
      </c>
      <c r="V375" s="81">
        <f>+TbPrestamo[[#This Row],[TOTAL]]*TbPrestamo[[#This Row],[P.U. (1)]]</f>
        <v>0</v>
      </c>
      <c r="W375" s="82">
        <f>+VLOOKUP(TbPrestamo[[#This Row],[ITEM]],TbPiezas[],6,FALSE)</f>
        <v>153.97999999999999</v>
      </c>
      <c r="X375" s="83">
        <f>+TbPrestamo[[#This Row],[TOTAL]]*TbPrestamo[[#This Row],[P.U. (2)]]</f>
        <v>0</v>
      </c>
      <c r="Y375" s="82">
        <f>+VLOOKUP(TbPrestamo[[#This Row],[ITEM]],TbPiezas[],7,FALSE)</f>
        <v>7.6989999999999998</v>
      </c>
      <c r="Z375" s="84">
        <f>+TbPrestamo[[#This Row],[TOTAL]]*TbPrestamo[[#This Row],[P.U. (3)]]</f>
        <v>0</v>
      </c>
    </row>
    <row r="376" spans="1:26" ht="15" customHeight="1" x14ac:dyDescent="0.3">
      <c r="A376" s="2"/>
      <c r="B376" s="85">
        <v>354</v>
      </c>
      <c r="C376" s="71" t="s">
        <v>710</v>
      </c>
      <c r="D376" s="72" t="s">
        <v>711</v>
      </c>
      <c r="E376" s="73"/>
      <c r="F376" s="74">
        <f>+VLOOKUP(C376,TbPrestamo[],13,FALSE)</f>
        <v>0</v>
      </c>
      <c r="G376" s="2"/>
      <c r="H376" s="75" t="str">
        <f t="shared" si="10"/>
        <v>EN.4400</v>
      </c>
      <c r="I376" s="59" t="str">
        <f t="shared" si="11"/>
        <v>ok</v>
      </c>
      <c r="J376" s="77">
        <f>IFERROR(VLOOKUP($H376,TG[],3,FALSE),"NA")</f>
        <v>0</v>
      </c>
      <c r="K376" s="77" t="str">
        <f>IFERROR(VLOOKUP($H376,TF[],3,FALSE),"NA")</f>
        <v>NA</v>
      </c>
      <c r="L376" s="77" t="str">
        <f>IFERROR(VLOOKUP($H376,TT[],3,FALSE),"NA")</f>
        <v>NA</v>
      </c>
      <c r="M376" s="77" t="str">
        <f>IFERROR(VLOOKUP($H376,TES[],3,FALSE),"NA")</f>
        <v>NA</v>
      </c>
      <c r="N376" s="77" t="str">
        <f>IFERROR(VLOOKUP($H376,TEC[],3,FALSE),"NA")</f>
        <v>NA</v>
      </c>
      <c r="O376" s="77" t="str">
        <f>IFERROR(VLOOKUP($H376,TP[],3,FALSE),"NA")</f>
        <v>NA</v>
      </c>
      <c r="P376" s="77">
        <f>IFERROR(VLOOKUP($H376,TEN[],3,FALSE),"NA")</f>
        <v>0</v>
      </c>
      <c r="Q376" s="77" t="str">
        <f>IFERROR(VLOOKUP($H376,TD[],3,FALSE),"NA")</f>
        <v>NA</v>
      </c>
      <c r="R376" s="77" t="str">
        <f>IFERROR(VLOOKUP($H376,TC[],3,FALSE),"NA")</f>
        <v>NA</v>
      </c>
      <c r="S376" s="77" t="str">
        <f>IFERROR(VLOOKUP($H376,TEV[],3,FALSE),"NA")</f>
        <v>NA</v>
      </c>
      <c r="T376" s="79">
        <f>SUM(TbPrestamo[[#This Row],[GENERAL]:[ELEVADOR]])</f>
        <v>0</v>
      </c>
      <c r="U376" s="80">
        <f>IF(VLOOKUP(TbPrestamo[[#This Row],[ITEM]],TbPiezas[],5,FALSE)="NA",0,VLOOKUP(TbPrestamo[[#This Row],[ITEM]],TbPiezas[],5,FALSE))</f>
        <v>2.2999999999999972</v>
      </c>
      <c r="V376" s="81">
        <f>+TbPrestamo[[#This Row],[TOTAL]]*TbPrestamo[[#This Row],[P.U. (1)]]</f>
        <v>0</v>
      </c>
      <c r="W376" s="82">
        <f>+VLOOKUP(TbPrestamo[[#This Row],[ITEM]],TbPiezas[],6,FALSE)</f>
        <v>76.87</v>
      </c>
      <c r="X376" s="83">
        <f>+TbPrestamo[[#This Row],[TOTAL]]*TbPrestamo[[#This Row],[P.U. (2)]]</f>
        <v>0</v>
      </c>
      <c r="Y376" s="82">
        <f>+VLOOKUP(TbPrestamo[[#This Row],[ITEM]],TbPiezas[],7,FALSE)</f>
        <v>3.8435000000000006</v>
      </c>
      <c r="Z376" s="84">
        <f>+TbPrestamo[[#This Row],[TOTAL]]*TbPrestamo[[#This Row],[P.U. (3)]]</f>
        <v>0</v>
      </c>
    </row>
    <row r="377" spans="1:26" ht="15" customHeight="1" x14ac:dyDescent="0.3">
      <c r="A377" s="2"/>
      <c r="B377" s="85">
        <v>355</v>
      </c>
      <c r="C377" s="71" t="s">
        <v>712</v>
      </c>
      <c r="D377" s="72" t="s">
        <v>713</v>
      </c>
      <c r="E377" s="73"/>
      <c r="F377" s="74">
        <f>+VLOOKUP(C377,TbPrestamo[],13,FALSE)</f>
        <v>0</v>
      </c>
      <c r="G377" s="2"/>
      <c r="H377" s="75" t="str">
        <f t="shared" si="10"/>
        <v>RE.0100</v>
      </c>
      <c r="I377" s="59" t="str">
        <f t="shared" si="11"/>
        <v>ok</v>
      </c>
      <c r="J377" s="77">
        <f>IFERROR(VLOOKUP($H377,TG[],3,FALSE),"NA")</f>
        <v>0</v>
      </c>
      <c r="K377" s="77" t="str">
        <f>IFERROR(VLOOKUP($H377,TF[],3,FALSE),"NA")</f>
        <v>NA</v>
      </c>
      <c r="L377" s="77" t="str">
        <f>IFERROR(VLOOKUP($H377,TT[],3,FALSE),"NA")</f>
        <v>NA</v>
      </c>
      <c r="M377" s="77" t="str">
        <f>IFERROR(VLOOKUP($H377,TES[],3,FALSE),"NA")</f>
        <v>NA</v>
      </c>
      <c r="N377" s="77" t="str">
        <f>IFERROR(VLOOKUP($H377,TEC[],3,FALSE),"NA")</f>
        <v>NA</v>
      </c>
      <c r="O377" s="77" t="str">
        <f>IFERROR(VLOOKUP($H377,TP[],3,FALSE),"NA")</f>
        <v>NA</v>
      </c>
      <c r="P377" s="77" t="str">
        <f>IFERROR(VLOOKUP($H377,TEN[],3,FALSE),"NA")</f>
        <v>NA</v>
      </c>
      <c r="Q377" s="77" t="str">
        <f>IFERROR(VLOOKUP($H377,TD[],3,FALSE),"NA")</f>
        <v>NA</v>
      </c>
      <c r="R377" s="77" t="str">
        <f>IFERROR(VLOOKUP($H377,TC[],3,FALSE),"NA")</f>
        <v>NA</v>
      </c>
      <c r="S377" s="77" t="str">
        <f>IFERROR(VLOOKUP($H377,TEV[],3,FALSE),"NA")</f>
        <v>NA</v>
      </c>
      <c r="T377" s="79">
        <f>SUM(TbPrestamo[[#This Row],[GENERAL]:[ELEVADOR]])</f>
        <v>0</v>
      </c>
      <c r="U377" s="80">
        <f>IF(VLOOKUP(TbPrestamo[[#This Row],[ITEM]],TbPiezas[],5,FALSE)="NA",0,VLOOKUP(TbPrestamo[[#This Row],[ITEM]],TbPiezas[],5,FALSE))</f>
        <v>15.4</v>
      </c>
      <c r="V377" s="81">
        <f>+TbPrestamo[[#This Row],[TOTAL]]*TbPrestamo[[#This Row],[P.U. (1)]]</f>
        <v>0</v>
      </c>
      <c r="W377" s="82">
        <f>+VLOOKUP(TbPrestamo[[#This Row],[ITEM]],TbPiezas[],6,FALSE)</f>
        <v>479.16</v>
      </c>
      <c r="X377" s="83">
        <f>+TbPrestamo[[#This Row],[TOTAL]]*TbPrestamo[[#This Row],[P.U. (2)]]</f>
        <v>0</v>
      </c>
      <c r="Y377" s="82">
        <f>+VLOOKUP(TbPrestamo[[#This Row],[ITEM]],TbPiezas[],7,FALSE)</f>
        <v>23.958000000000002</v>
      </c>
      <c r="Z377" s="84">
        <f>+TbPrestamo[[#This Row],[TOTAL]]*TbPrestamo[[#This Row],[P.U. (3)]]</f>
        <v>0</v>
      </c>
    </row>
    <row r="378" spans="1:26" ht="15" customHeight="1" x14ac:dyDescent="0.3">
      <c r="A378" s="2"/>
      <c r="B378" s="85">
        <v>356</v>
      </c>
      <c r="C378" s="71" t="s">
        <v>714</v>
      </c>
      <c r="D378" s="72" t="s">
        <v>715</v>
      </c>
      <c r="E378" s="73"/>
      <c r="F378" s="74">
        <f>+VLOOKUP(C378,TbPrestamo[],13,FALSE)</f>
        <v>0</v>
      </c>
      <c r="G378" s="2"/>
      <c r="H378" s="75" t="str">
        <f t="shared" si="10"/>
        <v>RE.0150</v>
      </c>
      <c r="I378" s="59" t="str">
        <f t="shared" si="11"/>
        <v>ok</v>
      </c>
      <c r="J378" s="77">
        <f>IFERROR(VLOOKUP($H378,TG[],3,FALSE),"NA")</f>
        <v>0</v>
      </c>
      <c r="K378" s="77" t="str">
        <f>IFERROR(VLOOKUP($H378,TF[],3,FALSE),"NA")</f>
        <v>NA</v>
      </c>
      <c r="L378" s="77" t="str">
        <f>IFERROR(VLOOKUP($H378,TT[],3,FALSE),"NA")</f>
        <v>NA</v>
      </c>
      <c r="M378" s="77" t="str">
        <f>IFERROR(VLOOKUP($H378,TES[],3,FALSE),"NA")</f>
        <v>NA</v>
      </c>
      <c r="N378" s="77" t="str">
        <f>IFERROR(VLOOKUP($H378,TEC[],3,FALSE),"NA")</f>
        <v>NA</v>
      </c>
      <c r="O378" s="77" t="str">
        <f>IFERROR(VLOOKUP($H378,TP[],3,FALSE),"NA")</f>
        <v>NA</v>
      </c>
      <c r="P378" s="77" t="str">
        <f>IFERROR(VLOOKUP($H378,TEN[],3,FALSE),"NA")</f>
        <v>NA</v>
      </c>
      <c r="Q378" s="77" t="str">
        <f>IFERROR(VLOOKUP($H378,TD[],3,FALSE),"NA")</f>
        <v>NA</v>
      </c>
      <c r="R378" s="77" t="str">
        <f>IFERROR(VLOOKUP($H378,TC[],3,FALSE),"NA")</f>
        <v>NA</v>
      </c>
      <c r="S378" s="77" t="str">
        <f>IFERROR(VLOOKUP($H378,TEV[],3,FALSE),"NA")</f>
        <v>NA</v>
      </c>
      <c r="T378" s="79">
        <f>SUM(TbPrestamo[[#This Row],[GENERAL]:[ELEVADOR]])</f>
        <v>0</v>
      </c>
      <c r="U378" s="80">
        <f>IF(VLOOKUP(TbPrestamo[[#This Row],[ITEM]],TbPiezas[],5,FALSE)="NA",0,VLOOKUP(TbPrestamo[[#This Row],[ITEM]],TbPiezas[],5,FALSE))</f>
        <v>0</v>
      </c>
      <c r="V378" s="81">
        <f>+TbPrestamo[[#This Row],[TOTAL]]*TbPrestamo[[#This Row],[P.U. (1)]]</f>
        <v>0</v>
      </c>
      <c r="W378" s="82">
        <f>+VLOOKUP(TbPrestamo[[#This Row],[ITEM]],TbPiezas[],6,FALSE)</f>
        <v>156.78</v>
      </c>
      <c r="X378" s="83">
        <f>+TbPrestamo[[#This Row],[TOTAL]]*TbPrestamo[[#This Row],[P.U. (2)]]</f>
        <v>0</v>
      </c>
      <c r="Y378" s="82">
        <f>+VLOOKUP(TbPrestamo[[#This Row],[ITEM]],TbPiezas[],7,FALSE)</f>
        <v>7.8390000000000004</v>
      </c>
      <c r="Z378" s="84">
        <f>+TbPrestamo[[#This Row],[TOTAL]]*TbPrestamo[[#This Row],[P.U. (3)]]</f>
        <v>0</v>
      </c>
    </row>
    <row r="379" spans="1:26" ht="15" customHeight="1" x14ac:dyDescent="0.3">
      <c r="A379" s="2"/>
      <c r="B379" s="85">
        <v>357</v>
      </c>
      <c r="C379" s="71" t="s">
        <v>716</v>
      </c>
      <c r="D379" s="72" t="s">
        <v>717</v>
      </c>
      <c r="E379" s="73"/>
      <c r="F379" s="74">
        <f>+VLOOKUP(C379,TbPrestamo[],13,FALSE)</f>
        <v>0</v>
      </c>
      <c r="G379" s="2"/>
      <c r="H379" s="75" t="str">
        <f t="shared" si="10"/>
        <v>RE.0200</v>
      </c>
      <c r="I379" s="59" t="str">
        <f t="shared" si="11"/>
        <v>ok</v>
      </c>
      <c r="J379" s="77">
        <f>IFERROR(VLOOKUP($H379,TG[],3,FALSE),"NA")</f>
        <v>0</v>
      </c>
      <c r="K379" s="77" t="str">
        <f>IFERROR(VLOOKUP($H379,TF[],3,FALSE),"NA")</f>
        <v>NA</v>
      </c>
      <c r="L379" s="77" t="str">
        <f>IFERROR(VLOOKUP($H379,TT[],3,FALSE),"NA")</f>
        <v>NA</v>
      </c>
      <c r="M379" s="77" t="str">
        <f>IFERROR(VLOOKUP($H379,TES[],3,FALSE),"NA")</f>
        <v>NA</v>
      </c>
      <c r="N379" s="77" t="str">
        <f>IFERROR(VLOOKUP($H379,TEC[],3,FALSE),"NA")</f>
        <v>NA</v>
      </c>
      <c r="O379" s="77" t="str">
        <f>IFERROR(VLOOKUP($H379,TP[],3,FALSE),"NA")</f>
        <v>NA</v>
      </c>
      <c r="P379" s="77" t="str">
        <f>IFERROR(VLOOKUP($H379,TEN[],3,FALSE),"NA")</f>
        <v>NA</v>
      </c>
      <c r="Q379" s="77" t="str">
        <f>IFERROR(VLOOKUP($H379,TD[],3,FALSE),"NA")</f>
        <v>NA</v>
      </c>
      <c r="R379" s="77" t="str">
        <f>IFERROR(VLOOKUP($H379,TC[],3,FALSE),"NA")</f>
        <v>NA</v>
      </c>
      <c r="S379" s="77" t="str">
        <f>IFERROR(VLOOKUP($H379,TEV[],3,FALSE),"NA")</f>
        <v>NA</v>
      </c>
      <c r="T379" s="79">
        <f>SUM(TbPrestamo[[#This Row],[GENERAL]:[ELEVADOR]])</f>
        <v>0</v>
      </c>
      <c r="U379" s="80">
        <f>IF(VLOOKUP(TbPrestamo[[#This Row],[ITEM]],TbPiezas[],5,FALSE)="NA",0,VLOOKUP(TbPrestamo[[#This Row],[ITEM]],TbPiezas[],5,FALSE))</f>
        <v>19.7</v>
      </c>
      <c r="V379" s="81">
        <f>+TbPrestamo[[#This Row],[TOTAL]]*TbPrestamo[[#This Row],[P.U. (1)]]</f>
        <v>0</v>
      </c>
      <c r="W379" s="82">
        <f>+VLOOKUP(TbPrestamo[[#This Row],[ITEM]],TbPiezas[],6,FALSE)</f>
        <v>815.76</v>
      </c>
      <c r="X379" s="83">
        <f>+TbPrestamo[[#This Row],[TOTAL]]*TbPrestamo[[#This Row],[P.U. (2)]]</f>
        <v>0</v>
      </c>
      <c r="Y379" s="82">
        <f>+VLOOKUP(TbPrestamo[[#This Row],[ITEM]],TbPiezas[],7,FALSE)</f>
        <v>40.788000000000004</v>
      </c>
      <c r="Z379" s="84">
        <f>+TbPrestamo[[#This Row],[TOTAL]]*TbPrestamo[[#This Row],[P.U. (3)]]</f>
        <v>0</v>
      </c>
    </row>
    <row r="380" spans="1:26" ht="15" customHeight="1" x14ac:dyDescent="0.3">
      <c r="A380" s="2"/>
      <c r="B380" s="85">
        <v>358</v>
      </c>
      <c r="C380" s="71" t="s">
        <v>718</v>
      </c>
      <c r="D380" s="72" t="s">
        <v>719</v>
      </c>
      <c r="E380" s="73"/>
      <c r="F380" s="74">
        <f>+VLOOKUP(C380,TbPrestamo[],13,FALSE)</f>
        <v>0</v>
      </c>
      <c r="G380" s="2"/>
      <c r="H380" s="75" t="str">
        <f t="shared" si="10"/>
        <v>RE.0250</v>
      </c>
      <c r="I380" s="59" t="str">
        <f t="shared" si="11"/>
        <v>ok</v>
      </c>
      <c r="J380" s="77">
        <f>IFERROR(VLOOKUP($H380,TG[],3,FALSE),"NA")</f>
        <v>0</v>
      </c>
      <c r="K380" s="77" t="str">
        <f>IFERROR(VLOOKUP($H380,TF[],3,FALSE),"NA")</f>
        <v>NA</v>
      </c>
      <c r="L380" s="77" t="str">
        <f>IFERROR(VLOOKUP($H380,TT[],3,FALSE),"NA")</f>
        <v>NA</v>
      </c>
      <c r="M380" s="77" t="str">
        <f>IFERROR(VLOOKUP($H380,TES[],3,FALSE),"NA")</f>
        <v>NA</v>
      </c>
      <c r="N380" s="77" t="str">
        <f>IFERROR(VLOOKUP($H380,TEC[],3,FALSE),"NA")</f>
        <v>NA</v>
      </c>
      <c r="O380" s="77" t="str">
        <f>IFERROR(VLOOKUP($H380,TP[],3,FALSE),"NA")</f>
        <v>NA</v>
      </c>
      <c r="P380" s="77" t="str">
        <f>IFERROR(VLOOKUP($H380,TEN[],3,FALSE),"NA")</f>
        <v>NA</v>
      </c>
      <c r="Q380" s="77" t="str">
        <f>IFERROR(VLOOKUP($H380,TD[],3,FALSE),"NA")</f>
        <v>NA</v>
      </c>
      <c r="R380" s="77" t="str">
        <f>IFERROR(VLOOKUP($H380,TC[],3,FALSE),"NA")</f>
        <v>NA</v>
      </c>
      <c r="S380" s="77" t="str">
        <f>IFERROR(VLOOKUP($H380,TEV[],3,FALSE),"NA")</f>
        <v>NA</v>
      </c>
      <c r="T380" s="79">
        <f>SUM(TbPrestamo[[#This Row],[GENERAL]:[ELEVADOR]])</f>
        <v>0</v>
      </c>
      <c r="U380" s="80">
        <f>IF(VLOOKUP(TbPrestamo[[#This Row],[ITEM]],TbPiezas[],5,FALSE)="NA",0,VLOOKUP(TbPrestamo[[#This Row],[ITEM]],TbPiezas[],5,FALSE))</f>
        <v>0</v>
      </c>
      <c r="V380" s="81">
        <f>+TbPrestamo[[#This Row],[TOTAL]]*TbPrestamo[[#This Row],[P.U. (1)]]</f>
        <v>0</v>
      </c>
      <c r="W380" s="82">
        <f>+VLOOKUP(TbPrestamo[[#This Row],[ITEM]],TbPiezas[],6,FALSE)</f>
        <v>156.78</v>
      </c>
      <c r="X380" s="83">
        <f>+TbPrestamo[[#This Row],[TOTAL]]*TbPrestamo[[#This Row],[P.U. (2)]]</f>
        <v>0</v>
      </c>
      <c r="Y380" s="82">
        <f>+VLOOKUP(TbPrestamo[[#This Row],[ITEM]],TbPiezas[],7,FALSE)</f>
        <v>7.8390000000000004</v>
      </c>
      <c r="Z380" s="84">
        <f>+TbPrestamo[[#This Row],[TOTAL]]*TbPrestamo[[#This Row],[P.U. (3)]]</f>
        <v>0</v>
      </c>
    </row>
    <row r="381" spans="1:26" ht="15" customHeight="1" x14ac:dyDescent="0.3">
      <c r="A381" s="2"/>
      <c r="B381" s="85">
        <v>359</v>
      </c>
      <c r="C381" s="71" t="s">
        <v>720</v>
      </c>
      <c r="D381" s="72" t="s">
        <v>721</v>
      </c>
      <c r="E381" s="73"/>
      <c r="F381" s="74">
        <f>+VLOOKUP(C381,TbPrestamo[],13,FALSE)</f>
        <v>0</v>
      </c>
      <c r="G381" s="2"/>
      <c r="H381" s="75" t="str">
        <f t="shared" si="10"/>
        <v>RE.0260</v>
      </c>
      <c r="I381" s="59" t="str">
        <f t="shared" si="11"/>
        <v>ok</v>
      </c>
      <c r="J381" s="77">
        <f>IFERROR(VLOOKUP($H381,TG[],3,FALSE),"NA")</f>
        <v>0</v>
      </c>
      <c r="K381" s="77" t="str">
        <f>IFERROR(VLOOKUP($H381,TF[],3,FALSE),"NA")</f>
        <v>NA</v>
      </c>
      <c r="L381" s="77" t="str">
        <f>IFERROR(VLOOKUP($H381,TT[],3,FALSE),"NA")</f>
        <v>NA</v>
      </c>
      <c r="M381" s="77" t="str">
        <f>IFERROR(VLOOKUP($H381,TES[],3,FALSE),"NA")</f>
        <v>NA</v>
      </c>
      <c r="N381" s="77" t="str">
        <f>IFERROR(VLOOKUP($H381,TEC[],3,FALSE),"NA")</f>
        <v>NA</v>
      </c>
      <c r="O381" s="77" t="str">
        <f>IFERROR(VLOOKUP($H381,TP[],3,FALSE),"NA")</f>
        <v>NA</v>
      </c>
      <c r="P381" s="77" t="str">
        <f>IFERROR(VLOOKUP($H381,TEN[],3,FALSE),"NA")</f>
        <v>NA</v>
      </c>
      <c r="Q381" s="77" t="str">
        <f>IFERROR(VLOOKUP($H381,TD[],3,FALSE),"NA")</f>
        <v>NA</v>
      </c>
      <c r="R381" s="77" t="str">
        <f>IFERROR(VLOOKUP($H381,TC[],3,FALSE),"NA")</f>
        <v>NA</v>
      </c>
      <c r="S381" s="77" t="str">
        <f>IFERROR(VLOOKUP($H381,TEV[],3,FALSE),"NA")</f>
        <v>NA</v>
      </c>
      <c r="T381" s="79">
        <f>SUM(TbPrestamo[[#This Row],[GENERAL]:[ELEVADOR]])</f>
        <v>0</v>
      </c>
      <c r="U381" s="80">
        <f>IF(VLOOKUP(TbPrestamo[[#This Row],[ITEM]],TbPiezas[],5,FALSE)="NA",0,VLOOKUP(TbPrestamo[[#This Row],[ITEM]],TbPiezas[],5,FALSE))</f>
        <v>0</v>
      </c>
      <c r="V381" s="81">
        <f>+TbPrestamo[[#This Row],[TOTAL]]*TbPrestamo[[#This Row],[P.U. (1)]]</f>
        <v>0</v>
      </c>
      <c r="W381" s="82">
        <f>+VLOOKUP(TbPrestamo[[#This Row],[ITEM]],TbPiezas[],6,FALSE)</f>
        <v>161.4</v>
      </c>
      <c r="X381" s="83">
        <f>+TbPrestamo[[#This Row],[TOTAL]]*TbPrestamo[[#This Row],[P.U. (2)]]</f>
        <v>0</v>
      </c>
      <c r="Y381" s="82">
        <f>+VLOOKUP(TbPrestamo[[#This Row],[ITEM]],TbPiezas[],7,FALSE)</f>
        <v>8.07</v>
      </c>
      <c r="Z381" s="84">
        <f>+TbPrestamo[[#This Row],[TOTAL]]*TbPrestamo[[#This Row],[P.U. (3)]]</f>
        <v>0</v>
      </c>
    </row>
    <row r="382" spans="1:26" ht="15" customHeight="1" x14ac:dyDescent="0.3">
      <c r="A382" s="2"/>
      <c r="B382" s="85">
        <v>360</v>
      </c>
      <c r="C382" s="71" t="s">
        <v>722</v>
      </c>
      <c r="D382" s="72" t="s">
        <v>723</v>
      </c>
      <c r="E382" s="73"/>
      <c r="F382" s="74">
        <f>+VLOOKUP(C382,TbPrestamo[],13,FALSE)</f>
        <v>0</v>
      </c>
      <c r="G382" s="2"/>
      <c r="H382" s="75" t="str">
        <f t="shared" si="10"/>
        <v>RE.0300</v>
      </c>
      <c r="I382" s="59" t="str">
        <f t="shared" si="11"/>
        <v>ok</v>
      </c>
      <c r="J382" s="77">
        <f>IFERROR(VLOOKUP($H382,TG[],3,FALSE),"NA")</f>
        <v>0</v>
      </c>
      <c r="K382" s="77" t="str">
        <f>IFERROR(VLOOKUP($H382,TF[],3,FALSE),"NA")</f>
        <v>NA</v>
      </c>
      <c r="L382" s="77" t="str">
        <f>IFERROR(VLOOKUP($H382,TT[],3,FALSE),"NA")</f>
        <v>NA</v>
      </c>
      <c r="M382" s="77" t="str">
        <f>IFERROR(VLOOKUP($H382,TES[],3,FALSE),"NA")</f>
        <v>NA</v>
      </c>
      <c r="N382" s="77" t="str">
        <f>IFERROR(VLOOKUP($H382,TEC[],3,FALSE),"NA")</f>
        <v>NA</v>
      </c>
      <c r="O382" s="77" t="str">
        <f>IFERROR(VLOOKUP($H382,TP[],3,FALSE),"NA")</f>
        <v>NA</v>
      </c>
      <c r="P382" s="77" t="str">
        <f>IFERROR(VLOOKUP($H382,TEN[],3,FALSE),"NA")</f>
        <v>NA</v>
      </c>
      <c r="Q382" s="77" t="str">
        <f>IFERROR(VLOOKUP($H382,TD[],3,FALSE),"NA")</f>
        <v>NA</v>
      </c>
      <c r="R382" s="77" t="str">
        <f>IFERROR(VLOOKUP($H382,TC[],3,FALSE),"NA")</f>
        <v>NA</v>
      </c>
      <c r="S382" s="77" t="str">
        <f>IFERROR(VLOOKUP($H382,TEV[],3,FALSE),"NA")</f>
        <v>NA</v>
      </c>
      <c r="T382" s="79">
        <f>SUM(TbPrestamo[[#This Row],[GENERAL]:[ELEVADOR]])</f>
        <v>0</v>
      </c>
      <c r="U382" s="80">
        <f>IF(VLOOKUP(TbPrestamo[[#This Row],[ITEM]],TbPiezas[],5,FALSE)="NA",0,VLOOKUP(TbPrestamo[[#This Row],[ITEM]],TbPiezas[],5,FALSE))</f>
        <v>9.4</v>
      </c>
      <c r="V382" s="81">
        <f>+TbPrestamo[[#This Row],[TOTAL]]*TbPrestamo[[#This Row],[P.U. (1)]]</f>
        <v>0</v>
      </c>
      <c r="W382" s="82">
        <f>+VLOOKUP(TbPrestamo[[#This Row],[ITEM]],TbPiezas[],6,FALSE)</f>
        <v>1001.88</v>
      </c>
      <c r="X382" s="83">
        <f>+TbPrestamo[[#This Row],[TOTAL]]*TbPrestamo[[#This Row],[P.U. (2)]]</f>
        <v>0</v>
      </c>
      <c r="Y382" s="82">
        <f>+VLOOKUP(TbPrestamo[[#This Row],[ITEM]],TbPiezas[],7,FALSE)</f>
        <v>50.094000000000001</v>
      </c>
      <c r="Z382" s="84">
        <f>+TbPrestamo[[#This Row],[TOTAL]]*TbPrestamo[[#This Row],[P.U. (3)]]</f>
        <v>0</v>
      </c>
    </row>
    <row r="383" spans="1:26" ht="15" customHeight="1" x14ac:dyDescent="0.3">
      <c r="A383" s="2"/>
      <c r="B383" s="85">
        <v>361</v>
      </c>
      <c r="C383" s="71" t="s">
        <v>724</v>
      </c>
      <c r="D383" s="72" t="s">
        <v>725</v>
      </c>
      <c r="E383" s="73"/>
      <c r="F383" s="74">
        <f>+VLOOKUP(C383,TbPrestamo[],13,FALSE)</f>
        <v>0</v>
      </c>
      <c r="G383" s="2"/>
      <c r="H383" s="75" t="str">
        <f t="shared" si="10"/>
        <v>RE.0400</v>
      </c>
      <c r="I383" s="59" t="str">
        <f t="shared" si="11"/>
        <v>ok</v>
      </c>
      <c r="J383" s="77">
        <f>IFERROR(VLOOKUP($H383,TG[],3,FALSE),"NA")</f>
        <v>0</v>
      </c>
      <c r="K383" s="77" t="str">
        <f>IFERROR(VLOOKUP($H383,TF[],3,FALSE),"NA")</f>
        <v>NA</v>
      </c>
      <c r="L383" s="77" t="str">
        <f>IFERROR(VLOOKUP($H383,TT[],3,FALSE),"NA")</f>
        <v>NA</v>
      </c>
      <c r="M383" s="77" t="str">
        <f>IFERROR(VLOOKUP($H383,TES[],3,FALSE),"NA")</f>
        <v>NA</v>
      </c>
      <c r="N383" s="77" t="str">
        <f>IFERROR(VLOOKUP($H383,TEC[],3,FALSE),"NA")</f>
        <v>NA</v>
      </c>
      <c r="O383" s="77" t="str">
        <f>IFERROR(VLOOKUP($H383,TP[],3,FALSE),"NA")</f>
        <v>NA</v>
      </c>
      <c r="P383" s="77" t="str">
        <f>IFERROR(VLOOKUP($H383,TEN[],3,FALSE),"NA")</f>
        <v>NA</v>
      </c>
      <c r="Q383" s="77" t="str">
        <f>IFERROR(VLOOKUP($H383,TD[],3,FALSE),"NA")</f>
        <v>NA</v>
      </c>
      <c r="R383" s="77" t="str">
        <f>IFERROR(VLOOKUP($H383,TC[],3,FALSE),"NA")</f>
        <v>NA</v>
      </c>
      <c r="S383" s="77" t="str">
        <f>IFERROR(VLOOKUP($H383,TEV[],3,FALSE),"NA")</f>
        <v>NA</v>
      </c>
      <c r="T383" s="79">
        <f>SUM(TbPrestamo[[#This Row],[GENERAL]:[ELEVADOR]])</f>
        <v>0</v>
      </c>
      <c r="U383" s="80">
        <f>IF(VLOOKUP(TbPrestamo[[#This Row],[ITEM]],TbPiezas[],5,FALSE)="NA",0,VLOOKUP(TbPrestamo[[#This Row],[ITEM]],TbPiezas[],5,FALSE))</f>
        <v>27.1</v>
      </c>
      <c r="V383" s="81">
        <f>+TbPrestamo[[#This Row],[TOTAL]]*TbPrestamo[[#This Row],[P.U. (1)]]</f>
        <v>0</v>
      </c>
      <c r="W383" s="82">
        <f>+VLOOKUP(TbPrestamo[[#This Row],[ITEM]],TbPiezas[],6,FALSE)</f>
        <v>1421.64</v>
      </c>
      <c r="X383" s="83">
        <f>+TbPrestamo[[#This Row],[TOTAL]]*TbPrestamo[[#This Row],[P.U. (2)]]</f>
        <v>0</v>
      </c>
      <c r="Y383" s="82">
        <f>+VLOOKUP(TbPrestamo[[#This Row],[ITEM]],TbPiezas[],7,FALSE)</f>
        <v>71.082000000000008</v>
      </c>
      <c r="Z383" s="84">
        <f>+TbPrestamo[[#This Row],[TOTAL]]*TbPrestamo[[#This Row],[P.U. (3)]]</f>
        <v>0</v>
      </c>
    </row>
    <row r="384" spans="1:26" ht="15" customHeight="1" x14ac:dyDescent="0.3">
      <c r="A384" s="2"/>
      <c r="B384" s="85">
        <v>362</v>
      </c>
      <c r="C384" s="71" t="s">
        <v>726</v>
      </c>
      <c r="D384" s="72" t="s">
        <v>727</v>
      </c>
      <c r="E384" s="73"/>
      <c r="F384" s="74">
        <f>+VLOOKUP(C384,TbPrestamo[],13,FALSE)</f>
        <v>0</v>
      </c>
      <c r="G384" s="2"/>
      <c r="H384" s="75" t="str">
        <f t="shared" si="10"/>
        <v>RE.0450</v>
      </c>
      <c r="I384" s="59" t="str">
        <f t="shared" si="11"/>
        <v>ok</v>
      </c>
      <c r="J384" s="77">
        <f>IFERROR(VLOOKUP($H384,TG[],3,FALSE),"NA")</f>
        <v>0</v>
      </c>
      <c r="K384" s="77" t="str">
        <f>IFERROR(VLOOKUP($H384,TF[],3,FALSE),"NA")</f>
        <v>NA</v>
      </c>
      <c r="L384" s="77" t="str">
        <f>IFERROR(VLOOKUP($H384,TT[],3,FALSE),"NA")</f>
        <v>NA</v>
      </c>
      <c r="M384" s="77" t="str">
        <f>IFERROR(VLOOKUP($H384,TES[],3,FALSE),"NA")</f>
        <v>NA</v>
      </c>
      <c r="N384" s="77" t="str">
        <f>IFERROR(VLOOKUP($H384,TEC[],3,FALSE),"NA")</f>
        <v>NA</v>
      </c>
      <c r="O384" s="77" t="str">
        <f>IFERROR(VLOOKUP($H384,TP[],3,FALSE),"NA")</f>
        <v>NA</v>
      </c>
      <c r="P384" s="77" t="str">
        <f>IFERROR(VLOOKUP($H384,TEN[],3,FALSE),"NA")</f>
        <v>NA</v>
      </c>
      <c r="Q384" s="77" t="str">
        <f>IFERROR(VLOOKUP($H384,TD[],3,FALSE),"NA")</f>
        <v>NA</v>
      </c>
      <c r="R384" s="77" t="str">
        <f>IFERROR(VLOOKUP($H384,TC[],3,FALSE),"NA")</f>
        <v>NA</v>
      </c>
      <c r="S384" s="77" t="str">
        <f>IFERROR(VLOOKUP($H384,TEV[],3,FALSE),"NA")</f>
        <v>NA</v>
      </c>
      <c r="T384" s="79">
        <f>SUM(TbPrestamo[[#This Row],[GENERAL]:[ELEVADOR]])</f>
        <v>0</v>
      </c>
      <c r="U384" s="80">
        <f>IF(VLOOKUP(TbPrestamo[[#This Row],[ITEM]],TbPiezas[],5,FALSE)="NA",0,VLOOKUP(TbPrestamo[[#This Row],[ITEM]],TbPiezas[],5,FALSE))</f>
        <v>0</v>
      </c>
      <c r="V384" s="81">
        <f>+TbPrestamo[[#This Row],[TOTAL]]*TbPrestamo[[#This Row],[P.U. (1)]]</f>
        <v>0</v>
      </c>
      <c r="W384" s="82">
        <f>+VLOOKUP(TbPrestamo[[#This Row],[ITEM]],TbPiezas[],6,FALSE)</f>
        <v>225</v>
      </c>
      <c r="X384" s="83">
        <f>+TbPrestamo[[#This Row],[TOTAL]]*TbPrestamo[[#This Row],[P.U. (2)]]</f>
        <v>0</v>
      </c>
      <c r="Y384" s="82">
        <f>+VLOOKUP(TbPrestamo[[#This Row],[ITEM]],TbPiezas[],7,FALSE)</f>
        <v>11.25</v>
      </c>
      <c r="Z384" s="84">
        <f>+TbPrestamo[[#This Row],[TOTAL]]*TbPrestamo[[#This Row],[P.U. (3)]]</f>
        <v>0</v>
      </c>
    </row>
    <row r="385" spans="1:26" ht="15" customHeight="1" x14ac:dyDescent="0.3">
      <c r="A385" s="2"/>
      <c r="B385" s="85">
        <v>363</v>
      </c>
      <c r="C385" s="71" t="s">
        <v>728</v>
      </c>
      <c r="D385" s="72" t="s">
        <v>729</v>
      </c>
      <c r="E385" s="73"/>
      <c r="F385" s="74">
        <f>+VLOOKUP(C385,TbPrestamo[],13,FALSE)</f>
        <v>0</v>
      </c>
      <c r="G385" s="2"/>
      <c r="H385" s="75" t="str">
        <f t="shared" si="10"/>
        <v>RE.0460</v>
      </c>
      <c r="I385" s="59" t="str">
        <f t="shared" si="11"/>
        <v>ok</v>
      </c>
      <c r="J385" s="77">
        <f>IFERROR(VLOOKUP($H385,TG[],3,FALSE),"NA")</f>
        <v>0</v>
      </c>
      <c r="K385" s="77" t="str">
        <f>IFERROR(VLOOKUP($H385,TF[],3,FALSE),"NA")</f>
        <v>NA</v>
      </c>
      <c r="L385" s="77" t="str">
        <f>IFERROR(VLOOKUP($H385,TT[],3,FALSE),"NA")</f>
        <v>NA</v>
      </c>
      <c r="M385" s="77" t="str">
        <f>IFERROR(VLOOKUP($H385,TES[],3,FALSE),"NA")</f>
        <v>NA</v>
      </c>
      <c r="N385" s="77" t="str">
        <f>IFERROR(VLOOKUP($H385,TEC[],3,FALSE),"NA")</f>
        <v>NA</v>
      </c>
      <c r="O385" s="77" t="str">
        <f>IFERROR(VLOOKUP($H385,TP[],3,FALSE),"NA")</f>
        <v>NA</v>
      </c>
      <c r="P385" s="77" t="str">
        <f>IFERROR(VLOOKUP($H385,TEN[],3,FALSE),"NA")</f>
        <v>NA</v>
      </c>
      <c r="Q385" s="77" t="str">
        <f>IFERROR(VLOOKUP($H385,TD[],3,FALSE),"NA")</f>
        <v>NA</v>
      </c>
      <c r="R385" s="77" t="str">
        <f>IFERROR(VLOOKUP($H385,TC[],3,FALSE),"NA")</f>
        <v>NA</v>
      </c>
      <c r="S385" s="77" t="str">
        <f>IFERROR(VLOOKUP($H385,TEV[],3,FALSE),"NA")</f>
        <v>NA</v>
      </c>
      <c r="T385" s="79">
        <f>SUM(TbPrestamo[[#This Row],[GENERAL]:[ELEVADOR]])</f>
        <v>0</v>
      </c>
      <c r="U385" s="80">
        <f>IF(VLOOKUP(TbPrestamo[[#This Row],[ITEM]],TbPiezas[],5,FALSE)="NA",0,VLOOKUP(TbPrestamo[[#This Row],[ITEM]],TbPiezas[],5,FALSE))</f>
        <v>0</v>
      </c>
      <c r="V385" s="81">
        <f>+TbPrestamo[[#This Row],[TOTAL]]*TbPrestamo[[#This Row],[P.U. (1)]]</f>
        <v>0</v>
      </c>
      <c r="W385" s="82">
        <f>+VLOOKUP(TbPrestamo[[#This Row],[ITEM]],TbPiezas[],6,FALSE)</f>
        <v>126</v>
      </c>
      <c r="X385" s="83">
        <f>+TbPrestamo[[#This Row],[TOTAL]]*TbPrestamo[[#This Row],[P.U. (2)]]</f>
        <v>0</v>
      </c>
      <c r="Y385" s="82">
        <f>+VLOOKUP(TbPrestamo[[#This Row],[ITEM]],TbPiezas[],7,FALSE)</f>
        <v>6.3000000000000007</v>
      </c>
      <c r="Z385" s="84">
        <f>+TbPrestamo[[#This Row],[TOTAL]]*TbPrestamo[[#This Row],[P.U. (3)]]</f>
        <v>0</v>
      </c>
    </row>
    <row r="386" spans="1:26" ht="15" customHeight="1" x14ac:dyDescent="0.3">
      <c r="A386" s="2"/>
      <c r="B386" s="85">
        <v>364</v>
      </c>
      <c r="C386" s="71" t="s">
        <v>730</v>
      </c>
      <c r="D386" s="72" t="s">
        <v>731</v>
      </c>
      <c r="E386" s="73"/>
      <c r="F386" s="74">
        <f>+VLOOKUP(C386,TbPrestamo[],13,FALSE)</f>
        <v>0</v>
      </c>
      <c r="G386" s="2"/>
      <c r="H386" s="75" t="str">
        <f t="shared" si="10"/>
        <v>RE.0470</v>
      </c>
      <c r="I386" s="59" t="str">
        <f t="shared" si="11"/>
        <v>ok</v>
      </c>
      <c r="J386" s="77">
        <f>IFERROR(VLOOKUP($H386,TG[],3,FALSE),"NA")</f>
        <v>0</v>
      </c>
      <c r="K386" s="77" t="str">
        <f>IFERROR(VLOOKUP($H386,TF[],3,FALSE),"NA")</f>
        <v>NA</v>
      </c>
      <c r="L386" s="77" t="str">
        <f>IFERROR(VLOOKUP($H386,TT[],3,FALSE),"NA")</f>
        <v>NA</v>
      </c>
      <c r="M386" s="77" t="str">
        <f>IFERROR(VLOOKUP($H386,TES[],3,FALSE),"NA")</f>
        <v>NA</v>
      </c>
      <c r="N386" s="77" t="str">
        <f>IFERROR(VLOOKUP($H386,TEC[],3,FALSE),"NA")</f>
        <v>NA</v>
      </c>
      <c r="O386" s="77" t="str">
        <f>IFERROR(VLOOKUP($H386,TP[],3,FALSE),"NA")</f>
        <v>NA</v>
      </c>
      <c r="P386" s="77" t="str">
        <f>IFERROR(VLOOKUP($H386,TEN[],3,FALSE),"NA")</f>
        <v>NA</v>
      </c>
      <c r="Q386" s="77" t="str">
        <f>IFERROR(VLOOKUP($H386,TD[],3,FALSE),"NA")</f>
        <v>NA</v>
      </c>
      <c r="R386" s="77" t="str">
        <f>IFERROR(VLOOKUP($H386,TC[],3,FALSE),"NA")</f>
        <v>NA</v>
      </c>
      <c r="S386" s="77" t="str">
        <f>IFERROR(VLOOKUP($H386,TEV[],3,FALSE),"NA")</f>
        <v>NA</v>
      </c>
      <c r="T386" s="79">
        <f>SUM(TbPrestamo[[#This Row],[GENERAL]:[ELEVADOR]])</f>
        <v>0</v>
      </c>
      <c r="U386" s="80">
        <f>IF(VLOOKUP(TbPrestamo[[#This Row],[ITEM]],TbPiezas[],5,FALSE)="NA",0,VLOOKUP(TbPrestamo[[#This Row],[ITEM]],TbPiezas[],5,FALSE))</f>
        <v>0</v>
      </c>
      <c r="V386" s="81">
        <f>+TbPrestamo[[#This Row],[TOTAL]]*TbPrestamo[[#This Row],[P.U. (1)]]</f>
        <v>0</v>
      </c>
      <c r="W386" s="82">
        <f>+VLOOKUP(TbPrestamo[[#This Row],[ITEM]],TbPiezas[],6,FALSE)</f>
        <v>161.4</v>
      </c>
      <c r="X386" s="83">
        <f>+TbPrestamo[[#This Row],[TOTAL]]*TbPrestamo[[#This Row],[P.U. (2)]]</f>
        <v>0</v>
      </c>
      <c r="Y386" s="82">
        <f>+VLOOKUP(TbPrestamo[[#This Row],[ITEM]],TbPiezas[],7,FALSE)</f>
        <v>8.07</v>
      </c>
      <c r="Z386" s="84">
        <f>+TbPrestamo[[#This Row],[TOTAL]]*TbPrestamo[[#This Row],[P.U. (3)]]</f>
        <v>0</v>
      </c>
    </row>
    <row r="387" spans="1:26" ht="15" customHeight="1" x14ac:dyDescent="0.3">
      <c r="A387" s="2"/>
      <c r="B387" s="85">
        <v>365</v>
      </c>
      <c r="C387" s="71" t="s">
        <v>732</v>
      </c>
      <c r="D387" s="72" t="s">
        <v>733</v>
      </c>
      <c r="E387" s="73"/>
      <c r="F387" s="74">
        <f>+VLOOKUP(C387,TbPrestamo[],13,FALSE)</f>
        <v>0</v>
      </c>
      <c r="G387" s="2"/>
      <c r="H387" s="75" t="str">
        <f t="shared" si="10"/>
        <v>RE.0500</v>
      </c>
      <c r="I387" s="59" t="str">
        <f t="shared" si="11"/>
        <v>ok</v>
      </c>
      <c r="J387" s="77">
        <f>IFERROR(VLOOKUP($H387,TG[],3,FALSE),"NA")</f>
        <v>0</v>
      </c>
      <c r="K387" s="77" t="str">
        <f>IFERROR(VLOOKUP($H387,TF[],3,FALSE),"NA")</f>
        <v>NA</v>
      </c>
      <c r="L387" s="77" t="str">
        <f>IFERROR(VLOOKUP($H387,TT[],3,FALSE),"NA")</f>
        <v>NA</v>
      </c>
      <c r="M387" s="77" t="str">
        <f>IFERROR(VLOOKUP($H387,TES[],3,FALSE),"NA")</f>
        <v>NA</v>
      </c>
      <c r="N387" s="77" t="str">
        <f>IFERROR(VLOOKUP($H387,TEC[],3,FALSE),"NA")</f>
        <v>NA</v>
      </c>
      <c r="O387" s="77" t="str">
        <f>IFERROR(VLOOKUP($H387,TP[],3,FALSE),"NA")</f>
        <v>NA</v>
      </c>
      <c r="P387" s="77" t="str">
        <f>IFERROR(VLOOKUP($H387,TEN[],3,FALSE),"NA")</f>
        <v>NA</v>
      </c>
      <c r="Q387" s="77" t="str">
        <f>IFERROR(VLOOKUP($H387,TD[],3,FALSE),"NA")</f>
        <v>NA</v>
      </c>
      <c r="R387" s="77" t="str">
        <f>IFERROR(VLOOKUP($H387,TC[],3,FALSE),"NA")</f>
        <v>NA</v>
      </c>
      <c r="S387" s="77" t="str">
        <f>IFERROR(VLOOKUP($H387,TEV[],3,FALSE),"NA")</f>
        <v>NA</v>
      </c>
      <c r="T387" s="79">
        <f>SUM(TbPrestamo[[#This Row],[GENERAL]:[ELEVADOR]])</f>
        <v>0</v>
      </c>
      <c r="U387" s="80">
        <f>IF(VLOOKUP(TbPrestamo[[#This Row],[ITEM]],TbPiezas[],5,FALSE)="NA",0,VLOOKUP(TbPrestamo[[#This Row],[ITEM]],TbPiezas[],5,FALSE))</f>
        <v>1</v>
      </c>
      <c r="V387" s="81">
        <f>+TbPrestamo[[#This Row],[TOTAL]]*TbPrestamo[[#This Row],[P.U. (1)]]</f>
        <v>0</v>
      </c>
      <c r="W387" s="82">
        <f>+VLOOKUP(TbPrestamo[[#This Row],[ITEM]],TbPiezas[],6,FALSE)</f>
        <v>142.56</v>
      </c>
      <c r="X387" s="83">
        <f>+TbPrestamo[[#This Row],[TOTAL]]*TbPrestamo[[#This Row],[P.U. (2)]]</f>
        <v>0</v>
      </c>
      <c r="Y387" s="82">
        <f>+VLOOKUP(TbPrestamo[[#This Row],[ITEM]],TbPiezas[],7,FALSE)</f>
        <v>7.1280000000000001</v>
      </c>
      <c r="Z387" s="84">
        <f>+TbPrestamo[[#This Row],[TOTAL]]*TbPrestamo[[#This Row],[P.U. (3)]]</f>
        <v>0</v>
      </c>
    </row>
    <row r="388" spans="1:26" ht="15" customHeight="1" x14ac:dyDescent="0.3">
      <c r="A388" s="2"/>
      <c r="B388" s="85">
        <v>366</v>
      </c>
      <c r="C388" s="71" t="s">
        <v>734</v>
      </c>
      <c r="D388" s="72" t="s">
        <v>735</v>
      </c>
      <c r="E388" s="73"/>
      <c r="F388" s="74">
        <f>+VLOOKUP(C388,TbPrestamo[],13,FALSE)</f>
        <v>0</v>
      </c>
      <c r="G388" s="2"/>
      <c r="H388" s="75" t="str">
        <f t="shared" si="10"/>
        <v>RE.0600</v>
      </c>
      <c r="I388" s="59" t="str">
        <f t="shared" si="11"/>
        <v>ok</v>
      </c>
      <c r="J388" s="77">
        <f>IFERROR(VLOOKUP($H388,TG[],3,FALSE),"NA")</f>
        <v>0</v>
      </c>
      <c r="K388" s="77" t="str">
        <f>IFERROR(VLOOKUP($H388,TF[],3,FALSE),"NA")</f>
        <v>NA</v>
      </c>
      <c r="L388" s="77" t="str">
        <f>IFERROR(VLOOKUP($H388,TT[],3,FALSE),"NA")</f>
        <v>NA</v>
      </c>
      <c r="M388" s="77" t="str">
        <f>IFERROR(VLOOKUP($H388,TES[],3,FALSE),"NA")</f>
        <v>NA</v>
      </c>
      <c r="N388" s="77" t="str">
        <f>IFERROR(VLOOKUP($H388,TEC[],3,FALSE),"NA")</f>
        <v>NA</v>
      </c>
      <c r="O388" s="77" t="str">
        <f>IFERROR(VLOOKUP($H388,TP[],3,FALSE),"NA")</f>
        <v>NA</v>
      </c>
      <c r="P388" s="77" t="str">
        <f>IFERROR(VLOOKUP($H388,TEN[],3,FALSE),"NA")</f>
        <v>NA</v>
      </c>
      <c r="Q388" s="77" t="str">
        <f>IFERROR(VLOOKUP($H388,TD[],3,FALSE),"NA")</f>
        <v>NA</v>
      </c>
      <c r="R388" s="77" t="str">
        <f>IFERROR(VLOOKUP($H388,TC[],3,FALSE),"NA")</f>
        <v>NA</v>
      </c>
      <c r="S388" s="77" t="str">
        <f>IFERROR(VLOOKUP($H388,TEV[],3,FALSE),"NA")</f>
        <v>NA</v>
      </c>
      <c r="T388" s="79">
        <f>SUM(TbPrestamo[[#This Row],[GENERAL]:[ELEVADOR]])</f>
        <v>0</v>
      </c>
      <c r="U388" s="80">
        <f>IF(VLOOKUP(TbPrestamo[[#This Row],[ITEM]],TbPiezas[],5,FALSE)="NA",0,VLOOKUP(TbPrestamo[[#This Row],[ITEM]],TbPiezas[],5,FALSE))</f>
        <v>13</v>
      </c>
      <c r="V388" s="81">
        <f>+TbPrestamo[[#This Row],[TOTAL]]*TbPrestamo[[#This Row],[P.U. (1)]]</f>
        <v>0</v>
      </c>
      <c r="W388" s="82">
        <f>+VLOOKUP(TbPrestamo[[#This Row],[ITEM]],TbPiezas[],6,FALSE)</f>
        <v>2459.16</v>
      </c>
      <c r="X388" s="83">
        <f>+TbPrestamo[[#This Row],[TOTAL]]*TbPrestamo[[#This Row],[P.U. (2)]]</f>
        <v>0</v>
      </c>
      <c r="Y388" s="82">
        <f>+VLOOKUP(TbPrestamo[[#This Row],[ITEM]],TbPiezas[],7,FALSE)</f>
        <v>122.958</v>
      </c>
      <c r="Z388" s="84">
        <f>+TbPrestamo[[#This Row],[TOTAL]]*TbPrestamo[[#This Row],[P.U. (3)]]</f>
        <v>0</v>
      </c>
    </row>
    <row r="389" spans="1:26" ht="15" customHeight="1" x14ac:dyDescent="0.3">
      <c r="A389" s="2"/>
      <c r="B389" s="85">
        <v>367</v>
      </c>
      <c r="C389" s="71" t="s">
        <v>736</v>
      </c>
      <c r="D389" s="72" t="s">
        <v>737</v>
      </c>
      <c r="E389" s="73"/>
      <c r="F389" s="74">
        <f>+VLOOKUP(C389,TbPrestamo[],13,FALSE)</f>
        <v>0</v>
      </c>
      <c r="G389" s="2"/>
      <c r="H389" s="75" t="str">
        <f t="shared" si="10"/>
        <v>RE.0700</v>
      </c>
      <c r="I389" s="59" t="str">
        <f t="shared" si="11"/>
        <v>ok</v>
      </c>
      <c r="J389" s="77">
        <f>IFERROR(VLOOKUP($H389,TG[],3,FALSE),"NA")</f>
        <v>0</v>
      </c>
      <c r="K389" s="77" t="str">
        <f>IFERROR(VLOOKUP($H389,TF[],3,FALSE),"NA")</f>
        <v>NA</v>
      </c>
      <c r="L389" s="77" t="str">
        <f>IFERROR(VLOOKUP($H389,TT[],3,FALSE),"NA")</f>
        <v>NA</v>
      </c>
      <c r="M389" s="77" t="str">
        <f>IFERROR(VLOOKUP($H389,TES[],3,FALSE),"NA")</f>
        <v>NA</v>
      </c>
      <c r="N389" s="77" t="str">
        <f>IFERROR(VLOOKUP($H389,TEC[],3,FALSE),"NA")</f>
        <v>NA</v>
      </c>
      <c r="O389" s="77" t="str">
        <f>IFERROR(VLOOKUP($H389,TP[],3,FALSE),"NA")</f>
        <v>NA</v>
      </c>
      <c r="P389" s="77" t="str">
        <f>IFERROR(VLOOKUP($H389,TEN[],3,FALSE),"NA")</f>
        <v>NA</v>
      </c>
      <c r="Q389" s="77" t="str">
        <f>IFERROR(VLOOKUP($H389,TD[],3,FALSE),"NA")</f>
        <v>NA</v>
      </c>
      <c r="R389" s="77" t="str">
        <f>IFERROR(VLOOKUP($H389,TC[],3,FALSE),"NA")</f>
        <v>NA</v>
      </c>
      <c r="S389" s="77" t="str">
        <f>IFERROR(VLOOKUP($H389,TEV[],3,FALSE),"NA")</f>
        <v>NA</v>
      </c>
      <c r="T389" s="79">
        <f>SUM(TbPrestamo[[#This Row],[GENERAL]:[ELEVADOR]])</f>
        <v>0</v>
      </c>
      <c r="U389" s="80">
        <f>IF(VLOOKUP(TbPrestamo[[#This Row],[ITEM]],TbPiezas[],5,FALSE)="NA",0,VLOOKUP(TbPrestamo[[#This Row],[ITEM]],TbPiezas[],5,FALSE))</f>
        <v>2.5</v>
      </c>
      <c r="V389" s="81">
        <f>+TbPrestamo[[#This Row],[TOTAL]]*TbPrestamo[[#This Row],[P.U. (1)]]</f>
        <v>0</v>
      </c>
      <c r="W389" s="82">
        <f>+VLOOKUP(TbPrestamo[[#This Row],[ITEM]],TbPiezas[],6,FALSE)</f>
        <v>253.44</v>
      </c>
      <c r="X389" s="83">
        <f>+TbPrestamo[[#This Row],[TOTAL]]*TbPrestamo[[#This Row],[P.U. (2)]]</f>
        <v>0</v>
      </c>
      <c r="Y389" s="82">
        <f>+VLOOKUP(TbPrestamo[[#This Row],[ITEM]],TbPiezas[],7,FALSE)</f>
        <v>12.672000000000001</v>
      </c>
      <c r="Z389" s="84">
        <f>+TbPrestamo[[#This Row],[TOTAL]]*TbPrestamo[[#This Row],[P.U. (3)]]</f>
        <v>0</v>
      </c>
    </row>
    <row r="390" spans="1:26" ht="15" customHeight="1" x14ac:dyDescent="0.3">
      <c r="A390" s="2"/>
      <c r="B390" s="85">
        <v>368</v>
      </c>
      <c r="C390" s="71" t="s">
        <v>738</v>
      </c>
      <c r="D390" s="72" t="s">
        <v>739</v>
      </c>
      <c r="E390" s="73"/>
      <c r="F390" s="74">
        <f>+VLOOKUP(C390,TbPrestamo[],13,FALSE)</f>
        <v>0</v>
      </c>
      <c r="G390" s="2"/>
      <c r="H390" s="75" t="str">
        <f t="shared" si="10"/>
        <v>RE.0800</v>
      </c>
      <c r="I390" s="59" t="str">
        <f t="shared" si="11"/>
        <v>ok</v>
      </c>
      <c r="J390" s="77">
        <f>IFERROR(VLOOKUP($H390,TG[],3,FALSE),"NA")</f>
        <v>0</v>
      </c>
      <c r="K390" s="77" t="str">
        <f>IFERROR(VLOOKUP($H390,TF[],3,FALSE),"NA")</f>
        <v>NA</v>
      </c>
      <c r="L390" s="77" t="str">
        <f>IFERROR(VLOOKUP($H390,TT[],3,FALSE),"NA")</f>
        <v>NA</v>
      </c>
      <c r="M390" s="77" t="str">
        <f>IFERROR(VLOOKUP($H390,TES[],3,FALSE),"NA")</f>
        <v>NA</v>
      </c>
      <c r="N390" s="77" t="str">
        <f>IFERROR(VLOOKUP($H390,TEC[],3,FALSE),"NA")</f>
        <v>NA</v>
      </c>
      <c r="O390" s="77" t="str">
        <f>IFERROR(VLOOKUP($H390,TP[],3,FALSE),"NA")</f>
        <v>NA</v>
      </c>
      <c r="P390" s="77" t="str">
        <f>IFERROR(VLOOKUP($H390,TEN[],3,FALSE),"NA")</f>
        <v>NA</v>
      </c>
      <c r="Q390" s="77" t="str">
        <f>IFERROR(VLOOKUP($H390,TD[],3,FALSE),"NA")</f>
        <v>NA</v>
      </c>
      <c r="R390" s="77" t="str">
        <f>IFERROR(VLOOKUP($H390,TC[],3,FALSE),"NA")</f>
        <v>NA</v>
      </c>
      <c r="S390" s="77" t="str">
        <f>IFERROR(VLOOKUP($H390,TEV[],3,FALSE),"NA")</f>
        <v>NA</v>
      </c>
      <c r="T390" s="79">
        <f>SUM(TbPrestamo[[#This Row],[GENERAL]:[ELEVADOR]])</f>
        <v>0</v>
      </c>
      <c r="U390" s="80">
        <f>IF(VLOOKUP(TbPrestamo[[#This Row],[ITEM]],TbPiezas[],5,FALSE)="NA",0,VLOOKUP(TbPrestamo[[#This Row],[ITEM]],TbPiezas[],5,FALSE))</f>
        <v>0.15</v>
      </c>
      <c r="V390" s="81">
        <f>+TbPrestamo[[#This Row],[TOTAL]]*TbPrestamo[[#This Row],[P.U. (1)]]</f>
        <v>0</v>
      </c>
      <c r="W390" s="82">
        <f>+VLOOKUP(TbPrestamo[[#This Row],[ITEM]],TbPiezas[],6,FALSE)</f>
        <v>18</v>
      </c>
      <c r="X390" s="83">
        <f>+TbPrestamo[[#This Row],[TOTAL]]*TbPrestamo[[#This Row],[P.U. (2)]]</f>
        <v>0</v>
      </c>
      <c r="Y390" s="82">
        <f>+VLOOKUP(TbPrestamo[[#This Row],[ITEM]],TbPiezas[],7,FALSE)</f>
        <v>0.9</v>
      </c>
      <c r="Z390" s="84">
        <f>+TbPrestamo[[#This Row],[TOTAL]]*TbPrestamo[[#This Row],[P.U. (3)]]</f>
        <v>0</v>
      </c>
    </row>
    <row r="391" spans="1:26" ht="15" customHeight="1" x14ac:dyDescent="0.3">
      <c r="A391" s="2"/>
      <c r="B391" s="85">
        <v>369</v>
      </c>
      <c r="C391" s="71" t="s">
        <v>740</v>
      </c>
      <c r="D391" s="72" t="s">
        <v>741</v>
      </c>
      <c r="E391" s="73"/>
      <c r="F391" s="74">
        <f>+VLOOKUP(C391,TbPrestamo[],13,FALSE)</f>
        <v>0</v>
      </c>
      <c r="G391" s="2"/>
      <c r="H391" s="75" t="str">
        <f t="shared" si="10"/>
        <v>RE.0810</v>
      </c>
      <c r="I391" s="59" t="str">
        <f t="shared" si="11"/>
        <v>ok</v>
      </c>
      <c r="J391" s="77">
        <f>IFERROR(VLOOKUP($H391,TG[],3,FALSE),"NA")</f>
        <v>0</v>
      </c>
      <c r="K391" s="77" t="str">
        <f>IFERROR(VLOOKUP($H391,TF[],3,FALSE),"NA")</f>
        <v>NA</v>
      </c>
      <c r="L391" s="77" t="str">
        <f>IFERROR(VLOOKUP($H391,TT[],3,FALSE),"NA")</f>
        <v>NA</v>
      </c>
      <c r="M391" s="77" t="str">
        <f>IFERROR(VLOOKUP($H391,TES[],3,FALSE),"NA")</f>
        <v>NA</v>
      </c>
      <c r="N391" s="77" t="str">
        <f>IFERROR(VLOOKUP($H391,TEC[],3,FALSE),"NA")</f>
        <v>NA</v>
      </c>
      <c r="O391" s="77" t="str">
        <f>IFERROR(VLOOKUP($H391,TP[],3,FALSE),"NA")</f>
        <v>NA</v>
      </c>
      <c r="P391" s="77" t="str">
        <f>IFERROR(VLOOKUP($H391,TEN[],3,FALSE),"NA")</f>
        <v>NA</v>
      </c>
      <c r="Q391" s="77" t="str">
        <f>IFERROR(VLOOKUP($H391,TD[],3,FALSE),"NA")</f>
        <v>NA</v>
      </c>
      <c r="R391" s="77" t="str">
        <f>IFERROR(VLOOKUP($H391,TC[],3,FALSE),"NA")</f>
        <v>NA</v>
      </c>
      <c r="S391" s="77" t="str">
        <f>IFERROR(VLOOKUP($H391,TEV[],3,FALSE),"NA")</f>
        <v>NA</v>
      </c>
      <c r="T391" s="79">
        <f>SUM(TbPrestamo[[#This Row],[GENERAL]:[ELEVADOR]])</f>
        <v>0</v>
      </c>
      <c r="U391" s="80">
        <f>IF(VLOOKUP(TbPrestamo[[#This Row],[ITEM]],TbPiezas[],5,FALSE)="NA",0,VLOOKUP(TbPrestamo[[#This Row],[ITEM]],TbPiezas[],5,FALSE))</f>
        <v>0.01</v>
      </c>
      <c r="V391" s="81">
        <f>+TbPrestamo[[#This Row],[TOTAL]]*TbPrestamo[[#This Row],[P.U. (1)]]</f>
        <v>0</v>
      </c>
      <c r="W391" s="82">
        <f>+VLOOKUP(TbPrestamo[[#This Row],[ITEM]],TbPiezas[],6,FALSE)</f>
        <v>2</v>
      </c>
      <c r="X391" s="83">
        <f>+TbPrestamo[[#This Row],[TOTAL]]*TbPrestamo[[#This Row],[P.U. (2)]]</f>
        <v>0</v>
      </c>
      <c r="Y391" s="82">
        <f>+VLOOKUP(TbPrestamo[[#This Row],[ITEM]],TbPiezas[],7,FALSE)</f>
        <v>0.1</v>
      </c>
      <c r="Z391" s="84">
        <f>+TbPrestamo[[#This Row],[TOTAL]]*TbPrestamo[[#This Row],[P.U. (3)]]</f>
        <v>0</v>
      </c>
    </row>
    <row r="392" spans="1:26" s="4" customFormat="1" x14ac:dyDescent="0.3">
      <c r="A392" s="2"/>
      <c r="B392" s="85">
        <v>370</v>
      </c>
      <c r="C392" s="71" t="s">
        <v>742</v>
      </c>
      <c r="D392" s="72" t="s">
        <v>743</v>
      </c>
      <c r="E392" s="73"/>
      <c r="F392" s="74">
        <f>+VLOOKUP(C392,TbPrestamo[],13,FALSE)</f>
        <v>0</v>
      </c>
      <c r="G392" s="2"/>
      <c r="H392" s="75" t="str">
        <f t="shared" si="10"/>
        <v>RE.0900</v>
      </c>
      <c r="I392" s="59" t="str">
        <f t="shared" si="11"/>
        <v>ok</v>
      </c>
      <c r="J392" s="77">
        <f>IFERROR(VLOOKUP($H392,TG[],3,FALSE),"NA")</f>
        <v>0</v>
      </c>
      <c r="K392" s="77" t="str">
        <f>IFERROR(VLOOKUP($H392,TF[],3,FALSE),"NA")</f>
        <v>NA</v>
      </c>
      <c r="L392" s="77" t="str">
        <f>IFERROR(VLOOKUP($H392,TT[],3,FALSE),"NA")</f>
        <v>NA</v>
      </c>
      <c r="M392" s="77" t="str">
        <f>IFERROR(VLOOKUP($H392,TES[],3,FALSE),"NA")</f>
        <v>NA</v>
      </c>
      <c r="N392" s="77" t="str">
        <f>IFERROR(VLOOKUP($H392,TEC[],3,FALSE),"NA")</f>
        <v>NA</v>
      </c>
      <c r="O392" s="77" t="str">
        <f>IFERROR(VLOOKUP($H392,TP[],3,FALSE),"NA")</f>
        <v>NA</v>
      </c>
      <c r="P392" s="77" t="str">
        <f>IFERROR(VLOOKUP($H392,TEN[],3,FALSE),"NA")</f>
        <v>NA</v>
      </c>
      <c r="Q392" s="77" t="str">
        <f>IFERROR(VLOOKUP($H392,TD[],3,FALSE),"NA")</f>
        <v>NA</v>
      </c>
      <c r="R392" s="77" t="str">
        <f>IFERROR(VLOOKUP($H392,TC[],3,FALSE),"NA")</f>
        <v>NA</v>
      </c>
      <c r="S392" s="77" t="str">
        <f>IFERROR(VLOOKUP($H392,TEV[],3,FALSE),"NA")</f>
        <v>NA</v>
      </c>
      <c r="T392" s="79">
        <f>SUM(TbPrestamo[[#This Row],[GENERAL]:[ELEVADOR]])</f>
        <v>0</v>
      </c>
      <c r="U392" s="80">
        <f>IF(VLOOKUP(TbPrestamo[[#This Row],[ITEM]],TbPiezas[],5,FALSE)="NA",0,VLOOKUP(TbPrestamo[[#This Row],[ITEM]],TbPiezas[],5,FALSE))</f>
        <v>0</v>
      </c>
      <c r="V392" s="81">
        <f>+TbPrestamo[[#This Row],[TOTAL]]*TbPrestamo[[#This Row],[P.U. (1)]]</f>
        <v>0</v>
      </c>
      <c r="W392" s="82">
        <f>+VLOOKUP(TbPrestamo[[#This Row],[ITEM]],TbPiezas[],6,FALSE)</f>
        <v>249</v>
      </c>
      <c r="X392" s="83">
        <f>+TbPrestamo[[#This Row],[TOTAL]]*TbPrestamo[[#This Row],[P.U. (2)]]</f>
        <v>0</v>
      </c>
      <c r="Y392" s="82">
        <f>+VLOOKUP(TbPrestamo[[#This Row],[ITEM]],TbPiezas[],7,FALSE)</f>
        <v>12.450000000000001</v>
      </c>
      <c r="Z392" s="84">
        <f>+TbPrestamo[[#This Row],[TOTAL]]*TbPrestamo[[#This Row],[P.U. (3)]]</f>
        <v>0</v>
      </c>
    </row>
    <row r="393" spans="1:26" s="4" customFormat="1" x14ac:dyDescent="0.3">
      <c r="A393" s="2"/>
      <c r="B393" s="85">
        <v>371</v>
      </c>
      <c r="C393" s="71" t="s">
        <v>744</v>
      </c>
      <c r="D393" s="72" t="s">
        <v>745</v>
      </c>
      <c r="E393" s="73"/>
      <c r="F393" s="74">
        <f>+VLOOKUP(C393,TbPrestamo[],13,FALSE)</f>
        <v>1</v>
      </c>
      <c r="G393" s="2"/>
      <c r="H393" s="75" t="str">
        <f t="shared" si="10"/>
        <v>EV.0100</v>
      </c>
      <c r="I393" s="59" t="str">
        <f t="shared" si="11"/>
        <v>ok</v>
      </c>
      <c r="J393" s="77">
        <f>IFERROR(VLOOKUP($H393,TG[],3,FALSE),"NA")</f>
        <v>0</v>
      </c>
      <c r="K393" s="77" t="str">
        <f>IFERROR(VLOOKUP($H393,TF[],3,FALSE),"NA")</f>
        <v>NA</v>
      </c>
      <c r="L393" s="77" t="str">
        <f>IFERROR(VLOOKUP($H393,TT[],3,FALSE),"NA")</f>
        <v>NA</v>
      </c>
      <c r="M393" s="77" t="str">
        <f>IFERROR(VLOOKUP($H393,TES[],3,FALSE),"NA")</f>
        <v>NA</v>
      </c>
      <c r="N393" s="77" t="str">
        <f>IFERROR(VLOOKUP($H393,TEC[],3,FALSE),"NA")</f>
        <v>NA</v>
      </c>
      <c r="O393" s="77" t="str">
        <f>IFERROR(VLOOKUP($H393,TP[],3,FALSE),"NA")</f>
        <v>NA</v>
      </c>
      <c r="P393" s="77" t="str">
        <f>IFERROR(VLOOKUP($H393,TEN[],3,FALSE),"NA")</f>
        <v>NA</v>
      </c>
      <c r="Q393" s="77" t="str">
        <f>IFERROR(VLOOKUP($H393,TD[],3,FALSE),"NA")</f>
        <v>NA</v>
      </c>
      <c r="R393" s="77" t="str">
        <f>IFERROR(VLOOKUP($H393,TC[],3,FALSE),"NA")</f>
        <v>NA</v>
      </c>
      <c r="S393" s="77">
        <f>IFERROR(VLOOKUP($H393,TEV[],3,FALSE),"NA")</f>
        <v>1</v>
      </c>
      <c r="T393" s="79">
        <f>SUM(TbPrestamo[[#This Row],[GENERAL]:[ELEVADOR]])</f>
        <v>1</v>
      </c>
      <c r="U393" s="80">
        <f>IF(VLOOKUP(TbPrestamo[[#This Row],[ITEM]],TbPiezas[],5,FALSE)="NA",0,VLOOKUP(TbPrestamo[[#This Row],[ITEM]],TbPiezas[],5,FALSE))</f>
        <v>1100</v>
      </c>
      <c r="V393" s="81">
        <f>+TbPrestamo[[#This Row],[TOTAL]]*TbPrestamo[[#This Row],[P.U. (1)]]</f>
        <v>1100</v>
      </c>
      <c r="W393" s="82">
        <f>+VLOOKUP(TbPrestamo[[#This Row],[ITEM]],TbPiezas[],6,FALSE)</f>
        <v>60984</v>
      </c>
      <c r="X393" s="83">
        <f>+TbPrestamo[[#This Row],[TOTAL]]*TbPrestamo[[#This Row],[P.U. (2)]]</f>
        <v>60984</v>
      </c>
      <c r="Y393" s="82">
        <f>+VLOOKUP(TbPrestamo[[#This Row],[ITEM]],TbPiezas[],7,FALSE)</f>
        <v>3049.2000000000003</v>
      </c>
      <c r="Z393" s="84">
        <f>+TbPrestamo[[#This Row],[TOTAL]]*TbPrestamo[[#This Row],[P.U. (3)]]</f>
        <v>3049.2000000000003</v>
      </c>
    </row>
    <row r="394" spans="1:26" s="4" customFormat="1" x14ac:dyDescent="0.3">
      <c r="A394" s="2"/>
      <c r="B394" s="85">
        <v>372</v>
      </c>
      <c r="C394" s="71" t="s">
        <v>746</v>
      </c>
      <c r="D394" s="72" t="s">
        <v>747</v>
      </c>
      <c r="E394" s="73"/>
      <c r="F394" s="74">
        <f>+VLOOKUP(C394,TbPrestamo[],13,FALSE)</f>
        <v>0</v>
      </c>
      <c r="G394" s="2"/>
      <c r="H394" s="75" t="str">
        <f t="shared" si="10"/>
        <v>EV.0200</v>
      </c>
      <c r="I394" s="59" t="str">
        <f t="shared" si="11"/>
        <v>ok</v>
      </c>
      <c r="J394" s="77">
        <f>IFERROR(VLOOKUP($H394,TG[],3,FALSE),"NA")</f>
        <v>0</v>
      </c>
      <c r="K394" s="77" t="str">
        <f>IFERROR(VLOOKUP($H394,TF[],3,FALSE),"NA")</f>
        <v>NA</v>
      </c>
      <c r="L394" s="77" t="str">
        <f>IFERROR(VLOOKUP($H394,TT[],3,FALSE),"NA")</f>
        <v>NA</v>
      </c>
      <c r="M394" s="77" t="str">
        <f>IFERROR(VLOOKUP($H394,TES[],3,FALSE),"NA")</f>
        <v>NA</v>
      </c>
      <c r="N394" s="77" t="str">
        <f>IFERROR(VLOOKUP($H394,TEC[],3,FALSE),"NA")</f>
        <v>NA</v>
      </c>
      <c r="O394" s="77" t="str">
        <f>IFERROR(VLOOKUP($H394,TP[],3,FALSE),"NA")</f>
        <v>NA</v>
      </c>
      <c r="P394" s="77" t="str">
        <f>IFERROR(VLOOKUP($H394,TEN[],3,FALSE),"NA")</f>
        <v>NA</v>
      </c>
      <c r="Q394" s="77" t="str">
        <f>IFERROR(VLOOKUP($H394,TD[],3,FALSE),"NA")</f>
        <v>NA</v>
      </c>
      <c r="R394" s="77" t="str">
        <f>IFERROR(VLOOKUP($H394,TC[],3,FALSE),"NA")</f>
        <v>NA</v>
      </c>
      <c r="S394" s="77">
        <f>IFERROR(VLOOKUP($H394,TEV[],3,FALSE),"NA")</f>
        <v>0</v>
      </c>
      <c r="T394" s="79">
        <f>SUM(TbPrestamo[[#This Row],[GENERAL]:[ELEVADOR]])</f>
        <v>0</v>
      </c>
      <c r="U394" s="80">
        <f>IF(VLOOKUP(TbPrestamo[[#This Row],[ITEM]],TbPiezas[],5,FALSE)="NA",0,VLOOKUP(TbPrestamo[[#This Row],[ITEM]],TbPiezas[],5,FALSE))</f>
        <v>1100</v>
      </c>
      <c r="V394" s="81">
        <f>+TbPrestamo[[#This Row],[TOTAL]]*TbPrestamo[[#This Row],[P.U. (1)]]</f>
        <v>0</v>
      </c>
      <c r="W394" s="82">
        <f>+VLOOKUP(TbPrestamo[[#This Row],[ITEM]],TbPiezas[],6,FALSE)</f>
        <v>60984</v>
      </c>
      <c r="X394" s="83">
        <f>+TbPrestamo[[#This Row],[TOTAL]]*TbPrestamo[[#This Row],[P.U. (2)]]</f>
        <v>0</v>
      </c>
      <c r="Y394" s="82">
        <f>+VLOOKUP(TbPrestamo[[#This Row],[ITEM]],TbPiezas[],7,FALSE)</f>
        <v>3049.2000000000003</v>
      </c>
      <c r="Z394" s="84">
        <f>+TbPrestamo[[#This Row],[TOTAL]]*TbPrestamo[[#This Row],[P.U. (3)]]</f>
        <v>0</v>
      </c>
    </row>
    <row r="395" spans="1:26" s="4" customFormat="1" x14ac:dyDescent="0.3">
      <c r="A395" s="2"/>
      <c r="B395" s="85">
        <v>373</v>
      </c>
      <c r="C395" s="71" t="s">
        <v>1409</v>
      </c>
      <c r="D395" s="72" t="s">
        <v>1405</v>
      </c>
      <c r="E395" s="73"/>
      <c r="F395" s="74">
        <f>+VLOOKUP(C395,TbPrestamo[],13,FALSE)</f>
        <v>0</v>
      </c>
      <c r="G395" s="2"/>
      <c r="H395" s="75" t="str">
        <f t="shared" si="10"/>
        <v>EV.0210</v>
      </c>
      <c r="I395" s="59" t="str">
        <f t="shared" si="11"/>
        <v>ok</v>
      </c>
      <c r="J395" s="77">
        <f>IFERROR(VLOOKUP($H395,TG[],3,FALSE),"NA")</f>
        <v>0</v>
      </c>
      <c r="K395" s="77" t="str">
        <f>IFERROR(VLOOKUP($H395,TF[],3,FALSE),"NA")</f>
        <v>NA</v>
      </c>
      <c r="L395" s="77" t="str">
        <f>IFERROR(VLOOKUP($H395,TT[],3,FALSE),"NA")</f>
        <v>NA</v>
      </c>
      <c r="M395" s="77" t="str">
        <f>IFERROR(VLOOKUP($H395,TES[],3,FALSE),"NA")</f>
        <v>NA</v>
      </c>
      <c r="N395" s="77" t="str">
        <f>IFERROR(VLOOKUP($H395,TEC[],3,FALSE),"NA")</f>
        <v>NA</v>
      </c>
      <c r="O395" s="77" t="str">
        <f>IFERROR(VLOOKUP($H395,TP[],3,FALSE),"NA")</f>
        <v>NA</v>
      </c>
      <c r="P395" s="77" t="str">
        <f>IFERROR(VLOOKUP($H395,TEN[],3,FALSE),"NA")</f>
        <v>NA</v>
      </c>
      <c r="Q395" s="77" t="str">
        <f>IFERROR(VLOOKUP($H395,TD[],3,FALSE),"NA")</f>
        <v>NA</v>
      </c>
      <c r="R395" s="77" t="str">
        <f>IFERROR(VLOOKUP($H395,TC[],3,FALSE),"NA")</f>
        <v>NA</v>
      </c>
      <c r="S395" s="77" t="str">
        <f>IFERROR(VLOOKUP($H395,TEV[],3,FALSE),"NA")</f>
        <v>NA</v>
      </c>
      <c r="T395" s="79">
        <f>SUM(TbPrestamo[[#This Row],[GENERAL]:[ELEVADOR]])</f>
        <v>0</v>
      </c>
      <c r="U395" s="80">
        <f>IF(VLOOKUP(TbPrestamo[[#This Row],[ITEM]],TbPiezas[],5,FALSE)="NA",0,VLOOKUP(TbPrestamo[[#This Row],[ITEM]],TbPiezas[],5,FALSE))</f>
        <v>0</v>
      </c>
      <c r="V395" s="81">
        <f>+TbPrestamo[[#This Row],[TOTAL]]*TbPrestamo[[#This Row],[P.U. (1)]]</f>
        <v>0</v>
      </c>
      <c r="W395" s="82">
        <f>+VLOOKUP(TbPrestamo[[#This Row],[ITEM]],TbPiezas[],6,FALSE)</f>
        <v>0</v>
      </c>
      <c r="X395" s="83">
        <f>+TbPrestamo[[#This Row],[TOTAL]]*TbPrestamo[[#This Row],[P.U. (2)]]</f>
        <v>0</v>
      </c>
      <c r="Y395" s="82">
        <f>+VLOOKUP(TbPrestamo[[#This Row],[ITEM]],TbPiezas[],7,FALSE)</f>
        <v>0</v>
      </c>
      <c r="Z395" s="84">
        <f>+TbPrestamo[[#This Row],[TOTAL]]*TbPrestamo[[#This Row],[P.U. (3)]]</f>
        <v>0</v>
      </c>
    </row>
    <row r="396" spans="1:26" s="4" customFormat="1" x14ac:dyDescent="0.3">
      <c r="A396" s="2"/>
      <c r="B396" s="85">
        <v>374</v>
      </c>
      <c r="C396" s="71" t="s">
        <v>1410</v>
      </c>
      <c r="D396" s="72" t="s">
        <v>1406</v>
      </c>
      <c r="E396" s="73"/>
      <c r="F396" s="74">
        <f>+VLOOKUP(C396,TbPrestamo[],13,FALSE)</f>
        <v>0</v>
      </c>
      <c r="G396" s="2"/>
      <c r="H396" s="75" t="str">
        <f t="shared" si="10"/>
        <v>EV.0220</v>
      </c>
      <c r="I396" s="59" t="str">
        <f t="shared" si="11"/>
        <v>ok</v>
      </c>
      <c r="J396" s="77">
        <f>IFERROR(VLOOKUP($H396,TG[],3,FALSE),"NA")</f>
        <v>0</v>
      </c>
      <c r="K396" s="77" t="str">
        <f>IFERROR(VLOOKUP($H396,TF[],3,FALSE),"NA")</f>
        <v>NA</v>
      </c>
      <c r="L396" s="77" t="str">
        <f>IFERROR(VLOOKUP($H396,TT[],3,FALSE),"NA")</f>
        <v>NA</v>
      </c>
      <c r="M396" s="77" t="str">
        <f>IFERROR(VLOOKUP($H396,TES[],3,FALSE),"NA")</f>
        <v>NA</v>
      </c>
      <c r="N396" s="77" t="str">
        <f>IFERROR(VLOOKUP($H396,TEC[],3,FALSE),"NA")</f>
        <v>NA</v>
      </c>
      <c r="O396" s="77" t="str">
        <f>IFERROR(VLOOKUP($H396,TP[],3,FALSE),"NA")</f>
        <v>NA</v>
      </c>
      <c r="P396" s="77" t="str">
        <f>IFERROR(VLOOKUP($H396,TEN[],3,FALSE),"NA")</f>
        <v>NA</v>
      </c>
      <c r="Q396" s="77" t="str">
        <f>IFERROR(VLOOKUP($H396,TD[],3,FALSE),"NA")</f>
        <v>NA</v>
      </c>
      <c r="R396" s="77" t="str">
        <f>IFERROR(VLOOKUP($H396,TC[],3,FALSE),"NA")</f>
        <v>NA</v>
      </c>
      <c r="S396" s="77" t="str">
        <f>IFERROR(VLOOKUP($H396,TEV[],3,FALSE),"NA")</f>
        <v>NA</v>
      </c>
      <c r="T396" s="79">
        <f>SUM(TbPrestamo[[#This Row],[GENERAL]:[ELEVADOR]])</f>
        <v>0</v>
      </c>
      <c r="U396" s="80">
        <f>IF(VLOOKUP(TbPrestamo[[#This Row],[ITEM]],TbPiezas[],5,FALSE)="NA",0,VLOOKUP(TbPrestamo[[#This Row],[ITEM]],TbPiezas[],5,FALSE))</f>
        <v>0</v>
      </c>
      <c r="V396" s="81">
        <f>+TbPrestamo[[#This Row],[TOTAL]]*TbPrestamo[[#This Row],[P.U. (1)]]</f>
        <v>0</v>
      </c>
      <c r="W396" s="82">
        <f>+VLOOKUP(TbPrestamo[[#This Row],[ITEM]],TbPiezas[],6,FALSE)</f>
        <v>0</v>
      </c>
      <c r="X396" s="83">
        <f>+TbPrestamo[[#This Row],[TOTAL]]*TbPrestamo[[#This Row],[P.U. (2)]]</f>
        <v>0</v>
      </c>
      <c r="Y396" s="82">
        <f>+VLOOKUP(TbPrestamo[[#This Row],[ITEM]],TbPiezas[],7,FALSE)</f>
        <v>0</v>
      </c>
      <c r="Z396" s="84">
        <f>+TbPrestamo[[#This Row],[TOTAL]]*TbPrestamo[[#This Row],[P.U. (3)]]</f>
        <v>0</v>
      </c>
    </row>
    <row r="397" spans="1:26" s="4" customFormat="1" x14ac:dyDescent="0.3">
      <c r="A397" s="2"/>
      <c r="B397" s="85">
        <v>375</v>
      </c>
      <c r="C397" s="71" t="s">
        <v>1411</v>
      </c>
      <c r="D397" s="72" t="s">
        <v>1407</v>
      </c>
      <c r="E397" s="73"/>
      <c r="F397" s="74">
        <f>+VLOOKUP(C397,TbPrestamo[],13,FALSE)</f>
        <v>0</v>
      </c>
      <c r="G397" s="2"/>
      <c r="H397" s="75" t="str">
        <f t="shared" si="10"/>
        <v>EV.0230</v>
      </c>
      <c r="I397" s="59" t="str">
        <f t="shared" si="11"/>
        <v>ok</v>
      </c>
      <c r="J397" s="77">
        <f>IFERROR(VLOOKUP($H397,TG[],3,FALSE),"NA")</f>
        <v>0</v>
      </c>
      <c r="K397" s="77" t="str">
        <f>IFERROR(VLOOKUP($H397,TF[],3,FALSE),"NA")</f>
        <v>NA</v>
      </c>
      <c r="L397" s="77" t="str">
        <f>IFERROR(VLOOKUP($H397,TT[],3,FALSE),"NA")</f>
        <v>NA</v>
      </c>
      <c r="M397" s="77" t="str">
        <f>IFERROR(VLOOKUP($H397,TES[],3,FALSE),"NA")</f>
        <v>NA</v>
      </c>
      <c r="N397" s="77" t="str">
        <f>IFERROR(VLOOKUP($H397,TEC[],3,FALSE),"NA")</f>
        <v>NA</v>
      </c>
      <c r="O397" s="77" t="str">
        <f>IFERROR(VLOOKUP($H397,TP[],3,FALSE),"NA")</f>
        <v>NA</v>
      </c>
      <c r="P397" s="77" t="str">
        <f>IFERROR(VLOOKUP($H397,TEN[],3,FALSE),"NA")</f>
        <v>NA</v>
      </c>
      <c r="Q397" s="77" t="str">
        <f>IFERROR(VLOOKUP($H397,TD[],3,FALSE),"NA")</f>
        <v>NA</v>
      </c>
      <c r="R397" s="77" t="str">
        <f>IFERROR(VLOOKUP($H397,TC[],3,FALSE),"NA")</f>
        <v>NA</v>
      </c>
      <c r="S397" s="77" t="str">
        <f>IFERROR(VLOOKUP($H397,TEV[],3,FALSE),"NA")</f>
        <v>NA</v>
      </c>
      <c r="T397" s="79">
        <f>SUM(TbPrestamo[[#This Row],[GENERAL]:[ELEVADOR]])</f>
        <v>0</v>
      </c>
      <c r="U397" s="80">
        <f>IF(VLOOKUP(TbPrestamo[[#This Row],[ITEM]],TbPiezas[],5,FALSE)="NA",0,VLOOKUP(TbPrestamo[[#This Row],[ITEM]],TbPiezas[],5,FALSE))</f>
        <v>0</v>
      </c>
      <c r="V397" s="81">
        <f>+TbPrestamo[[#This Row],[TOTAL]]*TbPrestamo[[#This Row],[P.U. (1)]]</f>
        <v>0</v>
      </c>
      <c r="W397" s="82">
        <f>+VLOOKUP(TbPrestamo[[#This Row],[ITEM]],TbPiezas[],6,FALSE)</f>
        <v>0</v>
      </c>
      <c r="X397" s="83">
        <f>+TbPrestamo[[#This Row],[TOTAL]]*TbPrestamo[[#This Row],[P.U. (2)]]</f>
        <v>0</v>
      </c>
      <c r="Y397" s="82">
        <f>+VLOOKUP(TbPrestamo[[#This Row],[ITEM]],TbPiezas[],7,FALSE)</f>
        <v>0</v>
      </c>
      <c r="Z397" s="84">
        <f>+TbPrestamo[[#This Row],[TOTAL]]*TbPrestamo[[#This Row],[P.U. (3)]]</f>
        <v>0</v>
      </c>
    </row>
    <row r="398" spans="1:26" s="4" customFormat="1" x14ac:dyDescent="0.3">
      <c r="A398" s="2"/>
      <c r="B398" s="85">
        <v>376</v>
      </c>
      <c r="C398" s="71" t="s">
        <v>1412</v>
      </c>
      <c r="D398" s="72" t="s">
        <v>1408</v>
      </c>
      <c r="E398" s="73"/>
      <c r="F398" s="74">
        <f>+VLOOKUP(C398,TbPrestamo[],13,FALSE)</f>
        <v>0</v>
      </c>
      <c r="G398" s="2"/>
      <c r="H398" s="75" t="str">
        <f t="shared" si="10"/>
        <v>EV.0240</v>
      </c>
      <c r="I398" s="59" t="str">
        <f t="shared" si="11"/>
        <v>ok</v>
      </c>
      <c r="J398" s="77">
        <f>IFERROR(VLOOKUP($H398,TG[],3,FALSE),"NA")</f>
        <v>0</v>
      </c>
      <c r="K398" s="77" t="str">
        <f>IFERROR(VLOOKUP($H398,TF[],3,FALSE),"NA")</f>
        <v>NA</v>
      </c>
      <c r="L398" s="77" t="str">
        <f>IFERROR(VLOOKUP($H398,TT[],3,FALSE),"NA")</f>
        <v>NA</v>
      </c>
      <c r="M398" s="77" t="str">
        <f>IFERROR(VLOOKUP($H398,TES[],3,FALSE),"NA")</f>
        <v>NA</v>
      </c>
      <c r="N398" s="77" t="str">
        <f>IFERROR(VLOOKUP($H398,TEC[],3,FALSE),"NA")</f>
        <v>NA</v>
      </c>
      <c r="O398" s="77" t="str">
        <f>IFERROR(VLOOKUP($H398,TP[],3,FALSE),"NA")</f>
        <v>NA</v>
      </c>
      <c r="P398" s="77" t="str">
        <f>IFERROR(VLOOKUP($H398,TEN[],3,FALSE),"NA")</f>
        <v>NA</v>
      </c>
      <c r="Q398" s="77" t="str">
        <f>IFERROR(VLOOKUP($H398,TD[],3,FALSE),"NA")</f>
        <v>NA</v>
      </c>
      <c r="R398" s="77" t="str">
        <f>IFERROR(VLOOKUP($H398,TC[],3,FALSE),"NA")</f>
        <v>NA</v>
      </c>
      <c r="S398" s="77" t="str">
        <f>IFERROR(VLOOKUP($H398,TEV[],3,FALSE),"NA")</f>
        <v>NA</v>
      </c>
      <c r="T398" s="79">
        <f>SUM(TbPrestamo[[#This Row],[GENERAL]:[ELEVADOR]])</f>
        <v>0</v>
      </c>
      <c r="U398" s="80">
        <f>IF(VLOOKUP(TbPrestamo[[#This Row],[ITEM]],TbPiezas[],5,FALSE)="NA",0,VLOOKUP(TbPrestamo[[#This Row],[ITEM]],TbPiezas[],5,FALSE))</f>
        <v>0</v>
      </c>
      <c r="V398" s="81">
        <f>+TbPrestamo[[#This Row],[TOTAL]]*TbPrestamo[[#This Row],[P.U. (1)]]</f>
        <v>0</v>
      </c>
      <c r="W398" s="82">
        <f>+VLOOKUP(TbPrestamo[[#This Row],[ITEM]],TbPiezas[],6,FALSE)</f>
        <v>0</v>
      </c>
      <c r="X398" s="83">
        <f>+TbPrestamo[[#This Row],[TOTAL]]*TbPrestamo[[#This Row],[P.U. (2)]]</f>
        <v>0</v>
      </c>
      <c r="Y398" s="82">
        <f>+VLOOKUP(TbPrestamo[[#This Row],[ITEM]],TbPiezas[],7,FALSE)</f>
        <v>0</v>
      </c>
      <c r="Z398" s="84">
        <f>+TbPrestamo[[#This Row],[TOTAL]]*TbPrestamo[[#This Row],[P.U. (3)]]</f>
        <v>0</v>
      </c>
    </row>
    <row r="399" spans="1:26" s="4" customFormat="1" x14ac:dyDescent="0.3">
      <c r="A399" s="2"/>
      <c r="B399" s="85">
        <v>377</v>
      </c>
      <c r="C399" s="71" t="s">
        <v>748</v>
      </c>
      <c r="D399" s="72" t="s">
        <v>1414</v>
      </c>
      <c r="E399" s="73"/>
      <c r="F399" s="74">
        <f>+VLOOKUP(C399,TbPrestamo[],13,FALSE)</f>
        <v>1</v>
      </c>
      <c r="G399" s="2"/>
      <c r="H399" s="75" t="str">
        <f t="shared" si="10"/>
        <v>EV.0300</v>
      </c>
      <c r="I399" s="59" t="str">
        <f t="shared" si="11"/>
        <v>ok</v>
      </c>
      <c r="J399" s="77">
        <f>IFERROR(VLOOKUP($H399,TG[],3,FALSE),"NA")</f>
        <v>0</v>
      </c>
      <c r="K399" s="77" t="str">
        <f>IFERROR(VLOOKUP($H399,TF[],3,FALSE),"NA")</f>
        <v>NA</v>
      </c>
      <c r="L399" s="77" t="str">
        <f>IFERROR(VLOOKUP($H399,TT[],3,FALSE),"NA")</f>
        <v>NA</v>
      </c>
      <c r="M399" s="77" t="str">
        <f>IFERROR(VLOOKUP($H399,TES[],3,FALSE),"NA")</f>
        <v>NA</v>
      </c>
      <c r="N399" s="77" t="str">
        <f>IFERROR(VLOOKUP($H399,TEC[],3,FALSE),"NA")</f>
        <v>NA</v>
      </c>
      <c r="O399" s="77" t="str">
        <f>IFERROR(VLOOKUP($H399,TP[],3,FALSE),"NA")</f>
        <v>NA</v>
      </c>
      <c r="P399" s="77" t="str">
        <f>IFERROR(VLOOKUP($H399,TEN[],3,FALSE),"NA")</f>
        <v>NA</v>
      </c>
      <c r="Q399" s="77" t="str">
        <f>IFERROR(VLOOKUP($H399,TD[],3,FALSE),"NA")</f>
        <v>NA</v>
      </c>
      <c r="R399" s="77" t="str">
        <f>IFERROR(VLOOKUP($H399,TC[],3,FALSE),"NA")</f>
        <v>NA</v>
      </c>
      <c r="S399" s="77">
        <f>IFERROR(VLOOKUP($H399,TEV[],3,FALSE),"NA")</f>
        <v>1</v>
      </c>
      <c r="T399" s="79">
        <f>SUM(TbPrestamo[[#This Row],[GENERAL]:[ELEVADOR]])</f>
        <v>1</v>
      </c>
      <c r="U399" s="80">
        <f>IF(VLOOKUP(TbPrestamo[[#This Row],[ITEM]],TbPiezas[],5,FALSE)="NA",0,VLOOKUP(TbPrestamo[[#This Row],[ITEM]],TbPiezas[],5,FALSE))</f>
        <v>0</v>
      </c>
      <c r="V399" s="81">
        <f>+TbPrestamo[[#This Row],[TOTAL]]*TbPrestamo[[#This Row],[P.U. (1)]]</f>
        <v>0</v>
      </c>
      <c r="W399" s="82">
        <f>+VLOOKUP(TbPrestamo[[#This Row],[ITEM]],TbPiezas[],6,FALSE)</f>
        <v>9528.75</v>
      </c>
      <c r="X399" s="83">
        <f>+TbPrestamo[[#This Row],[TOTAL]]*TbPrestamo[[#This Row],[P.U. (2)]]</f>
        <v>9528.75</v>
      </c>
      <c r="Y399" s="82">
        <f>+VLOOKUP(TbPrestamo[[#This Row],[ITEM]],TbPiezas[],7,FALSE)</f>
        <v>476.4375</v>
      </c>
      <c r="Z399" s="84">
        <f>+TbPrestamo[[#This Row],[TOTAL]]*TbPrestamo[[#This Row],[P.U. (3)]]</f>
        <v>476.4375</v>
      </c>
    </row>
    <row r="400" spans="1:26" s="4" customFormat="1" x14ac:dyDescent="0.3">
      <c r="A400" s="2"/>
      <c r="B400" s="85">
        <v>378</v>
      </c>
      <c r="C400" s="71" t="s">
        <v>1415</v>
      </c>
      <c r="D400" s="72" t="s">
        <v>1413</v>
      </c>
      <c r="E400" s="73"/>
      <c r="F400" s="74">
        <f>+VLOOKUP(C400,TbPrestamo[],13,FALSE)</f>
        <v>0</v>
      </c>
      <c r="G400" s="2"/>
      <c r="H400" s="75" t="str">
        <f t="shared" si="10"/>
        <v>EV.0310</v>
      </c>
      <c r="I400" s="59" t="str">
        <f t="shared" si="11"/>
        <v>ok</v>
      </c>
      <c r="J400" s="77">
        <f>IFERROR(VLOOKUP($H400,TG[],3,FALSE),"NA")</f>
        <v>0</v>
      </c>
      <c r="K400" s="77" t="str">
        <f>IFERROR(VLOOKUP($H400,TF[],3,FALSE),"NA")</f>
        <v>NA</v>
      </c>
      <c r="L400" s="77" t="str">
        <f>IFERROR(VLOOKUP($H400,TT[],3,FALSE),"NA")</f>
        <v>NA</v>
      </c>
      <c r="M400" s="77" t="str">
        <f>IFERROR(VLOOKUP($H400,TES[],3,FALSE),"NA")</f>
        <v>NA</v>
      </c>
      <c r="N400" s="77" t="str">
        <f>IFERROR(VLOOKUP($H400,TEC[],3,FALSE),"NA")</f>
        <v>NA</v>
      </c>
      <c r="O400" s="77" t="str">
        <f>IFERROR(VLOOKUP($H400,TP[],3,FALSE),"NA")</f>
        <v>NA</v>
      </c>
      <c r="P400" s="77" t="str">
        <f>IFERROR(VLOOKUP($H400,TEN[],3,FALSE),"NA")</f>
        <v>NA</v>
      </c>
      <c r="Q400" s="77" t="str">
        <f>IFERROR(VLOOKUP($H400,TD[],3,FALSE),"NA")</f>
        <v>NA</v>
      </c>
      <c r="R400" s="77" t="str">
        <f>IFERROR(VLOOKUP($H400,TC[],3,FALSE),"NA")</f>
        <v>NA</v>
      </c>
      <c r="S400" s="77" t="str">
        <f>IFERROR(VLOOKUP($H400,TEV[],3,FALSE),"NA")</f>
        <v>NA</v>
      </c>
      <c r="T400" s="79">
        <f>SUM(TbPrestamo[[#This Row],[GENERAL]:[ELEVADOR]])</f>
        <v>0</v>
      </c>
      <c r="U400" s="80">
        <f>IF(VLOOKUP(TbPrestamo[[#This Row],[ITEM]],TbPiezas[],5,FALSE)="NA",0,VLOOKUP(TbPrestamo[[#This Row],[ITEM]],TbPiezas[],5,FALSE))</f>
        <v>0</v>
      </c>
      <c r="V400" s="81">
        <f>+TbPrestamo[[#This Row],[TOTAL]]*TbPrestamo[[#This Row],[P.U. (1)]]</f>
        <v>0</v>
      </c>
      <c r="W400" s="82">
        <f>+VLOOKUP(TbPrestamo[[#This Row],[ITEM]],TbPiezas[],6,FALSE)</f>
        <v>0</v>
      </c>
      <c r="X400" s="83">
        <f>+TbPrestamo[[#This Row],[TOTAL]]*TbPrestamo[[#This Row],[P.U. (2)]]</f>
        <v>0</v>
      </c>
      <c r="Y400" s="82">
        <f>+VLOOKUP(TbPrestamo[[#This Row],[ITEM]],TbPiezas[],7,FALSE)</f>
        <v>0</v>
      </c>
      <c r="Z400" s="84">
        <f>+TbPrestamo[[#This Row],[TOTAL]]*TbPrestamo[[#This Row],[P.U. (3)]]</f>
        <v>0</v>
      </c>
    </row>
    <row r="401" spans="1:26" s="4" customFormat="1" x14ac:dyDescent="0.3">
      <c r="A401" s="2"/>
      <c r="B401" s="85">
        <v>379</v>
      </c>
      <c r="C401" s="71" t="s">
        <v>749</v>
      </c>
      <c r="D401" s="72" t="s">
        <v>750</v>
      </c>
      <c r="E401" s="73"/>
      <c r="F401" s="74">
        <f>+VLOOKUP(C401,TbPrestamo[],13,FALSE)</f>
        <v>1</v>
      </c>
      <c r="G401" s="2"/>
      <c r="H401" s="75" t="str">
        <f t="shared" si="10"/>
        <v>EV.0400</v>
      </c>
      <c r="I401" s="59" t="str">
        <f t="shared" si="11"/>
        <v>ok</v>
      </c>
      <c r="J401" s="77">
        <f>IFERROR(VLOOKUP($H401,TG[],3,FALSE),"NA")</f>
        <v>0</v>
      </c>
      <c r="K401" s="77" t="str">
        <f>IFERROR(VLOOKUP($H401,TF[],3,FALSE),"NA")</f>
        <v>NA</v>
      </c>
      <c r="L401" s="77" t="str">
        <f>IFERROR(VLOOKUP($H401,TT[],3,FALSE),"NA")</f>
        <v>NA</v>
      </c>
      <c r="M401" s="77" t="str">
        <f>IFERROR(VLOOKUP($H401,TES[],3,FALSE),"NA")</f>
        <v>NA</v>
      </c>
      <c r="N401" s="77" t="str">
        <f>IFERROR(VLOOKUP($H401,TEC[],3,FALSE),"NA")</f>
        <v>NA</v>
      </c>
      <c r="O401" s="77" t="str">
        <f>IFERROR(VLOOKUP($H401,TP[],3,FALSE),"NA")</f>
        <v>NA</v>
      </c>
      <c r="P401" s="77" t="str">
        <f>IFERROR(VLOOKUP($H401,TEN[],3,FALSE),"NA")</f>
        <v>NA</v>
      </c>
      <c r="Q401" s="77" t="str">
        <f>IFERROR(VLOOKUP($H401,TD[],3,FALSE),"NA")</f>
        <v>NA</v>
      </c>
      <c r="R401" s="77" t="str">
        <f>IFERROR(VLOOKUP($H401,TC[],3,FALSE),"NA")</f>
        <v>NA</v>
      </c>
      <c r="S401" s="77">
        <f>IFERROR(VLOOKUP($H401,TEV[],3,FALSE),"NA")</f>
        <v>1</v>
      </c>
      <c r="T401" s="79">
        <f>SUM(TbPrestamo[[#This Row],[GENERAL]:[ELEVADOR]])</f>
        <v>1</v>
      </c>
      <c r="U401" s="80">
        <f>IF(VLOOKUP(TbPrestamo[[#This Row],[ITEM]],TbPiezas[],5,FALSE)="NA",0,VLOOKUP(TbPrestamo[[#This Row],[ITEM]],TbPiezas[],5,FALSE))</f>
        <v>0</v>
      </c>
      <c r="V401" s="81">
        <f>+TbPrestamo[[#This Row],[TOTAL]]*TbPrestamo[[#This Row],[P.U. (1)]]</f>
        <v>0</v>
      </c>
      <c r="W401" s="82">
        <f>+VLOOKUP(TbPrestamo[[#This Row],[ITEM]],TbPiezas[],6,FALSE)</f>
        <v>444.68</v>
      </c>
      <c r="X401" s="83">
        <f>+TbPrestamo[[#This Row],[TOTAL]]*TbPrestamo[[#This Row],[P.U. (2)]]</f>
        <v>444.68</v>
      </c>
      <c r="Y401" s="82">
        <f>+VLOOKUP(TbPrestamo[[#This Row],[ITEM]],TbPiezas[],7,FALSE)</f>
        <v>22.234000000000002</v>
      </c>
      <c r="Z401" s="84">
        <f>+TbPrestamo[[#This Row],[TOTAL]]*TbPrestamo[[#This Row],[P.U. (3)]]</f>
        <v>22.234000000000002</v>
      </c>
    </row>
    <row r="402" spans="1:26" s="4" customFormat="1" x14ac:dyDescent="0.3">
      <c r="A402" s="2"/>
      <c r="B402" s="85">
        <v>380</v>
      </c>
      <c r="C402" s="71" t="s">
        <v>751</v>
      </c>
      <c r="D402" s="72" t="s">
        <v>752</v>
      </c>
      <c r="E402" s="73"/>
      <c r="F402" s="74">
        <f>+VLOOKUP(C402,TbPrestamo[],13,FALSE)</f>
        <v>1</v>
      </c>
      <c r="G402" s="2"/>
      <c r="H402" s="75" t="str">
        <f t="shared" ref="H402:H465" si="12">+C402</f>
        <v>EV.0500</v>
      </c>
      <c r="I402" s="59" t="str">
        <f t="shared" ref="I402:I465" si="13">+IF(C402=H402,"ok","mal")</f>
        <v>ok</v>
      </c>
      <c r="J402" s="77">
        <f>IFERROR(VLOOKUP($H402,TG[],3,FALSE),"NA")</f>
        <v>0</v>
      </c>
      <c r="K402" s="77" t="str">
        <f>IFERROR(VLOOKUP($H402,TF[],3,FALSE),"NA")</f>
        <v>NA</v>
      </c>
      <c r="L402" s="77" t="str">
        <f>IFERROR(VLOOKUP($H402,TT[],3,FALSE),"NA")</f>
        <v>NA</v>
      </c>
      <c r="M402" s="77" t="str">
        <f>IFERROR(VLOOKUP($H402,TES[],3,FALSE),"NA")</f>
        <v>NA</v>
      </c>
      <c r="N402" s="77" t="str">
        <f>IFERROR(VLOOKUP($H402,TEC[],3,FALSE),"NA")</f>
        <v>NA</v>
      </c>
      <c r="O402" s="77" t="str">
        <f>IFERROR(VLOOKUP($H402,TP[],3,FALSE),"NA")</f>
        <v>NA</v>
      </c>
      <c r="P402" s="77" t="str">
        <f>IFERROR(VLOOKUP($H402,TEN[],3,FALSE),"NA")</f>
        <v>NA</v>
      </c>
      <c r="Q402" s="77" t="str">
        <f>IFERROR(VLOOKUP($H402,TD[],3,FALSE),"NA")</f>
        <v>NA</v>
      </c>
      <c r="R402" s="77" t="str">
        <f>IFERROR(VLOOKUP($H402,TC[],3,FALSE),"NA")</f>
        <v>NA</v>
      </c>
      <c r="S402" s="77">
        <f>IFERROR(VLOOKUP($H402,TEV[],3,FALSE),"NA")</f>
        <v>1</v>
      </c>
      <c r="T402" s="79">
        <f>SUM(TbPrestamo[[#This Row],[GENERAL]:[ELEVADOR]])</f>
        <v>1</v>
      </c>
      <c r="U402" s="80">
        <f>IF(VLOOKUP(TbPrestamo[[#This Row],[ITEM]],TbPiezas[],5,FALSE)="NA",0,VLOOKUP(TbPrestamo[[#This Row],[ITEM]],TbPiezas[],5,FALSE))</f>
        <v>0</v>
      </c>
      <c r="V402" s="81">
        <f>+TbPrestamo[[#This Row],[TOTAL]]*TbPrestamo[[#This Row],[P.U. (1)]]</f>
        <v>0</v>
      </c>
      <c r="W402" s="82">
        <f>+VLOOKUP(TbPrestamo[[#This Row],[ITEM]],TbPiezas[],6,FALSE)</f>
        <v>4446.75</v>
      </c>
      <c r="X402" s="83">
        <f>+TbPrestamo[[#This Row],[TOTAL]]*TbPrestamo[[#This Row],[P.U. (2)]]</f>
        <v>4446.75</v>
      </c>
      <c r="Y402" s="82">
        <f>+VLOOKUP(TbPrestamo[[#This Row],[ITEM]],TbPiezas[],7,FALSE)</f>
        <v>222.33750000000001</v>
      </c>
      <c r="Z402" s="84">
        <f>+TbPrestamo[[#This Row],[TOTAL]]*TbPrestamo[[#This Row],[P.U. (3)]]</f>
        <v>222.33750000000001</v>
      </c>
    </row>
    <row r="403" spans="1:26" s="4" customFormat="1" x14ac:dyDescent="0.3">
      <c r="A403" s="2"/>
      <c r="B403" s="85">
        <v>381</v>
      </c>
      <c r="C403" s="71" t="s">
        <v>753</v>
      </c>
      <c r="D403" s="72" t="s">
        <v>754</v>
      </c>
      <c r="E403" s="73"/>
      <c r="F403" s="74">
        <f>+VLOOKUP(C403,TbPrestamo[],13,FALSE)</f>
        <v>1</v>
      </c>
      <c r="G403" s="2"/>
      <c r="H403" s="75" t="str">
        <f t="shared" si="12"/>
        <v>EV.0600</v>
      </c>
      <c r="I403" s="59" t="str">
        <f t="shared" si="13"/>
        <v>ok</v>
      </c>
      <c r="J403" s="77">
        <f>IFERROR(VLOOKUP($H403,TG[],3,FALSE),"NA")</f>
        <v>0</v>
      </c>
      <c r="K403" s="77" t="str">
        <f>IFERROR(VLOOKUP($H403,TF[],3,FALSE),"NA")</f>
        <v>NA</v>
      </c>
      <c r="L403" s="77" t="str">
        <f>IFERROR(VLOOKUP($H403,TT[],3,FALSE),"NA")</f>
        <v>NA</v>
      </c>
      <c r="M403" s="77" t="str">
        <f>IFERROR(VLOOKUP($H403,TES[],3,FALSE),"NA")</f>
        <v>NA</v>
      </c>
      <c r="N403" s="77" t="str">
        <f>IFERROR(VLOOKUP($H403,TEC[],3,FALSE),"NA")</f>
        <v>NA</v>
      </c>
      <c r="O403" s="77" t="str">
        <f>IFERROR(VLOOKUP($H403,TP[],3,FALSE),"NA")</f>
        <v>NA</v>
      </c>
      <c r="P403" s="77" t="str">
        <f>IFERROR(VLOOKUP($H403,TEN[],3,FALSE),"NA")</f>
        <v>NA</v>
      </c>
      <c r="Q403" s="77" t="str">
        <f>IFERROR(VLOOKUP($H403,TD[],3,FALSE),"NA")</f>
        <v>NA</v>
      </c>
      <c r="R403" s="77" t="str">
        <f>IFERROR(VLOOKUP($H403,TC[],3,FALSE),"NA")</f>
        <v>NA</v>
      </c>
      <c r="S403" s="77">
        <f>IFERROR(VLOOKUP($H403,TEV[],3,FALSE),"NA")</f>
        <v>1</v>
      </c>
      <c r="T403" s="79">
        <f>SUM(TbPrestamo[[#This Row],[GENERAL]:[ELEVADOR]])</f>
        <v>1</v>
      </c>
      <c r="U403" s="80">
        <f>IF(VLOOKUP(TbPrestamo[[#This Row],[ITEM]],TbPiezas[],5,FALSE)="NA",0,VLOOKUP(TbPrestamo[[#This Row],[ITEM]],TbPiezas[],5,FALSE))</f>
        <v>0</v>
      </c>
      <c r="V403" s="81">
        <f>+TbPrestamo[[#This Row],[TOTAL]]*TbPrestamo[[#This Row],[P.U. (1)]]</f>
        <v>0</v>
      </c>
      <c r="W403" s="82">
        <f>+VLOOKUP(TbPrestamo[[#This Row],[ITEM]],TbPiezas[],6,FALSE)</f>
        <v>152.46</v>
      </c>
      <c r="X403" s="83">
        <f>+TbPrestamo[[#This Row],[TOTAL]]*TbPrestamo[[#This Row],[P.U. (2)]]</f>
        <v>152.46</v>
      </c>
      <c r="Y403" s="82">
        <f>+VLOOKUP(TbPrestamo[[#This Row],[ITEM]],TbPiezas[],7,FALSE)</f>
        <v>7.6230000000000011</v>
      </c>
      <c r="Z403" s="84">
        <f>+TbPrestamo[[#This Row],[TOTAL]]*TbPrestamo[[#This Row],[P.U. (3)]]</f>
        <v>7.6230000000000011</v>
      </c>
    </row>
    <row r="404" spans="1:26" s="4" customFormat="1" x14ac:dyDescent="0.3">
      <c r="A404" s="2"/>
      <c r="B404" s="85">
        <v>382</v>
      </c>
      <c r="C404" s="71" t="s">
        <v>755</v>
      </c>
      <c r="D404" s="72" t="s">
        <v>756</v>
      </c>
      <c r="E404" s="73"/>
      <c r="F404" s="74">
        <f>+VLOOKUP(C404,TbPrestamo[],13,FALSE)</f>
        <v>1</v>
      </c>
      <c r="G404" s="2"/>
      <c r="H404" s="75" t="str">
        <f t="shared" si="12"/>
        <v>EV.0700</v>
      </c>
      <c r="I404" s="59" t="str">
        <f t="shared" si="13"/>
        <v>ok</v>
      </c>
      <c r="J404" s="77">
        <f>IFERROR(VLOOKUP($H404,TG[],3,FALSE),"NA")</f>
        <v>0</v>
      </c>
      <c r="K404" s="77" t="str">
        <f>IFERROR(VLOOKUP($H404,TF[],3,FALSE),"NA")</f>
        <v>NA</v>
      </c>
      <c r="L404" s="77" t="str">
        <f>IFERROR(VLOOKUP($H404,TT[],3,FALSE),"NA")</f>
        <v>NA</v>
      </c>
      <c r="M404" s="77" t="str">
        <f>IFERROR(VLOOKUP($H404,TES[],3,FALSE),"NA")</f>
        <v>NA</v>
      </c>
      <c r="N404" s="77" t="str">
        <f>IFERROR(VLOOKUP($H404,TEC[],3,FALSE),"NA")</f>
        <v>NA</v>
      </c>
      <c r="O404" s="77" t="str">
        <f>IFERROR(VLOOKUP($H404,TP[],3,FALSE),"NA")</f>
        <v>NA</v>
      </c>
      <c r="P404" s="77" t="str">
        <f>IFERROR(VLOOKUP($H404,TEN[],3,FALSE),"NA")</f>
        <v>NA</v>
      </c>
      <c r="Q404" s="77" t="str">
        <f>IFERROR(VLOOKUP($H404,TD[],3,FALSE),"NA")</f>
        <v>NA</v>
      </c>
      <c r="R404" s="77" t="str">
        <f>IFERROR(VLOOKUP($H404,TC[],3,FALSE),"NA")</f>
        <v>NA</v>
      </c>
      <c r="S404" s="77">
        <f>IFERROR(VLOOKUP($H404,TEV[],3,FALSE),"NA")</f>
        <v>1</v>
      </c>
      <c r="T404" s="79">
        <f>SUM(TbPrestamo[[#This Row],[GENERAL]:[ELEVADOR]])</f>
        <v>1</v>
      </c>
      <c r="U404" s="80">
        <f>IF(VLOOKUP(TbPrestamo[[#This Row],[ITEM]],TbPiezas[],5,FALSE)="NA",0,VLOOKUP(TbPrestamo[[#This Row],[ITEM]],TbPiezas[],5,FALSE))</f>
        <v>0</v>
      </c>
      <c r="V404" s="81">
        <f>+TbPrestamo[[#This Row],[TOTAL]]*TbPrestamo[[#This Row],[P.U. (1)]]</f>
        <v>0</v>
      </c>
      <c r="W404" s="82">
        <f>+VLOOKUP(TbPrestamo[[#This Row],[ITEM]],TbPiezas[],6,FALSE)</f>
        <v>317.63</v>
      </c>
      <c r="X404" s="83">
        <f>+TbPrestamo[[#This Row],[TOTAL]]*TbPrestamo[[#This Row],[P.U. (2)]]</f>
        <v>317.63</v>
      </c>
      <c r="Y404" s="82">
        <f>+VLOOKUP(TbPrestamo[[#This Row],[ITEM]],TbPiezas[],7,FALSE)</f>
        <v>15.881500000000001</v>
      </c>
      <c r="Z404" s="84">
        <f>+TbPrestamo[[#This Row],[TOTAL]]*TbPrestamo[[#This Row],[P.U. (3)]]</f>
        <v>15.881500000000001</v>
      </c>
    </row>
    <row r="405" spans="1:26" s="4" customFormat="1" x14ac:dyDescent="0.3">
      <c r="A405" s="2"/>
      <c r="B405" s="85">
        <v>383</v>
      </c>
      <c r="C405" s="71" t="s">
        <v>757</v>
      </c>
      <c r="D405" s="72" t="s">
        <v>758</v>
      </c>
      <c r="E405" s="73"/>
      <c r="F405" s="74">
        <f>+VLOOKUP(C405,TbPrestamo[],13,FALSE)</f>
        <v>1</v>
      </c>
      <c r="G405" s="2"/>
      <c r="H405" s="75" t="str">
        <f t="shared" si="12"/>
        <v>EV.0800</v>
      </c>
      <c r="I405" s="59" t="str">
        <f t="shared" si="13"/>
        <v>ok</v>
      </c>
      <c r="J405" s="77">
        <f>IFERROR(VLOOKUP($H405,TG[],3,FALSE),"NA")</f>
        <v>0</v>
      </c>
      <c r="K405" s="77" t="str">
        <f>IFERROR(VLOOKUP($H405,TF[],3,FALSE),"NA")</f>
        <v>NA</v>
      </c>
      <c r="L405" s="77" t="str">
        <f>IFERROR(VLOOKUP($H405,TT[],3,FALSE),"NA")</f>
        <v>NA</v>
      </c>
      <c r="M405" s="77" t="str">
        <f>IFERROR(VLOOKUP($H405,TES[],3,FALSE),"NA")</f>
        <v>NA</v>
      </c>
      <c r="N405" s="77" t="str">
        <f>IFERROR(VLOOKUP($H405,TEC[],3,FALSE),"NA")</f>
        <v>NA</v>
      </c>
      <c r="O405" s="77" t="str">
        <f>IFERROR(VLOOKUP($H405,TP[],3,FALSE),"NA")</f>
        <v>NA</v>
      </c>
      <c r="P405" s="77" t="str">
        <f>IFERROR(VLOOKUP($H405,TEN[],3,FALSE),"NA")</f>
        <v>NA</v>
      </c>
      <c r="Q405" s="77" t="str">
        <f>IFERROR(VLOOKUP($H405,TD[],3,FALSE),"NA")</f>
        <v>NA</v>
      </c>
      <c r="R405" s="77" t="str">
        <f>IFERROR(VLOOKUP($H405,TC[],3,FALSE),"NA")</f>
        <v>NA</v>
      </c>
      <c r="S405" s="77">
        <f>IFERROR(VLOOKUP($H405,TEV[],3,FALSE),"NA")</f>
        <v>1</v>
      </c>
      <c r="T405" s="79">
        <f>SUM(TbPrestamo[[#This Row],[GENERAL]:[ELEVADOR]])</f>
        <v>1</v>
      </c>
      <c r="U405" s="80">
        <f>IF(VLOOKUP(TbPrestamo[[#This Row],[ITEM]],TbPiezas[],5,FALSE)="NA",0,VLOOKUP(TbPrestamo[[#This Row],[ITEM]],TbPiezas[],5,FALSE))</f>
        <v>0</v>
      </c>
      <c r="V405" s="81">
        <f>+TbPrestamo[[#This Row],[TOTAL]]*TbPrestamo[[#This Row],[P.U. (1)]]</f>
        <v>0</v>
      </c>
      <c r="W405" s="82">
        <f>+VLOOKUP(TbPrestamo[[#This Row],[ITEM]],TbPiezas[],6,FALSE)</f>
        <v>444.68</v>
      </c>
      <c r="X405" s="83">
        <f>+TbPrestamo[[#This Row],[TOTAL]]*TbPrestamo[[#This Row],[P.U. (2)]]</f>
        <v>444.68</v>
      </c>
      <c r="Y405" s="82">
        <f>+VLOOKUP(TbPrestamo[[#This Row],[ITEM]],TbPiezas[],7,FALSE)</f>
        <v>22.234000000000002</v>
      </c>
      <c r="Z405" s="84">
        <f>+TbPrestamo[[#This Row],[TOTAL]]*TbPrestamo[[#This Row],[P.U. (3)]]</f>
        <v>22.234000000000002</v>
      </c>
    </row>
    <row r="406" spans="1:26" s="4" customFormat="1" x14ac:dyDescent="0.3">
      <c r="A406" s="2"/>
      <c r="B406" s="85">
        <v>384</v>
      </c>
      <c r="C406" s="71" t="s">
        <v>759</v>
      </c>
      <c r="D406" s="72" t="s">
        <v>760</v>
      </c>
      <c r="E406" s="73"/>
      <c r="F406" s="74">
        <f>+VLOOKUP(C406,TbPrestamo[],13,FALSE)</f>
        <v>1</v>
      </c>
      <c r="G406" s="2"/>
      <c r="H406" s="75" t="str">
        <f t="shared" si="12"/>
        <v>EV.0900</v>
      </c>
      <c r="I406" s="59" t="str">
        <f t="shared" si="13"/>
        <v>ok</v>
      </c>
      <c r="J406" s="77">
        <f>IFERROR(VLOOKUP($H406,TG[],3,FALSE),"NA")</f>
        <v>0</v>
      </c>
      <c r="K406" s="77" t="str">
        <f>IFERROR(VLOOKUP($H406,TF[],3,FALSE),"NA")</f>
        <v>NA</v>
      </c>
      <c r="L406" s="77" t="str">
        <f>IFERROR(VLOOKUP($H406,TT[],3,FALSE),"NA")</f>
        <v>NA</v>
      </c>
      <c r="M406" s="77" t="str">
        <f>IFERROR(VLOOKUP($H406,TES[],3,FALSE),"NA")</f>
        <v>NA</v>
      </c>
      <c r="N406" s="77" t="str">
        <f>IFERROR(VLOOKUP($H406,TEC[],3,FALSE),"NA")</f>
        <v>NA</v>
      </c>
      <c r="O406" s="77" t="str">
        <f>IFERROR(VLOOKUP($H406,TP[],3,FALSE),"NA")</f>
        <v>NA</v>
      </c>
      <c r="P406" s="77" t="str">
        <f>IFERROR(VLOOKUP($H406,TEN[],3,FALSE),"NA")</f>
        <v>NA</v>
      </c>
      <c r="Q406" s="77" t="str">
        <f>IFERROR(VLOOKUP($H406,TD[],3,FALSE),"NA")</f>
        <v>NA</v>
      </c>
      <c r="R406" s="77" t="str">
        <f>IFERROR(VLOOKUP($H406,TC[],3,FALSE),"NA")</f>
        <v>NA</v>
      </c>
      <c r="S406" s="77">
        <f>IFERROR(VLOOKUP($H406,TEV[],3,FALSE),"NA")</f>
        <v>1</v>
      </c>
      <c r="T406" s="79">
        <f>SUM(TbPrestamo[[#This Row],[GENERAL]:[ELEVADOR]])</f>
        <v>1</v>
      </c>
      <c r="U406" s="80">
        <f>IF(VLOOKUP(TbPrestamo[[#This Row],[ITEM]],TbPiezas[],5,FALSE)="NA",0,VLOOKUP(TbPrestamo[[#This Row],[ITEM]],TbPiezas[],5,FALSE))</f>
        <v>0</v>
      </c>
      <c r="V406" s="81">
        <f>+TbPrestamo[[#This Row],[TOTAL]]*TbPrestamo[[#This Row],[P.U. (1)]]</f>
        <v>0</v>
      </c>
      <c r="W406" s="82">
        <f>+VLOOKUP(TbPrestamo[[#This Row],[ITEM]],TbPiezas[],6,FALSE)</f>
        <v>444.68</v>
      </c>
      <c r="X406" s="83">
        <f>+TbPrestamo[[#This Row],[TOTAL]]*TbPrestamo[[#This Row],[P.U. (2)]]</f>
        <v>444.68</v>
      </c>
      <c r="Y406" s="82">
        <f>+VLOOKUP(TbPrestamo[[#This Row],[ITEM]],TbPiezas[],7,FALSE)</f>
        <v>22.234000000000002</v>
      </c>
      <c r="Z406" s="84">
        <f>+TbPrestamo[[#This Row],[TOTAL]]*TbPrestamo[[#This Row],[P.U. (3)]]</f>
        <v>22.234000000000002</v>
      </c>
    </row>
    <row r="407" spans="1:26" s="4" customFormat="1" x14ac:dyDescent="0.3">
      <c r="A407" s="2"/>
      <c r="B407" s="85">
        <v>385</v>
      </c>
      <c r="C407" s="71" t="s">
        <v>761</v>
      </c>
      <c r="D407" s="72" t="s">
        <v>762</v>
      </c>
      <c r="E407" s="73"/>
      <c r="F407" s="74">
        <f>+VLOOKUP(C407,TbPrestamo[],13,FALSE)</f>
        <v>14</v>
      </c>
      <c r="G407" s="2"/>
      <c r="H407" s="75" t="str">
        <f t="shared" si="12"/>
        <v>EV.1000</v>
      </c>
      <c r="I407" s="59" t="str">
        <f t="shared" si="13"/>
        <v>ok</v>
      </c>
      <c r="J407" s="77">
        <f>IFERROR(VLOOKUP($H407,TG[],3,FALSE),"NA")</f>
        <v>0</v>
      </c>
      <c r="K407" s="77" t="str">
        <f>IFERROR(VLOOKUP($H407,TF[],3,FALSE),"NA")</f>
        <v>NA</v>
      </c>
      <c r="L407" s="77" t="str">
        <f>IFERROR(VLOOKUP($H407,TT[],3,FALSE),"NA")</f>
        <v>NA</v>
      </c>
      <c r="M407" s="77" t="str">
        <f>IFERROR(VLOOKUP($H407,TES[],3,FALSE),"NA")</f>
        <v>NA</v>
      </c>
      <c r="N407" s="77" t="str">
        <f>IFERROR(VLOOKUP($H407,TEC[],3,FALSE),"NA")</f>
        <v>NA</v>
      </c>
      <c r="O407" s="77" t="str">
        <f>IFERROR(VLOOKUP($H407,TP[],3,FALSE),"NA")</f>
        <v>NA</v>
      </c>
      <c r="P407" s="77" t="str">
        <f>IFERROR(VLOOKUP($H407,TEN[],3,FALSE),"NA")</f>
        <v>NA</v>
      </c>
      <c r="Q407" s="77" t="str">
        <f>IFERROR(VLOOKUP($H407,TD[],3,FALSE),"NA")</f>
        <v>NA</v>
      </c>
      <c r="R407" s="77" t="str">
        <f>IFERROR(VLOOKUP($H407,TC[],3,FALSE),"NA")</f>
        <v>NA</v>
      </c>
      <c r="S407" s="77">
        <f>IFERROR(VLOOKUP($H407,TEV[],3,FALSE),"NA")</f>
        <v>14</v>
      </c>
      <c r="T407" s="79">
        <f>SUM(TbPrestamo[[#This Row],[GENERAL]:[ELEVADOR]])</f>
        <v>14</v>
      </c>
      <c r="U407" s="80">
        <f>IF(VLOOKUP(TbPrestamo[[#This Row],[ITEM]],TbPiezas[],5,FALSE)="NA",0,VLOOKUP(TbPrestamo[[#This Row],[ITEM]],TbPiezas[],5,FALSE))</f>
        <v>2</v>
      </c>
      <c r="V407" s="81">
        <f>+TbPrestamo[[#This Row],[TOTAL]]*TbPrestamo[[#This Row],[P.U. (1)]]</f>
        <v>28</v>
      </c>
      <c r="W407" s="82">
        <f>+VLOOKUP(TbPrestamo[[#This Row],[ITEM]],TbPiezas[],6,FALSE)</f>
        <v>317.63</v>
      </c>
      <c r="X407" s="83">
        <f>+TbPrestamo[[#This Row],[TOTAL]]*TbPrestamo[[#This Row],[P.U. (2)]]</f>
        <v>4446.82</v>
      </c>
      <c r="Y407" s="82">
        <f>+VLOOKUP(TbPrestamo[[#This Row],[ITEM]],TbPiezas[],7,FALSE)</f>
        <v>15.881500000000001</v>
      </c>
      <c r="Z407" s="84">
        <f>+TbPrestamo[[#This Row],[TOTAL]]*TbPrestamo[[#This Row],[P.U. (3)]]</f>
        <v>222.34100000000001</v>
      </c>
    </row>
    <row r="408" spans="1:26" s="4" customFormat="1" x14ac:dyDescent="0.3">
      <c r="A408" s="2"/>
      <c r="B408" s="85">
        <v>386</v>
      </c>
      <c r="C408" s="71" t="s">
        <v>763</v>
      </c>
      <c r="D408" s="72" t="s">
        <v>764</v>
      </c>
      <c r="E408" s="73"/>
      <c r="F408" s="74">
        <f>+VLOOKUP(C408,TbPrestamo[],13,FALSE)</f>
        <v>1</v>
      </c>
      <c r="G408" s="2"/>
      <c r="H408" s="75" t="str">
        <f t="shared" si="12"/>
        <v>EV.1100</v>
      </c>
      <c r="I408" s="59" t="str">
        <f t="shared" si="13"/>
        <v>ok</v>
      </c>
      <c r="J408" s="77">
        <f>IFERROR(VLOOKUP($H408,TG[],3,FALSE),"NA")</f>
        <v>0</v>
      </c>
      <c r="K408" s="77" t="str">
        <f>IFERROR(VLOOKUP($H408,TF[],3,FALSE),"NA")</f>
        <v>NA</v>
      </c>
      <c r="L408" s="77" t="str">
        <f>IFERROR(VLOOKUP($H408,TT[],3,FALSE),"NA")</f>
        <v>NA</v>
      </c>
      <c r="M408" s="77" t="str">
        <f>IFERROR(VLOOKUP($H408,TES[],3,FALSE),"NA")</f>
        <v>NA</v>
      </c>
      <c r="N408" s="77" t="str">
        <f>IFERROR(VLOOKUP($H408,TEC[],3,FALSE),"NA")</f>
        <v>NA</v>
      </c>
      <c r="O408" s="77" t="str">
        <f>IFERROR(VLOOKUP($H408,TP[],3,FALSE),"NA")</f>
        <v>NA</v>
      </c>
      <c r="P408" s="77" t="str">
        <f>IFERROR(VLOOKUP($H408,TEN[],3,FALSE),"NA")</f>
        <v>NA</v>
      </c>
      <c r="Q408" s="77" t="str">
        <f>IFERROR(VLOOKUP($H408,TD[],3,FALSE),"NA")</f>
        <v>NA</v>
      </c>
      <c r="R408" s="77" t="str">
        <f>IFERROR(VLOOKUP($H408,TC[],3,FALSE),"NA")</f>
        <v>NA</v>
      </c>
      <c r="S408" s="77">
        <f>IFERROR(VLOOKUP($H408,TEV[],3,FALSE),"NA")</f>
        <v>1</v>
      </c>
      <c r="T408" s="79">
        <f>SUM(TbPrestamo[[#This Row],[GENERAL]:[ELEVADOR]])</f>
        <v>1</v>
      </c>
      <c r="U408" s="80">
        <f>IF(VLOOKUP(TbPrestamo[[#This Row],[ITEM]],TbPiezas[],5,FALSE)="NA",0,VLOOKUP(TbPrestamo[[#This Row],[ITEM]],TbPiezas[],5,FALSE))</f>
        <v>9.5</v>
      </c>
      <c r="V408" s="81">
        <f>+TbPrestamo[[#This Row],[TOTAL]]*TbPrestamo[[#This Row],[P.U. (1)]]</f>
        <v>9.5</v>
      </c>
      <c r="W408" s="82">
        <f>+VLOOKUP(TbPrestamo[[#This Row],[ITEM]],TbPiezas[],6,FALSE)</f>
        <v>827.08</v>
      </c>
      <c r="X408" s="83">
        <f>+TbPrestamo[[#This Row],[TOTAL]]*TbPrestamo[[#This Row],[P.U. (2)]]</f>
        <v>827.08</v>
      </c>
      <c r="Y408" s="82">
        <f>+VLOOKUP(TbPrestamo[[#This Row],[ITEM]],TbPiezas[],7,FALSE)</f>
        <v>41.354000000000006</v>
      </c>
      <c r="Z408" s="84">
        <f>+TbPrestamo[[#This Row],[TOTAL]]*TbPrestamo[[#This Row],[P.U. (3)]]</f>
        <v>41.354000000000006</v>
      </c>
    </row>
    <row r="409" spans="1:26" s="4" customFormat="1" x14ac:dyDescent="0.3">
      <c r="A409" s="2"/>
      <c r="B409" s="85">
        <v>387</v>
      </c>
      <c r="C409" s="71" t="s">
        <v>1420</v>
      </c>
      <c r="D409" s="72" t="s">
        <v>1416</v>
      </c>
      <c r="E409" s="73"/>
      <c r="F409" s="74">
        <f>+VLOOKUP(C409,TbPrestamo[],13,FALSE)</f>
        <v>0</v>
      </c>
      <c r="G409" s="2"/>
      <c r="H409" s="75" t="str">
        <f t="shared" si="12"/>
        <v>EV.1110</v>
      </c>
      <c r="I409" s="59" t="str">
        <f t="shared" si="13"/>
        <v>ok</v>
      </c>
      <c r="J409" s="77">
        <f>IFERROR(VLOOKUP($H409,TG[],3,FALSE),"NA")</f>
        <v>0</v>
      </c>
      <c r="K409" s="77" t="str">
        <f>IFERROR(VLOOKUP($H409,TF[],3,FALSE),"NA")</f>
        <v>NA</v>
      </c>
      <c r="L409" s="77" t="str">
        <f>IFERROR(VLOOKUP($H409,TT[],3,FALSE),"NA")</f>
        <v>NA</v>
      </c>
      <c r="M409" s="77" t="str">
        <f>IFERROR(VLOOKUP($H409,TES[],3,FALSE),"NA")</f>
        <v>NA</v>
      </c>
      <c r="N409" s="77" t="str">
        <f>IFERROR(VLOOKUP($H409,TEC[],3,FALSE),"NA")</f>
        <v>NA</v>
      </c>
      <c r="O409" s="77" t="str">
        <f>IFERROR(VLOOKUP($H409,TP[],3,FALSE),"NA")</f>
        <v>NA</v>
      </c>
      <c r="P409" s="77" t="str">
        <f>IFERROR(VLOOKUP($H409,TEN[],3,FALSE),"NA")</f>
        <v>NA</v>
      </c>
      <c r="Q409" s="77" t="str">
        <f>IFERROR(VLOOKUP($H409,TD[],3,FALSE),"NA")</f>
        <v>NA</v>
      </c>
      <c r="R409" s="77" t="str">
        <f>IFERROR(VLOOKUP($H409,TC[],3,FALSE),"NA")</f>
        <v>NA</v>
      </c>
      <c r="S409" s="77" t="str">
        <f>IFERROR(VLOOKUP($H409,TEV[],3,FALSE),"NA")</f>
        <v>NA</v>
      </c>
      <c r="T409" s="79">
        <f>SUM(TbPrestamo[[#This Row],[GENERAL]:[ELEVADOR]])</f>
        <v>0</v>
      </c>
      <c r="U409" s="80">
        <f>IF(VLOOKUP(TbPrestamo[[#This Row],[ITEM]],TbPiezas[],5,FALSE)="NA",0,VLOOKUP(TbPrestamo[[#This Row],[ITEM]],TbPiezas[],5,FALSE))</f>
        <v>0</v>
      </c>
      <c r="V409" s="81">
        <f>+TbPrestamo[[#This Row],[TOTAL]]*TbPrestamo[[#This Row],[P.U. (1)]]</f>
        <v>0</v>
      </c>
      <c r="W409" s="82">
        <f>+VLOOKUP(TbPrestamo[[#This Row],[ITEM]],TbPiezas[],6,FALSE)</f>
        <v>0</v>
      </c>
      <c r="X409" s="83">
        <f>+TbPrestamo[[#This Row],[TOTAL]]*TbPrestamo[[#This Row],[P.U. (2)]]</f>
        <v>0</v>
      </c>
      <c r="Y409" s="82">
        <f>+VLOOKUP(TbPrestamo[[#This Row],[ITEM]],TbPiezas[],7,FALSE)</f>
        <v>0</v>
      </c>
      <c r="Z409" s="84">
        <f>+TbPrestamo[[#This Row],[TOTAL]]*TbPrestamo[[#This Row],[P.U. (3)]]</f>
        <v>0</v>
      </c>
    </row>
    <row r="410" spans="1:26" s="4" customFormat="1" x14ac:dyDescent="0.3">
      <c r="A410" s="2"/>
      <c r="B410" s="85">
        <v>388</v>
      </c>
      <c r="C410" s="71" t="s">
        <v>1421</v>
      </c>
      <c r="D410" s="72" t="s">
        <v>1417</v>
      </c>
      <c r="E410" s="73"/>
      <c r="F410" s="74">
        <f>+VLOOKUP(C410,TbPrestamo[],13,FALSE)</f>
        <v>0</v>
      </c>
      <c r="G410" s="2"/>
      <c r="H410" s="75" t="str">
        <f t="shared" si="12"/>
        <v>EV.1120</v>
      </c>
      <c r="I410" s="59" t="str">
        <f t="shared" si="13"/>
        <v>ok</v>
      </c>
      <c r="J410" s="77">
        <f>IFERROR(VLOOKUP($H410,TG[],3,FALSE),"NA")</f>
        <v>0</v>
      </c>
      <c r="K410" s="77" t="str">
        <f>IFERROR(VLOOKUP($H410,TF[],3,FALSE),"NA")</f>
        <v>NA</v>
      </c>
      <c r="L410" s="77" t="str">
        <f>IFERROR(VLOOKUP($H410,TT[],3,FALSE),"NA")</f>
        <v>NA</v>
      </c>
      <c r="M410" s="77" t="str">
        <f>IFERROR(VLOOKUP($H410,TES[],3,FALSE),"NA")</f>
        <v>NA</v>
      </c>
      <c r="N410" s="77" t="str">
        <f>IFERROR(VLOOKUP($H410,TEC[],3,FALSE),"NA")</f>
        <v>NA</v>
      </c>
      <c r="O410" s="77" t="str">
        <f>IFERROR(VLOOKUP($H410,TP[],3,FALSE),"NA")</f>
        <v>NA</v>
      </c>
      <c r="P410" s="77" t="str">
        <f>IFERROR(VLOOKUP($H410,TEN[],3,FALSE),"NA")</f>
        <v>NA</v>
      </c>
      <c r="Q410" s="77" t="str">
        <f>IFERROR(VLOOKUP($H410,TD[],3,FALSE),"NA")</f>
        <v>NA</v>
      </c>
      <c r="R410" s="77" t="str">
        <f>IFERROR(VLOOKUP($H410,TC[],3,FALSE),"NA")</f>
        <v>NA</v>
      </c>
      <c r="S410" s="77" t="str">
        <f>IFERROR(VLOOKUP($H410,TEV[],3,FALSE),"NA")</f>
        <v>NA</v>
      </c>
      <c r="T410" s="79">
        <f>SUM(TbPrestamo[[#This Row],[GENERAL]:[ELEVADOR]])</f>
        <v>0</v>
      </c>
      <c r="U410" s="80">
        <f>IF(VLOOKUP(TbPrestamo[[#This Row],[ITEM]],TbPiezas[],5,FALSE)="NA",0,VLOOKUP(TbPrestamo[[#This Row],[ITEM]],TbPiezas[],5,FALSE))</f>
        <v>0</v>
      </c>
      <c r="V410" s="81">
        <f>+TbPrestamo[[#This Row],[TOTAL]]*TbPrestamo[[#This Row],[P.U. (1)]]</f>
        <v>0</v>
      </c>
      <c r="W410" s="82">
        <f>+VLOOKUP(TbPrestamo[[#This Row],[ITEM]],TbPiezas[],6,FALSE)</f>
        <v>0</v>
      </c>
      <c r="X410" s="83">
        <f>+TbPrestamo[[#This Row],[TOTAL]]*TbPrestamo[[#This Row],[P.U. (2)]]</f>
        <v>0</v>
      </c>
      <c r="Y410" s="82">
        <f>+VLOOKUP(TbPrestamo[[#This Row],[ITEM]],TbPiezas[],7,FALSE)</f>
        <v>0</v>
      </c>
      <c r="Z410" s="84">
        <f>+TbPrestamo[[#This Row],[TOTAL]]*TbPrestamo[[#This Row],[P.U. (3)]]</f>
        <v>0</v>
      </c>
    </row>
    <row r="411" spans="1:26" s="4" customFormat="1" x14ac:dyDescent="0.3">
      <c r="A411" s="2"/>
      <c r="B411" s="85">
        <v>389</v>
      </c>
      <c r="C411" s="71" t="s">
        <v>1422</v>
      </c>
      <c r="D411" s="72" t="s">
        <v>1418</v>
      </c>
      <c r="E411" s="73"/>
      <c r="F411" s="74">
        <f>+VLOOKUP(C411,TbPrestamo[],13,FALSE)</f>
        <v>0</v>
      </c>
      <c r="G411" s="2"/>
      <c r="H411" s="75" t="str">
        <f t="shared" si="12"/>
        <v>EV.1130</v>
      </c>
      <c r="I411" s="59" t="str">
        <f t="shared" si="13"/>
        <v>ok</v>
      </c>
      <c r="J411" s="77">
        <f>IFERROR(VLOOKUP($H411,TG[],3,FALSE),"NA")</f>
        <v>0</v>
      </c>
      <c r="K411" s="77" t="str">
        <f>IFERROR(VLOOKUP($H411,TF[],3,FALSE),"NA")</f>
        <v>NA</v>
      </c>
      <c r="L411" s="77" t="str">
        <f>IFERROR(VLOOKUP($H411,TT[],3,FALSE),"NA")</f>
        <v>NA</v>
      </c>
      <c r="M411" s="77" t="str">
        <f>IFERROR(VLOOKUP($H411,TES[],3,FALSE),"NA")</f>
        <v>NA</v>
      </c>
      <c r="N411" s="77" t="str">
        <f>IFERROR(VLOOKUP($H411,TEC[],3,FALSE),"NA")</f>
        <v>NA</v>
      </c>
      <c r="O411" s="77" t="str">
        <f>IFERROR(VLOOKUP($H411,TP[],3,FALSE),"NA")</f>
        <v>NA</v>
      </c>
      <c r="P411" s="77" t="str">
        <f>IFERROR(VLOOKUP($H411,TEN[],3,FALSE),"NA")</f>
        <v>NA</v>
      </c>
      <c r="Q411" s="77" t="str">
        <f>IFERROR(VLOOKUP($H411,TD[],3,FALSE),"NA")</f>
        <v>NA</v>
      </c>
      <c r="R411" s="77" t="str">
        <f>IFERROR(VLOOKUP($H411,TC[],3,FALSE),"NA")</f>
        <v>NA</v>
      </c>
      <c r="S411" s="77" t="str">
        <f>IFERROR(VLOOKUP($H411,TEV[],3,FALSE),"NA")</f>
        <v>NA</v>
      </c>
      <c r="T411" s="79">
        <f>SUM(TbPrestamo[[#This Row],[GENERAL]:[ELEVADOR]])</f>
        <v>0</v>
      </c>
      <c r="U411" s="80">
        <f>IF(VLOOKUP(TbPrestamo[[#This Row],[ITEM]],TbPiezas[],5,FALSE)="NA",0,VLOOKUP(TbPrestamo[[#This Row],[ITEM]],TbPiezas[],5,FALSE))</f>
        <v>0</v>
      </c>
      <c r="V411" s="81">
        <f>+TbPrestamo[[#This Row],[TOTAL]]*TbPrestamo[[#This Row],[P.U. (1)]]</f>
        <v>0</v>
      </c>
      <c r="W411" s="82">
        <f>+VLOOKUP(TbPrestamo[[#This Row],[ITEM]],TbPiezas[],6,FALSE)</f>
        <v>0</v>
      </c>
      <c r="X411" s="83">
        <f>+TbPrestamo[[#This Row],[TOTAL]]*TbPrestamo[[#This Row],[P.U. (2)]]</f>
        <v>0</v>
      </c>
      <c r="Y411" s="82">
        <f>+VLOOKUP(TbPrestamo[[#This Row],[ITEM]],TbPiezas[],7,FALSE)</f>
        <v>0</v>
      </c>
      <c r="Z411" s="84">
        <f>+TbPrestamo[[#This Row],[TOTAL]]*TbPrestamo[[#This Row],[P.U. (3)]]</f>
        <v>0</v>
      </c>
    </row>
    <row r="412" spans="1:26" s="4" customFormat="1" x14ac:dyDescent="0.3">
      <c r="A412" s="2"/>
      <c r="B412" s="85">
        <v>390</v>
      </c>
      <c r="C412" s="71" t="s">
        <v>1423</v>
      </c>
      <c r="D412" s="72" t="s">
        <v>1419</v>
      </c>
      <c r="E412" s="73"/>
      <c r="F412" s="74">
        <f>+VLOOKUP(C412,TbPrestamo[],13,FALSE)</f>
        <v>0</v>
      </c>
      <c r="G412" s="2"/>
      <c r="H412" s="75" t="str">
        <f t="shared" si="12"/>
        <v>EV.1140</v>
      </c>
      <c r="I412" s="59" t="str">
        <f t="shared" si="13"/>
        <v>ok</v>
      </c>
      <c r="J412" s="77">
        <f>IFERROR(VLOOKUP($H412,TG[],3,FALSE),"NA")</f>
        <v>0</v>
      </c>
      <c r="K412" s="77" t="str">
        <f>IFERROR(VLOOKUP($H412,TF[],3,FALSE),"NA")</f>
        <v>NA</v>
      </c>
      <c r="L412" s="77" t="str">
        <f>IFERROR(VLOOKUP($H412,TT[],3,FALSE),"NA")</f>
        <v>NA</v>
      </c>
      <c r="M412" s="77" t="str">
        <f>IFERROR(VLOOKUP($H412,TES[],3,FALSE),"NA")</f>
        <v>NA</v>
      </c>
      <c r="N412" s="77" t="str">
        <f>IFERROR(VLOOKUP($H412,TEC[],3,FALSE),"NA")</f>
        <v>NA</v>
      </c>
      <c r="O412" s="77" t="str">
        <f>IFERROR(VLOOKUP($H412,TP[],3,FALSE),"NA")</f>
        <v>NA</v>
      </c>
      <c r="P412" s="77" t="str">
        <f>IFERROR(VLOOKUP($H412,TEN[],3,FALSE),"NA")</f>
        <v>NA</v>
      </c>
      <c r="Q412" s="77" t="str">
        <f>IFERROR(VLOOKUP($H412,TD[],3,FALSE),"NA")</f>
        <v>NA</v>
      </c>
      <c r="R412" s="77" t="str">
        <f>IFERROR(VLOOKUP($H412,TC[],3,FALSE),"NA")</f>
        <v>NA</v>
      </c>
      <c r="S412" s="77" t="str">
        <f>IFERROR(VLOOKUP($H412,TEV[],3,FALSE),"NA")</f>
        <v>NA</v>
      </c>
      <c r="T412" s="79">
        <f>SUM(TbPrestamo[[#This Row],[GENERAL]:[ELEVADOR]])</f>
        <v>0</v>
      </c>
      <c r="U412" s="80">
        <f>IF(VLOOKUP(TbPrestamo[[#This Row],[ITEM]],TbPiezas[],5,FALSE)="NA",0,VLOOKUP(TbPrestamo[[#This Row],[ITEM]],TbPiezas[],5,FALSE))</f>
        <v>0</v>
      </c>
      <c r="V412" s="81">
        <f>+TbPrestamo[[#This Row],[TOTAL]]*TbPrestamo[[#This Row],[P.U. (1)]]</f>
        <v>0</v>
      </c>
      <c r="W412" s="82">
        <f>+VLOOKUP(TbPrestamo[[#This Row],[ITEM]],TbPiezas[],6,FALSE)</f>
        <v>0</v>
      </c>
      <c r="X412" s="83">
        <f>+TbPrestamo[[#This Row],[TOTAL]]*TbPrestamo[[#This Row],[P.U. (2)]]</f>
        <v>0</v>
      </c>
      <c r="Y412" s="82">
        <f>+VLOOKUP(TbPrestamo[[#This Row],[ITEM]],TbPiezas[],7,FALSE)</f>
        <v>0</v>
      </c>
      <c r="Z412" s="84">
        <f>+TbPrestamo[[#This Row],[TOTAL]]*TbPrestamo[[#This Row],[P.U. (3)]]</f>
        <v>0</v>
      </c>
    </row>
    <row r="413" spans="1:26" s="4" customFormat="1" x14ac:dyDescent="0.3">
      <c r="A413" s="2"/>
      <c r="B413" s="85">
        <v>391</v>
      </c>
      <c r="C413" s="71" t="s">
        <v>765</v>
      </c>
      <c r="D413" s="72" t="s">
        <v>1424</v>
      </c>
      <c r="E413" s="73"/>
      <c r="F413" s="74">
        <f>+VLOOKUP(C413,TbPrestamo[],13,FALSE)</f>
        <v>0</v>
      </c>
      <c r="G413" s="2"/>
      <c r="H413" s="75" t="str">
        <f t="shared" si="12"/>
        <v>EV.1200</v>
      </c>
      <c r="I413" s="59" t="str">
        <f t="shared" si="13"/>
        <v>ok</v>
      </c>
      <c r="J413" s="77">
        <f>IFERROR(VLOOKUP($H413,TG[],3,FALSE),"NA")</f>
        <v>0</v>
      </c>
      <c r="K413" s="77" t="str">
        <f>IFERROR(VLOOKUP($H413,TF[],3,FALSE),"NA")</f>
        <v>NA</v>
      </c>
      <c r="L413" s="77" t="str">
        <f>IFERROR(VLOOKUP($H413,TT[],3,FALSE),"NA")</f>
        <v>NA</v>
      </c>
      <c r="M413" s="77" t="str">
        <f>IFERROR(VLOOKUP($H413,TES[],3,FALSE),"NA")</f>
        <v>NA</v>
      </c>
      <c r="N413" s="77" t="str">
        <f>IFERROR(VLOOKUP($H413,TEC[],3,FALSE),"NA")</f>
        <v>NA</v>
      </c>
      <c r="O413" s="77" t="str">
        <f>IFERROR(VLOOKUP($H413,TP[],3,FALSE),"NA")</f>
        <v>NA</v>
      </c>
      <c r="P413" s="77" t="str">
        <f>IFERROR(VLOOKUP($H413,TEN[],3,FALSE),"NA")</f>
        <v>NA</v>
      </c>
      <c r="Q413" s="77" t="str">
        <f>IFERROR(VLOOKUP($H413,TD[],3,FALSE),"NA")</f>
        <v>NA</v>
      </c>
      <c r="R413" s="77" t="str">
        <f>IFERROR(VLOOKUP($H413,TC[],3,FALSE),"NA")</f>
        <v>NA</v>
      </c>
      <c r="S413" s="77" t="str">
        <f>IFERROR(VLOOKUP($H413,TEV[],3,FALSE),"NA")</f>
        <v>NA</v>
      </c>
      <c r="T413" s="79">
        <f>SUM(TbPrestamo[[#This Row],[GENERAL]:[ELEVADOR]])</f>
        <v>0</v>
      </c>
      <c r="U413" s="80">
        <f>IF(VLOOKUP(TbPrestamo[[#This Row],[ITEM]],TbPiezas[],5,FALSE)="NA",0,VLOOKUP(TbPrestamo[[#This Row],[ITEM]],TbPiezas[],5,FALSE))</f>
        <v>0</v>
      </c>
      <c r="V413" s="81">
        <f>+TbPrestamo[[#This Row],[TOTAL]]*TbPrestamo[[#This Row],[P.U. (1)]]</f>
        <v>0</v>
      </c>
      <c r="W413" s="82">
        <f>+VLOOKUP(TbPrestamo[[#This Row],[ITEM]],TbPiezas[],6,FALSE)</f>
        <v>1905.75</v>
      </c>
      <c r="X413" s="83">
        <f>+TbPrestamo[[#This Row],[TOTAL]]*TbPrestamo[[#This Row],[P.U. (2)]]</f>
        <v>0</v>
      </c>
      <c r="Y413" s="82">
        <f>+VLOOKUP(TbPrestamo[[#This Row],[ITEM]],TbPiezas[],7,FALSE)</f>
        <v>95.287500000000009</v>
      </c>
      <c r="Z413" s="84">
        <f>+TbPrestamo[[#This Row],[TOTAL]]*TbPrestamo[[#This Row],[P.U. (3)]]</f>
        <v>0</v>
      </c>
    </row>
    <row r="414" spans="1:26" s="4" customFormat="1" x14ac:dyDescent="0.3">
      <c r="A414" s="2"/>
      <c r="B414" s="85">
        <v>392</v>
      </c>
      <c r="C414" s="71" t="s">
        <v>1426</v>
      </c>
      <c r="D414" s="72" t="s">
        <v>1425</v>
      </c>
      <c r="E414" s="73"/>
      <c r="F414" s="74">
        <f>+VLOOKUP(C414,TbPrestamo[],13,FALSE)</f>
        <v>1</v>
      </c>
      <c r="G414" s="2"/>
      <c r="H414" s="75" t="str">
        <f t="shared" si="12"/>
        <v>EV.1210</v>
      </c>
      <c r="I414" s="59" t="str">
        <f t="shared" si="13"/>
        <v>ok</v>
      </c>
      <c r="J414" s="77">
        <f>IFERROR(VLOOKUP($H414,TG[],3,FALSE),"NA")</f>
        <v>0</v>
      </c>
      <c r="K414" s="77" t="str">
        <f>IFERROR(VLOOKUP($H414,TF[],3,FALSE),"NA")</f>
        <v>NA</v>
      </c>
      <c r="L414" s="77" t="str">
        <f>IFERROR(VLOOKUP($H414,TT[],3,FALSE),"NA")</f>
        <v>NA</v>
      </c>
      <c r="M414" s="77" t="str">
        <f>IFERROR(VLOOKUP($H414,TES[],3,FALSE),"NA")</f>
        <v>NA</v>
      </c>
      <c r="N414" s="77" t="str">
        <f>IFERROR(VLOOKUP($H414,TEC[],3,FALSE),"NA")</f>
        <v>NA</v>
      </c>
      <c r="O414" s="77" t="str">
        <f>IFERROR(VLOOKUP($H414,TP[],3,FALSE),"NA")</f>
        <v>NA</v>
      </c>
      <c r="P414" s="77" t="str">
        <f>IFERROR(VLOOKUP($H414,TEN[],3,FALSE),"NA")</f>
        <v>NA</v>
      </c>
      <c r="Q414" s="77" t="str">
        <f>IFERROR(VLOOKUP($H414,TD[],3,FALSE),"NA")</f>
        <v>NA</v>
      </c>
      <c r="R414" s="77" t="str">
        <f>IFERROR(VLOOKUP($H414,TC[],3,FALSE),"NA")</f>
        <v>NA</v>
      </c>
      <c r="S414" s="77">
        <f>IFERROR(VLOOKUP($H414,TEV[],3,FALSE),"NA")</f>
        <v>1</v>
      </c>
      <c r="T414" s="79">
        <f>SUM(TbPrestamo[[#This Row],[GENERAL]:[ELEVADOR]])</f>
        <v>1</v>
      </c>
      <c r="U414" s="80">
        <f>IF(VLOOKUP(TbPrestamo[[#This Row],[ITEM]],TbPiezas[],5,FALSE)="NA",0,VLOOKUP(TbPrestamo[[#This Row],[ITEM]],TbPiezas[],5,FALSE))</f>
        <v>0</v>
      </c>
      <c r="V414" s="81">
        <f>+TbPrestamo[[#This Row],[TOTAL]]*TbPrestamo[[#This Row],[P.U. (1)]]</f>
        <v>0</v>
      </c>
      <c r="W414" s="82">
        <f>+VLOOKUP(TbPrestamo[[#This Row],[ITEM]],TbPiezas[],6,FALSE)</f>
        <v>0</v>
      </c>
      <c r="X414" s="83">
        <f>+TbPrestamo[[#This Row],[TOTAL]]*TbPrestamo[[#This Row],[P.U. (2)]]</f>
        <v>0</v>
      </c>
      <c r="Y414" s="82">
        <f>+VLOOKUP(TbPrestamo[[#This Row],[ITEM]],TbPiezas[],7,FALSE)</f>
        <v>0</v>
      </c>
      <c r="Z414" s="84">
        <f>+TbPrestamo[[#This Row],[TOTAL]]*TbPrestamo[[#This Row],[P.U. (3)]]</f>
        <v>0</v>
      </c>
    </row>
    <row r="415" spans="1:26" s="4" customFormat="1" x14ac:dyDescent="0.3">
      <c r="A415" s="2"/>
      <c r="B415" s="85">
        <v>393</v>
      </c>
      <c r="C415" s="71" t="s">
        <v>766</v>
      </c>
      <c r="D415" s="72" t="s">
        <v>767</v>
      </c>
      <c r="E415" s="73"/>
      <c r="F415" s="74">
        <f>+VLOOKUP(C415,TbPrestamo[],13,FALSE)</f>
        <v>1</v>
      </c>
      <c r="G415" s="2"/>
      <c r="H415" s="75" t="str">
        <f t="shared" si="12"/>
        <v>EV.1300</v>
      </c>
      <c r="I415" s="59" t="str">
        <f t="shared" si="13"/>
        <v>ok</v>
      </c>
      <c r="J415" s="77">
        <f>IFERROR(VLOOKUP($H415,TG[],3,FALSE),"NA")</f>
        <v>0</v>
      </c>
      <c r="K415" s="77" t="str">
        <f>IFERROR(VLOOKUP($H415,TF[],3,FALSE),"NA")</f>
        <v>NA</v>
      </c>
      <c r="L415" s="77" t="str">
        <f>IFERROR(VLOOKUP($H415,TT[],3,FALSE),"NA")</f>
        <v>NA</v>
      </c>
      <c r="M415" s="77" t="str">
        <f>IFERROR(VLOOKUP($H415,TES[],3,FALSE),"NA")</f>
        <v>NA</v>
      </c>
      <c r="N415" s="77" t="str">
        <f>IFERROR(VLOOKUP($H415,TEC[],3,FALSE),"NA")</f>
        <v>NA</v>
      </c>
      <c r="O415" s="77" t="str">
        <f>IFERROR(VLOOKUP($H415,TP[],3,FALSE),"NA")</f>
        <v>NA</v>
      </c>
      <c r="P415" s="77" t="str">
        <f>IFERROR(VLOOKUP($H415,TEN[],3,FALSE),"NA")</f>
        <v>NA</v>
      </c>
      <c r="Q415" s="77" t="str">
        <f>IFERROR(VLOOKUP($H415,TD[],3,FALSE),"NA")</f>
        <v>NA</v>
      </c>
      <c r="R415" s="77" t="str">
        <f>IFERROR(VLOOKUP($H415,TC[],3,FALSE),"NA")</f>
        <v>NA</v>
      </c>
      <c r="S415" s="77">
        <f>IFERROR(VLOOKUP($H415,TEV[],3,FALSE),"NA")</f>
        <v>1</v>
      </c>
      <c r="T415" s="79">
        <f>SUM(TbPrestamo[[#This Row],[GENERAL]:[ELEVADOR]])</f>
        <v>1</v>
      </c>
      <c r="U415" s="80">
        <f>IF(VLOOKUP(TbPrestamo[[#This Row],[ITEM]],TbPiezas[],5,FALSE)="NA",0,VLOOKUP(TbPrestamo[[#This Row],[ITEM]],TbPiezas[],5,FALSE))</f>
        <v>10</v>
      </c>
      <c r="V415" s="81">
        <f>+TbPrestamo[[#This Row],[TOTAL]]*TbPrestamo[[#This Row],[P.U. (1)]]</f>
        <v>10</v>
      </c>
      <c r="W415" s="82">
        <f>+VLOOKUP(TbPrestamo[[#This Row],[ITEM]],TbPiezas[],6,FALSE)</f>
        <v>3176.25</v>
      </c>
      <c r="X415" s="83">
        <f>+TbPrestamo[[#This Row],[TOTAL]]*TbPrestamo[[#This Row],[P.U. (2)]]</f>
        <v>3176.25</v>
      </c>
      <c r="Y415" s="82">
        <f>+VLOOKUP(TbPrestamo[[#This Row],[ITEM]],TbPiezas[],7,FALSE)</f>
        <v>158.8125</v>
      </c>
      <c r="Z415" s="84">
        <f>+TbPrestamo[[#This Row],[TOTAL]]*TbPrestamo[[#This Row],[P.U. (3)]]</f>
        <v>158.8125</v>
      </c>
    </row>
    <row r="416" spans="1:26" s="4" customFormat="1" x14ac:dyDescent="0.3">
      <c r="A416" s="2"/>
      <c r="B416" s="85">
        <v>394</v>
      </c>
      <c r="C416" s="71" t="s">
        <v>768</v>
      </c>
      <c r="D416" s="72" t="s">
        <v>769</v>
      </c>
      <c r="E416" s="73"/>
      <c r="F416" s="74">
        <f>+VLOOKUP(C416,TbPrestamo[],13,FALSE)</f>
        <v>2</v>
      </c>
      <c r="G416" s="2"/>
      <c r="H416" s="75" t="str">
        <f t="shared" si="12"/>
        <v>EV.1400</v>
      </c>
      <c r="I416" s="59" t="str">
        <f t="shared" si="13"/>
        <v>ok</v>
      </c>
      <c r="J416" s="77">
        <f>IFERROR(VLOOKUP($H416,TG[],3,FALSE),"NA")</f>
        <v>0</v>
      </c>
      <c r="K416" s="77" t="str">
        <f>IFERROR(VLOOKUP($H416,TF[],3,FALSE),"NA")</f>
        <v>NA</v>
      </c>
      <c r="L416" s="77" t="str">
        <f>IFERROR(VLOOKUP($H416,TT[],3,FALSE),"NA")</f>
        <v>NA</v>
      </c>
      <c r="M416" s="77" t="str">
        <f>IFERROR(VLOOKUP($H416,TES[],3,FALSE),"NA")</f>
        <v>NA</v>
      </c>
      <c r="N416" s="77" t="str">
        <f>IFERROR(VLOOKUP($H416,TEC[],3,FALSE),"NA")</f>
        <v>NA</v>
      </c>
      <c r="O416" s="77" t="str">
        <f>IFERROR(VLOOKUP($H416,TP[],3,FALSE),"NA")</f>
        <v>NA</v>
      </c>
      <c r="P416" s="77" t="str">
        <f>IFERROR(VLOOKUP($H416,TEN[],3,FALSE),"NA")</f>
        <v>NA</v>
      </c>
      <c r="Q416" s="77" t="str">
        <f>IFERROR(VLOOKUP($H416,TD[],3,FALSE),"NA")</f>
        <v>NA</v>
      </c>
      <c r="R416" s="77" t="str">
        <f>IFERROR(VLOOKUP($H416,TC[],3,FALSE),"NA")</f>
        <v>NA</v>
      </c>
      <c r="S416" s="77">
        <f>IFERROR(VLOOKUP($H416,TEV[],3,FALSE),"NA")</f>
        <v>2</v>
      </c>
      <c r="T416" s="79">
        <f>SUM(TbPrestamo[[#This Row],[GENERAL]:[ELEVADOR]])</f>
        <v>2</v>
      </c>
      <c r="U416" s="80">
        <f>IF(VLOOKUP(TbPrestamo[[#This Row],[ITEM]],TbPiezas[],5,FALSE)="NA",0,VLOOKUP(TbPrestamo[[#This Row],[ITEM]],TbPiezas[],5,FALSE))</f>
        <v>5</v>
      </c>
      <c r="V416" s="81">
        <f>+TbPrestamo[[#This Row],[TOTAL]]*TbPrestamo[[#This Row],[P.U. (1)]]</f>
        <v>10</v>
      </c>
      <c r="W416" s="82">
        <f>+VLOOKUP(TbPrestamo[[#This Row],[ITEM]],TbPiezas[],6,FALSE)</f>
        <v>2413.9499999999998</v>
      </c>
      <c r="X416" s="83">
        <f>+TbPrestamo[[#This Row],[TOTAL]]*TbPrestamo[[#This Row],[P.U. (2)]]</f>
        <v>4827.8999999999996</v>
      </c>
      <c r="Y416" s="82">
        <f>+VLOOKUP(TbPrestamo[[#This Row],[ITEM]],TbPiezas[],7,FALSE)</f>
        <v>120.69749999999999</v>
      </c>
      <c r="Z416" s="84">
        <f>+TbPrestamo[[#This Row],[TOTAL]]*TbPrestamo[[#This Row],[P.U. (3)]]</f>
        <v>241.39499999999998</v>
      </c>
    </row>
    <row r="417" spans="1:26" s="4" customFormat="1" x14ac:dyDescent="0.3">
      <c r="A417" s="2"/>
      <c r="B417" s="85">
        <v>395</v>
      </c>
      <c r="C417" s="71" t="s">
        <v>770</v>
      </c>
      <c r="D417" s="72" t="s">
        <v>771</v>
      </c>
      <c r="E417" s="73"/>
      <c r="F417" s="74">
        <f>+VLOOKUP(C417,TbPrestamo[],13,FALSE)</f>
        <v>1</v>
      </c>
      <c r="G417" s="2"/>
      <c r="H417" s="75" t="str">
        <f t="shared" si="12"/>
        <v>EV.1500</v>
      </c>
      <c r="I417" s="59" t="str">
        <f t="shared" si="13"/>
        <v>ok</v>
      </c>
      <c r="J417" s="77">
        <f>IFERROR(VLOOKUP($H417,TG[],3,FALSE),"NA")</f>
        <v>0</v>
      </c>
      <c r="K417" s="77" t="str">
        <f>IFERROR(VLOOKUP($H417,TF[],3,FALSE),"NA")</f>
        <v>NA</v>
      </c>
      <c r="L417" s="77" t="str">
        <f>IFERROR(VLOOKUP($H417,TT[],3,FALSE),"NA")</f>
        <v>NA</v>
      </c>
      <c r="M417" s="77" t="str">
        <f>IFERROR(VLOOKUP($H417,TES[],3,FALSE),"NA")</f>
        <v>NA</v>
      </c>
      <c r="N417" s="77" t="str">
        <f>IFERROR(VLOOKUP($H417,TEC[],3,FALSE),"NA")</f>
        <v>NA</v>
      </c>
      <c r="O417" s="77" t="str">
        <f>IFERROR(VLOOKUP($H417,TP[],3,FALSE),"NA")</f>
        <v>NA</v>
      </c>
      <c r="P417" s="77" t="str">
        <f>IFERROR(VLOOKUP($H417,TEN[],3,FALSE),"NA")</f>
        <v>NA</v>
      </c>
      <c r="Q417" s="77" t="str">
        <f>IFERROR(VLOOKUP($H417,TD[],3,FALSE),"NA")</f>
        <v>NA</v>
      </c>
      <c r="R417" s="77" t="str">
        <f>IFERROR(VLOOKUP($H417,TC[],3,FALSE),"NA")</f>
        <v>NA</v>
      </c>
      <c r="S417" s="77">
        <f>IFERROR(VLOOKUP($H417,TEV[],3,FALSE),"NA")</f>
        <v>1</v>
      </c>
      <c r="T417" s="79">
        <f>SUM(TbPrestamo[[#This Row],[GENERAL]:[ELEVADOR]])</f>
        <v>1</v>
      </c>
      <c r="U417" s="80">
        <f>IF(VLOOKUP(TbPrestamo[[#This Row],[ITEM]],TbPiezas[],5,FALSE)="NA",0,VLOOKUP(TbPrestamo[[#This Row],[ITEM]],TbPiezas[],5,FALSE))</f>
        <v>0</v>
      </c>
      <c r="V417" s="81">
        <f>+TbPrestamo[[#This Row],[TOTAL]]*TbPrestamo[[#This Row],[P.U. (1)]]</f>
        <v>0</v>
      </c>
      <c r="W417" s="82">
        <f>+VLOOKUP(TbPrestamo[[#This Row],[ITEM]],TbPiezas[],6,FALSE)</f>
        <v>8639.4</v>
      </c>
      <c r="X417" s="83">
        <f>+TbPrestamo[[#This Row],[TOTAL]]*TbPrestamo[[#This Row],[P.U. (2)]]</f>
        <v>8639.4</v>
      </c>
      <c r="Y417" s="82">
        <f>+VLOOKUP(TbPrestamo[[#This Row],[ITEM]],TbPiezas[],7,FALSE)</f>
        <v>431.97</v>
      </c>
      <c r="Z417" s="84">
        <f>+TbPrestamo[[#This Row],[TOTAL]]*TbPrestamo[[#This Row],[P.U. (3)]]</f>
        <v>431.97</v>
      </c>
    </row>
    <row r="418" spans="1:26" s="4" customFormat="1" x14ac:dyDescent="0.3">
      <c r="A418" s="2"/>
      <c r="B418" s="85">
        <v>396</v>
      </c>
      <c r="C418" s="71" t="s">
        <v>772</v>
      </c>
      <c r="D418" s="72" t="s">
        <v>773</v>
      </c>
      <c r="E418" s="73"/>
      <c r="F418" s="74">
        <f>+VLOOKUP(C418,TbPrestamo[],13,FALSE)</f>
        <v>1</v>
      </c>
      <c r="G418" s="2"/>
      <c r="H418" s="75" t="str">
        <f t="shared" si="12"/>
        <v>EV.1600</v>
      </c>
      <c r="I418" s="59" t="str">
        <f t="shared" si="13"/>
        <v>ok</v>
      </c>
      <c r="J418" s="77">
        <f>IFERROR(VLOOKUP($H418,TG[],3,FALSE),"NA")</f>
        <v>0</v>
      </c>
      <c r="K418" s="77" t="str">
        <f>IFERROR(VLOOKUP($H418,TF[],3,FALSE),"NA")</f>
        <v>NA</v>
      </c>
      <c r="L418" s="77" t="str">
        <f>IFERROR(VLOOKUP($H418,TT[],3,FALSE),"NA")</f>
        <v>NA</v>
      </c>
      <c r="M418" s="77" t="str">
        <f>IFERROR(VLOOKUP($H418,TES[],3,FALSE),"NA")</f>
        <v>NA</v>
      </c>
      <c r="N418" s="77" t="str">
        <f>IFERROR(VLOOKUP($H418,TEC[],3,FALSE),"NA")</f>
        <v>NA</v>
      </c>
      <c r="O418" s="77" t="str">
        <f>IFERROR(VLOOKUP($H418,TP[],3,FALSE),"NA")</f>
        <v>NA</v>
      </c>
      <c r="P418" s="77" t="str">
        <f>IFERROR(VLOOKUP($H418,TEN[],3,FALSE),"NA")</f>
        <v>NA</v>
      </c>
      <c r="Q418" s="77" t="str">
        <f>IFERROR(VLOOKUP($H418,TD[],3,FALSE),"NA")</f>
        <v>NA</v>
      </c>
      <c r="R418" s="77" t="str">
        <f>IFERROR(VLOOKUP($H418,TC[],3,FALSE),"NA")</f>
        <v>NA</v>
      </c>
      <c r="S418" s="77">
        <f>IFERROR(VLOOKUP($H418,TEV[],3,FALSE),"NA")</f>
        <v>1</v>
      </c>
      <c r="T418" s="79">
        <f>SUM(TbPrestamo[[#This Row],[GENERAL]:[ELEVADOR]])</f>
        <v>1</v>
      </c>
      <c r="U418" s="80">
        <f>IF(VLOOKUP(TbPrestamo[[#This Row],[ITEM]],TbPiezas[],5,FALSE)="NA",0,VLOOKUP(TbPrestamo[[#This Row],[ITEM]],TbPiezas[],5,FALSE))</f>
        <v>0</v>
      </c>
      <c r="V418" s="81">
        <f>+TbPrestamo[[#This Row],[TOTAL]]*TbPrestamo[[#This Row],[P.U. (1)]]</f>
        <v>0</v>
      </c>
      <c r="W418" s="82">
        <f>+VLOOKUP(TbPrestamo[[#This Row],[ITEM]],TbPiezas[],6,FALSE)</f>
        <v>6987.75</v>
      </c>
      <c r="X418" s="83">
        <f>+TbPrestamo[[#This Row],[TOTAL]]*TbPrestamo[[#This Row],[P.U. (2)]]</f>
        <v>6987.75</v>
      </c>
      <c r="Y418" s="82">
        <f>+VLOOKUP(TbPrestamo[[#This Row],[ITEM]],TbPiezas[],7,FALSE)</f>
        <v>349.38750000000005</v>
      </c>
      <c r="Z418" s="84">
        <f>+TbPrestamo[[#This Row],[TOTAL]]*TbPrestamo[[#This Row],[P.U. (3)]]</f>
        <v>349.38750000000005</v>
      </c>
    </row>
    <row r="419" spans="1:26" s="4" customFormat="1" x14ac:dyDescent="0.3">
      <c r="A419" s="2"/>
      <c r="B419" s="85">
        <v>397</v>
      </c>
      <c r="C419" s="71" t="s">
        <v>774</v>
      </c>
      <c r="D419" s="72" t="s">
        <v>775</v>
      </c>
      <c r="E419" s="73"/>
      <c r="F419" s="74">
        <f>+VLOOKUP(C419,TbPrestamo[],13,FALSE)</f>
        <v>2</v>
      </c>
      <c r="G419" s="2"/>
      <c r="H419" s="75" t="str">
        <f t="shared" si="12"/>
        <v>EV.1700</v>
      </c>
      <c r="I419" s="59" t="str">
        <f t="shared" si="13"/>
        <v>ok</v>
      </c>
      <c r="J419" s="77">
        <f>IFERROR(VLOOKUP($H419,TG[],3,FALSE),"NA")</f>
        <v>0</v>
      </c>
      <c r="K419" s="77" t="str">
        <f>IFERROR(VLOOKUP($H419,TF[],3,FALSE),"NA")</f>
        <v>NA</v>
      </c>
      <c r="L419" s="77" t="str">
        <f>IFERROR(VLOOKUP($H419,TT[],3,FALSE),"NA")</f>
        <v>NA</v>
      </c>
      <c r="M419" s="77" t="str">
        <f>IFERROR(VLOOKUP($H419,TES[],3,FALSE),"NA")</f>
        <v>NA</v>
      </c>
      <c r="N419" s="77" t="str">
        <f>IFERROR(VLOOKUP($H419,TEC[],3,FALSE),"NA")</f>
        <v>NA</v>
      </c>
      <c r="O419" s="77" t="str">
        <f>IFERROR(VLOOKUP($H419,TP[],3,FALSE),"NA")</f>
        <v>NA</v>
      </c>
      <c r="P419" s="77" t="str">
        <f>IFERROR(VLOOKUP($H419,TEN[],3,FALSE),"NA")</f>
        <v>NA</v>
      </c>
      <c r="Q419" s="77" t="str">
        <f>IFERROR(VLOOKUP($H419,TD[],3,FALSE),"NA")</f>
        <v>NA</v>
      </c>
      <c r="R419" s="77" t="str">
        <f>IFERROR(VLOOKUP($H419,TC[],3,FALSE),"NA")</f>
        <v>NA</v>
      </c>
      <c r="S419" s="77">
        <f>IFERROR(VLOOKUP($H419,TEV[],3,FALSE),"NA")</f>
        <v>2</v>
      </c>
      <c r="T419" s="79">
        <f>SUM(TbPrestamo[[#This Row],[GENERAL]:[ELEVADOR]])</f>
        <v>2</v>
      </c>
      <c r="U419" s="80">
        <f>IF(VLOOKUP(TbPrestamo[[#This Row],[ITEM]],TbPiezas[],5,FALSE)="NA",0,VLOOKUP(TbPrestamo[[#This Row],[ITEM]],TbPiezas[],5,FALSE))</f>
        <v>6</v>
      </c>
      <c r="V419" s="81">
        <f>+TbPrestamo[[#This Row],[TOTAL]]*TbPrestamo[[#This Row],[P.U. (1)]]</f>
        <v>12</v>
      </c>
      <c r="W419" s="82">
        <f>+VLOOKUP(TbPrestamo[[#This Row],[ITEM]],TbPiezas[],6,FALSE)</f>
        <v>825.83</v>
      </c>
      <c r="X419" s="83">
        <f>+TbPrestamo[[#This Row],[TOTAL]]*TbPrestamo[[#This Row],[P.U. (2)]]</f>
        <v>1651.66</v>
      </c>
      <c r="Y419" s="82">
        <f>+VLOOKUP(TbPrestamo[[#This Row],[ITEM]],TbPiezas[],7,FALSE)</f>
        <v>41.291500000000006</v>
      </c>
      <c r="Z419" s="84">
        <f>+TbPrestamo[[#This Row],[TOTAL]]*TbPrestamo[[#This Row],[P.U. (3)]]</f>
        <v>82.583000000000013</v>
      </c>
    </row>
    <row r="420" spans="1:26" s="4" customFormat="1" x14ac:dyDescent="0.3">
      <c r="A420" s="2"/>
      <c r="B420" s="85">
        <v>398</v>
      </c>
      <c r="C420" s="71" t="s">
        <v>776</v>
      </c>
      <c r="D420" s="72" t="s">
        <v>777</v>
      </c>
      <c r="E420" s="73"/>
      <c r="F420" s="74">
        <f>+VLOOKUP(C420,TbPrestamo[],13,FALSE)</f>
        <v>3</v>
      </c>
      <c r="G420" s="2"/>
      <c r="H420" s="75" t="str">
        <f t="shared" si="12"/>
        <v>EV.1800</v>
      </c>
      <c r="I420" s="59" t="str">
        <f t="shared" si="13"/>
        <v>ok</v>
      </c>
      <c r="J420" s="77">
        <f>IFERROR(VLOOKUP($H420,TG[],3,FALSE),"NA")</f>
        <v>0</v>
      </c>
      <c r="K420" s="77" t="str">
        <f>IFERROR(VLOOKUP($H420,TF[],3,FALSE),"NA")</f>
        <v>NA</v>
      </c>
      <c r="L420" s="77" t="str">
        <f>IFERROR(VLOOKUP($H420,TT[],3,FALSE),"NA")</f>
        <v>NA</v>
      </c>
      <c r="M420" s="77" t="str">
        <f>IFERROR(VLOOKUP($H420,TES[],3,FALSE),"NA")</f>
        <v>NA</v>
      </c>
      <c r="N420" s="77" t="str">
        <f>IFERROR(VLOOKUP($H420,TEC[],3,FALSE),"NA")</f>
        <v>NA</v>
      </c>
      <c r="O420" s="77" t="str">
        <f>IFERROR(VLOOKUP($H420,TP[],3,FALSE),"NA")</f>
        <v>NA</v>
      </c>
      <c r="P420" s="77" t="str">
        <f>IFERROR(VLOOKUP($H420,TEN[],3,FALSE),"NA")</f>
        <v>NA</v>
      </c>
      <c r="Q420" s="77" t="str">
        <f>IFERROR(VLOOKUP($H420,TD[],3,FALSE),"NA")</f>
        <v>NA</v>
      </c>
      <c r="R420" s="77" t="str">
        <f>IFERROR(VLOOKUP($H420,TC[],3,FALSE),"NA")</f>
        <v>NA</v>
      </c>
      <c r="S420" s="77">
        <f>IFERROR(VLOOKUP($H420,TEV[],3,FALSE),"NA")</f>
        <v>3</v>
      </c>
      <c r="T420" s="79">
        <f>SUM(TbPrestamo[[#This Row],[GENERAL]:[ELEVADOR]])</f>
        <v>3</v>
      </c>
      <c r="U420" s="80">
        <f>IF(VLOOKUP(TbPrestamo[[#This Row],[ITEM]],TbPiezas[],5,FALSE)="NA",0,VLOOKUP(TbPrestamo[[#This Row],[ITEM]],TbPiezas[],5,FALSE))</f>
        <v>5.2</v>
      </c>
      <c r="V420" s="81">
        <f>+TbPrestamo[[#This Row],[TOTAL]]*TbPrestamo[[#This Row],[P.U. (1)]]</f>
        <v>15.600000000000001</v>
      </c>
      <c r="W420" s="82">
        <f>+VLOOKUP(TbPrestamo[[#This Row],[ITEM]],TbPiezas[],6,FALSE)</f>
        <v>825.83</v>
      </c>
      <c r="X420" s="83">
        <f>+TbPrestamo[[#This Row],[TOTAL]]*TbPrestamo[[#This Row],[P.U. (2)]]</f>
        <v>2477.4900000000002</v>
      </c>
      <c r="Y420" s="82">
        <f>+VLOOKUP(TbPrestamo[[#This Row],[ITEM]],TbPiezas[],7,FALSE)</f>
        <v>41.291500000000006</v>
      </c>
      <c r="Z420" s="84">
        <f>+TbPrestamo[[#This Row],[TOTAL]]*TbPrestamo[[#This Row],[P.U. (3)]]</f>
        <v>123.87450000000001</v>
      </c>
    </row>
    <row r="421" spans="1:26" s="4" customFormat="1" x14ac:dyDescent="0.3">
      <c r="A421" s="2"/>
      <c r="B421" s="85">
        <v>399</v>
      </c>
      <c r="C421" s="71" t="s">
        <v>778</v>
      </c>
      <c r="D421" s="72" t="s">
        <v>779</v>
      </c>
      <c r="E421" s="73"/>
      <c r="F421" s="74">
        <f>+VLOOKUP(C421,TbPrestamo[],13,FALSE)</f>
        <v>3</v>
      </c>
      <c r="G421" s="2"/>
      <c r="H421" s="75" t="str">
        <f t="shared" si="12"/>
        <v>EV.1900</v>
      </c>
      <c r="I421" s="59" t="str">
        <f t="shared" si="13"/>
        <v>ok</v>
      </c>
      <c r="J421" s="77">
        <f>IFERROR(VLOOKUP($H421,TG[],3,FALSE),"NA")</f>
        <v>0</v>
      </c>
      <c r="K421" s="77" t="str">
        <f>IFERROR(VLOOKUP($H421,TF[],3,FALSE),"NA")</f>
        <v>NA</v>
      </c>
      <c r="L421" s="77" t="str">
        <f>IFERROR(VLOOKUP($H421,TT[],3,FALSE),"NA")</f>
        <v>NA</v>
      </c>
      <c r="M421" s="77" t="str">
        <f>IFERROR(VLOOKUP($H421,TES[],3,FALSE),"NA")</f>
        <v>NA</v>
      </c>
      <c r="N421" s="77" t="str">
        <f>IFERROR(VLOOKUP($H421,TEC[],3,FALSE),"NA")</f>
        <v>NA</v>
      </c>
      <c r="O421" s="77" t="str">
        <f>IFERROR(VLOOKUP($H421,TP[],3,FALSE),"NA")</f>
        <v>NA</v>
      </c>
      <c r="P421" s="77" t="str">
        <f>IFERROR(VLOOKUP($H421,TEN[],3,FALSE),"NA")</f>
        <v>NA</v>
      </c>
      <c r="Q421" s="77" t="str">
        <f>IFERROR(VLOOKUP($H421,TD[],3,FALSE),"NA")</f>
        <v>NA</v>
      </c>
      <c r="R421" s="77" t="str">
        <f>IFERROR(VLOOKUP($H421,TC[],3,FALSE),"NA")</f>
        <v>NA</v>
      </c>
      <c r="S421" s="77">
        <f>IFERROR(VLOOKUP($H421,TEV[],3,FALSE),"NA")</f>
        <v>3</v>
      </c>
      <c r="T421" s="79">
        <f>SUM(TbPrestamo[[#This Row],[GENERAL]:[ELEVADOR]])</f>
        <v>3</v>
      </c>
      <c r="U421" s="80">
        <f>IF(VLOOKUP(TbPrestamo[[#This Row],[ITEM]],TbPiezas[],5,FALSE)="NA",0,VLOOKUP(TbPrestamo[[#This Row],[ITEM]],TbPiezas[],5,FALSE))</f>
        <v>1.8</v>
      </c>
      <c r="V421" s="81">
        <f>+TbPrestamo[[#This Row],[TOTAL]]*TbPrestamo[[#This Row],[P.U. (1)]]</f>
        <v>5.4</v>
      </c>
      <c r="W421" s="82">
        <f>+VLOOKUP(TbPrestamo[[#This Row],[ITEM]],TbPiezas[],6,FALSE)</f>
        <v>381.15</v>
      </c>
      <c r="X421" s="83">
        <f>+TbPrestamo[[#This Row],[TOTAL]]*TbPrestamo[[#This Row],[P.U. (2)]]</f>
        <v>1143.4499999999998</v>
      </c>
      <c r="Y421" s="82">
        <f>+VLOOKUP(TbPrestamo[[#This Row],[ITEM]],TbPiezas[],7,FALSE)</f>
        <v>19.057500000000001</v>
      </c>
      <c r="Z421" s="84">
        <f>+TbPrestamo[[#This Row],[TOTAL]]*TbPrestamo[[#This Row],[P.U. (3)]]</f>
        <v>57.172499999999999</v>
      </c>
    </row>
    <row r="422" spans="1:26" s="4" customFormat="1" x14ac:dyDescent="0.3">
      <c r="A422" s="2"/>
      <c r="B422" s="85">
        <v>400</v>
      </c>
      <c r="C422" s="71" t="s">
        <v>780</v>
      </c>
      <c r="D422" s="72" t="s">
        <v>1427</v>
      </c>
      <c r="E422" s="73"/>
      <c r="F422" s="74">
        <f>+VLOOKUP(C422,TbPrestamo[],13,FALSE)</f>
        <v>2</v>
      </c>
      <c r="G422" s="2"/>
      <c r="H422" s="75" t="str">
        <f t="shared" si="12"/>
        <v>EV.2000</v>
      </c>
      <c r="I422" s="59" t="str">
        <f t="shared" si="13"/>
        <v>ok</v>
      </c>
      <c r="J422" s="77">
        <f>IFERROR(VLOOKUP($H422,TG[],3,FALSE),"NA")</f>
        <v>0</v>
      </c>
      <c r="K422" s="77" t="str">
        <f>IFERROR(VLOOKUP($H422,TF[],3,FALSE),"NA")</f>
        <v>NA</v>
      </c>
      <c r="L422" s="77" t="str">
        <f>IFERROR(VLOOKUP($H422,TT[],3,FALSE),"NA")</f>
        <v>NA</v>
      </c>
      <c r="M422" s="77" t="str">
        <f>IFERROR(VLOOKUP($H422,TES[],3,FALSE),"NA")</f>
        <v>NA</v>
      </c>
      <c r="N422" s="77" t="str">
        <f>IFERROR(VLOOKUP($H422,TEC[],3,FALSE),"NA")</f>
        <v>NA</v>
      </c>
      <c r="O422" s="77" t="str">
        <f>IFERROR(VLOOKUP($H422,TP[],3,FALSE),"NA")</f>
        <v>NA</v>
      </c>
      <c r="P422" s="77" t="str">
        <f>IFERROR(VLOOKUP($H422,TEN[],3,FALSE),"NA")</f>
        <v>NA</v>
      </c>
      <c r="Q422" s="77" t="str">
        <f>IFERROR(VLOOKUP($H422,TD[],3,FALSE),"NA")</f>
        <v>NA</v>
      </c>
      <c r="R422" s="77" t="str">
        <f>IFERROR(VLOOKUP($H422,TC[],3,FALSE),"NA")</f>
        <v>NA</v>
      </c>
      <c r="S422" s="77">
        <f>IFERROR(VLOOKUP($H422,TEV[],3,FALSE),"NA")</f>
        <v>2</v>
      </c>
      <c r="T422" s="79">
        <f>SUM(TbPrestamo[[#This Row],[GENERAL]:[ELEVADOR]])</f>
        <v>2</v>
      </c>
      <c r="U422" s="80">
        <f>IF(VLOOKUP(TbPrestamo[[#This Row],[ITEM]],TbPiezas[],5,FALSE)="NA",0,VLOOKUP(TbPrestamo[[#This Row],[ITEM]],TbPiezas[],5,FALSE))</f>
        <v>70</v>
      </c>
      <c r="V422" s="81">
        <f>+TbPrestamo[[#This Row],[TOTAL]]*TbPrestamo[[#This Row],[P.U. (1)]]</f>
        <v>140</v>
      </c>
      <c r="W422" s="82">
        <f>+VLOOKUP(TbPrestamo[[#This Row],[ITEM]],TbPiezas[],6,FALSE)</f>
        <v>23698.639999999999</v>
      </c>
      <c r="X422" s="83">
        <f>+TbPrestamo[[#This Row],[TOTAL]]*TbPrestamo[[#This Row],[P.U. (2)]]</f>
        <v>47397.279999999999</v>
      </c>
      <c r="Y422" s="82">
        <f>+VLOOKUP(TbPrestamo[[#This Row],[ITEM]],TbPiezas[],7,FALSE)</f>
        <v>1184.932</v>
      </c>
      <c r="Z422" s="84">
        <f>+TbPrestamo[[#This Row],[TOTAL]]*TbPrestamo[[#This Row],[P.U. (3)]]</f>
        <v>2369.864</v>
      </c>
    </row>
    <row r="423" spans="1:26" s="4" customFormat="1" x14ac:dyDescent="0.3">
      <c r="A423" s="2"/>
      <c r="B423" s="85">
        <v>401</v>
      </c>
      <c r="C423" s="71" t="s">
        <v>1429</v>
      </c>
      <c r="D423" s="72" t="s">
        <v>1428</v>
      </c>
      <c r="E423" s="73"/>
      <c r="F423" s="74">
        <f>+VLOOKUP(C423,TbPrestamo[],13,FALSE)</f>
        <v>0</v>
      </c>
      <c r="G423" s="2"/>
      <c r="H423" s="75" t="str">
        <f t="shared" si="12"/>
        <v>EV.2050</v>
      </c>
      <c r="I423" s="59" t="str">
        <f t="shared" si="13"/>
        <v>ok</v>
      </c>
      <c r="J423" s="77">
        <f>IFERROR(VLOOKUP($H423,TG[],3,FALSE),"NA")</f>
        <v>0</v>
      </c>
      <c r="K423" s="77" t="str">
        <f>IFERROR(VLOOKUP($H423,TF[],3,FALSE),"NA")</f>
        <v>NA</v>
      </c>
      <c r="L423" s="77" t="str">
        <f>IFERROR(VLOOKUP($H423,TT[],3,FALSE),"NA")</f>
        <v>NA</v>
      </c>
      <c r="M423" s="77" t="str">
        <f>IFERROR(VLOOKUP($H423,TES[],3,FALSE),"NA")</f>
        <v>NA</v>
      </c>
      <c r="N423" s="77" t="str">
        <f>IFERROR(VLOOKUP($H423,TEC[],3,FALSE),"NA")</f>
        <v>NA</v>
      </c>
      <c r="O423" s="77" t="str">
        <f>IFERROR(VLOOKUP($H423,TP[],3,FALSE),"NA")</f>
        <v>NA</v>
      </c>
      <c r="P423" s="77" t="str">
        <f>IFERROR(VLOOKUP($H423,TEN[],3,FALSE),"NA")</f>
        <v>NA</v>
      </c>
      <c r="Q423" s="77" t="str">
        <f>IFERROR(VLOOKUP($H423,TD[],3,FALSE),"NA")</f>
        <v>NA</v>
      </c>
      <c r="R423" s="77" t="str">
        <f>IFERROR(VLOOKUP($H423,TC[],3,FALSE),"NA")</f>
        <v>NA</v>
      </c>
      <c r="S423" s="77" t="str">
        <f>IFERROR(VLOOKUP($H423,TEV[],3,FALSE),"NA")</f>
        <v>NA</v>
      </c>
      <c r="T423" s="79">
        <f>SUM(TbPrestamo[[#This Row],[GENERAL]:[ELEVADOR]])</f>
        <v>0</v>
      </c>
      <c r="U423" s="80">
        <f>IF(VLOOKUP(TbPrestamo[[#This Row],[ITEM]],TbPiezas[],5,FALSE)="NA",0,VLOOKUP(TbPrestamo[[#This Row],[ITEM]],TbPiezas[],5,FALSE))</f>
        <v>0</v>
      </c>
      <c r="V423" s="81">
        <f>+TbPrestamo[[#This Row],[TOTAL]]*TbPrestamo[[#This Row],[P.U. (1)]]</f>
        <v>0</v>
      </c>
      <c r="W423" s="82">
        <f>+VLOOKUP(TbPrestamo[[#This Row],[ITEM]],TbPiezas[],6,FALSE)</f>
        <v>0</v>
      </c>
      <c r="X423" s="83">
        <f>+TbPrestamo[[#This Row],[TOTAL]]*TbPrestamo[[#This Row],[P.U. (2)]]</f>
        <v>0</v>
      </c>
      <c r="Y423" s="82">
        <f>+VLOOKUP(TbPrestamo[[#This Row],[ITEM]],TbPiezas[],7,FALSE)</f>
        <v>0</v>
      </c>
      <c r="Z423" s="84">
        <f>+TbPrestamo[[#This Row],[TOTAL]]*TbPrestamo[[#This Row],[P.U. (3)]]</f>
        <v>0</v>
      </c>
    </row>
    <row r="424" spans="1:26" s="4" customFormat="1" x14ac:dyDescent="0.3">
      <c r="A424" s="2"/>
      <c r="B424" s="85">
        <v>402</v>
      </c>
      <c r="C424" s="71" t="s">
        <v>781</v>
      </c>
      <c r="D424" s="72" t="s">
        <v>1430</v>
      </c>
      <c r="E424" s="73"/>
      <c r="F424" s="74">
        <f>+VLOOKUP(C424,TbPrestamo[],13,FALSE)</f>
        <v>1</v>
      </c>
      <c r="G424" s="2"/>
      <c r="H424" s="75" t="str">
        <f t="shared" si="12"/>
        <v>EV.2100</v>
      </c>
      <c r="I424" s="59" t="str">
        <f t="shared" si="13"/>
        <v>ok</v>
      </c>
      <c r="J424" s="77">
        <f>IFERROR(VLOOKUP($H424,TG[],3,FALSE),"NA")</f>
        <v>0</v>
      </c>
      <c r="K424" s="77" t="str">
        <f>IFERROR(VLOOKUP($H424,TF[],3,FALSE),"NA")</f>
        <v>NA</v>
      </c>
      <c r="L424" s="77" t="str">
        <f>IFERROR(VLOOKUP($H424,TT[],3,FALSE),"NA")</f>
        <v>NA</v>
      </c>
      <c r="M424" s="77" t="str">
        <f>IFERROR(VLOOKUP($H424,TES[],3,FALSE),"NA")</f>
        <v>NA</v>
      </c>
      <c r="N424" s="77" t="str">
        <f>IFERROR(VLOOKUP($H424,TEC[],3,FALSE),"NA")</f>
        <v>NA</v>
      </c>
      <c r="O424" s="77" t="str">
        <f>IFERROR(VLOOKUP($H424,TP[],3,FALSE),"NA")</f>
        <v>NA</v>
      </c>
      <c r="P424" s="77" t="str">
        <f>IFERROR(VLOOKUP($H424,TEN[],3,FALSE),"NA")</f>
        <v>NA</v>
      </c>
      <c r="Q424" s="77" t="str">
        <f>IFERROR(VLOOKUP($H424,TD[],3,FALSE),"NA")</f>
        <v>NA</v>
      </c>
      <c r="R424" s="77" t="str">
        <f>IFERROR(VLOOKUP($H424,TC[],3,FALSE),"NA")</f>
        <v>NA</v>
      </c>
      <c r="S424" s="77">
        <f>IFERROR(VLOOKUP($H424,TEV[],3,FALSE),"NA")</f>
        <v>1</v>
      </c>
      <c r="T424" s="79">
        <f>SUM(TbPrestamo[[#This Row],[GENERAL]:[ELEVADOR]])</f>
        <v>1</v>
      </c>
      <c r="U424" s="80">
        <f>IF(VLOOKUP(TbPrestamo[[#This Row],[ITEM]],TbPiezas[],5,FALSE)="NA",0,VLOOKUP(TbPrestamo[[#This Row],[ITEM]],TbPiezas[],5,FALSE))</f>
        <v>16</v>
      </c>
      <c r="V424" s="81">
        <f>+TbPrestamo[[#This Row],[TOTAL]]*TbPrestamo[[#This Row],[P.U. (1)]]</f>
        <v>16</v>
      </c>
      <c r="W424" s="82">
        <f>+VLOOKUP(TbPrestamo[[#This Row],[ITEM]],TbPiezas[],6,FALSE)</f>
        <v>3176.25</v>
      </c>
      <c r="X424" s="83">
        <f>+TbPrestamo[[#This Row],[TOTAL]]*TbPrestamo[[#This Row],[P.U. (2)]]</f>
        <v>3176.25</v>
      </c>
      <c r="Y424" s="82">
        <f>+VLOOKUP(TbPrestamo[[#This Row],[ITEM]],TbPiezas[],7,FALSE)</f>
        <v>158.8125</v>
      </c>
      <c r="Z424" s="84">
        <f>+TbPrestamo[[#This Row],[TOTAL]]*TbPrestamo[[#This Row],[P.U. (3)]]</f>
        <v>158.8125</v>
      </c>
    </row>
    <row r="425" spans="1:26" s="4" customFormat="1" x14ac:dyDescent="0.3">
      <c r="A425" s="2"/>
      <c r="B425" s="85">
        <v>403</v>
      </c>
      <c r="C425" s="71" t="s">
        <v>1432</v>
      </c>
      <c r="D425" s="72" t="s">
        <v>1431</v>
      </c>
      <c r="E425" s="73"/>
      <c r="F425" s="74">
        <f>+VLOOKUP(C425,TbPrestamo[],13,FALSE)</f>
        <v>0</v>
      </c>
      <c r="G425" s="2"/>
      <c r="H425" s="75" t="str">
        <f t="shared" si="12"/>
        <v>EV.2110</v>
      </c>
      <c r="I425" s="59" t="str">
        <f t="shared" si="13"/>
        <v>ok</v>
      </c>
      <c r="J425" s="77">
        <f>IFERROR(VLOOKUP($H425,TG[],3,FALSE),"NA")</f>
        <v>0</v>
      </c>
      <c r="K425" s="77" t="str">
        <f>IFERROR(VLOOKUP($H425,TF[],3,FALSE),"NA")</f>
        <v>NA</v>
      </c>
      <c r="L425" s="77" t="str">
        <f>IFERROR(VLOOKUP($H425,TT[],3,FALSE),"NA")</f>
        <v>NA</v>
      </c>
      <c r="M425" s="77" t="str">
        <f>IFERROR(VLOOKUP($H425,TES[],3,FALSE),"NA")</f>
        <v>NA</v>
      </c>
      <c r="N425" s="77" t="str">
        <f>IFERROR(VLOOKUP($H425,TEC[],3,FALSE),"NA")</f>
        <v>NA</v>
      </c>
      <c r="O425" s="77" t="str">
        <f>IFERROR(VLOOKUP($H425,TP[],3,FALSE),"NA")</f>
        <v>NA</v>
      </c>
      <c r="P425" s="77" t="str">
        <f>IFERROR(VLOOKUP($H425,TEN[],3,FALSE),"NA")</f>
        <v>NA</v>
      </c>
      <c r="Q425" s="77" t="str">
        <f>IFERROR(VLOOKUP($H425,TD[],3,FALSE),"NA")</f>
        <v>NA</v>
      </c>
      <c r="R425" s="77" t="str">
        <f>IFERROR(VLOOKUP($H425,TC[],3,FALSE),"NA")</f>
        <v>NA</v>
      </c>
      <c r="S425" s="77" t="str">
        <f>IFERROR(VLOOKUP($H425,TEV[],3,FALSE),"NA")</f>
        <v>NA</v>
      </c>
      <c r="T425" s="79">
        <f>SUM(TbPrestamo[[#This Row],[GENERAL]:[ELEVADOR]])</f>
        <v>0</v>
      </c>
      <c r="U425" s="80">
        <f>IF(VLOOKUP(TbPrestamo[[#This Row],[ITEM]],TbPiezas[],5,FALSE)="NA",0,VLOOKUP(TbPrestamo[[#This Row],[ITEM]],TbPiezas[],5,FALSE))</f>
        <v>0</v>
      </c>
      <c r="V425" s="81">
        <f>+TbPrestamo[[#This Row],[TOTAL]]*TbPrestamo[[#This Row],[P.U. (1)]]</f>
        <v>0</v>
      </c>
      <c r="W425" s="82">
        <f>+VLOOKUP(TbPrestamo[[#This Row],[ITEM]],TbPiezas[],6,FALSE)</f>
        <v>0</v>
      </c>
      <c r="X425" s="83">
        <f>+TbPrestamo[[#This Row],[TOTAL]]*TbPrestamo[[#This Row],[P.U. (2)]]</f>
        <v>0</v>
      </c>
      <c r="Y425" s="82">
        <f>+VLOOKUP(TbPrestamo[[#This Row],[ITEM]],TbPiezas[],7,FALSE)</f>
        <v>0</v>
      </c>
      <c r="Z425" s="84">
        <f>+TbPrestamo[[#This Row],[TOTAL]]*TbPrestamo[[#This Row],[P.U. (3)]]</f>
        <v>0</v>
      </c>
    </row>
    <row r="426" spans="1:26" s="4" customFormat="1" x14ac:dyDescent="0.3">
      <c r="A426" s="2"/>
      <c r="B426" s="85">
        <v>404</v>
      </c>
      <c r="C426" s="71" t="s">
        <v>782</v>
      </c>
      <c r="D426" s="72" t="s">
        <v>783</v>
      </c>
      <c r="E426" s="73"/>
      <c r="F426" s="74">
        <f>+VLOOKUP(C426,TbPrestamo[],13,FALSE)</f>
        <v>1</v>
      </c>
      <c r="G426" s="2"/>
      <c r="H426" s="75" t="str">
        <f t="shared" si="12"/>
        <v>EV.2200</v>
      </c>
      <c r="I426" s="59" t="str">
        <f t="shared" si="13"/>
        <v>ok</v>
      </c>
      <c r="J426" s="77">
        <f>IFERROR(VLOOKUP($H426,TG[],3,FALSE),"NA")</f>
        <v>0</v>
      </c>
      <c r="K426" s="77" t="str">
        <f>IFERROR(VLOOKUP($H426,TF[],3,FALSE),"NA")</f>
        <v>NA</v>
      </c>
      <c r="L426" s="77" t="str">
        <f>IFERROR(VLOOKUP($H426,TT[],3,FALSE),"NA")</f>
        <v>NA</v>
      </c>
      <c r="M426" s="77" t="str">
        <f>IFERROR(VLOOKUP($H426,TES[],3,FALSE),"NA")</f>
        <v>NA</v>
      </c>
      <c r="N426" s="77" t="str">
        <f>IFERROR(VLOOKUP($H426,TEC[],3,FALSE),"NA")</f>
        <v>NA</v>
      </c>
      <c r="O426" s="77" t="str">
        <f>IFERROR(VLOOKUP($H426,TP[],3,FALSE),"NA")</f>
        <v>NA</v>
      </c>
      <c r="P426" s="77" t="str">
        <f>IFERROR(VLOOKUP($H426,TEN[],3,FALSE),"NA")</f>
        <v>NA</v>
      </c>
      <c r="Q426" s="77" t="str">
        <f>IFERROR(VLOOKUP($H426,TD[],3,FALSE),"NA")</f>
        <v>NA</v>
      </c>
      <c r="R426" s="77" t="str">
        <f>IFERROR(VLOOKUP($H426,TC[],3,FALSE),"NA")</f>
        <v>NA</v>
      </c>
      <c r="S426" s="77">
        <f>IFERROR(VLOOKUP($H426,TEV[],3,FALSE),"NA")</f>
        <v>1</v>
      </c>
      <c r="T426" s="79">
        <f>SUM(TbPrestamo[[#This Row],[GENERAL]:[ELEVADOR]])</f>
        <v>1</v>
      </c>
      <c r="U426" s="80">
        <f>IF(VLOOKUP(TbPrestamo[[#This Row],[ITEM]],TbPiezas[],5,FALSE)="NA",0,VLOOKUP(TbPrestamo[[#This Row],[ITEM]],TbPiezas[],5,FALSE))</f>
        <v>400</v>
      </c>
      <c r="V426" s="81">
        <f>+TbPrestamo[[#This Row],[TOTAL]]*TbPrestamo[[#This Row],[P.U. (1)]]</f>
        <v>400</v>
      </c>
      <c r="W426" s="82">
        <f>+VLOOKUP(TbPrestamo[[#This Row],[ITEM]],TbPiezas[],6,FALSE)</f>
        <v>2413.9499999999998</v>
      </c>
      <c r="X426" s="83">
        <f>+TbPrestamo[[#This Row],[TOTAL]]*TbPrestamo[[#This Row],[P.U. (2)]]</f>
        <v>2413.9499999999998</v>
      </c>
      <c r="Y426" s="82">
        <f>+VLOOKUP(TbPrestamo[[#This Row],[ITEM]],TbPiezas[],7,FALSE)</f>
        <v>120.69749999999999</v>
      </c>
      <c r="Z426" s="84">
        <f>+TbPrestamo[[#This Row],[TOTAL]]*TbPrestamo[[#This Row],[P.U. (3)]]</f>
        <v>120.69749999999999</v>
      </c>
    </row>
    <row r="427" spans="1:26" s="4" customFormat="1" x14ac:dyDescent="0.3">
      <c r="A427" s="2"/>
      <c r="B427" s="85">
        <v>405</v>
      </c>
      <c r="C427" s="71" t="s">
        <v>784</v>
      </c>
      <c r="D427" s="72" t="s">
        <v>785</v>
      </c>
      <c r="E427" s="73"/>
      <c r="F427" s="74">
        <f>+VLOOKUP(C427,TbPrestamo[],13,FALSE)</f>
        <v>1</v>
      </c>
      <c r="G427" s="2"/>
      <c r="H427" s="75" t="str">
        <f t="shared" si="12"/>
        <v>EV.2300</v>
      </c>
      <c r="I427" s="59" t="str">
        <f t="shared" si="13"/>
        <v>ok</v>
      </c>
      <c r="J427" s="77">
        <f>IFERROR(VLOOKUP($H427,TG[],3,FALSE),"NA")</f>
        <v>0</v>
      </c>
      <c r="K427" s="77" t="str">
        <f>IFERROR(VLOOKUP($H427,TF[],3,FALSE),"NA")</f>
        <v>NA</v>
      </c>
      <c r="L427" s="77" t="str">
        <f>IFERROR(VLOOKUP($H427,TT[],3,FALSE),"NA")</f>
        <v>NA</v>
      </c>
      <c r="M427" s="77" t="str">
        <f>IFERROR(VLOOKUP($H427,TES[],3,FALSE),"NA")</f>
        <v>NA</v>
      </c>
      <c r="N427" s="77" t="str">
        <f>IFERROR(VLOOKUP($H427,TEC[],3,FALSE),"NA")</f>
        <v>NA</v>
      </c>
      <c r="O427" s="77" t="str">
        <f>IFERROR(VLOOKUP($H427,TP[],3,FALSE),"NA")</f>
        <v>NA</v>
      </c>
      <c r="P427" s="77" t="str">
        <f>IFERROR(VLOOKUP($H427,TEN[],3,FALSE),"NA")</f>
        <v>NA</v>
      </c>
      <c r="Q427" s="77" t="str">
        <f>IFERROR(VLOOKUP($H427,TD[],3,FALSE),"NA")</f>
        <v>NA</v>
      </c>
      <c r="R427" s="77" t="str">
        <f>IFERROR(VLOOKUP($H427,TC[],3,FALSE),"NA")</f>
        <v>NA</v>
      </c>
      <c r="S427" s="77">
        <f>IFERROR(VLOOKUP($H427,TEV[],3,FALSE),"NA")</f>
        <v>1</v>
      </c>
      <c r="T427" s="79">
        <f>SUM(TbPrestamo[[#This Row],[GENERAL]:[ELEVADOR]])</f>
        <v>1</v>
      </c>
      <c r="U427" s="80">
        <f>IF(VLOOKUP(TbPrestamo[[#This Row],[ITEM]],TbPiezas[],5,FALSE)="NA",0,VLOOKUP(TbPrestamo[[#This Row],[ITEM]],TbPiezas[],5,FALSE))</f>
        <v>17.8</v>
      </c>
      <c r="V427" s="81">
        <f>+TbPrestamo[[#This Row],[TOTAL]]*TbPrestamo[[#This Row],[P.U. (1)]]</f>
        <v>17.8</v>
      </c>
      <c r="W427" s="82">
        <f>+VLOOKUP(TbPrestamo[[#This Row],[ITEM]],TbPiezas[],6,FALSE)</f>
        <v>3176.25</v>
      </c>
      <c r="X427" s="83">
        <f>+TbPrestamo[[#This Row],[TOTAL]]*TbPrestamo[[#This Row],[P.U. (2)]]</f>
        <v>3176.25</v>
      </c>
      <c r="Y427" s="82">
        <f>+VLOOKUP(TbPrestamo[[#This Row],[ITEM]],TbPiezas[],7,FALSE)</f>
        <v>158.8125</v>
      </c>
      <c r="Z427" s="84">
        <f>+TbPrestamo[[#This Row],[TOTAL]]*TbPrestamo[[#This Row],[P.U. (3)]]</f>
        <v>158.8125</v>
      </c>
    </row>
    <row r="428" spans="1:26" s="4" customFormat="1" x14ac:dyDescent="0.3">
      <c r="A428" s="2"/>
      <c r="B428" s="85">
        <v>406</v>
      </c>
      <c r="C428" s="71" t="s">
        <v>1434</v>
      </c>
      <c r="D428" s="72" t="s">
        <v>1433</v>
      </c>
      <c r="E428" s="73"/>
      <c r="F428" s="74">
        <f>+VLOOKUP(C428,TbPrestamo[],13,FALSE)</f>
        <v>0</v>
      </c>
      <c r="G428" s="2"/>
      <c r="H428" s="75" t="str">
        <f t="shared" si="12"/>
        <v>EV.2310</v>
      </c>
      <c r="I428" s="59" t="str">
        <f t="shared" si="13"/>
        <v>ok</v>
      </c>
      <c r="J428" s="77">
        <f>IFERROR(VLOOKUP($H428,TG[],3,FALSE),"NA")</f>
        <v>0</v>
      </c>
      <c r="K428" s="77" t="str">
        <f>IFERROR(VLOOKUP($H428,TF[],3,FALSE),"NA")</f>
        <v>NA</v>
      </c>
      <c r="L428" s="77" t="str">
        <f>IFERROR(VLOOKUP($H428,TT[],3,FALSE),"NA")</f>
        <v>NA</v>
      </c>
      <c r="M428" s="77" t="str">
        <f>IFERROR(VLOOKUP($H428,TES[],3,FALSE),"NA")</f>
        <v>NA</v>
      </c>
      <c r="N428" s="77" t="str">
        <f>IFERROR(VLOOKUP($H428,TEC[],3,FALSE),"NA")</f>
        <v>NA</v>
      </c>
      <c r="O428" s="77" t="str">
        <f>IFERROR(VLOOKUP($H428,TP[],3,FALSE),"NA")</f>
        <v>NA</v>
      </c>
      <c r="P428" s="77" t="str">
        <f>IFERROR(VLOOKUP($H428,TEN[],3,FALSE),"NA")</f>
        <v>NA</v>
      </c>
      <c r="Q428" s="77" t="str">
        <f>IFERROR(VLOOKUP($H428,TD[],3,FALSE),"NA")</f>
        <v>NA</v>
      </c>
      <c r="R428" s="77" t="str">
        <f>IFERROR(VLOOKUP($H428,TC[],3,FALSE),"NA")</f>
        <v>NA</v>
      </c>
      <c r="S428" s="77" t="str">
        <f>IFERROR(VLOOKUP($H428,TEV[],3,FALSE),"NA")</f>
        <v>NA</v>
      </c>
      <c r="T428" s="79">
        <f>SUM(TbPrestamo[[#This Row],[GENERAL]:[ELEVADOR]])</f>
        <v>0</v>
      </c>
      <c r="U428" s="80">
        <f>IF(VLOOKUP(TbPrestamo[[#This Row],[ITEM]],TbPiezas[],5,FALSE)="NA",0,VLOOKUP(TbPrestamo[[#This Row],[ITEM]],TbPiezas[],5,FALSE))</f>
        <v>0</v>
      </c>
      <c r="V428" s="81">
        <f>+TbPrestamo[[#This Row],[TOTAL]]*TbPrestamo[[#This Row],[P.U. (1)]]</f>
        <v>0</v>
      </c>
      <c r="W428" s="82">
        <f>+VLOOKUP(TbPrestamo[[#This Row],[ITEM]],TbPiezas[],6,FALSE)</f>
        <v>0</v>
      </c>
      <c r="X428" s="83">
        <f>+TbPrestamo[[#This Row],[TOTAL]]*TbPrestamo[[#This Row],[P.U. (2)]]</f>
        <v>0</v>
      </c>
      <c r="Y428" s="82">
        <f>+VLOOKUP(TbPrestamo[[#This Row],[ITEM]],TbPiezas[],7,FALSE)</f>
        <v>0</v>
      </c>
      <c r="Z428" s="84">
        <f>+TbPrestamo[[#This Row],[TOTAL]]*TbPrestamo[[#This Row],[P.U. (3)]]</f>
        <v>0</v>
      </c>
    </row>
    <row r="429" spans="1:26" s="4" customFormat="1" x14ac:dyDescent="0.3">
      <c r="A429" s="2"/>
      <c r="B429" s="85">
        <v>407</v>
      </c>
      <c r="C429" s="71" t="s">
        <v>786</v>
      </c>
      <c r="D429" s="72" t="s">
        <v>787</v>
      </c>
      <c r="E429" s="73"/>
      <c r="F429" s="74">
        <f>+VLOOKUP(C429,TbPrestamo[],13,FALSE)</f>
        <v>2</v>
      </c>
      <c r="G429" s="2"/>
      <c r="H429" s="75" t="str">
        <f t="shared" si="12"/>
        <v>EV.2400</v>
      </c>
      <c r="I429" s="59" t="str">
        <f t="shared" si="13"/>
        <v>ok</v>
      </c>
      <c r="J429" s="77">
        <f>IFERROR(VLOOKUP($H429,TG[],3,FALSE),"NA")</f>
        <v>0</v>
      </c>
      <c r="K429" s="77" t="str">
        <f>IFERROR(VLOOKUP($H429,TF[],3,FALSE),"NA")</f>
        <v>NA</v>
      </c>
      <c r="L429" s="77" t="str">
        <f>IFERROR(VLOOKUP($H429,TT[],3,FALSE),"NA")</f>
        <v>NA</v>
      </c>
      <c r="M429" s="77" t="str">
        <f>IFERROR(VLOOKUP($H429,TES[],3,FALSE),"NA")</f>
        <v>NA</v>
      </c>
      <c r="N429" s="77" t="str">
        <f>IFERROR(VLOOKUP($H429,TEC[],3,FALSE),"NA")</f>
        <v>NA</v>
      </c>
      <c r="O429" s="77" t="str">
        <f>IFERROR(VLOOKUP($H429,TP[],3,FALSE),"NA")</f>
        <v>NA</v>
      </c>
      <c r="P429" s="77" t="str">
        <f>IFERROR(VLOOKUP($H429,TEN[],3,FALSE),"NA")</f>
        <v>NA</v>
      </c>
      <c r="Q429" s="77" t="str">
        <f>IFERROR(VLOOKUP($H429,TD[],3,FALSE),"NA")</f>
        <v>NA</v>
      </c>
      <c r="R429" s="77" t="str">
        <f>IFERROR(VLOOKUP($H429,TC[],3,FALSE),"NA")</f>
        <v>NA</v>
      </c>
      <c r="S429" s="77">
        <f>IFERROR(VLOOKUP($H429,TEV[],3,FALSE),"NA")</f>
        <v>2</v>
      </c>
      <c r="T429" s="79">
        <f>SUM(TbPrestamo[[#This Row],[GENERAL]:[ELEVADOR]])</f>
        <v>2</v>
      </c>
      <c r="U429" s="80">
        <f>IF(VLOOKUP(TbPrestamo[[#This Row],[ITEM]],TbPiezas[],5,FALSE)="NA",0,VLOOKUP(TbPrestamo[[#This Row],[ITEM]],TbPiezas[],5,FALSE))</f>
        <v>0.1</v>
      </c>
      <c r="V429" s="81">
        <f>+TbPrestamo[[#This Row],[TOTAL]]*TbPrestamo[[#This Row],[P.U. (1)]]</f>
        <v>0.2</v>
      </c>
      <c r="W429" s="82">
        <f>+VLOOKUP(TbPrestamo[[#This Row],[ITEM]],TbPiezas[],6,FALSE)</f>
        <v>190.58</v>
      </c>
      <c r="X429" s="83">
        <f>+TbPrestamo[[#This Row],[TOTAL]]*TbPrestamo[[#This Row],[P.U. (2)]]</f>
        <v>381.16</v>
      </c>
      <c r="Y429" s="82">
        <f>+VLOOKUP(TbPrestamo[[#This Row],[ITEM]],TbPiezas[],7,FALSE)</f>
        <v>9.5290000000000017</v>
      </c>
      <c r="Z429" s="84">
        <f>+TbPrestamo[[#This Row],[TOTAL]]*TbPrestamo[[#This Row],[P.U. (3)]]</f>
        <v>19.058000000000003</v>
      </c>
    </row>
    <row r="430" spans="1:26" s="4" customFormat="1" x14ac:dyDescent="0.3">
      <c r="A430" s="2"/>
      <c r="B430" s="85">
        <v>408</v>
      </c>
      <c r="C430" s="71" t="s">
        <v>788</v>
      </c>
      <c r="D430" s="72" t="s">
        <v>1435</v>
      </c>
      <c r="E430" s="73"/>
      <c r="F430" s="74">
        <f>+VLOOKUP(C430,TbPrestamo[],13,FALSE)</f>
        <v>0</v>
      </c>
      <c r="G430" s="2"/>
      <c r="H430" s="75" t="str">
        <f t="shared" si="12"/>
        <v>EV.2500</v>
      </c>
      <c r="I430" s="59" t="str">
        <f t="shared" si="13"/>
        <v>ok</v>
      </c>
      <c r="J430" s="77">
        <f>IFERROR(VLOOKUP($H430,TG[],3,FALSE),"NA")</f>
        <v>0</v>
      </c>
      <c r="K430" s="77" t="str">
        <f>IFERROR(VLOOKUP($H430,TF[],3,FALSE),"NA")</f>
        <v>NA</v>
      </c>
      <c r="L430" s="77" t="str">
        <f>IFERROR(VLOOKUP($H430,TT[],3,FALSE),"NA")</f>
        <v>NA</v>
      </c>
      <c r="M430" s="77" t="str">
        <f>IFERROR(VLOOKUP($H430,TES[],3,FALSE),"NA")</f>
        <v>NA</v>
      </c>
      <c r="N430" s="77" t="str">
        <f>IFERROR(VLOOKUP($H430,TEC[],3,FALSE),"NA")</f>
        <v>NA</v>
      </c>
      <c r="O430" s="77" t="str">
        <f>IFERROR(VLOOKUP($H430,TP[],3,FALSE),"NA")</f>
        <v>NA</v>
      </c>
      <c r="P430" s="77" t="str">
        <f>IFERROR(VLOOKUP($H430,TEN[],3,FALSE),"NA")</f>
        <v>NA</v>
      </c>
      <c r="Q430" s="77" t="str">
        <f>IFERROR(VLOOKUP($H430,TD[],3,FALSE),"NA")</f>
        <v>NA</v>
      </c>
      <c r="R430" s="77" t="str">
        <f>IFERROR(VLOOKUP($H430,TC[],3,FALSE),"NA")</f>
        <v>NA</v>
      </c>
      <c r="S430" s="77" t="str">
        <f>IFERROR(VLOOKUP($H430,TEV[],3,FALSE),"NA")</f>
        <v>NA</v>
      </c>
      <c r="T430" s="79">
        <f>SUM(TbPrestamo[[#This Row],[GENERAL]:[ELEVADOR]])</f>
        <v>0</v>
      </c>
      <c r="U430" s="80">
        <f>IF(VLOOKUP(TbPrestamo[[#This Row],[ITEM]],TbPiezas[],5,FALSE)="NA",0,VLOOKUP(TbPrestamo[[#This Row],[ITEM]],TbPiezas[],5,FALSE))</f>
        <v>146</v>
      </c>
      <c r="V430" s="81">
        <f>+TbPrestamo[[#This Row],[TOTAL]]*TbPrestamo[[#This Row],[P.U. (1)]]</f>
        <v>0</v>
      </c>
      <c r="W430" s="82">
        <f>+VLOOKUP(TbPrestamo[[#This Row],[ITEM]],TbPiezas[],6,FALSE)</f>
        <v>6327.09</v>
      </c>
      <c r="X430" s="83">
        <f>+TbPrestamo[[#This Row],[TOTAL]]*TbPrestamo[[#This Row],[P.U. (2)]]</f>
        <v>0</v>
      </c>
      <c r="Y430" s="82">
        <f>+VLOOKUP(TbPrestamo[[#This Row],[ITEM]],TbPiezas[],7,FALSE)</f>
        <v>316.35450000000003</v>
      </c>
      <c r="Z430" s="84">
        <f>+TbPrestamo[[#This Row],[TOTAL]]*TbPrestamo[[#This Row],[P.U. (3)]]</f>
        <v>0</v>
      </c>
    </row>
    <row r="431" spans="1:26" s="4" customFormat="1" x14ac:dyDescent="0.3">
      <c r="A431" s="2"/>
      <c r="B431" s="85">
        <v>409</v>
      </c>
      <c r="C431" s="71" t="s">
        <v>1437</v>
      </c>
      <c r="D431" s="72" t="s">
        <v>1436</v>
      </c>
      <c r="E431" s="73"/>
      <c r="F431" s="74">
        <f>+VLOOKUP(C431,TbPrestamo[],13,FALSE)</f>
        <v>1</v>
      </c>
      <c r="G431" s="2"/>
      <c r="H431" s="75" t="str">
        <f t="shared" si="12"/>
        <v>EV.2510</v>
      </c>
      <c r="I431" s="59" t="str">
        <f t="shared" si="13"/>
        <v>ok</v>
      </c>
      <c r="J431" s="77">
        <f>IFERROR(VLOOKUP($H431,TG[],3,FALSE),"NA")</f>
        <v>0</v>
      </c>
      <c r="K431" s="77" t="str">
        <f>IFERROR(VLOOKUP($H431,TF[],3,FALSE),"NA")</f>
        <v>NA</v>
      </c>
      <c r="L431" s="77" t="str">
        <f>IFERROR(VLOOKUP($H431,TT[],3,FALSE),"NA")</f>
        <v>NA</v>
      </c>
      <c r="M431" s="77" t="str">
        <f>IFERROR(VLOOKUP($H431,TES[],3,FALSE),"NA")</f>
        <v>NA</v>
      </c>
      <c r="N431" s="77" t="str">
        <f>IFERROR(VLOOKUP($H431,TEC[],3,FALSE),"NA")</f>
        <v>NA</v>
      </c>
      <c r="O431" s="77" t="str">
        <f>IFERROR(VLOOKUP($H431,TP[],3,FALSE),"NA")</f>
        <v>NA</v>
      </c>
      <c r="P431" s="77" t="str">
        <f>IFERROR(VLOOKUP($H431,TEN[],3,FALSE),"NA")</f>
        <v>NA</v>
      </c>
      <c r="Q431" s="77" t="str">
        <f>IFERROR(VLOOKUP($H431,TD[],3,FALSE),"NA")</f>
        <v>NA</v>
      </c>
      <c r="R431" s="77" t="str">
        <f>IFERROR(VLOOKUP($H431,TC[],3,FALSE),"NA")</f>
        <v>NA</v>
      </c>
      <c r="S431" s="77">
        <f>IFERROR(VLOOKUP($H431,TEV[],3,FALSE),"NA")</f>
        <v>1</v>
      </c>
      <c r="T431" s="79">
        <f>SUM(TbPrestamo[[#This Row],[GENERAL]:[ELEVADOR]])</f>
        <v>1</v>
      </c>
      <c r="U431" s="80">
        <f>IF(VLOOKUP(TbPrestamo[[#This Row],[ITEM]],TbPiezas[],5,FALSE)="NA",0,VLOOKUP(TbPrestamo[[#This Row],[ITEM]],TbPiezas[],5,FALSE))</f>
        <v>0</v>
      </c>
      <c r="V431" s="81">
        <f>+TbPrestamo[[#This Row],[TOTAL]]*TbPrestamo[[#This Row],[P.U. (1)]]</f>
        <v>0</v>
      </c>
      <c r="W431" s="82">
        <f>+VLOOKUP(TbPrestamo[[#This Row],[ITEM]],TbPiezas[],6,FALSE)</f>
        <v>0</v>
      </c>
      <c r="X431" s="83">
        <f>+TbPrestamo[[#This Row],[TOTAL]]*TbPrestamo[[#This Row],[P.U. (2)]]</f>
        <v>0</v>
      </c>
      <c r="Y431" s="82">
        <f>+VLOOKUP(TbPrestamo[[#This Row],[ITEM]],TbPiezas[],7,FALSE)</f>
        <v>0</v>
      </c>
      <c r="Z431" s="84">
        <f>+TbPrestamo[[#This Row],[TOTAL]]*TbPrestamo[[#This Row],[P.U. (3)]]</f>
        <v>0</v>
      </c>
    </row>
    <row r="432" spans="1:26" s="4" customFormat="1" x14ac:dyDescent="0.3">
      <c r="A432" s="2"/>
      <c r="B432" s="85">
        <v>410</v>
      </c>
      <c r="C432" s="71" t="s">
        <v>789</v>
      </c>
      <c r="D432" s="72" t="s">
        <v>790</v>
      </c>
      <c r="E432" s="73"/>
      <c r="F432" s="74">
        <f>+VLOOKUP(C432,TbPrestamo[],13,FALSE)</f>
        <v>1</v>
      </c>
      <c r="G432" s="2"/>
      <c r="H432" s="75" t="str">
        <f t="shared" si="12"/>
        <v>EV.2600</v>
      </c>
      <c r="I432" s="59" t="str">
        <f t="shared" si="13"/>
        <v>ok</v>
      </c>
      <c r="J432" s="77">
        <f>IFERROR(VLOOKUP($H432,TG[],3,FALSE),"NA")</f>
        <v>0</v>
      </c>
      <c r="K432" s="77" t="str">
        <f>IFERROR(VLOOKUP($H432,TF[],3,FALSE),"NA")</f>
        <v>NA</v>
      </c>
      <c r="L432" s="77" t="str">
        <f>IFERROR(VLOOKUP($H432,TT[],3,FALSE),"NA")</f>
        <v>NA</v>
      </c>
      <c r="M432" s="77" t="str">
        <f>IFERROR(VLOOKUP($H432,TES[],3,FALSE),"NA")</f>
        <v>NA</v>
      </c>
      <c r="N432" s="77" t="str">
        <f>IFERROR(VLOOKUP($H432,TEC[],3,FALSE),"NA")</f>
        <v>NA</v>
      </c>
      <c r="O432" s="77" t="str">
        <f>IFERROR(VLOOKUP($H432,TP[],3,FALSE),"NA")</f>
        <v>NA</v>
      </c>
      <c r="P432" s="77" t="str">
        <f>IFERROR(VLOOKUP($H432,TEN[],3,FALSE),"NA")</f>
        <v>NA</v>
      </c>
      <c r="Q432" s="77" t="str">
        <f>IFERROR(VLOOKUP($H432,TD[],3,FALSE),"NA")</f>
        <v>NA</v>
      </c>
      <c r="R432" s="77" t="str">
        <f>IFERROR(VLOOKUP($H432,TC[],3,FALSE),"NA")</f>
        <v>NA</v>
      </c>
      <c r="S432" s="77">
        <f>IFERROR(VLOOKUP($H432,TEV[],3,FALSE),"NA")</f>
        <v>1</v>
      </c>
      <c r="T432" s="79">
        <f>SUM(TbPrestamo[[#This Row],[GENERAL]:[ELEVADOR]])</f>
        <v>1</v>
      </c>
      <c r="U432" s="80">
        <f>IF(VLOOKUP(TbPrestamo[[#This Row],[ITEM]],TbPiezas[],5,FALSE)="NA",0,VLOOKUP(TbPrestamo[[#This Row],[ITEM]],TbPiezas[],5,FALSE))</f>
        <v>18.3</v>
      </c>
      <c r="V432" s="81">
        <f>+TbPrestamo[[#This Row],[TOTAL]]*TbPrestamo[[#This Row],[P.U. (1)]]</f>
        <v>18.3</v>
      </c>
      <c r="W432" s="82">
        <f>+VLOOKUP(TbPrestamo[[#This Row],[ITEM]],TbPiezas[],6,FALSE)</f>
        <v>8258.25</v>
      </c>
      <c r="X432" s="83">
        <f>+TbPrestamo[[#This Row],[TOTAL]]*TbPrestamo[[#This Row],[P.U. (2)]]</f>
        <v>8258.25</v>
      </c>
      <c r="Y432" s="82">
        <f>+VLOOKUP(TbPrestamo[[#This Row],[ITEM]],TbPiezas[],7,FALSE)</f>
        <v>412.91250000000002</v>
      </c>
      <c r="Z432" s="84">
        <f>+TbPrestamo[[#This Row],[TOTAL]]*TbPrestamo[[#This Row],[P.U. (3)]]</f>
        <v>412.91250000000002</v>
      </c>
    </row>
    <row r="433" spans="1:26" s="4" customFormat="1" x14ac:dyDescent="0.3">
      <c r="A433" s="2"/>
      <c r="B433" s="85">
        <v>411</v>
      </c>
      <c r="C433" s="71" t="s">
        <v>791</v>
      </c>
      <c r="D433" s="72" t="s">
        <v>792</v>
      </c>
      <c r="E433" s="73"/>
      <c r="F433" s="74">
        <f>+VLOOKUP(C433,TbPrestamo[],13,FALSE)</f>
        <v>1</v>
      </c>
      <c r="G433" s="2"/>
      <c r="H433" s="75" t="str">
        <f t="shared" si="12"/>
        <v>EV.2700</v>
      </c>
      <c r="I433" s="59" t="str">
        <f t="shared" si="13"/>
        <v>ok</v>
      </c>
      <c r="J433" s="77">
        <f>IFERROR(VLOOKUP($H433,TG[],3,FALSE),"NA")</f>
        <v>0</v>
      </c>
      <c r="K433" s="77" t="str">
        <f>IFERROR(VLOOKUP($H433,TF[],3,FALSE),"NA")</f>
        <v>NA</v>
      </c>
      <c r="L433" s="77" t="str">
        <f>IFERROR(VLOOKUP($H433,TT[],3,FALSE),"NA")</f>
        <v>NA</v>
      </c>
      <c r="M433" s="77" t="str">
        <f>IFERROR(VLOOKUP($H433,TES[],3,FALSE),"NA")</f>
        <v>NA</v>
      </c>
      <c r="N433" s="77" t="str">
        <f>IFERROR(VLOOKUP($H433,TEC[],3,FALSE),"NA")</f>
        <v>NA</v>
      </c>
      <c r="O433" s="77" t="str">
        <f>IFERROR(VLOOKUP($H433,TP[],3,FALSE),"NA")</f>
        <v>NA</v>
      </c>
      <c r="P433" s="77" t="str">
        <f>IFERROR(VLOOKUP($H433,TEN[],3,FALSE),"NA")</f>
        <v>NA</v>
      </c>
      <c r="Q433" s="77" t="str">
        <f>IFERROR(VLOOKUP($H433,TD[],3,FALSE),"NA")</f>
        <v>NA</v>
      </c>
      <c r="R433" s="77" t="str">
        <f>IFERROR(VLOOKUP($H433,TC[],3,FALSE),"NA")</f>
        <v>NA</v>
      </c>
      <c r="S433" s="77">
        <f>IFERROR(VLOOKUP($H433,TEV[],3,FALSE),"NA")</f>
        <v>1</v>
      </c>
      <c r="T433" s="79">
        <f>SUM(TbPrestamo[[#This Row],[GENERAL]:[ELEVADOR]])</f>
        <v>1</v>
      </c>
      <c r="U433" s="80">
        <f>IF(VLOOKUP(TbPrestamo[[#This Row],[ITEM]],TbPiezas[],5,FALSE)="NA",0,VLOOKUP(TbPrestamo[[#This Row],[ITEM]],TbPiezas[],5,FALSE))</f>
        <v>29.7</v>
      </c>
      <c r="V433" s="81">
        <f>+TbPrestamo[[#This Row],[TOTAL]]*TbPrestamo[[#This Row],[P.U. (1)]]</f>
        <v>29.7</v>
      </c>
      <c r="W433" s="82">
        <f>+VLOOKUP(TbPrestamo[[#This Row],[ITEM]],TbPiezas[],6,FALSE)</f>
        <v>1206.98</v>
      </c>
      <c r="X433" s="83">
        <f>+TbPrestamo[[#This Row],[TOTAL]]*TbPrestamo[[#This Row],[P.U. (2)]]</f>
        <v>1206.98</v>
      </c>
      <c r="Y433" s="82">
        <f>+VLOOKUP(TbPrestamo[[#This Row],[ITEM]],TbPiezas[],7,FALSE)</f>
        <v>60.349000000000004</v>
      </c>
      <c r="Z433" s="84">
        <f>+TbPrestamo[[#This Row],[TOTAL]]*TbPrestamo[[#This Row],[P.U. (3)]]</f>
        <v>60.349000000000004</v>
      </c>
    </row>
    <row r="434" spans="1:26" s="4" customFormat="1" x14ac:dyDescent="0.3">
      <c r="A434" s="2"/>
      <c r="B434" s="85">
        <v>412</v>
      </c>
      <c r="C434" s="71" t="s">
        <v>793</v>
      </c>
      <c r="D434" s="72" t="s">
        <v>794</v>
      </c>
      <c r="E434" s="73"/>
      <c r="F434" s="74">
        <f>+VLOOKUP(C434,TbPrestamo[],13,FALSE)</f>
        <v>1</v>
      </c>
      <c r="G434" s="2"/>
      <c r="H434" s="75" t="str">
        <f t="shared" si="12"/>
        <v>EV.2800</v>
      </c>
      <c r="I434" s="59" t="str">
        <f t="shared" si="13"/>
        <v>ok</v>
      </c>
      <c r="J434" s="77">
        <f>IFERROR(VLOOKUP($H434,TG[],3,FALSE),"NA")</f>
        <v>0</v>
      </c>
      <c r="K434" s="77" t="str">
        <f>IFERROR(VLOOKUP($H434,TF[],3,FALSE),"NA")</f>
        <v>NA</v>
      </c>
      <c r="L434" s="77" t="str">
        <f>IFERROR(VLOOKUP($H434,TT[],3,FALSE),"NA")</f>
        <v>NA</v>
      </c>
      <c r="M434" s="77" t="str">
        <f>IFERROR(VLOOKUP($H434,TES[],3,FALSE),"NA")</f>
        <v>NA</v>
      </c>
      <c r="N434" s="77" t="str">
        <f>IFERROR(VLOOKUP($H434,TEC[],3,FALSE),"NA")</f>
        <v>NA</v>
      </c>
      <c r="O434" s="77" t="str">
        <f>IFERROR(VLOOKUP($H434,TP[],3,FALSE),"NA")</f>
        <v>NA</v>
      </c>
      <c r="P434" s="77" t="str">
        <f>IFERROR(VLOOKUP($H434,TEN[],3,FALSE),"NA")</f>
        <v>NA</v>
      </c>
      <c r="Q434" s="77" t="str">
        <f>IFERROR(VLOOKUP($H434,TD[],3,FALSE),"NA")</f>
        <v>NA</v>
      </c>
      <c r="R434" s="77" t="str">
        <f>IFERROR(VLOOKUP($H434,TC[],3,FALSE),"NA")</f>
        <v>NA</v>
      </c>
      <c r="S434" s="77">
        <f>IFERROR(VLOOKUP($H434,TEV[],3,FALSE),"NA")</f>
        <v>1</v>
      </c>
      <c r="T434" s="79">
        <f>SUM(TbPrestamo[[#This Row],[GENERAL]:[ELEVADOR]])</f>
        <v>1</v>
      </c>
      <c r="U434" s="80">
        <f>IF(VLOOKUP(TbPrestamo[[#This Row],[ITEM]],TbPiezas[],5,FALSE)="NA",0,VLOOKUP(TbPrestamo[[#This Row],[ITEM]],TbPiezas[],5,FALSE))</f>
        <v>0.7</v>
      </c>
      <c r="V434" s="81">
        <f>+TbPrestamo[[#This Row],[TOTAL]]*TbPrestamo[[#This Row],[P.U. (1)]]</f>
        <v>0.7</v>
      </c>
      <c r="W434" s="82">
        <f>+VLOOKUP(TbPrestamo[[#This Row],[ITEM]],TbPiezas[],6,FALSE)</f>
        <v>444.68</v>
      </c>
      <c r="X434" s="83">
        <f>+TbPrestamo[[#This Row],[TOTAL]]*TbPrestamo[[#This Row],[P.U. (2)]]</f>
        <v>444.68</v>
      </c>
      <c r="Y434" s="82">
        <f>+VLOOKUP(TbPrestamo[[#This Row],[ITEM]],TbPiezas[],7,FALSE)</f>
        <v>22.234000000000002</v>
      </c>
      <c r="Z434" s="84">
        <f>+TbPrestamo[[#This Row],[TOTAL]]*TbPrestamo[[#This Row],[P.U. (3)]]</f>
        <v>22.234000000000002</v>
      </c>
    </row>
    <row r="435" spans="1:26" s="4" customFormat="1" x14ac:dyDescent="0.3">
      <c r="A435" s="2"/>
      <c r="B435" s="85">
        <v>413</v>
      </c>
      <c r="C435" s="71" t="s">
        <v>795</v>
      </c>
      <c r="D435" s="72" t="s">
        <v>796</v>
      </c>
      <c r="E435" s="73"/>
      <c r="F435" s="74">
        <f>+VLOOKUP(C435,TbPrestamo[],13,FALSE)</f>
        <v>1</v>
      </c>
      <c r="G435" s="2"/>
      <c r="H435" s="75" t="str">
        <f t="shared" si="12"/>
        <v>EV.2900</v>
      </c>
      <c r="I435" s="59" t="str">
        <f t="shared" si="13"/>
        <v>ok</v>
      </c>
      <c r="J435" s="77">
        <f>IFERROR(VLOOKUP($H435,TG[],3,FALSE),"NA")</f>
        <v>0</v>
      </c>
      <c r="K435" s="77" t="str">
        <f>IFERROR(VLOOKUP($H435,TF[],3,FALSE),"NA")</f>
        <v>NA</v>
      </c>
      <c r="L435" s="77" t="str">
        <f>IFERROR(VLOOKUP($H435,TT[],3,FALSE),"NA")</f>
        <v>NA</v>
      </c>
      <c r="M435" s="77" t="str">
        <f>IFERROR(VLOOKUP($H435,TES[],3,FALSE),"NA")</f>
        <v>NA</v>
      </c>
      <c r="N435" s="77" t="str">
        <f>IFERROR(VLOOKUP($H435,TEC[],3,FALSE),"NA")</f>
        <v>NA</v>
      </c>
      <c r="O435" s="77" t="str">
        <f>IFERROR(VLOOKUP($H435,TP[],3,FALSE),"NA")</f>
        <v>NA</v>
      </c>
      <c r="P435" s="77" t="str">
        <f>IFERROR(VLOOKUP($H435,TEN[],3,FALSE),"NA")</f>
        <v>NA</v>
      </c>
      <c r="Q435" s="77" t="str">
        <f>IFERROR(VLOOKUP($H435,TD[],3,FALSE),"NA")</f>
        <v>NA</v>
      </c>
      <c r="R435" s="77" t="str">
        <f>IFERROR(VLOOKUP($H435,TC[],3,FALSE),"NA")</f>
        <v>NA</v>
      </c>
      <c r="S435" s="77">
        <f>IFERROR(VLOOKUP($H435,TEV[],3,FALSE),"NA")</f>
        <v>1</v>
      </c>
      <c r="T435" s="79">
        <f>SUM(TbPrestamo[[#This Row],[GENERAL]:[ELEVADOR]])</f>
        <v>1</v>
      </c>
      <c r="U435" s="80">
        <f>IF(VLOOKUP(TbPrestamo[[#This Row],[ITEM]],TbPiezas[],5,FALSE)="NA",0,VLOOKUP(TbPrestamo[[#This Row],[ITEM]],TbPiezas[],5,FALSE))</f>
        <v>0</v>
      </c>
      <c r="V435" s="81">
        <f>+TbPrestamo[[#This Row],[TOTAL]]*TbPrestamo[[#This Row],[P.U. (1)]]</f>
        <v>0</v>
      </c>
      <c r="W435" s="82">
        <f>+VLOOKUP(TbPrestamo[[#This Row],[ITEM]],TbPiezas[],6,FALSE)</f>
        <v>190.58</v>
      </c>
      <c r="X435" s="83">
        <f>+TbPrestamo[[#This Row],[TOTAL]]*TbPrestamo[[#This Row],[P.U. (2)]]</f>
        <v>190.58</v>
      </c>
      <c r="Y435" s="82">
        <f>+VLOOKUP(TbPrestamo[[#This Row],[ITEM]],TbPiezas[],7,FALSE)</f>
        <v>9.5290000000000017</v>
      </c>
      <c r="Z435" s="84">
        <f>+TbPrestamo[[#This Row],[TOTAL]]*TbPrestamo[[#This Row],[P.U. (3)]]</f>
        <v>9.5290000000000017</v>
      </c>
    </row>
    <row r="436" spans="1:26" s="4" customFormat="1" x14ac:dyDescent="0.3">
      <c r="A436" s="2"/>
      <c r="B436" s="85">
        <v>414</v>
      </c>
      <c r="C436" s="71" t="s">
        <v>1441</v>
      </c>
      <c r="D436" s="72" t="s">
        <v>1438</v>
      </c>
      <c r="E436" s="73"/>
      <c r="F436" s="74">
        <f>+VLOOKUP(C436,TbPrestamo[],13,FALSE)</f>
        <v>0</v>
      </c>
      <c r="G436" s="2"/>
      <c r="H436" s="75" t="str">
        <f t="shared" si="12"/>
        <v>EV.2910</v>
      </c>
      <c r="I436" s="59" t="str">
        <f t="shared" si="13"/>
        <v>ok</v>
      </c>
      <c r="J436" s="77">
        <f>IFERROR(VLOOKUP($H436,TG[],3,FALSE),"NA")</f>
        <v>0</v>
      </c>
      <c r="K436" s="77" t="str">
        <f>IFERROR(VLOOKUP($H436,TF[],3,FALSE),"NA")</f>
        <v>NA</v>
      </c>
      <c r="L436" s="77" t="str">
        <f>IFERROR(VLOOKUP($H436,TT[],3,FALSE),"NA")</f>
        <v>NA</v>
      </c>
      <c r="M436" s="77" t="str">
        <f>IFERROR(VLOOKUP($H436,TES[],3,FALSE),"NA")</f>
        <v>NA</v>
      </c>
      <c r="N436" s="77" t="str">
        <f>IFERROR(VLOOKUP($H436,TEC[],3,FALSE),"NA")</f>
        <v>NA</v>
      </c>
      <c r="O436" s="77" t="str">
        <f>IFERROR(VLOOKUP($H436,TP[],3,FALSE),"NA")</f>
        <v>NA</v>
      </c>
      <c r="P436" s="77" t="str">
        <f>IFERROR(VLOOKUP($H436,TEN[],3,FALSE),"NA")</f>
        <v>NA</v>
      </c>
      <c r="Q436" s="77" t="str">
        <f>IFERROR(VLOOKUP($H436,TD[],3,FALSE),"NA")</f>
        <v>NA</v>
      </c>
      <c r="R436" s="77" t="str">
        <f>IFERROR(VLOOKUP($H436,TC[],3,FALSE),"NA")</f>
        <v>NA</v>
      </c>
      <c r="S436" s="77" t="str">
        <f>IFERROR(VLOOKUP($H436,TEV[],3,FALSE),"NA")</f>
        <v>NA</v>
      </c>
      <c r="T436" s="79">
        <f>SUM(TbPrestamo[[#This Row],[GENERAL]:[ELEVADOR]])</f>
        <v>0</v>
      </c>
      <c r="U436" s="80">
        <f>IF(VLOOKUP(TbPrestamo[[#This Row],[ITEM]],TbPiezas[],5,FALSE)="NA",0,VLOOKUP(TbPrestamo[[#This Row],[ITEM]],TbPiezas[],5,FALSE))</f>
        <v>0</v>
      </c>
      <c r="V436" s="81">
        <f>+TbPrestamo[[#This Row],[TOTAL]]*TbPrestamo[[#This Row],[P.U. (1)]]</f>
        <v>0</v>
      </c>
      <c r="W436" s="82">
        <f>+VLOOKUP(TbPrestamo[[#This Row],[ITEM]],TbPiezas[],6,FALSE)</f>
        <v>0</v>
      </c>
      <c r="X436" s="83">
        <f>+TbPrestamo[[#This Row],[TOTAL]]*TbPrestamo[[#This Row],[P.U. (2)]]</f>
        <v>0</v>
      </c>
      <c r="Y436" s="82">
        <f>+VLOOKUP(TbPrestamo[[#This Row],[ITEM]],TbPiezas[],7,FALSE)</f>
        <v>0</v>
      </c>
      <c r="Z436" s="84">
        <f>+TbPrestamo[[#This Row],[TOTAL]]*TbPrestamo[[#This Row],[P.U. (3)]]</f>
        <v>0</v>
      </c>
    </row>
    <row r="437" spans="1:26" s="4" customFormat="1" x14ac:dyDescent="0.3">
      <c r="A437" s="2"/>
      <c r="B437" s="85">
        <v>415</v>
      </c>
      <c r="C437" s="71" t="s">
        <v>1441</v>
      </c>
      <c r="D437" s="72" t="s">
        <v>1439</v>
      </c>
      <c r="E437" s="73"/>
      <c r="F437" s="74">
        <f>+VLOOKUP(C437,TbPrestamo[],13,FALSE)</f>
        <v>0</v>
      </c>
      <c r="G437" s="2"/>
      <c r="H437" s="75" t="str">
        <f t="shared" si="12"/>
        <v>EV.2910</v>
      </c>
      <c r="I437" s="59" t="str">
        <f t="shared" si="13"/>
        <v>ok</v>
      </c>
      <c r="J437" s="77">
        <f>IFERROR(VLOOKUP($H437,TG[],3,FALSE),"NA")</f>
        <v>0</v>
      </c>
      <c r="K437" s="77" t="str">
        <f>IFERROR(VLOOKUP($H437,TF[],3,FALSE),"NA")</f>
        <v>NA</v>
      </c>
      <c r="L437" s="77" t="str">
        <f>IFERROR(VLOOKUP($H437,TT[],3,FALSE),"NA")</f>
        <v>NA</v>
      </c>
      <c r="M437" s="77" t="str">
        <f>IFERROR(VLOOKUP($H437,TES[],3,FALSE),"NA")</f>
        <v>NA</v>
      </c>
      <c r="N437" s="77" t="str">
        <f>IFERROR(VLOOKUP($H437,TEC[],3,FALSE),"NA")</f>
        <v>NA</v>
      </c>
      <c r="O437" s="77" t="str">
        <f>IFERROR(VLOOKUP($H437,TP[],3,FALSE),"NA")</f>
        <v>NA</v>
      </c>
      <c r="P437" s="77" t="str">
        <f>IFERROR(VLOOKUP($H437,TEN[],3,FALSE),"NA")</f>
        <v>NA</v>
      </c>
      <c r="Q437" s="77" t="str">
        <f>IFERROR(VLOOKUP($H437,TD[],3,FALSE),"NA")</f>
        <v>NA</v>
      </c>
      <c r="R437" s="77" t="str">
        <f>IFERROR(VLOOKUP($H437,TC[],3,FALSE),"NA")</f>
        <v>NA</v>
      </c>
      <c r="S437" s="77" t="str">
        <f>IFERROR(VLOOKUP($H437,TEV[],3,FALSE),"NA")</f>
        <v>NA</v>
      </c>
      <c r="T437" s="79">
        <f>SUM(TbPrestamo[[#This Row],[GENERAL]:[ELEVADOR]])</f>
        <v>0</v>
      </c>
      <c r="U437" s="80">
        <f>IF(VLOOKUP(TbPrestamo[[#This Row],[ITEM]],TbPiezas[],5,FALSE)="NA",0,VLOOKUP(TbPrestamo[[#This Row],[ITEM]],TbPiezas[],5,FALSE))</f>
        <v>0</v>
      </c>
      <c r="V437" s="81">
        <f>+TbPrestamo[[#This Row],[TOTAL]]*TbPrestamo[[#This Row],[P.U. (1)]]</f>
        <v>0</v>
      </c>
      <c r="W437" s="82">
        <f>+VLOOKUP(TbPrestamo[[#This Row],[ITEM]],TbPiezas[],6,FALSE)</f>
        <v>0</v>
      </c>
      <c r="X437" s="83">
        <f>+TbPrestamo[[#This Row],[TOTAL]]*TbPrestamo[[#This Row],[P.U. (2)]]</f>
        <v>0</v>
      </c>
      <c r="Y437" s="82">
        <f>+VLOOKUP(TbPrestamo[[#This Row],[ITEM]],TbPiezas[],7,FALSE)</f>
        <v>0</v>
      </c>
      <c r="Z437" s="84">
        <f>+TbPrestamo[[#This Row],[TOTAL]]*TbPrestamo[[#This Row],[P.U. (3)]]</f>
        <v>0</v>
      </c>
    </row>
    <row r="438" spans="1:26" s="4" customFormat="1" x14ac:dyDescent="0.3">
      <c r="A438" s="2"/>
      <c r="B438" s="85">
        <v>416</v>
      </c>
      <c r="C438" s="71" t="s">
        <v>1442</v>
      </c>
      <c r="D438" s="72" t="s">
        <v>1440</v>
      </c>
      <c r="E438" s="73"/>
      <c r="F438" s="74">
        <f>+VLOOKUP(C438,TbPrestamo[],13,FALSE)</f>
        <v>0</v>
      </c>
      <c r="G438" s="2"/>
      <c r="H438" s="75" t="str">
        <f t="shared" si="12"/>
        <v>EV.2911</v>
      </c>
      <c r="I438" s="59" t="str">
        <f t="shared" si="13"/>
        <v>ok</v>
      </c>
      <c r="J438" s="77">
        <f>IFERROR(VLOOKUP($H438,TG[],3,FALSE),"NA")</f>
        <v>0</v>
      </c>
      <c r="K438" s="77" t="str">
        <f>IFERROR(VLOOKUP($H438,TF[],3,FALSE),"NA")</f>
        <v>NA</v>
      </c>
      <c r="L438" s="77" t="str">
        <f>IFERROR(VLOOKUP($H438,TT[],3,FALSE),"NA")</f>
        <v>NA</v>
      </c>
      <c r="M438" s="77" t="str">
        <f>IFERROR(VLOOKUP($H438,TES[],3,FALSE),"NA")</f>
        <v>NA</v>
      </c>
      <c r="N438" s="77" t="str">
        <f>IFERROR(VLOOKUP($H438,TEC[],3,FALSE),"NA")</f>
        <v>NA</v>
      </c>
      <c r="O438" s="77" t="str">
        <f>IFERROR(VLOOKUP($H438,TP[],3,FALSE),"NA")</f>
        <v>NA</v>
      </c>
      <c r="P438" s="77" t="str">
        <f>IFERROR(VLOOKUP($H438,TEN[],3,FALSE),"NA")</f>
        <v>NA</v>
      </c>
      <c r="Q438" s="77" t="str">
        <f>IFERROR(VLOOKUP($H438,TD[],3,FALSE),"NA")</f>
        <v>NA</v>
      </c>
      <c r="R438" s="77" t="str">
        <f>IFERROR(VLOOKUP($H438,TC[],3,FALSE),"NA")</f>
        <v>NA</v>
      </c>
      <c r="S438" s="77" t="str">
        <f>IFERROR(VLOOKUP($H438,TEV[],3,FALSE),"NA")</f>
        <v>NA</v>
      </c>
      <c r="T438" s="79">
        <f>SUM(TbPrestamo[[#This Row],[GENERAL]:[ELEVADOR]])</f>
        <v>0</v>
      </c>
      <c r="U438" s="80">
        <f>IF(VLOOKUP(TbPrestamo[[#This Row],[ITEM]],TbPiezas[],5,FALSE)="NA",0,VLOOKUP(TbPrestamo[[#This Row],[ITEM]],TbPiezas[],5,FALSE))</f>
        <v>0</v>
      </c>
      <c r="V438" s="81">
        <f>+TbPrestamo[[#This Row],[TOTAL]]*TbPrestamo[[#This Row],[P.U. (1)]]</f>
        <v>0</v>
      </c>
      <c r="W438" s="82">
        <f>+VLOOKUP(TbPrestamo[[#This Row],[ITEM]],TbPiezas[],6,FALSE)</f>
        <v>0</v>
      </c>
      <c r="X438" s="83">
        <f>+TbPrestamo[[#This Row],[TOTAL]]*TbPrestamo[[#This Row],[P.U. (2)]]</f>
        <v>0</v>
      </c>
      <c r="Y438" s="82">
        <f>+VLOOKUP(TbPrestamo[[#This Row],[ITEM]],TbPiezas[],7,FALSE)</f>
        <v>0</v>
      </c>
      <c r="Z438" s="84">
        <f>+TbPrestamo[[#This Row],[TOTAL]]*TbPrestamo[[#This Row],[P.U. (3)]]</f>
        <v>0</v>
      </c>
    </row>
    <row r="439" spans="1:26" s="4" customFormat="1" x14ac:dyDescent="0.3">
      <c r="A439" s="2"/>
      <c r="B439" s="85">
        <v>417</v>
      </c>
      <c r="C439" s="71" t="s">
        <v>797</v>
      </c>
      <c r="D439" s="72" t="s">
        <v>798</v>
      </c>
      <c r="E439" s="73"/>
      <c r="F439" s="74">
        <f>+VLOOKUP(C439,TbPrestamo[],13,FALSE)</f>
        <v>0</v>
      </c>
      <c r="G439" s="2"/>
      <c r="H439" s="75" t="str">
        <f t="shared" si="12"/>
        <v>EV.3000</v>
      </c>
      <c r="I439" s="59" t="str">
        <f t="shared" si="13"/>
        <v>ok</v>
      </c>
      <c r="J439" s="77">
        <f>IFERROR(VLOOKUP($H439,TG[],3,FALSE),"NA")</f>
        <v>0</v>
      </c>
      <c r="K439" s="77" t="str">
        <f>IFERROR(VLOOKUP($H439,TF[],3,FALSE),"NA")</f>
        <v>NA</v>
      </c>
      <c r="L439" s="77" t="str">
        <f>IFERROR(VLOOKUP($H439,TT[],3,FALSE),"NA")</f>
        <v>NA</v>
      </c>
      <c r="M439" s="77" t="str">
        <f>IFERROR(VLOOKUP($H439,TES[],3,FALSE),"NA")</f>
        <v>NA</v>
      </c>
      <c r="N439" s="77" t="str">
        <f>IFERROR(VLOOKUP($H439,TEC[],3,FALSE),"NA")</f>
        <v>NA</v>
      </c>
      <c r="O439" s="77" t="str">
        <f>IFERROR(VLOOKUP($H439,TP[],3,FALSE),"NA")</f>
        <v>NA</v>
      </c>
      <c r="P439" s="77" t="str">
        <f>IFERROR(VLOOKUP($H439,TEN[],3,FALSE),"NA")</f>
        <v>NA</v>
      </c>
      <c r="Q439" s="77" t="str">
        <f>IFERROR(VLOOKUP($H439,TD[],3,FALSE),"NA")</f>
        <v>NA</v>
      </c>
      <c r="R439" s="77" t="str">
        <f>IFERROR(VLOOKUP($H439,TC[],3,FALSE),"NA")</f>
        <v>NA</v>
      </c>
      <c r="S439" s="77">
        <f>IFERROR(VLOOKUP($H439,TEV[],3,FALSE),"NA")</f>
        <v>0</v>
      </c>
      <c r="T439" s="79">
        <f>SUM(TbPrestamo[[#This Row],[GENERAL]:[ELEVADOR]])</f>
        <v>0</v>
      </c>
      <c r="U439" s="80">
        <f>IF(VLOOKUP(TbPrestamo[[#This Row],[ITEM]],TbPiezas[],5,FALSE)="NA",0,VLOOKUP(TbPrestamo[[#This Row],[ITEM]],TbPiezas[],5,FALSE))</f>
        <v>123</v>
      </c>
      <c r="V439" s="81">
        <f>+TbPrestamo[[#This Row],[TOTAL]]*TbPrestamo[[#This Row],[P.U. (1)]]</f>
        <v>0</v>
      </c>
      <c r="W439" s="82">
        <f>+VLOOKUP(TbPrestamo[[#This Row],[ITEM]],TbPiezas[],6,FALSE)</f>
        <v>2096.33</v>
      </c>
      <c r="X439" s="83">
        <f>+TbPrestamo[[#This Row],[TOTAL]]*TbPrestamo[[#This Row],[P.U. (2)]]</f>
        <v>0</v>
      </c>
      <c r="Y439" s="82">
        <f>+VLOOKUP(TbPrestamo[[#This Row],[ITEM]],TbPiezas[],7,FALSE)</f>
        <v>104.8165</v>
      </c>
      <c r="Z439" s="84">
        <f>+TbPrestamo[[#This Row],[TOTAL]]*TbPrestamo[[#This Row],[P.U. (3)]]</f>
        <v>0</v>
      </c>
    </row>
    <row r="440" spans="1:26" s="4" customFormat="1" x14ac:dyDescent="0.3">
      <c r="A440" s="2"/>
      <c r="B440" s="85">
        <v>418</v>
      </c>
      <c r="C440" s="71" t="s">
        <v>1447</v>
      </c>
      <c r="D440" s="72" t="s">
        <v>1443</v>
      </c>
      <c r="E440" s="73"/>
      <c r="F440" s="74">
        <f>+VLOOKUP(C440,TbPrestamo[],13,FALSE)</f>
        <v>0</v>
      </c>
      <c r="G440" s="2"/>
      <c r="H440" s="75" t="str">
        <f t="shared" si="12"/>
        <v>EV.3010</v>
      </c>
      <c r="I440" s="59" t="str">
        <f t="shared" si="13"/>
        <v>ok</v>
      </c>
      <c r="J440" s="77">
        <f>IFERROR(VLOOKUP($H440,TG[],3,FALSE),"NA")</f>
        <v>0</v>
      </c>
      <c r="K440" s="77" t="str">
        <f>IFERROR(VLOOKUP($H440,TF[],3,FALSE),"NA")</f>
        <v>NA</v>
      </c>
      <c r="L440" s="77" t="str">
        <f>IFERROR(VLOOKUP($H440,TT[],3,FALSE),"NA")</f>
        <v>NA</v>
      </c>
      <c r="M440" s="77" t="str">
        <f>IFERROR(VLOOKUP($H440,TES[],3,FALSE),"NA")</f>
        <v>NA</v>
      </c>
      <c r="N440" s="77" t="str">
        <f>IFERROR(VLOOKUP($H440,TEC[],3,FALSE),"NA")</f>
        <v>NA</v>
      </c>
      <c r="O440" s="77" t="str">
        <f>IFERROR(VLOOKUP($H440,TP[],3,FALSE),"NA")</f>
        <v>NA</v>
      </c>
      <c r="P440" s="77" t="str">
        <f>IFERROR(VLOOKUP($H440,TEN[],3,FALSE),"NA")</f>
        <v>NA</v>
      </c>
      <c r="Q440" s="77" t="str">
        <f>IFERROR(VLOOKUP($H440,TD[],3,FALSE),"NA")</f>
        <v>NA</v>
      </c>
      <c r="R440" s="77" t="str">
        <f>IFERROR(VLOOKUP($H440,TC[],3,FALSE),"NA")</f>
        <v>NA</v>
      </c>
      <c r="S440" s="77" t="str">
        <f>IFERROR(VLOOKUP($H440,TEV[],3,FALSE),"NA")</f>
        <v>NA</v>
      </c>
      <c r="T440" s="79">
        <f>SUM(TbPrestamo[[#This Row],[GENERAL]:[ELEVADOR]])</f>
        <v>0</v>
      </c>
      <c r="U440" s="80">
        <f>IF(VLOOKUP(TbPrestamo[[#This Row],[ITEM]],TbPiezas[],5,FALSE)="NA",0,VLOOKUP(TbPrestamo[[#This Row],[ITEM]],TbPiezas[],5,FALSE))</f>
        <v>0</v>
      </c>
      <c r="V440" s="81">
        <f>+TbPrestamo[[#This Row],[TOTAL]]*TbPrestamo[[#This Row],[P.U. (1)]]</f>
        <v>0</v>
      </c>
      <c r="W440" s="82">
        <f>+VLOOKUP(TbPrestamo[[#This Row],[ITEM]],TbPiezas[],6,FALSE)</f>
        <v>0</v>
      </c>
      <c r="X440" s="83">
        <f>+TbPrestamo[[#This Row],[TOTAL]]*TbPrestamo[[#This Row],[P.U. (2)]]</f>
        <v>0</v>
      </c>
      <c r="Y440" s="82">
        <f>+VLOOKUP(TbPrestamo[[#This Row],[ITEM]],TbPiezas[],7,FALSE)</f>
        <v>0</v>
      </c>
      <c r="Z440" s="84">
        <f>+TbPrestamo[[#This Row],[TOTAL]]*TbPrestamo[[#This Row],[P.U. (3)]]</f>
        <v>0</v>
      </c>
    </row>
    <row r="441" spans="1:26" s="4" customFormat="1" x14ac:dyDescent="0.3">
      <c r="A441" s="2"/>
      <c r="B441" s="85">
        <v>419</v>
      </c>
      <c r="C441" s="71" t="s">
        <v>1448</v>
      </c>
      <c r="D441" s="72" t="s">
        <v>1444</v>
      </c>
      <c r="E441" s="73"/>
      <c r="F441" s="74">
        <f>+VLOOKUP(C441,TbPrestamo[],13,FALSE)</f>
        <v>0</v>
      </c>
      <c r="G441" s="2"/>
      <c r="H441" s="75" t="str">
        <f t="shared" si="12"/>
        <v>EV.3020</v>
      </c>
      <c r="I441" s="59" t="str">
        <f t="shared" si="13"/>
        <v>ok</v>
      </c>
      <c r="J441" s="77">
        <f>IFERROR(VLOOKUP($H441,TG[],3,FALSE),"NA")</f>
        <v>0</v>
      </c>
      <c r="K441" s="77" t="str">
        <f>IFERROR(VLOOKUP($H441,TF[],3,FALSE),"NA")</f>
        <v>NA</v>
      </c>
      <c r="L441" s="77" t="str">
        <f>IFERROR(VLOOKUP($H441,TT[],3,FALSE),"NA")</f>
        <v>NA</v>
      </c>
      <c r="M441" s="77" t="str">
        <f>IFERROR(VLOOKUP($H441,TES[],3,FALSE),"NA")</f>
        <v>NA</v>
      </c>
      <c r="N441" s="77" t="str">
        <f>IFERROR(VLOOKUP($H441,TEC[],3,FALSE),"NA")</f>
        <v>NA</v>
      </c>
      <c r="O441" s="77" t="str">
        <f>IFERROR(VLOOKUP($H441,TP[],3,FALSE),"NA")</f>
        <v>NA</v>
      </c>
      <c r="P441" s="77" t="str">
        <f>IFERROR(VLOOKUP($H441,TEN[],3,FALSE),"NA")</f>
        <v>NA</v>
      </c>
      <c r="Q441" s="77" t="str">
        <f>IFERROR(VLOOKUP($H441,TD[],3,FALSE),"NA")</f>
        <v>NA</v>
      </c>
      <c r="R441" s="77" t="str">
        <f>IFERROR(VLOOKUP($H441,TC[],3,FALSE),"NA")</f>
        <v>NA</v>
      </c>
      <c r="S441" s="77" t="str">
        <f>IFERROR(VLOOKUP($H441,TEV[],3,FALSE),"NA")</f>
        <v>NA</v>
      </c>
      <c r="T441" s="79">
        <f>SUM(TbPrestamo[[#This Row],[GENERAL]:[ELEVADOR]])</f>
        <v>0</v>
      </c>
      <c r="U441" s="80">
        <f>IF(VLOOKUP(TbPrestamo[[#This Row],[ITEM]],TbPiezas[],5,FALSE)="NA",0,VLOOKUP(TbPrestamo[[#This Row],[ITEM]],TbPiezas[],5,FALSE))</f>
        <v>0</v>
      </c>
      <c r="V441" s="81">
        <f>+TbPrestamo[[#This Row],[TOTAL]]*TbPrestamo[[#This Row],[P.U. (1)]]</f>
        <v>0</v>
      </c>
      <c r="W441" s="82">
        <f>+VLOOKUP(TbPrestamo[[#This Row],[ITEM]],TbPiezas[],6,FALSE)</f>
        <v>0</v>
      </c>
      <c r="X441" s="83">
        <f>+TbPrestamo[[#This Row],[TOTAL]]*TbPrestamo[[#This Row],[P.U. (2)]]</f>
        <v>0</v>
      </c>
      <c r="Y441" s="82">
        <f>+VLOOKUP(TbPrestamo[[#This Row],[ITEM]],TbPiezas[],7,FALSE)</f>
        <v>0</v>
      </c>
      <c r="Z441" s="84">
        <f>+TbPrestamo[[#This Row],[TOTAL]]*TbPrestamo[[#This Row],[P.U. (3)]]</f>
        <v>0</v>
      </c>
    </row>
    <row r="442" spans="1:26" s="4" customFormat="1" x14ac:dyDescent="0.3">
      <c r="A442" s="2"/>
      <c r="B442" s="85">
        <v>420</v>
      </c>
      <c r="C442" s="71" t="s">
        <v>1449</v>
      </c>
      <c r="D442" s="72" t="s">
        <v>1445</v>
      </c>
      <c r="E442" s="73"/>
      <c r="F442" s="74">
        <f>+VLOOKUP(C442,TbPrestamo[],13,FALSE)</f>
        <v>0</v>
      </c>
      <c r="G442" s="2"/>
      <c r="H442" s="75" t="str">
        <f t="shared" si="12"/>
        <v>EV.3030</v>
      </c>
      <c r="I442" s="59" t="str">
        <f t="shared" si="13"/>
        <v>ok</v>
      </c>
      <c r="J442" s="77">
        <f>IFERROR(VLOOKUP($H442,TG[],3,FALSE),"NA")</f>
        <v>0</v>
      </c>
      <c r="K442" s="77" t="str">
        <f>IFERROR(VLOOKUP($H442,TF[],3,FALSE),"NA")</f>
        <v>NA</v>
      </c>
      <c r="L442" s="77" t="str">
        <f>IFERROR(VLOOKUP($H442,TT[],3,FALSE),"NA")</f>
        <v>NA</v>
      </c>
      <c r="M442" s="77" t="str">
        <f>IFERROR(VLOOKUP($H442,TES[],3,FALSE),"NA")</f>
        <v>NA</v>
      </c>
      <c r="N442" s="77" t="str">
        <f>IFERROR(VLOOKUP($H442,TEC[],3,FALSE),"NA")</f>
        <v>NA</v>
      </c>
      <c r="O442" s="77" t="str">
        <f>IFERROR(VLOOKUP($H442,TP[],3,FALSE),"NA")</f>
        <v>NA</v>
      </c>
      <c r="P442" s="77" t="str">
        <f>IFERROR(VLOOKUP($H442,TEN[],3,FALSE),"NA")</f>
        <v>NA</v>
      </c>
      <c r="Q442" s="77" t="str">
        <f>IFERROR(VLOOKUP($H442,TD[],3,FALSE),"NA")</f>
        <v>NA</v>
      </c>
      <c r="R442" s="77" t="str">
        <f>IFERROR(VLOOKUP($H442,TC[],3,FALSE),"NA")</f>
        <v>NA</v>
      </c>
      <c r="S442" s="77" t="str">
        <f>IFERROR(VLOOKUP($H442,TEV[],3,FALSE),"NA")</f>
        <v>NA</v>
      </c>
      <c r="T442" s="79">
        <f>SUM(TbPrestamo[[#This Row],[GENERAL]:[ELEVADOR]])</f>
        <v>0</v>
      </c>
      <c r="U442" s="80">
        <f>IF(VLOOKUP(TbPrestamo[[#This Row],[ITEM]],TbPiezas[],5,FALSE)="NA",0,VLOOKUP(TbPrestamo[[#This Row],[ITEM]],TbPiezas[],5,FALSE))</f>
        <v>0</v>
      </c>
      <c r="V442" s="81">
        <f>+TbPrestamo[[#This Row],[TOTAL]]*TbPrestamo[[#This Row],[P.U. (1)]]</f>
        <v>0</v>
      </c>
      <c r="W442" s="82">
        <f>+VLOOKUP(TbPrestamo[[#This Row],[ITEM]],TbPiezas[],6,FALSE)</f>
        <v>0</v>
      </c>
      <c r="X442" s="83">
        <f>+TbPrestamo[[#This Row],[TOTAL]]*TbPrestamo[[#This Row],[P.U. (2)]]</f>
        <v>0</v>
      </c>
      <c r="Y442" s="82">
        <f>+VLOOKUP(TbPrestamo[[#This Row],[ITEM]],TbPiezas[],7,FALSE)</f>
        <v>0</v>
      </c>
      <c r="Z442" s="84">
        <f>+TbPrestamo[[#This Row],[TOTAL]]*TbPrestamo[[#This Row],[P.U. (3)]]</f>
        <v>0</v>
      </c>
    </row>
    <row r="443" spans="1:26" s="4" customFormat="1" x14ac:dyDescent="0.3">
      <c r="A443" s="2"/>
      <c r="B443" s="85">
        <v>421</v>
      </c>
      <c r="C443" s="71" t="s">
        <v>1450</v>
      </c>
      <c r="D443" s="72" t="s">
        <v>1446</v>
      </c>
      <c r="E443" s="73"/>
      <c r="F443" s="74">
        <f>+VLOOKUP(C443,TbPrestamo[],13,FALSE)</f>
        <v>0</v>
      </c>
      <c r="G443" s="2"/>
      <c r="H443" s="75" t="str">
        <f t="shared" si="12"/>
        <v>EV.3040</v>
      </c>
      <c r="I443" s="59" t="str">
        <f t="shared" si="13"/>
        <v>ok</v>
      </c>
      <c r="J443" s="77">
        <f>IFERROR(VLOOKUP($H443,TG[],3,FALSE),"NA")</f>
        <v>0</v>
      </c>
      <c r="K443" s="77" t="str">
        <f>IFERROR(VLOOKUP($H443,TF[],3,FALSE),"NA")</f>
        <v>NA</v>
      </c>
      <c r="L443" s="77" t="str">
        <f>IFERROR(VLOOKUP($H443,TT[],3,FALSE),"NA")</f>
        <v>NA</v>
      </c>
      <c r="M443" s="77" t="str">
        <f>IFERROR(VLOOKUP($H443,TES[],3,FALSE),"NA")</f>
        <v>NA</v>
      </c>
      <c r="N443" s="77" t="str">
        <f>IFERROR(VLOOKUP($H443,TEC[],3,FALSE),"NA")</f>
        <v>NA</v>
      </c>
      <c r="O443" s="77" t="str">
        <f>IFERROR(VLOOKUP($H443,TP[],3,FALSE),"NA")</f>
        <v>NA</v>
      </c>
      <c r="P443" s="77" t="str">
        <f>IFERROR(VLOOKUP($H443,TEN[],3,FALSE),"NA")</f>
        <v>NA</v>
      </c>
      <c r="Q443" s="77" t="str">
        <f>IFERROR(VLOOKUP($H443,TD[],3,FALSE),"NA")</f>
        <v>NA</v>
      </c>
      <c r="R443" s="77" t="str">
        <f>IFERROR(VLOOKUP($H443,TC[],3,FALSE),"NA")</f>
        <v>NA</v>
      </c>
      <c r="S443" s="77" t="str">
        <f>IFERROR(VLOOKUP($H443,TEV[],3,FALSE),"NA")</f>
        <v>NA</v>
      </c>
      <c r="T443" s="79">
        <f>SUM(TbPrestamo[[#This Row],[GENERAL]:[ELEVADOR]])</f>
        <v>0</v>
      </c>
      <c r="U443" s="80">
        <f>IF(VLOOKUP(TbPrestamo[[#This Row],[ITEM]],TbPiezas[],5,FALSE)="NA",0,VLOOKUP(TbPrestamo[[#This Row],[ITEM]],TbPiezas[],5,FALSE))</f>
        <v>0</v>
      </c>
      <c r="V443" s="81">
        <f>+TbPrestamo[[#This Row],[TOTAL]]*TbPrestamo[[#This Row],[P.U. (1)]]</f>
        <v>0</v>
      </c>
      <c r="W443" s="82">
        <f>+VLOOKUP(TbPrestamo[[#This Row],[ITEM]],TbPiezas[],6,FALSE)</f>
        <v>0</v>
      </c>
      <c r="X443" s="83">
        <f>+TbPrestamo[[#This Row],[TOTAL]]*TbPrestamo[[#This Row],[P.U. (2)]]</f>
        <v>0</v>
      </c>
      <c r="Y443" s="82">
        <f>+VLOOKUP(TbPrestamo[[#This Row],[ITEM]],TbPiezas[],7,FALSE)</f>
        <v>0</v>
      </c>
      <c r="Z443" s="84">
        <f>+TbPrestamo[[#This Row],[TOTAL]]*TbPrestamo[[#This Row],[P.U. (3)]]</f>
        <v>0</v>
      </c>
    </row>
    <row r="444" spans="1:26" s="4" customFormat="1" x14ac:dyDescent="0.3">
      <c r="A444" s="2"/>
      <c r="B444" s="85">
        <v>422</v>
      </c>
      <c r="C444" s="71" t="s">
        <v>799</v>
      </c>
      <c r="D444" s="72" t="s">
        <v>800</v>
      </c>
      <c r="E444" s="73"/>
      <c r="F444" s="74">
        <f>+VLOOKUP(C444,TbPrestamo[],13,FALSE)</f>
        <v>1</v>
      </c>
      <c r="G444" s="2"/>
      <c r="H444" s="75" t="str">
        <f t="shared" si="12"/>
        <v>EV.3100</v>
      </c>
      <c r="I444" s="59" t="str">
        <f t="shared" si="13"/>
        <v>ok</v>
      </c>
      <c r="J444" s="77">
        <f>IFERROR(VLOOKUP($H444,TG[],3,FALSE),"NA")</f>
        <v>0</v>
      </c>
      <c r="K444" s="77" t="str">
        <f>IFERROR(VLOOKUP($H444,TF[],3,FALSE),"NA")</f>
        <v>NA</v>
      </c>
      <c r="L444" s="77" t="str">
        <f>IFERROR(VLOOKUP($H444,TT[],3,FALSE),"NA")</f>
        <v>NA</v>
      </c>
      <c r="M444" s="77" t="str">
        <f>IFERROR(VLOOKUP($H444,TES[],3,FALSE),"NA")</f>
        <v>NA</v>
      </c>
      <c r="N444" s="77" t="str">
        <f>IFERROR(VLOOKUP($H444,TEC[],3,FALSE),"NA")</f>
        <v>NA</v>
      </c>
      <c r="O444" s="77" t="str">
        <f>IFERROR(VLOOKUP($H444,TP[],3,FALSE),"NA")</f>
        <v>NA</v>
      </c>
      <c r="P444" s="77" t="str">
        <f>IFERROR(VLOOKUP($H444,TEN[],3,FALSE),"NA")</f>
        <v>NA</v>
      </c>
      <c r="Q444" s="77" t="str">
        <f>IFERROR(VLOOKUP($H444,TD[],3,FALSE),"NA")</f>
        <v>NA</v>
      </c>
      <c r="R444" s="77" t="str">
        <f>IFERROR(VLOOKUP($H444,TC[],3,FALSE),"NA")</f>
        <v>NA</v>
      </c>
      <c r="S444" s="77">
        <f>IFERROR(VLOOKUP($H444,TEV[],3,FALSE),"NA")</f>
        <v>1</v>
      </c>
      <c r="T444" s="79">
        <f>SUM(TbPrestamo[[#This Row],[GENERAL]:[ELEVADOR]])</f>
        <v>1</v>
      </c>
      <c r="U444" s="80">
        <f>IF(VLOOKUP(TbPrestamo[[#This Row],[ITEM]],TbPiezas[],5,FALSE)="NA",0,VLOOKUP(TbPrestamo[[#This Row],[ITEM]],TbPiezas[],5,FALSE))</f>
        <v>56.4</v>
      </c>
      <c r="V444" s="81">
        <f>+TbPrestamo[[#This Row],[TOTAL]]*TbPrestamo[[#This Row],[P.U. (1)]]</f>
        <v>56.4</v>
      </c>
      <c r="W444" s="82">
        <f>+VLOOKUP(TbPrestamo[[#This Row],[ITEM]],TbPiezas[],6,FALSE)</f>
        <v>2032.8</v>
      </c>
      <c r="X444" s="83">
        <f>+TbPrestamo[[#This Row],[TOTAL]]*TbPrestamo[[#This Row],[P.U. (2)]]</f>
        <v>2032.8</v>
      </c>
      <c r="Y444" s="82">
        <f>+VLOOKUP(TbPrestamo[[#This Row],[ITEM]],TbPiezas[],7,FALSE)</f>
        <v>101.64</v>
      </c>
      <c r="Z444" s="84">
        <f>+TbPrestamo[[#This Row],[TOTAL]]*TbPrestamo[[#This Row],[P.U. (3)]]</f>
        <v>101.64</v>
      </c>
    </row>
    <row r="445" spans="1:26" s="4" customFormat="1" x14ac:dyDescent="0.3">
      <c r="A445" s="2"/>
      <c r="B445" s="85">
        <v>423</v>
      </c>
      <c r="C445" s="71" t="s">
        <v>801</v>
      </c>
      <c r="D445" s="72" t="s">
        <v>802</v>
      </c>
      <c r="E445" s="73"/>
      <c r="F445" s="74">
        <f>+VLOOKUP(C445,TbPrestamo[],13,FALSE)</f>
        <v>2</v>
      </c>
      <c r="G445" s="2"/>
      <c r="H445" s="75" t="str">
        <f t="shared" si="12"/>
        <v>EV.3200</v>
      </c>
      <c r="I445" s="59" t="str">
        <f t="shared" si="13"/>
        <v>ok</v>
      </c>
      <c r="J445" s="77">
        <f>IFERROR(VLOOKUP($H445,TG[],3,FALSE),"NA")</f>
        <v>0</v>
      </c>
      <c r="K445" s="77" t="str">
        <f>IFERROR(VLOOKUP($H445,TF[],3,FALSE),"NA")</f>
        <v>NA</v>
      </c>
      <c r="L445" s="77" t="str">
        <f>IFERROR(VLOOKUP($H445,TT[],3,FALSE),"NA")</f>
        <v>NA</v>
      </c>
      <c r="M445" s="77" t="str">
        <f>IFERROR(VLOOKUP($H445,TES[],3,FALSE),"NA")</f>
        <v>NA</v>
      </c>
      <c r="N445" s="77" t="str">
        <f>IFERROR(VLOOKUP($H445,TEC[],3,FALSE),"NA")</f>
        <v>NA</v>
      </c>
      <c r="O445" s="77" t="str">
        <f>IFERROR(VLOOKUP($H445,TP[],3,FALSE),"NA")</f>
        <v>NA</v>
      </c>
      <c r="P445" s="77" t="str">
        <f>IFERROR(VLOOKUP($H445,TEN[],3,FALSE),"NA")</f>
        <v>NA</v>
      </c>
      <c r="Q445" s="77" t="str">
        <f>IFERROR(VLOOKUP($H445,TD[],3,FALSE),"NA")</f>
        <v>NA</v>
      </c>
      <c r="R445" s="77" t="str">
        <f>IFERROR(VLOOKUP($H445,TC[],3,FALSE),"NA")</f>
        <v>NA</v>
      </c>
      <c r="S445" s="77">
        <f>IFERROR(VLOOKUP($H445,TEV[],3,FALSE),"NA")</f>
        <v>2</v>
      </c>
      <c r="T445" s="79">
        <f>SUM(TbPrestamo[[#This Row],[GENERAL]:[ELEVADOR]])</f>
        <v>2</v>
      </c>
      <c r="U445" s="80">
        <f>IF(VLOOKUP(TbPrestamo[[#This Row],[ITEM]],TbPiezas[],5,FALSE)="NA",0,VLOOKUP(TbPrestamo[[#This Row],[ITEM]],TbPiezas[],5,FALSE))</f>
        <v>26.8</v>
      </c>
      <c r="V445" s="81">
        <f>+TbPrestamo[[#This Row],[TOTAL]]*TbPrestamo[[#This Row],[P.U. (1)]]</f>
        <v>53.6</v>
      </c>
      <c r="W445" s="82">
        <f>+VLOOKUP(TbPrestamo[[#This Row],[ITEM]],TbPiezas[],6,FALSE)</f>
        <v>1887.84</v>
      </c>
      <c r="X445" s="83">
        <f>+TbPrestamo[[#This Row],[TOTAL]]*TbPrestamo[[#This Row],[P.U. (2)]]</f>
        <v>3775.68</v>
      </c>
      <c r="Y445" s="82">
        <f>+VLOOKUP(TbPrestamo[[#This Row],[ITEM]],TbPiezas[],7,FALSE)</f>
        <v>94.391999999999996</v>
      </c>
      <c r="Z445" s="84">
        <f>+TbPrestamo[[#This Row],[TOTAL]]*TbPrestamo[[#This Row],[P.U. (3)]]</f>
        <v>188.78399999999999</v>
      </c>
    </row>
    <row r="446" spans="1:26" s="4" customFormat="1" x14ac:dyDescent="0.3">
      <c r="A446" s="2"/>
      <c r="B446" s="85">
        <v>424</v>
      </c>
      <c r="C446" s="71" t="s">
        <v>1453</v>
      </c>
      <c r="D446" s="72" t="s">
        <v>1451</v>
      </c>
      <c r="E446" s="73"/>
      <c r="F446" s="74">
        <f>+VLOOKUP(C446,TbPrestamo[],13,FALSE)</f>
        <v>0</v>
      </c>
      <c r="G446" s="2"/>
      <c r="H446" s="75" t="str">
        <f t="shared" si="12"/>
        <v>EV.3210</v>
      </c>
      <c r="I446" s="59" t="str">
        <f t="shared" si="13"/>
        <v>ok</v>
      </c>
      <c r="J446" s="77">
        <f>IFERROR(VLOOKUP($H446,TG[],3,FALSE),"NA")</f>
        <v>0</v>
      </c>
      <c r="K446" s="77" t="str">
        <f>IFERROR(VLOOKUP($H446,TF[],3,FALSE),"NA")</f>
        <v>NA</v>
      </c>
      <c r="L446" s="77" t="str">
        <f>IFERROR(VLOOKUP($H446,TT[],3,FALSE),"NA")</f>
        <v>NA</v>
      </c>
      <c r="M446" s="77" t="str">
        <f>IFERROR(VLOOKUP($H446,TES[],3,FALSE),"NA")</f>
        <v>NA</v>
      </c>
      <c r="N446" s="77" t="str">
        <f>IFERROR(VLOOKUP($H446,TEC[],3,FALSE),"NA")</f>
        <v>NA</v>
      </c>
      <c r="O446" s="77" t="str">
        <f>IFERROR(VLOOKUP($H446,TP[],3,FALSE),"NA")</f>
        <v>NA</v>
      </c>
      <c r="P446" s="77" t="str">
        <f>IFERROR(VLOOKUP($H446,TEN[],3,FALSE),"NA")</f>
        <v>NA</v>
      </c>
      <c r="Q446" s="77" t="str">
        <f>IFERROR(VLOOKUP($H446,TD[],3,FALSE),"NA")</f>
        <v>NA</v>
      </c>
      <c r="R446" s="77" t="str">
        <f>IFERROR(VLOOKUP($H446,TC[],3,FALSE),"NA")</f>
        <v>NA</v>
      </c>
      <c r="S446" s="77" t="str">
        <f>IFERROR(VLOOKUP($H446,TEV[],3,FALSE),"NA")</f>
        <v>NA</v>
      </c>
      <c r="T446" s="79">
        <f>SUM(TbPrestamo[[#This Row],[GENERAL]:[ELEVADOR]])</f>
        <v>0</v>
      </c>
      <c r="U446" s="80">
        <f>IF(VLOOKUP(TbPrestamo[[#This Row],[ITEM]],TbPiezas[],5,FALSE)="NA",0,VLOOKUP(TbPrestamo[[#This Row],[ITEM]],TbPiezas[],5,FALSE))</f>
        <v>0</v>
      </c>
      <c r="V446" s="81">
        <f>+TbPrestamo[[#This Row],[TOTAL]]*TbPrestamo[[#This Row],[P.U. (1)]]</f>
        <v>0</v>
      </c>
      <c r="W446" s="82">
        <f>+VLOOKUP(TbPrestamo[[#This Row],[ITEM]],TbPiezas[],6,FALSE)</f>
        <v>0</v>
      </c>
      <c r="X446" s="83">
        <f>+TbPrestamo[[#This Row],[TOTAL]]*TbPrestamo[[#This Row],[P.U. (2)]]</f>
        <v>0</v>
      </c>
      <c r="Y446" s="82">
        <f>+VLOOKUP(TbPrestamo[[#This Row],[ITEM]],TbPiezas[],7,FALSE)</f>
        <v>0</v>
      </c>
      <c r="Z446" s="84">
        <f>+TbPrestamo[[#This Row],[TOTAL]]*TbPrestamo[[#This Row],[P.U. (3)]]</f>
        <v>0</v>
      </c>
    </row>
    <row r="447" spans="1:26" s="4" customFormat="1" x14ac:dyDescent="0.3">
      <c r="A447" s="2"/>
      <c r="B447" s="85">
        <v>425</v>
      </c>
      <c r="C447" s="71" t="s">
        <v>1454</v>
      </c>
      <c r="D447" s="72" t="s">
        <v>1452</v>
      </c>
      <c r="E447" s="73"/>
      <c r="F447" s="74">
        <f>+VLOOKUP(C447,TbPrestamo[],13,FALSE)</f>
        <v>0</v>
      </c>
      <c r="G447" s="2"/>
      <c r="H447" s="75" t="str">
        <f t="shared" si="12"/>
        <v>EV.3220</v>
      </c>
      <c r="I447" s="59" t="str">
        <f t="shared" si="13"/>
        <v>ok</v>
      </c>
      <c r="J447" s="77">
        <f>IFERROR(VLOOKUP($H447,TG[],3,FALSE),"NA")</f>
        <v>0</v>
      </c>
      <c r="K447" s="77" t="str">
        <f>IFERROR(VLOOKUP($H447,TF[],3,FALSE),"NA")</f>
        <v>NA</v>
      </c>
      <c r="L447" s="77" t="str">
        <f>IFERROR(VLOOKUP($H447,TT[],3,FALSE),"NA")</f>
        <v>NA</v>
      </c>
      <c r="M447" s="77" t="str">
        <f>IFERROR(VLOOKUP($H447,TES[],3,FALSE),"NA")</f>
        <v>NA</v>
      </c>
      <c r="N447" s="77" t="str">
        <f>IFERROR(VLOOKUP($H447,TEC[],3,FALSE),"NA")</f>
        <v>NA</v>
      </c>
      <c r="O447" s="77" t="str">
        <f>IFERROR(VLOOKUP($H447,TP[],3,FALSE),"NA")</f>
        <v>NA</v>
      </c>
      <c r="P447" s="77" t="str">
        <f>IFERROR(VLOOKUP($H447,TEN[],3,FALSE),"NA")</f>
        <v>NA</v>
      </c>
      <c r="Q447" s="77" t="str">
        <f>IFERROR(VLOOKUP($H447,TD[],3,FALSE),"NA")</f>
        <v>NA</v>
      </c>
      <c r="R447" s="77" t="str">
        <f>IFERROR(VLOOKUP($H447,TC[],3,FALSE),"NA")</f>
        <v>NA</v>
      </c>
      <c r="S447" s="77" t="str">
        <f>IFERROR(VLOOKUP($H447,TEV[],3,FALSE),"NA")</f>
        <v>NA</v>
      </c>
      <c r="T447" s="79">
        <f>SUM(TbPrestamo[[#This Row],[GENERAL]:[ELEVADOR]])</f>
        <v>0</v>
      </c>
      <c r="U447" s="80">
        <f>IF(VLOOKUP(TbPrestamo[[#This Row],[ITEM]],TbPiezas[],5,FALSE)="NA",0,VLOOKUP(TbPrestamo[[#This Row],[ITEM]],TbPiezas[],5,FALSE))</f>
        <v>0</v>
      </c>
      <c r="V447" s="81">
        <f>+TbPrestamo[[#This Row],[TOTAL]]*TbPrestamo[[#This Row],[P.U. (1)]]</f>
        <v>0</v>
      </c>
      <c r="W447" s="82">
        <f>+VLOOKUP(TbPrestamo[[#This Row],[ITEM]],TbPiezas[],6,FALSE)</f>
        <v>0</v>
      </c>
      <c r="X447" s="83">
        <f>+TbPrestamo[[#This Row],[TOTAL]]*TbPrestamo[[#This Row],[P.U. (2)]]</f>
        <v>0</v>
      </c>
      <c r="Y447" s="82">
        <f>+VLOOKUP(TbPrestamo[[#This Row],[ITEM]],TbPiezas[],7,FALSE)</f>
        <v>0</v>
      </c>
      <c r="Z447" s="84">
        <f>+TbPrestamo[[#This Row],[TOTAL]]*TbPrestamo[[#This Row],[P.U. (3)]]</f>
        <v>0</v>
      </c>
    </row>
    <row r="448" spans="1:26" s="4" customFormat="1" x14ac:dyDescent="0.3">
      <c r="A448" s="2"/>
      <c r="B448" s="85">
        <v>426</v>
      </c>
      <c r="C448" s="71" t="s">
        <v>803</v>
      </c>
      <c r="D448" s="72" t="s">
        <v>804</v>
      </c>
      <c r="E448" s="73"/>
      <c r="F448" s="74">
        <f>+VLOOKUP(C448,TbPrestamo[],13,FALSE)</f>
        <v>2</v>
      </c>
      <c r="G448" s="2"/>
      <c r="H448" s="75" t="str">
        <f t="shared" si="12"/>
        <v>EV.3300</v>
      </c>
      <c r="I448" s="59" t="str">
        <f t="shared" si="13"/>
        <v>ok</v>
      </c>
      <c r="J448" s="77">
        <f>IFERROR(VLOOKUP($H448,TG[],3,FALSE),"NA")</f>
        <v>0</v>
      </c>
      <c r="K448" s="77" t="str">
        <f>IFERROR(VLOOKUP($H448,TF[],3,FALSE),"NA")</f>
        <v>NA</v>
      </c>
      <c r="L448" s="77" t="str">
        <f>IFERROR(VLOOKUP($H448,TT[],3,FALSE),"NA")</f>
        <v>NA</v>
      </c>
      <c r="M448" s="77" t="str">
        <f>IFERROR(VLOOKUP($H448,TES[],3,FALSE),"NA")</f>
        <v>NA</v>
      </c>
      <c r="N448" s="77" t="str">
        <f>IFERROR(VLOOKUP($H448,TEC[],3,FALSE),"NA")</f>
        <v>NA</v>
      </c>
      <c r="O448" s="77" t="str">
        <f>IFERROR(VLOOKUP($H448,TP[],3,FALSE),"NA")</f>
        <v>NA</v>
      </c>
      <c r="P448" s="77" t="str">
        <f>IFERROR(VLOOKUP($H448,TEN[],3,FALSE),"NA")</f>
        <v>NA</v>
      </c>
      <c r="Q448" s="77" t="str">
        <f>IFERROR(VLOOKUP($H448,TD[],3,FALSE),"NA")</f>
        <v>NA</v>
      </c>
      <c r="R448" s="77" t="str">
        <f>IFERROR(VLOOKUP($H448,TC[],3,FALSE),"NA")</f>
        <v>NA</v>
      </c>
      <c r="S448" s="77">
        <f>IFERROR(VLOOKUP($H448,TEV[],3,FALSE),"NA")</f>
        <v>2</v>
      </c>
      <c r="T448" s="79">
        <f>SUM(TbPrestamo[[#This Row],[GENERAL]:[ELEVADOR]])</f>
        <v>2</v>
      </c>
      <c r="U448" s="80">
        <f>IF(VLOOKUP(TbPrestamo[[#This Row],[ITEM]],TbPiezas[],5,FALSE)="NA",0,VLOOKUP(TbPrestamo[[#This Row],[ITEM]],TbPiezas[],5,FALSE))</f>
        <v>10.9</v>
      </c>
      <c r="V448" s="81">
        <f>+TbPrestamo[[#This Row],[TOTAL]]*TbPrestamo[[#This Row],[P.U. (1)]]</f>
        <v>21.8</v>
      </c>
      <c r="W448" s="82">
        <f>+VLOOKUP(TbPrestamo[[#This Row],[ITEM]],TbPiezas[],6,FALSE)</f>
        <v>679.72</v>
      </c>
      <c r="X448" s="83">
        <f>+TbPrestamo[[#This Row],[TOTAL]]*TbPrestamo[[#This Row],[P.U. (2)]]</f>
        <v>1359.44</v>
      </c>
      <c r="Y448" s="82">
        <f>+VLOOKUP(TbPrestamo[[#This Row],[ITEM]],TbPiezas[],7,FALSE)</f>
        <v>33.986000000000004</v>
      </c>
      <c r="Z448" s="84">
        <f>+TbPrestamo[[#This Row],[TOTAL]]*TbPrestamo[[#This Row],[P.U. (3)]]</f>
        <v>67.972000000000008</v>
      </c>
    </row>
    <row r="449" spans="1:26" s="4" customFormat="1" x14ac:dyDescent="0.3">
      <c r="A449" s="2"/>
      <c r="B449" s="85">
        <v>427</v>
      </c>
      <c r="C449" s="71" t="s">
        <v>805</v>
      </c>
      <c r="D449" s="72" t="s">
        <v>806</v>
      </c>
      <c r="E449" s="73"/>
      <c r="F449" s="74">
        <f>+VLOOKUP(C449,TbPrestamo[],13,FALSE)</f>
        <v>2</v>
      </c>
      <c r="G449" s="2"/>
      <c r="H449" s="75" t="str">
        <f t="shared" si="12"/>
        <v>EV.3400</v>
      </c>
      <c r="I449" s="59" t="str">
        <f t="shared" si="13"/>
        <v>ok</v>
      </c>
      <c r="J449" s="77">
        <f>IFERROR(VLOOKUP($H449,TG[],3,FALSE),"NA")</f>
        <v>0</v>
      </c>
      <c r="K449" s="77" t="str">
        <f>IFERROR(VLOOKUP($H449,TF[],3,FALSE),"NA")</f>
        <v>NA</v>
      </c>
      <c r="L449" s="77" t="str">
        <f>IFERROR(VLOOKUP($H449,TT[],3,FALSE),"NA")</f>
        <v>NA</v>
      </c>
      <c r="M449" s="77" t="str">
        <f>IFERROR(VLOOKUP($H449,TES[],3,FALSE),"NA")</f>
        <v>NA</v>
      </c>
      <c r="N449" s="77" t="str">
        <f>IFERROR(VLOOKUP($H449,TEC[],3,FALSE),"NA")</f>
        <v>NA</v>
      </c>
      <c r="O449" s="77" t="str">
        <f>IFERROR(VLOOKUP($H449,TP[],3,FALSE),"NA")</f>
        <v>NA</v>
      </c>
      <c r="P449" s="77" t="str">
        <f>IFERROR(VLOOKUP($H449,TEN[],3,FALSE),"NA")</f>
        <v>NA</v>
      </c>
      <c r="Q449" s="77" t="str">
        <f>IFERROR(VLOOKUP($H449,TD[],3,FALSE),"NA")</f>
        <v>NA</v>
      </c>
      <c r="R449" s="77" t="str">
        <f>IFERROR(VLOOKUP($H449,TC[],3,FALSE),"NA")</f>
        <v>NA</v>
      </c>
      <c r="S449" s="77">
        <f>IFERROR(VLOOKUP($H449,TEV[],3,FALSE),"NA")</f>
        <v>2</v>
      </c>
      <c r="T449" s="79">
        <f>SUM(TbPrestamo[[#This Row],[GENERAL]:[ELEVADOR]])</f>
        <v>2</v>
      </c>
      <c r="U449" s="80">
        <f>IF(VLOOKUP(TbPrestamo[[#This Row],[ITEM]],TbPiezas[],5,FALSE)="NA",0,VLOOKUP(TbPrestamo[[#This Row],[ITEM]],TbPiezas[],5,FALSE))</f>
        <v>13</v>
      </c>
      <c r="V449" s="81">
        <f>+TbPrestamo[[#This Row],[TOTAL]]*TbPrestamo[[#This Row],[P.U. (1)]]</f>
        <v>26</v>
      </c>
      <c r="W449" s="82">
        <f>+VLOOKUP(TbPrestamo[[#This Row],[ITEM]],TbPiezas[],6,FALSE)</f>
        <v>3176.25</v>
      </c>
      <c r="X449" s="83">
        <f>+TbPrestamo[[#This Row],[TOTAL]]*TbPrestamo[[#This Row],[P.U. (2)]]</f>
        <v>6352.5</v>
      </c>
      <c r="Y449" s="82">
        <f>+VLOOKUP(TbPrestamo[[#This Row],[ITEM]],TbPiezas[],7,FALSE)</f>
        <v>158.8125</v>
      </c>
      <c r="Z449" s="84">
        <f>+TbPrestamo[[#This Row],[TOTAL]]*TbPrestamo[[#This Row],[P.U. (3)]]</f>
        <v>317.625</v>
      </c>
    </row>
    <row r="450" spans="1:26" s="4" customFormat="1" x14ac:dyDescent="0.3">
      <c r="A450" s="2"/>
      <c r="B450" s="85">
        <v>428</v>
      </c>
      <c r="C450" s="71" t="s">
        <v>807</v>
      </c>
      <c r="D450" s="72" t="s">
        <v>808</v>
      </c>
      <c r="E450" s="73"/>
      <c r="F450" s="74">
        <f>+VLOOKUP(C450,TbPrestamo[],13,FALSE)</f>
        <v>1</v>
      </c>
      <c r="G450" s="2"/>
      <c r="H450" s="75" t="str">
        <f t="shared" si="12"/>
        <v>EV.3500</v>
      </c>
      <c r="I450" s="59" t="str">
        <f t="shared" si="13"/>
        <v>ok</v>
      </c>
      <c r="J450" s="77">
        <f>IFERROR(VLOOKUP($H450,TG[],3,FALSE),"NA")</f>
        <v>0</v>
      </c>
      <c r="K450" s="77" t="str">
        <f>IFERROR(VLOOKUP($H450,TF[],3,FALSE),"NA")</f>
        <v>NA</v>
      </c>
      <c r="L450" s="77" t="str">
        <f>IFERROR(VLOOKUP($H450,TT[],3,FALSE),"NA")</f>
        <v>NA</v>
      </c>
      <c r="M450" s="77" t="str">
        <f>IFERROR(VLOOKUP($H450,TES[],3,FALSE),"NA")</f>
        <v>NA</v>
      </c>
      <c r="N450" s="77" t="str">
        <f>IFERROR(VLOOKUP($H450,TEC[],3,FALSE),"NA")</f>
        <v>NA</v>
      </c>
      <c r="O450" s="77" t="str">
        <f>IFERROR(VLOOKUP($H450,TP[],3,FALSE),"NA")</f>
        <v>NA</v>
      </c>
      <c r="P450" s="77" t="str">
        <f>IFERROR(VLOOKUP($H450,TEN[],3,FALSE),"NA")</f>
        <v>NA</v>
      </c>
      <c r="Q450" s="77" t="str">
        <f>IFERROR(VLOOKUP($H450,TD[],3,FALSE),"NA")</f>
        <v>NA</v>
      </c>
      <c r="R450" s="77" t="str">
        <f>IFERROR(VLOOKUP($H450,TC[],3,FALSE),"NA")</f>
        <v>NA</v>
      </c>
      <c r="S450" s="77">
        <f>IFERROR(VLOOKUP($H450,TEV[],3,FALSE),"NA")</f>
        <v>1</v>
      </c>
      <c r="T450" s="79">
        <f>SUM(TbPrestamo[[#This Row],[GENERAL]:[ELEVADOR]])</f>
        <v>1</v>
      </c>
      <c r="U450" s="80">
        <f>IF(VLOOKUP(TbPrestamo[[#This Row],[ITEM]],TbPiezas[],5,FALSE)="NA",0,VLOOKUP(TbPrestamo[[#This Row],[ITEM]],TbPiezas[],5,FALSE))</f>
        <v>20.5</v>
      </c>
      <c r="V450" s="81">
        <f>+TbPrestamo[[#This Row],[TOTAL]]*TbPrestamo[[#This Row],[P.U. (1)]]</f>
        <v>20.5</v>
      </c>
      <c r="W450" s="82">
        <f>+VLOOKUP(TbPrestamo[[#This Row],[ITEM]],TbPiezas[],6,FALSE)</f>
        <v>5717.25</v>
      </c>
      <c r="X450" s="83">
        <f>+TbPrestamo[[#This Row],[TOTAL]]*TbPrestamo[[#This Row],[P.U. (2)]]</f>
        <v>5717.25</v>
      </c>
      <c r="Y450" s="82">
        <f>+VLOOKUP(TbPrestamo[[#This Row],[ITEM]],TbPiezas[],7,FALSE)</f>
        <v>285.86250000000001</v>
      </c>
      <c r="Z450" s="84">
        <f>+TbPrestamo[[#This Row],[TOTAL]]*TbPrestamo[[#This Row],[P.U. (3)]]</f>
        <v>285.86250000000001</v>
      </c>
    </row>
    <row r="451" spans="1:26" s="4" customFormat="1" x14ac:dyDescent="0.3">
      <c r="A451" s="2"/>
      <c r="B451" s="85">
        <v>429</v>
      </c>
      <c r="C451" s="71" t="s">
        <v>809</v>
      </c>
      <c r="D451" s="72" t="s">
        <v>810</v>
      </c>
      <c r="E451" s="73"/>
      <c r="F451" s="74">
        <f>+VLOOKUP(C451,TbPrestamo[],13,FALSE)</f>
        <v>1</v>
      </c>
      <c r="G451" s="2"/>
      <c r="H451" s="75" t="str">
        <f t="shared" si="12"/>
        <v>EV.3600</v>
      </c>
      <c r="I451" s="59" t="str">
        <f t="shared" si="13"/>
        <v>ok</v>
      </c>
      <c r="J451" s="77">
        <f>IFERROR(VLOOKUP($H451,TG[],3,FALSE),"NA")</f>
        <v>0</v>
      </c>
      <c r="K451" s="77" t="str">
        <f>IFERROR(VLOOKUP($H451,TF[],3,FALSE),"NA")</f>
        <v>NA</v>
      </c>
      <c r="L451" s="77" t="str">
        <f>IFERROR(VLOOKUP($H451,TT[],3,FALSE),"NA")</f>
        <v>NA</v>
      </c>
      <c r="M451" s="77" t="str">
        <f>IFERROR(VLOOKUP($H451,TES[],3,FALSE),"NA")</f>
        <v>NA</v>
      </c>
      <c r="N451" s="77" t="str">
        <f>IFERROR(VLOOKUP($H451,TEC[],3,FALSE),"NA")</f>
        <v>NA</v>
      </c>
      <c r="O451" s="77" t="str">
        <f>IFERROR(VLOOKUP($H451,TP[],3,FALSE),"NA")</f>
        <v>NA</v>
      </c>
      <c r="P451" s="77" t="str">
        <f>IFERROR(VLOOKUP($H451,TEN[],3,FALSE),"NA")</f>
        <v>NA</v>
      </c>
      <c r="Q451" s="77" t="str">
        <f>IFERROR(VLOOKUP($H451,TD[],3,FALSE),"NA")</f>
        <v>NA</v>
      </c>
      <c r="R451" s="77" t="str">
        <f>IFERROR(VLOOKUP($H451,TC[],3,FALSE),"NA")</f>
        <v>NA</v>
      </c>
      <c r="S451" s="77">
        <f>IFERROR(VLOOKUP($H451,TEV[],3,FALSE),"NA")</f>
        <v>1</v>
      </c>
      <c r="T451" s="79">
        <f>SUM(TbPrestamo[[#This Row],[GENERAL]:[ELEVADOR]])</f>
        <v>1</v>
      </c>
      <c r="U451" s="80">
        <f>IF(VLOOKUP(TbPrestamo[[#This Row],[ITEM]],TbPiezas[],5,FALSE)="NA",0,VLOOKUP(TbPrestamo[[#This Row],[ITEM]],TbPiezas[],5,FALSE))</f>
        <v>15.2</v>
      </c>
      <c r="V451" s="81">
        <f>+TbPrestamo[[#This Row],[TOTAL]]*TbPrestamo[[#This Row],[P.U. (1)]]</f>
        <v>15.2</v>
      </c>
      <c r="W451" s="82">
        <f>+VLOOKUP(TbPrestamo[[#This Row],[ITEM]],TbPiezas[],6,FALSE)</f>
        <v>1041.81</v>
      </c>
      <c r="X451" s="83">
        <f>+TbPrestamo[[#This Row],[TOTAL]]*TbPrestamo[[#This Row],[P.U. (2)]]</f>
        <v>1041.81</v>
      </c>
      <c r="Y451" s="82">
        <f>+VLOOKUP(TbPrestamo[[#This Row],[ITEM]],TbPiezas[],7,FALSE)</f>
        <v>52.090499999999999</v>
      </c>
      <c r="Z451" s="84">
        <f>+TbPrestamo[[#This Row],[TOTAL]]*TbPrestamo[[#This Row],[P.U. (3)]]</f>
        <v>52.090499999999999</v>
      </c>
    </row>
    <row r="452" spans="1:26" s="4" customFormat="1" x14ac:dyDescent="0.3">
      <c r="A452" s="2"/>
      <c r="B452" s="85">
        <v>430</v>
      </c>
      <c r="C452" s="71" t="s">
        <v>811</v>
      </c>
      <c r="D452" s="72" t="s">
        <v>812</v>
      </c>
      <c r="E452" s="73"/>
      <c r="F452" s="74">
        <f>+VLOOKUP(C452,TbPrestamo[],13,FALSE)</f>
        <v>1</v>
      </c>
      <c r="G452" s="2"/>
      <c r="H452" s="75" t="str">
        <f t="shared" si="12"/>
        <v>EV.3700</v>
      </c>
      <c r="I452" s="59" t="str">
        <f t="shared" si="13"/>
        <v>ok</v>
      </c>
      <c r="J452" s="77">
        <f>IFERROR(VLOOKUP($H452,TG[],3,FALSE),"NA")</f>
        <v>0</v>
      </c>
      <c r="K452" s="77" t="str">
        <f>IFERROR(VLOOKUP($H452,TF[],3,FALSE),"NA")</f>
        <v>NA</v>
      </c>
      <c r="L452" s="77" t="str">
        <f>IFERROR(VLOOKUP($H452,TT[],3,FALSE),"NA")</f>
        <v>NA</v>
      </c>
      <c r="M452" s="77" t="str">
        <f>IFERROR(VLOOKUP($H452,TES[],3,FALSE),"NA")</f>
        <v>NA</v>
      </c>
      <c r="N452" s="77" t="str">
        <f>IFERROR(VLOOKUP($H452,TEC[],3,FALSE),"NA")</f>
        <v>NA</v>
      </c>
      <c r="O452" s="77" t="str">
        <f>IFERROR(VLOOKUP($H452,TP[],3,FALSE),"NA")</f>
        <v>NA</v>
      </c>
      <c r="P452" s="77" t="str">
        <f>IFERROR(VLOOKUP($H452,TEN[],3,FALSE),"NA")</f>
        <v>NA</v>
      </c>
      <c r="Q452" s="77" t="str">
        <f>IFERROR(VLOOKUP($H452,TD[],3,FALSE),"NA")</f>
        <v>NA</v>
      </c>
      <c r="R452" s="77" t="str">
        <f>IFERROR(VLOOKUP($H452,TC[],3,FALSE),"NA")</f>
        <v>NA</v>
      </c>
      <c r="S452" s="77">
        <f>IFERROR(VLOOKUP($H452,TEV[],3,FALSE),"NA")</f>
        <v>1</v>
      </c>
      <c r="T452" s="79">
        <f>SUM(TbPrestamo[[#This Row],[GENERAL]:[ELEVADOR]])</f>
        <v>1</v>
      </c>
      <c r="U452" s="80">
        <f>IF(VLOOKUP(TbPrestamo[[#This Row],[ITEM]],TbPiezas[],5,FALSE)="NA",0,VLOOKUP(TbPrestamo[[#This Row],[ITEM]],TbPiezas[],5,FALSE))</f>
        <v>9.8000000000000007</v>
      </c>
      <c r="V452" s="81">
        <f>+TbPrestamo[[#This Row],[TOTAL]]*TbPrestamo[[#This Row],[P.U. (1)]]</f>
        <v>9.8000000000000007</v>
      </c>
      <c r="W452" s="82">
        <f>+VLOOKUP(TbPrestamo[[#This Row],[ITEM]],TbPiezas[],6,FALSE)</f>
        <v>813.12</v>
      </c>
      <c r="X452" s="83">
        <f>+TbPrestamo[[#This Row],[TOTAL]]*TbPrestamo[[#This Row],[P.U. (2)]]</f>
        <v>813.12</v>
      </c>
      <c r="Y452" s="82">
        <f>+VLOOKUP(TbPrestamo[[#This Row],[ITEM]],TbPiezas[],7,FALSE)</f>
        <v>40.656000000000006</v>
      </c>
      <c r="Z452" s="84">
        <f>+TbPrestamo[[#This Row],[TOTAL]]*TbPrestamo[[#This Row],[P.U. (3)]]</f>
        <v>40.656000000000006</v>
      </c>
    </row>
    <row r="453" spans="1:26" s="4" customFormat="1" x14ac:dyDescent="0.3">
      <c r="A453" s="2"/>
      <c r="B453" s="85">
        <v>431</v>
      </c>
      <c r="C453" s="71" t="s">
        <v>1457</v>
      </c>
      <c r="D453" s="72" t="s">
        <v>1455</v>
      </c>
      <c r="E453" s="73"/>
      <c r="F453" s="74">
        <f>+VLOOKUP(C453,TbPrestamo[],13,FALSE)</f>
        <v>0</v>
      </c>
      <c r="G453" s="2"/>
      <c r="H453" s="75" t="str">
        <f t="shared" si="12"/>
        <v>EV.3710</v>
      </c>
      <c r="I453" s="59" t="str">
        <f t="shared" si="13"/>
        <v>ok</v>
      </c>
      <c r="J453" s="77">
        <f>IFERROR(VLOOKUP($H453,TG[],3,FALSE),"NA")</f>
        <v>0</v>
      </c>
      <c r="K453" s="77" t="str">
        <f>IFERROR(VLOOKUP($H453,TF[],3,FALSE),"NA")</f>
        <v>NA</v>
      </c>
      <c r="L453" s="77" t="str">
        <f>IFERROR(VLOOKUP($H453,TT[],3,FALSE),"NA")</f>
        <v>NA</v>
      </c>
      <c r="M453" s="77" t="str">
        <f>IFERROR(VLOOKUP($H453,TES[],3,FALSE),"NA")</f>
        <v>NA</v>
      </c>
      <c r="N453" s="77" t="str">
        <f>IFERROR(VLOOKUP($H453,TEC[],3,FALSE),"NA")</f>
        <v>NA</v>
      </c>
      <c r="O453" s="77" t="str">
        <f>IFERROR(VLOOKUP($H453,TP[],3,FALSE),"NA")</f>
        <v>NA</v>
      </c>
      <c r="P453" s="77" t="str">
        <f>IFERROR(VLOOKUP($H453,TEN[],3,FALSE),"NA")</f>
        <v>NA</v>
      </c>
      <c r="Q453" s="77" t="str">
        <f>IFERROR(VLOOKUP($H453,TD[],3,FALSE),"NA")</f>
        <v>NA</v>
      </c>
      <c r="R453" s="77" t="str">
        <f>IFERROR(VLOOKUP($H453,TC[],3,FALSE),"NA")</f>
        <v>NA</v>
      </c>
      <c r="S453" s="77" t="str">
        <f>IFERROR(VLOOKUP($H453,TEV[],3,FALSE),"NA")</f>
        <v>NA</v>
      </c>
      <c r="T453" s="79">
        <f>SUM(TbPrestamo[[#This Row],[GENERAL]:[ELEVADOR]])</f>
        <v>0</v>
      </c>
      <c r="U453" s="80">
        <f>IF(VLOOKUP(TbPrestamo[[#This Row],[ITEM]],TbPiezas[],5,FALSE)="NA",0,VLOOKUP(TbPrestamo[[#This Row],[ITEM]],TbPiezas[],5,FALSE))</f>
        <v>0</v>
      </c>
      <c r="V453" s="81">
        <f>+TbPrestamo[[#This Row],[TOTAL]]*TbPrestamo[[#This Row],[P.U. (1)]]</f>
        <v>0</v>
      </c>
      <c r="W453" s="82">
        <f>+VLOOKUP(TbPrestamo[[#This Row],[ITEM]],TbPiezas[],6,FALSE)</f>
        <v>0</v>
      </c>
      <c r="X453" s="83">
        <f>+TbPrestamo[[#This Row],[TOTAL]]*TbPrestamo[[#This Row],[P.U. (2)]]</f>
        <v>0</v>
      </c>
      <c r="Y453" s="82">
        <f>+VLOOKUP(TbPrestamo[[#This Row],[ITEM]],TbPiezas[],7,FALSE)</f>
        <v>0</v>
      </c>
      <c r="Z453" s="84">
        <f>+TbPrestamo[[#This Row],[TOTAL]]*TbPrestamo[[#This Row],[P.U. (3)]]</f>
        <v>0</v>
      </c>
    </row>
    <row r="454" spans="1:26" s="4" customFormat="1" x14ac:dyDescent="0.3">
      <c r="A454" s="2"/>
      <c r="B454" s="85">
        <v>432</v>
      </c>
      <c r="C454" s="71" t="s">
        <v>1458</v>
      </c>
      <c r="D454" s="72" t="s">
        <v>1456</v>
      </c>
      <c r="E454" s="73"/>
      <c r="F454" s="74">
        <f>+VLOOKUP(C454,TbPrestamo[],13,FALSE)</f>
        <v>0</v>
      </c>
      <c r="G454" s="2"/>
      <c r="H454" s="75" t="str">
        <f t="shared" si="12"/>
        <v>EV.3720</v>
      </c>
      <c r="I454" s="59" t="str">
        <f t="shared" si="13"/>
        <v>ok</v>
      </c>
      <c r="J454" s="77">
        <f>IFERROR(VLOOKUP($H454,TG[],3,FALSE),"NA")</f>
        <v>0</v>
      </c>
      <c r="K454" s="77" t="str">
        <f>IFERROR(VLOOKUP($H454,TF[],3,FALSE),"NA")</f>
        <v>NA</v>
      </c>
      <c r="L454" s="77" t="str">
        <f>IFERROR(VLOOKUP($H454,TT[],3,FALSE),"NA")</f>
        <v>NA</v>
      </c>
      <c r="M454" s="77" t="str">
        <f>IFERROR(VLOOKUP($H454,TES[],3,FALSE),"NA")</f>
        <v>NA</v>
      </c>
      <c r="N454" s="77" t="str">
        <f>IFERROR(VLOOKUP($H454,TEC[],3,FALSE),"NA")</f>
        <v>NA</v>
      </c>
      <c r="O454" s="77" t="str">
        <f>IFERROR(VLOOKUP($H454,TP[],3,FALSE),"NA")</f>
        <v>NA</v>
      </c>
      <c r="P454" s="77" t="str">
        <f>IFERROR(VLOOKUP($H454,TEN[],3,FALSE),"NA")</f>
        <v>NA</v>
      </c>
      <c r="Q454" s="77" t="str">
        <f>IFERROR(VLOOKUP($H454,TD[],3,FALSE),"NA")</f>
        <v>NA</v>
      </c>
      <c r="R454" s="77" t="str">
        <f>IFERROR(VLOOKUP($H454,TC[],3,FALSE),"NA")</f>
        <v>NA</v>
      </c>
      <c r="S454" s="77" t="str">
        <f>IFERROR(VLOOKUP($H454,TEV[],3,FALSE),"NA")</f>
        <v>NA</v>
      </c>
      <c r="T454" s="79">
        <f>SUM(TbPrestamo[[#This Row],[GENERAL]:[ELEVADOR]])</f>
        <v>0</v>
      </c>
      <c r="U454" s="80">
        <f>IF(VLOOKUP(TbPrestamo[[#This Row],[ITEM]],TbPiezas[],5,FALSE)="NA",0,VLOOKUP(TbPrestamo[[#This Row],[ITEM]],TbPiezas[],5,FALSE))</f>
        <v>0</v>
      </c>
      <c r="V454" s="81">
        <f>+TbPrestamo[[#This Row],[TOTAL]]*TbPrestamo[[#This Row],[P.U. (1)]]</f>
        <v>0</v>
      </c>
      <c r="W454" s="82">
        <f>+VLOOKUP(TbPrestamo[[#This Row],[ITEM]],TbPiezas[],6,FALSE)</f>
        <v>0</v>
      </c>
      <c r="X454" s="83">
        <f>+TbPrestamo[[#This Row],[TOTAL]]*TbPrestamo[[#This Row],[P.U. (2)]]</f>
        <v>0</v>
      </c>
      <c r="Y454" s="82">
        <f>+VLOOKUP(TbPrestamo[[#This Row],[ITEM]],TbPiezas[],7,FALSE)</f>
        <v>0</v>
      </c>
      <c r="Z454" s="84">
        <f>+TbPrestamo[[#This Row],[TOTAL]]*TbPrestamo[[#This Row],[P.U. (3)]]</f>
        <v>0</v>
      </c>
    </row>
    <row r="455" spans="1:26" s="4" customFormat="1" x14ac:dyDescent="0.3">
      <c r="A455" s="2"/>
      <c r="B455" s="85">
        <v>433</v>
      </c>
      <c r="C455" s="71" t="s">
        <v>813</v>
      </c>
      <c r="D455" s="72" t="s">
        <v>814</v>
      </c>
      <c r="E455" s="73"/>
      <c r="F455" s="74">
        <f>+VLOOKUP(C455,TbPrestamo[],13,FALSE)</f>
        <v>1</v>
      </c>
      <c r="G455" s="2"/>
      <c r="H455" s="75" t="str">
        <f t="shared" si="12"/>
        <v>EV.3800</v>
      </c>
      <c r="I455" s="59" t="str">
        <f t="shared" si="13"/>
        <v>ok</v>
      </c>
      <c r="J455" s="77">
        <f>IFERROR(VLOOKUP($H455,TG[],3,FALSE),"NA")</f>
        <v>0</v>
      </c>
      <c r="K455" s="77" t="str">
        <f>IFERROR(VLOOKUP($H455,TF[],3,FALSE),"NA")</f>
        <v>NA</v>
      </c>
      <c r="L455" s="77" t="str">
        <f>IFERROR(VLOOKUP($H455,TT[],3,FALSE),"NA")</f>
        <v>NA</v>
      </c>
      <c r="M455" s="77" t="str">
        <f>IFERROR(VLOOKUP($H455,TES[],3,FALSE),"NA")</f>
        <v>NA</v>
      </c>
      <c r="N455" s="77" t="str">
        <f>IFERROR(VLOOKUP($H455,TEC[],3,FALSE),"NA")</f>
        <v>NA</v>
      </c>
      <c r="O455" s="77" t="str">
        <f>IFERROR(VLOOKUP($H455,TP[],3,FALSE),"NA")</f>
        <v>NA</v>
      </c>
      <c r="P455" s="77" t="str">
        <f>IFERROR(VLOOKUP($H455,TEN[],3,FALSE),"NA")</f>
        <v>NA</v>
      </c>
      <c r="Q455" s="77" t="str">
        <f>IFERROR(VLOOKUP($H455,TD[],3,FALSE),"NA")</f>
        <v>NA</v>
      </c>
      <c r="R455" s="77" t="str">
        <f>IFERROR(VLOOKUP($H455,TC[],3,FALSE),"NA")</f>
        <v>NA</v>
      </c>
      <c r="S455" s="77">
        <f>IFERROR(VLOOKUP($H455,TEV[],3,FALSE),"NA")</f>
        <v>1</v>
      </c>
      <c r="T455" s="79">
        <f>SUM(TbPrestamo[[#This Row],[GENERAL]:[ELEVADOR]])</f>
        <v>1</v>
      </c>
      <c r="U455" s="80">
        <f>IF(VLOOKUP(TbPrestamo[[#This Row],[ITEM]],TbPiezas[],5,FALSE)="NA",0,VLOOKUP(TbPrestamo[[#This Row],[ITEM]],TbPiezas[],5,FALSE))</f>
        <v>9.8000000000000007</v>
      </c>
      <c r="V455" s="81">
        <f>+TbPrestamo[[#This Row],[TOTAL]]*TbPrestamo[[#This Row],[P.U. (1)]]</f>
        <v>9.8000000000000007</v>
      </c>
      <c r="W455" s="82">
        <f>+VLOOKUP(TbPrestamo[[#This Row],[ITEM]],TbPiezas[],6,FALSE)</f>
        <v>1041.81</v>
      </c>
      <c r="X455" s="83">
        <f>+TbPrestamo[[#This Row],[TOTAL]]*TbPrestamo[[#This Row],[P.U. (2)]]</f>
        <v>1041.81</v>
      </c>
      <c r="Y455" s="82">
        <f>+VLOOKUP(TbPrestamo[[#This Row],[ITEM]],TbPiezas[],7,FALSE)</f>
        <v>52.090499999999999</v>
      </c>
      <c r="Z455" s="84">
        <f>+TbPrestamo[[#This Row],[TOTAL]]*TbPrestamo[[#This Row],[P.U. (3)]]</f>
        <v>52.090499999999999</v>
      </c>
    </row>
    <row r="456" spans="1:26" s="4" customFormat="1" x14ac:dyDescent="0.3">
      <c r="A456" s="2"/>
      <c r="B456" s="85">
        <v>434</v>
      </c>
      <c r="C456" s="71" t="s">
        <v>815</v>
      </c>
      <c r="D456" s="72" t="s">
        <v>816</v>
      </c>
      <c r="E456" s="73"/>
      <c r="F456" s="74">
        <f>+VLOOKUP(C456,TbPrestamo[],13,FALSE)</f>
        <v>1</v>
      </c>
      <c r="G456" s="2"/>
      <c r="H456" s="75" t="str">
        <f t="shared" si="12"/>
        <v>EV.3900</v>
      </c>
      <c r="I456" s="59" t="str">
        <f t="shared" si="13"/>
        <v>ok</v>
      </c>
      <c r="J456" s="77">
        <f>IFERROR(VLOOKUP($H456,TG[],3,FALSE),"NA")</f>
        <v>0</v>
      </c>
      <c r="K456" s="77" t="str">
        <f>IFERROR(VLOOKUP($H456,TF[],3,FALSE),"NA")</f>
        <v>NA</v>
      </c>
      <c r="L456" s="77" t="str">
        <f>IFERROR(VLOOKUP($H456,TT[],3,FALSE),"NA")</f>
        <v>NA</v>
      </c>
      <c r="M456" s="77" t="str">
        <f>IFERROR(VLOOKUP($H456,TES[],3,FALSE),"NA")</f>
        <v>NA</v>
      </c>
      <c r="N456" s="77" t="str">
        <f>IFERROR(VLOOKUP($H456,TEC[],3,FALSE),"NA")</f>
        <v>NA</v>
      </c>
      <c r="O456" s="77" t="str">
        <f>IFERROR(VLOOKUP($H456,TP[],3,FALSE),"NA")</f>
        <v>NA</v>
      </c>
      <c r="P456" s="77" t="str">
        <f>IFERROR(VLOOKUP($H456,TEN[],3,FALSE),"NA")</f>
        <v>NA</v>
      </c>
      <c r="Q456" s="77" t="str">
        <f>IFERROR(VLOOKUP($H456,TD[],3,FALSE),"NA")</f>
        <v>NA</v>
      </c>
      <c r="R456" s="77" t="str">
        <f>IFERROR(VLOOKUP($H456,TC[],3,FALSE),"NA")</f>
        <v>NA</v>
      </c>
      <c r="S456" s="77">
        <f>IFERROR(VLOOKUP($H456,TEV[],3,FALSE),"NA")</f>
        <v>1</v>
      </c>
      <c r="T456" s="79">
        <f>SUM(TbPrestamo[[#This Row],[GENERAL]:[ELEVADOR]])</f>
        <v>1</v>
      </c>
      <c r="U456" s="80">
        <f>IF(VLOOKUP(TbPrestamo[[#This Row],[ITEM]],TbPiezas[],5,FALSE)="NA",0,VLOOKUP(TbPrestamo[[#This Row],[ITEM]],TbPiezas[],5,FALSE))</f>
        <v>9.8000000000000007</v>
      </c>
      <c r="V456" s="81">
        <f>+TbPrestamo[[#This Row],[TOTAL]]*TbPrestamo[[#This Row],[P.U. (1)]]</f>
        <v>9.8000000000000007</v>
      </c>
      <c r="W456" s="82">
        <f>+VLOOKUP(TbPrestamo[[#This Row],[ITEM]],TbPiezas[],6,FALSE)</f>
        <v>813.12</v>
      </c>
      <c r="X456" s="83">
        <f>+TbPrestamo[[#This Row],[TOTAL]]*TbPrestamo[[#This Row],[P.U. (2)]]</f>
        <v>813.12</v>
      </c>
      <c r="Y456" s="82">
        <f>+VLOOKUP(TbPrestamo[[#This Row],[ITEM]],TbPiezas[],7,FALSE)</f>
        <v>40.656000000000006</v>
      </c>
      <c r="Z456" s="84">
        <f>+TbPrestamo[[#This Row],[TOTAL]]*TbPrestamo[[#This Row],[P.U. (3)]]</f>
        <v>40.656000000000006</v>
      </c>
    </row>
    <row r="457" spans="1:26" s="4" customFormat="1" x14ac:dyDescent="0.3">
      <c r="A457" s="2"/>
      <c r="B457" s="85">
        <v>435</v>
      </c>
      <c r="C457" s="71" t="s">
        <v>817</v>
      </c>
      <c r="D457" s="72" t="s">
        <v>818</v>
      </c>
      <c r="E457" s="73"/>
      <c r="F457" s="74">
        <f>+VLOOKUP(C457,TbPrestamo[],13,FALSE)</f>
        <v>2</v>
      </c>
      <c r="G457" s="2"/>
      <c r="H457" s="75" t="str">
        <f t="shared" si="12"/>
        <v>EV.4000</v>
      </c>
      <c r="I457" s="59" t="str">
        <f t="shared" si="13"/>
        <v>ok</v>
      </c>
      <c r="J457" s="77">
        <f>IFERROR(VLOOKUP($H457,TG[],3,FALSE),"NA")</f>
        <v>0</v>
      </c>
      <c r="K457" s="77" t="str">
        <f>IFERROR(VLOOKUP($H457,TF[],3,FALSE),"NA")</f>
        <v>NA</v>
      </c>
      <c r="L457" s="77" t="str">
        <f>IFERROR(VLOOKUP($H457,TT[],3,FALSE),"NA")</f>
        <v>NA</v>
      </c>
      <c r="M457" s="77" t="str">
        <f>IFERROR(VLOOKUP($H457,TES[],3,FALSE),"NA")</f>
        <v>NA</v>
      </c>
      <c r="N457" s="77" t="str">
        <f>IFERROR(VLOOKUP($H457,TEC[],3,FALSE),"NA")</f>
        <v>NA</v>
      </c>
      <c r="O457" s="77" t="str">
        <f>IFERROR(VLOOKUP($H457,TP[],3,FALSE),"NA")</f>
        <v>NA</v>
      </c>
      <c r="P457" s="77" t="str">
        <f>IFERROR(VLOOKUP($H457,TEN[],3,FALSE),"NA")</f>
        <v>NA</v>
      </c>
      <c r="Q457" s="77" t="str">
        <f>IFERROR(VLOOKUP($H457,TD[],3,FALSE),"NA")</f>
        <v>NA</v>
      </c>
      <c r="R457" s="77" t="str">
        <f>IFERROR(VLOOKUP($H457,TC[],3,FALSE),"NA")</f>
        <v>NA</v>
      </c>
      <c r="S457" s="77">
        <f>IFERROR(VLOOKUP($H457,TEV[],3,FALSE),"NA")</f>
        <v>2</v>
      </c>
      <c r="T457" s="79">
        <f>SUM(TbPrestamo[[#This Row],[GENERAL]:[ELEVADOR]])</f>
        <v>2</v>
      </c>
      <c r="U457" s="80">
        <f>IF(VLOOKUP(TbPrestamo[[#This Row],[ITEM]],TbPiezas[],5,FALSE)="NA",0,VLOOKUP(TbPrestamo[[#This Row],[ITEM]],TbPiezas[],5,FALSE))</f>
        <v>11.7</v>
      </c>
      <c r="V457" s="81">
        <f>+TbPrestamo[[#This Row],[TOTAL]]*TbPrestamo[[#This Row],[P.U. (1)]]</f>
        <v>23.4</v>
      </c>
      <c r="W457" s="82">
        <f>+VLOOKUP(TbPrestamo[[#This Row],[ITEM]],TbPiezas[],6,FALSE)</f>
        <v>1003.7</v>
      </c>
      <c r="X457" s="83">
        <f>+TbPrestamo[[#This Row],[TOTAL]]*TbPrestamo[[#This Row],[P.U. (2)]]</f>
        <v>2007.4</v>
      </c>
      <c r="Y457" s="82">
        <f>+VLOOKUP(TbPrestamo[[#This Row],[ITEM]],TbPiezas[],7,FALSE)</f>
        <v>50.185000000000002</v>
      </c>
      <c r="Z457" s="84">
        <f>+TbPrestamo[[#This Row],[TOTAL]]*TbPrestamo[[#This Row],[P.U. (3)]]</f>
        <v>100.37</v>
      </c>
    </row>
    <row r="458" spans="1:26" s="4" customFormat="1" x14ac:dyDescent="0.3">
      <c r="A458" s="2"/>
      <c r="B458" s="85">
        <v>436</v>
      </c>
      <c r="C458" s="71" t="s">
        <v>1460</v>
      </c>
      <c r="D458" s="72" t="s">
        <v>1459</v>
      </c>
      <c r="E458" s="73"/>
      <c r="F458" s="74">
        <f>+VLOOKUP(C458,TbPrestamo[],13,FALSE)</f>
        <v>0</v>
      </c>
      <c r="G458" s="2"/>
      <c r="H458" s="75" t="str">
        <f t="shared" si="12"/>
        <v>EV.4010</v>
      </c>
      <c r="I458" s="59" t="str">
        <f t="shared" si="13"/>
        <v>ok</v>
      </c>
      <c r="J458" s="77">
        <f>IFERROR(VLOOKUP($H458,TG[],3,FALSE),"NA")</f>
        <v>0</v>
      </c>
      <c r="K458" s="77" t="str">
        <f>IFERROR(VLOOKUP($H458,TF[],3,FALSE),"NA")</f>
        <v>NA</v>
      </c>
      <c r="L458" s="77" t="str">
        <f>IFERROR(VLOOKUP($H458,TT[],3,FALSE),"NA")</f>
        <v>NA</v>
      </c>
      <c r="M458" s="77" t="str">
        <f>IFERROR(VLOOKUP($H458,TES[],3,FALSE),"NA")</f>
        <v>NA</v>
      </c>
      <c r="N458" s="77" t="str">
        <f>IFERROR(VLOOKUP($H458,TEC[],3,FALSE),"NA")</f>
        <v>NA</v>
      </c>
      <c r="O458" s="77" t="str">
        <f>IFERROR(VLOOKUP($H458,TP[],3,FALSE),"NA")</f>
        <v>NA</v>
      </c>
      <c r="P458" s="77" t="str">
        <f>IFERROR(VLOOKUP($H458,TEN[],3,FALSE),"NA")</f>
        <v>NA</v>
      </c>
      <c r="Q458" s="77" t="str">
        <f>IFERROR(VLOOKUP($H458,TD[],3,FALSE),"NA")</f>
        <v>NA</v>
      </c>
      <c r="R458" s="77" t="str">
        <f>IFERROR(VLOOKUP($H458,TC[],3,FALSE),"NA")</f>
        <v>NA</v>
      </c>
      <c r="S458" s="77" t="str">
        <f>IFERROR(VLOOKUP($H458,TEV[],3,FALSE),"NA")</f>
        <v>NA</v>
      </c>
      <c r="T458" s="79">
        <f>SUM(TbPrestamo[[#This Row],[GENERAL]:[ELEVADOR]])</f>
        <v>0</v>
      </c>
      <c r="U458" s="80">
        <f>IF(VLOOKUP(TbPrestamo[[#This Row],[ITEM]],TbPiezas[],5,FALSE)="NA",0,VLOOKUP(TbPrestamo[[#This Row],[ITEM]],TbPiezas[],5,FALSE))</f>
        <v>0</v>
      </c>
      <c r="V458" s="81">
        <f>+TbPrestamo[[#This Row],[TOTAL]]*TbPrestamo[[#This Row],[P.U. (1)]]</f>
        <v>0</v>
      </c>
      <c r="W458" s="82">
        <f>+VLOOKUP(TbPrestamo[[#This Row],[ITEM]],TbPiezas[],6,FALSE)</f>
        <v>0</v>
      </c>
      <c r="X458" s="83">
        <f>+TbPrestamo[[#This Row],[TOTAL]]*TbPrestamo[[#This Row],[P.U. (2)]]</f>
        <v>0</v>
      </c>
      <c r="Y458" s="82">
        <f>+VLOOKUP(TbPrestamo[[#This Row],[ITEM]],TbPiezas[],7,FALSE)</f>
        <v>0</v>
      </c>
      <c r="Z458" s="84">
        <f>+TbPrestamo[[#This Row],[TOTAL]]*TbPrestamo[[#This Row],[P.U. (3)]]</f>
        <v>0</v>
      </c>
    </row>
    <row r="459" spans="1:26" s="4" customFormat="1" x14ac:dyDescent="0.3">
      <c r="A459" s="2"/>
      <c r="B459" s="85">
        <v>437</v>
      </c>
      <c r="C459" s="71" t="s">
        <v>819</v>
      </c>
      <c r="D459" s="72" t="s">
        <v>820</v>
      </c>
      <c r="E459" s="73"/>
      <c r="F459" s="74">
        <f>+VLOOKUP(C459,TbPrestamo[],13,FALSE)</f>
        <v>2</v>
      </c>
      <c r="G459" s="2"/>
      <c r="H459" s="75" t="str">
        <f t="shared" si="12"/>
        <v>EV.4100</v>
      </c>
      <c r="I459" s="59" t="str">
        <f t="shared" si="13"/>
        <v>ok</v>
      </c>
      <c r="J459" s="77">
        <f>IFERROR(VLOOKUP($H459,TG[],3,FALSE),"NA")</f>
        <v>0</v>
      </c>
      <c r="K459" s="77" t="str">
        <f>IFERROR(VLOOKUP($H459,TF[],3,FALSE),"NA")</f>
        <v>NA</v>
      </c>
      <c r="L459" s="77" t="str">
        <f>IFERROR(VLOOKUP($H459,TT[],3,FALSE),"NA")</f>
        <v>NA</v>
      </c>
      <c r="M459" s="77" t="str">
        <f>IFERROR(VLOOKUP($H459,TES[],3,FALSE),"NA")</f>
        <v>NA</v>
      </c>
      <c r="N459" s="77" t="str">
        <f>IFERROR(VLOOKUP($H459,TEC[],3,FALSE),"NA")</f>
        <v>NA</v>
      </c>
      <c r="O459" s="77" t="str">
        <f>IFERROR(VLOOKUP($H459,TP[],3,FALSE),"NA")</f>
        <v>NA</v>
      </c>
      <c r="P459" s="77" t="str">
        <f>IFERROR(VLOOKUP($H459,TEN[],3,FALSE),"NA")</f>
        <v>NA</v>
      </c>
      <c r="Q459" s="77" t="str">
        <f>IFERROR(VLOOKUP($H459,TD[],3,FALSE),"NA")</f>
        <v>NA</v>
      </c>
      <c r="R459" s="77" t="str">
        <f>IFERROR(VLOOKUP($H459,TC[],3,FALSE),"NA")</f>
        <v>NA</v>
      </c>
      <c r="S459" s="77">
        <f>IFERROR(VLOOKUP($H459,TEV[],3,FALSE),"NA")</f>
        <v>2</v>
      </c>
      <c r="T459" s="79">
        <f>SUM(TbPrestamo[[#This Row],[GENERAL]:[ELEVADOR]])</f>
        <v>2</v>
      </c>
      <c r="U459" s="80">
        <f>IF(VLOOKUP(TbPrestamo[[#This Row],[ITEM]],TbPiezas[],5,FALSE)="NA",0,VLOOKUP(TbPrestamo[[#This Row],[ITEM]],TbPiezas[],5,FALSE))</f>
        <v>30</v>
      </c>
      <c r="V459" s="81">
        <f>+TbPrestamo[[#This Row],[TOTAL]]*TbPrestamo[[#This Row],[P.U. (1)]]</f>
        <v>60</v>
      </c>
      <c r="W459" s="82">
        <f>+VLOOKUP(TbPrestamo[[#This Row],[ITEM]],TbPiezas[],6,FALSE)</f>
        <v>6352.5</v>
      </c>
      <c r="X459" s="83">
        <f>+TbPrestamo[[#This Row],[TOTAL]]*TbPrestamo[[#This Row],[P.U. (2)]]</f>
        <v>12705</v>
      </c>
      <c r="Y459" s="82">
        <f>+VLOOKUP(TbPrestamo[[#This Row],[ITEM]],TbPiezas[],7,FALSE)</f>
        <v>317.625</v>
      </c>
      <c r="Z459" s="84">
        <f>+TbPrestamo[[#This Row],[TOTAL]]*TbPrestamo[[#This Row],[P.U. (3)]]</f>
        <v>635.25</v>
      </c>
    </row>
    <row r="460" spans="1:26" s="4" customFormat="1" x14ac:dyDescent="0.3">
      <c r="A460" s="2"/>
      <c r="B460" s="85">
        <v>438</v>
      </c>
      <c r="C460" s="71" t="s">
        <v>1464</v>
      </c>
      <c r="D460" s="72" t="s">
        <v>1461</v>
      </c>
      <c r="E460" s="73"/>
      <c r="F460" s="74">
        <f>+VLOOKUP(C460,TbPrestamo[],13,FALSE)</f>
        <v>0</v>
      </c>
      <c r="G460" s="2"/>
      <c r="H460" s="75" t="str">
        <f t="shared" si="12"/>
        <v>EV.4110</v>
      </c>
      <c r="I460" s="59" t="str">
        <f t="shared" si="13"/>
        <v>ok</v>
      </c>
      <c r="J460" s="77">
        <f>IFERROR(VLOOKUP($H460,TG[],3,FALSE),"NA")</f>
        <v>0</v>
      </c>
      <c r="K460" s="77" t="str">
        <f>IFERROR(VLOOKUP($H460,TF[],3,FALSE),"NA")</f>
        <v>NA</v>
      </c>
      <c r="L460" s="77" t="str">
        <f>IFERROR(VLOOKUP($H460,TT[],3,FALSE),"NA")</f>
        <v>NA</v>
      </c>
      <c r="M460" s="77" t="str">
        <f>IFERROR(VLOOKUP($H460,TES[],3,FALSE),"NA")</f>
        <v>NA</v>
      </c>
      <c r="N460" s="77" t="str">
        <f>IFERROR(VLOOKUP($H460,TEC[],3,FALSE),"NA")</f>
        <v>NA</v>
      </c>
      <c r="O460" s="77" t="str">
        <f>IFERROR(VLOOKUP($H460,TP[],3,FALSE),"NA")</f>
        <v>NA</v>
      </c>
      <c r="P460" s="77" t="str">
        <f>IFERROR(VLOOKUP($H460,TEN[],3,FALSE),"NA")</f>
        <v>NA</v>
      </c>
      <c r="Q460" s="77" t="str">
        <f>IFERROR(VLOOKUP($H460,TD[],3,FALSE),"NA")</f>
        <v>NA</v>
      </c>
      <c r="R460" s="77" t="str">
        <f>IFERROR(VLOOKUP($H460,TC[],3,FALSE),"NA")</f>
        <v>NA</v>
      </c>
      <c r="S460" s="77" t="str">
        <f>IFERROR(VLOOKUP($H460,TEV[],3,FALSE),"NA")</f>
        <v>NA</v>
      </c>
      <c r="T460" s="79">
        <f>SUM(TbPrestamo[[#This Row],[GENERAL]:[ELEVADOR]])</f>
        <v>0</v>
      </c>
      <c r="U460" s="80">
        <f>IF(VLOOKUP(TbPrestamo[[#This Row],[ITEM]],TbPiezas[],5,FALSE)="NA",0,VLOOKUP(TbPrestamo[[#This Row],[ITEM]],TbPiezas[],5,FALSE))</f>
        <v>0</v>
      </c>
      <c r="V460" s="81">
        <f>+TbPrestamo[[#This Row],[TOTAL]]*TbPrestamo[[#This Row],[P.U. (1)]]</f>
        <v>0</v>
      </c>
      <c r="W460" s="82">
        <f>+VLOOKUP(TbPrestamo[[#This Row],[ITEM]],TbPiezas[],6,FALSE)</f>
        <v>0</v>
      </c>
      <c r="X460" s="83">
        <f>+TbPrestamo[[#This Row],[TOTAL]]*TbPrestamo[[#This Row],[P.U. (2)]]</f>
        <v>0</v>
      </c>
      <c r="Y460" s="82">
        <f>+VLOOKUP(TbPrestamo[[#This Row],[ITEM]],TbPiezas[],7,FALSE)</f>
        <v>0</v>
      </c>
      <c r="Z460" s="84">
        <f>+TbPrestamo[[#This Row],[TOTAL]]*TbPrestamo[[#This Row],[P.U. (3)]]</f>
        <v>0</v>
      </c>
    </row>
    <row r="461" spans="1:26" s="4" customFormat="1" x14ac:dyDescent="0.3">
      <c r="A461" s="2"/>
      <c r="B461" s="85">
        <v>439</v>
      </c>
      <c r="C461" s="71" t="s">
        <v>1465</v>
      </c>
      <c r="D461" s="72" t="s">
        <v>1462</v>
      </c>
      <c r="E461" s="73"/>
      <c r="F461" s="74">
        <f>+VLOOKUP(C461,TbPrestamo[],13,FALSE)</f>
        <v>0</v>
      </c>
      <c r="G461" s="2"/>
      <c r="H461" s="75" t="str">
        <f t="shared" si="12"/>
        <v>EV.4120</v>
      </c>
      <c r="I461" s="59" t="str">
        <f t="shared" si="13"/>
        <v>ok</v>
      </c>
      <c r="J461" s="77">
        <f>IFERROR(VLOOKUP($H461,TG[],3,FALSE),"NA")</f>
        <v>0</v>
      </c>
      <c r="K461" s="77" t="str">
        <f>IFERROR(VLOOKUP($H461,TF[],3,FALSE),"NA")</f>
        <v>NA</v>
      </c>
      <c r="L461" s="77" t="str">
        <f>IFERROR(VLOOKUP($H461,TT[],3,FALSE),"NA")</f>
        <v>NA</v>
      </c>
      <c r="M461" s="77" t="str">
        <f>IFERROR(VLOOKUP($H461,TES[],3,FALSE),"NA")</f>
        <v>NA</v>
      </c>
      <c r="N461" s="77" t="str">
        <f>IFERROR(VLOOKUP($H461,TEC[],3,FALSE),"NA")</f>
        <v>NA</v>
      </c>
      <c r="O461" s="77" t="str">
        <f>IFERROR(VLOOKUP($H461,TP[],3,FALSE),"NA")</f>
        <v>NA</v>
      </c>
      <c r="P461" s="77" t="str">
        <f>IFERROR(VLOOKUP($H461,TEN[],3,FALSE),"NA")</f>
        <v>NA</v>
      </c>
      <c r="Q461" s="77" t="str">
        <f>IFERROR(VLOOKUP($H461,TD[],3,FALSE),"NA")</f>
        <v>NA</v>
      </c>
      <c r="R461" s="77" t="str">
        <f>IFERROR(VLOOKUP($H461,TC[],3,FALSE),"NA")</f>
        <v>NA</v>
      </c>
      <c r="S461" s="77" t="str">
        <f>IFERROR(VLOOKUP($H461,TEV[],3,FALSE),"NA")</f>
        <v>NA</v>
      </c>
      <c r="T461" s="79">
        <f>SUM(TbPrestamo[[#This Row],[GENERAL]:[ELEVADOR]])</f>
        <v>0</v>
      </c>
      <c r="U461" s="80">
        <f>IF(VLOOKUP(TbPrestamo[[#This Row],[ITEM]],TbPiezas[],5,FALSE)="NA",0,VLOOKUP(TbPrestamo[[#This Row],[ITEM]],TbPiezas[],5,FALSE))</f>
        <v>0</v>
      </c>
      <c r="V461" s="81">
        <f>+TbPrestamo[[#This Row],[TOTAL]]*TbPrestamo[[#This Row],[P.U. (1)]]</f>
        <v>0</v>
      </c>
      <c r="W461" s="82">
        <f>+VLOOKUP(TbPrestamo[[#This Row],[ITEM]],TbPiezas[],6,FALSE)</f>
        <v>0</v>
      </c>
      <c r="X461" s="83">
        <f>+TbPrestamo[[#This Row],[TOTAL]]*TbPrestamo[[#This Row],[P.U. (2)]]</f>
        <v>0</v>
      </c>
      <c r="Y461" s="82">
        <f>+VLOOKUP(TbPrestamo[[#This Row],[ITEM]],TbPiezas[],7,FALSE)</f>
        <v>0</v>
      </c>
      <c r="Z461" s="84">
        <f>+TbPrestamo[[#This Row],[TOTAL]]*TbPrestamo[[#This Row],[P.U. (3)]]</f>
        <v>0</v>
      </c>
    </row>
    <row r="462" spans="1:26" s="4" customFormat="1" x14ac:dyDescent="0.3">
      <c r="A462" s="2"/>
      <c r="B462" s="85">
        <v>440</v>
      </c>
      <c r="C462" s="71" t="s">
        <v>1466</v>
      </c>
      <c r="D462" s="72" t="s">
        <v>1463</v>
      </c>
      <c r="E462" s="73"/>
      <c r="F462" s="74">
        <f>+VLOOKUP(C462,TbPrestamo[],13,FALSE)</f>
        <v>0</v>
      </c>
      <c r="G462" s="2"/>
      <c r="H462" s="75" t="str">
        <f t="shared" si="12"/>
        <v>EV.4130</v>
      </c>
      <c r="I462" s="59" t="str">
        <f t="shared" si="13"/>
        <v>ok</v>
      </c>
      <c r="J462" s="77">
        <f>IFERROR(VLOOKUP($H462,TG[],3,FALSE),"NA")</f>
        <v>0</v>
      </c>
      <c r="K462" s="77" t="str">
        <f>IFERROR(VLOOKUP($H462,TF[],3,FALSE),"NA")</f>
        <v>NA</v>
      </c>
      <c r="L462" s="77" t="str">
        <f>IFERROR(VLOOKUP($H462,TT[],3,FALSE),"NA")</f>
        <v>NA</v>
      </c>
      <c r="M462" s="77" t="str">
        <f>IFERROR(VLOOKUP($H462,TES[],3,FALSE),"NA")</f>
        <v>NA</v>
      </c>
      <c r="N462" s="77" t="str">
        <f>IFERROR(VLOOKUP($H462,TEC[],3,FALSE),"NA")</f>
        <v>NA</v>
      </c>
      <c r="O462" s="77" t="str">
        <f>IFERROR(VLOOKUP($H462,TP[],3,FALSE),"NA")</f>
        <v>NA</v>
      </c>
      <c r="P462" s="77" t="str">
        <f>IFERROR(VLOOKUP($H462,TEN[],3,FALSE),"NA")</f>
        <v>NA</v>
      </c>
      <c r="Q462" s="77" t="str">
        <f>IFERROR(VLOOKUP($H462,TD[],3,FALSE),"NA")</f>
        <v>NA</v>
      </c>
      <c r="R462" s="77" t="str">
        <f>IFERROR(VLOOKUP($H462,TC[],3,FALSE),"NA")</f>
        <v>NA</v>
      </c>
      <c r="S462" s="77" t="str">
        <f>IFERROR(VLOOKUP($H462,TEV[],3,FALSE),"NA")</f>
        <v>NA</v>
      </c>
      <c r="T462" s="79">
        <f>SUM(TbPrestamo[[#This Row],[GENERAL]:[ELEVADOR]])</f>
        <v>0</v>
      </c>
      <c r="U462" s="80">
        <f>IF(VLOOKUP(TbPrestamo[[#This Row],[ITEM]],TbPiezas[],5,FALSE)="NA",0,VLOOKUP(TbPrestamo[[#This Row],[ITEM]],TbPiezas[],5,FALSE))</f>
        <v>0</v>
      </c>
      <c r="V462" s="81">
        <f>+TbPrestamo[[#This Row],[TOTAL]]*TbPrestamo[[#This Row],[P.U. (1)]]</f>
        <v>0</v>
      </c>
      <c r="W462" s="82">
        <f>+VLOOKUP(TbPrestamo[[#This Row],[ITEM]],TbPiezas[],6,FALSE)</f>
        <v>0</v>
      </c>
      <c r="X462" s="83">
        <f>+TbPrestamo[[#This Row],[TOTAL]]*TbPrestamo[[#This Row],[P.U. (2)]]</f>
        <v>0</v>
      </c>
      <c r="Y462" s="82">
        <f>+VLOOKUP(TbPrestamo[[#This Row],[ITEM]],TbPiezas[],7,FALSE)</f>
        <v>0</v>
      </c>
      <c r="Z462" s="84">
        <f>+TbPrestamo[[#This Row],[TOTAL]]*TbPrestamo[[#This Row],[P.U. (3)]]</f>
        <v>0</v>
      </c>
    </row>
    <row r="463" spans="1:26" s="4" customFormat="1" x14ac:dyDescent="0.3">
      <c r="A463" s="2"/>
      <c r="B463" s="85">
        <v>441</v>
      </c>
      <c r="C463" s="71" t="s">
        <v>1467</v>
      </c>
      <c r="D463" s="72" t="s">
        <v>1463</v>
      </c>
      <c r="E463" s="73"/>
      <c r="F463" s="74">
        <f>+VLOOKUP(C463,TbPrestamo[],13,FALSE)</f>
        <v>0</v>
      </c>
      <c r="G463" s="2"/>
      <c r="H463" s="75" t="str">
        <f t="shared" si="12"/>
        <v>EV.4140</v>
      </c>
      <c r="I463" s="59" t="str">
        <f t="shared" si="13"/>
        <v>ok</v>
      </c>
      <c r="J463" s="77">
        <f>IFERROR(VLOOKUP($H463,TG[],3,FALSE),"NA")</f>
        <v>0</v>
      </c>
      <c r="K463" s="77" t="str">
        <f>IFERROR(VLOOKUP($H463,TF[],3,FALSE),"NA")</f>
        <v>NA</v>
      </c>
      <c r="L463" s="77" t="str">
        <f>IFERROR(VLOOKUP($H463,TT[],3,FALSE),"NA")</f>
        <v>NA</v>
      </c>
      <c r="M463" s="77" t="str">
        <f>IFERROR(VLOOKUP($H463,TES[],3,FALSE),"NA")</f>
        <v>NA</v>
      </c>
      <c r="N463" s="77" t="str">
        <f>IFERROR(VLOOKUP($H463,TEC[],3,FALSE),"NA")</f>
        <v>NA</v>
      </c>
      <c r="O463" s="77" t="str">
        <f>IFERROR(VLOOKUP($H463,TP[],3,FALSE),"NA")</f>
        <v>NA</v>
      </c>
      <c r="P463" s="77" t="str">
        <f>IFERROR(VLOOKUP($H463,TEN[],3,FALSE),"NA")</f>
        <v>NA</v>
      </c>
      <c r="Q463" s="77" t="str">
        <f>IFERROR(VLOOKUP($H463,TD[],3,FALSE),"NA")</f>
        <v>NA</v>
      </c>
      <c r="R463" s="77" t="str">
        <f>IFERROR(VLOOKUP($H463,TC[],3,FALSE),"NA")</f>
        <v>NA</v>
      </c>
      <c r="S463" s="77" t="str">
        <f>IFERROR(VLOOKUP($H463,TEV[],3,FALSE),"NA")</f>
        <v>NA</v>
      </c>
      <c r="T463" s="79">
        <f>SUM(TbPrestamo[[#This Row],[GENERAL]:[ELEVADOR]])</f>
        <v>0</v>
      </c>
      <c r="U463" s="80">
        <f>IF(VLOOKUP(TbPrestamo[[#This Row],[ITEM]],TbPiezas[],5,FALSE)="NA",0,VLOOKUP(TbPrestamo[[#This Row],[ITEM]],TbPiezas[],5,FALSE))</f>
        <v>0</v>
      </c>
      <c r="V463" s="81">
        <f>+TbPrestamo[[#This Row],[TOTAL]]*TbPrestamo[[#This Row],[P.U. (1)]]</f>
        <v>0</v>
      </c>
      <c r="W463" s="82">
        <f>+VLOOKUP(TbPrestamo[[#This Row],[ITEM]],TbPiezas[],6,FALSE)</f>
        <v>0</v>
      </c>
      <c r="X463" s="83">
        <f>+TbPrestamo[[#This Row],[TOTAL]]*TbPrestamo[[#This Row],[P.U. (2)]]</f>
        <v>0</v>
      </c>
      <c r="Y463" s="82">
        <f>+VLOOKUP(TbPrestamo[[#This Row],[ITEM]],TbPiezas[],7,FALSE)</f>
        <v>0</v>
      </c>
      <c r="Z463" s="84">
        <f>+TbPrestamo[[#This Row],[TOTAL]]*TbPrestamo[[#This Row],[P.U. (3)]]</f>
        <v>0</v>
      </c>
    </row>
    <row r="464" spans="1:26" s="4" customFormat="1" x14ac:dyDescent="0.3">
      <c r="A464" s="2"/>
      <c r="B464" s="85">
        <v>442</v>
      </c>
      <c r="C464" s="71" t="s">
        <v>821</v>
      </c>
      <c r="D464" s="72" t="s">
        <v>822</v>
      </c>
      <c r="E464" s="73"/>
      <c r="F464" s="74">
        <f>+VLOOKUP(C464,TbPrestamo[],13,FALSE)</f>
        <v>0</v>
      </c>
      <c r="G464" s="2"/>
      <c r="H464" s="75" t="str">
        <f t="shared" si="12"/>
        <v>EV.4200</v>
      </c>
      <c r="I464" s="59" t="str">
        <f t="shared" si="13"/>
        <v>ok</v>
      </c>
      <c r="J464" s="77">
        <f>IFERROR(VLOOKUP($H464,TG[],3,FALSE),"NA")</f>
        <v>0</v>
      </c>
      <c r="K464" s="77" t="str">
        <f>IFERROR(VLOOKUP($H464,TF[],3,FALSE),"NA")</f>
        <v>NA</v>
      </c>
      <c r="L464" s="77" t="str">
        <f>IFERROR(VLOOKUP($H464,TT[],3,FALSE),"NA")</f>
        <v>NA</v>
      </c>
      <c r="M464" s="77" t="str">
        <f>IFERROR(VLOOKUP($H464,TES[],3,FALSE),"NA")</f>
        <v>NA</v>
      </c>
      <c r="N464" s="77" t="str">
        <f>IFERROR(VLOOKUP($H464,TEC[],3,FALSE),"NA")</f>
        <v>NA</v>
      </c>
      <c r="O464" s="77" t="str">
        <f>IFERROR(VLOOKUP($H464,TP[],3,FALSE),"NA")</f>
        <v>NA</v>
      </c>
      <c r="P464" s="77" t="str">
        <f>IFERROR(VLOOKUP($H464,TEN[],3,FALSE),"NA")</f>
        <v>NA</v>
      </c>
      <c r="Q464" s="77" t="str">
        <f>IFERROR(VLOOKUP($H464,TD[],3,FALSE),"NA")</f>
        <v>NA</v>
      </c>
      <c r="R464" s="77" t="str">
        <f>IFERROR(VLOOKUP($H464,TC[],3,FALSE),"NA")</f>
        <v>NA</v>
      </c>
      <c r="S464" s="77">
        <f>IFERROR(VLOOKUP($H464,TEV[],3,FALSE),"NA")</f>
        <v>0</v>
      </c>
      <c r="T464" s="79">
        <f>SUM(TbPrestamo[[#This Row],[GENERAL]:[ELEVADOR]])</f>
        <v>0</v>
      </c>
      <c r="U464" s="80">
        <f>IF(VLOOKUP(TbPrestamo[[#This Row],[ITEM]],TbPiezas[],5,FALSE)="NA",0,VLOOKUP(TbPrestamo[[#This Row],[ITEM]],TbPiezas[],5,FALSE))</f>
        <v>29.3</v>
      </c>
      <c r="V464" s="81">
        <f>+TbPrestamo[[#This Row],[TOTAL]]*TbPrestamo[[#This Row],[P.U. (1)]]</f>
        <v>0</v>
      </c>
      <c r="W464" s="82">
        <f>+VLOOKUP(TbPrestamo[[#This Row],[ITEM]],TbPiezas[],6,FALSE)</f>
        <v>6352.5</v>
      </c>
      <c r="X464" s="83">
        <f>+TbPrestamo[[#This Row],[TOTAL]]*TbPrestamo[[#This Row],[P.U. (2)]]</f>
        <v>0</v>
      </c>
      <c r="Y464" s="82">
        <f>+VLOOKUP(TbPrestamo[[#This Row],[ITEM]],TbPiezas[],7,FALSE)</f>
        <v>317.625</v>
      </c>
      <c r="Z464" s="84">
        <f>+TbPrestamo[[#This Row],[TOTAL]]*TbPrestamo[[#This Row],[P.U. (3)]]</f>
        <v>0</v>
      </c>
    </row>
    <row r="465" spans="1:26" s="4" customFormat="1" x14ac:dyDescent="0.3">
      <c r="A465" s="2"/>
      <c r="B465" s="85">
        <v>443</v>
      </c>
      <c r="C465" s="71" t="s">
        <v>823</v>
      </c>
      <c r="D465" s="72" t="s">
        <v>824</v>
      </c>
      <c r="E465" s="73"/>
      <c r="F465" s="74">
        <f>+VLOOKUP(C465,TbPrestamo[],13,FALSE)</f>
        <v>1</v>
      </c>
      <c r="G465" s="2"/>
      <c r="H465" s="75" t="str">
        <f t="shared" si="12"/>
        <v>EV.4300</v>
      </c>
      <c r="I465" s="59" t="str">
        <f t="shared" si="13"/>
        <v>ok</v>
      </c>
      <c r="J465" s="77">
        <f>IFERROR(VLOOKUP($H465,TG[],3,FALSE),"NA")</f>
        <v>0</v>
      </c>
      <c r="K465" s="77" t="str">
        <f>IFERROR(VLOOKUP($H465,TF[],3,FALSE),"NA")</f>
        <v>NA</v>
      </c>
      <c r="L465" s="77" t="str">
        <f>IFERROR(VLOOKUP($H465,TT[],3,FALSE),"NA")</f>
        <v>NA</v>
      </c>
      <c r="M465" s="77" t="str">
        <f>IFERROR(VLOOKUP($H465,TES[],3,FALSE),"NA")</f>
        <v>NA</v>
      </c>
      <c r="N465" s="77" t="str">
        <f>IFERROR(VLOOKUP($H465,TEC[],3,FALSE),"NA")</f>
        <v>NA</v>
      </c>
      <c r="O465" s="77" t="str">
        <f>IFERROR(VLOOKUP($H465,TP[],3,FALSE),"NA")</f>
        <v>NA</v>
      </c>
      <c r="P465" s="77" t="str">
        <f>IFERROR(VLOOKUP($H465,TEN[],3,FALSE),"NA")</f>
        <v>NA</v>
      </c>
      <c r="Q465" s="77" t="str">
        <f>IFERROR(VLOOKUP($H465,TD[],3,FALSE),"NA")</f>
        <v>NA</v>
      </c>
      <c r="R465" s="77" t="str">
        <f>IFERROR(VLOOKUP($H465,TC[],3,FALSE),"NA")</f>
        <v>NA</v>
      </c>
      <c r="S465" s="77">
        <f>IFERROR(VLOOKUP($H465,TEV[],3,FALSE),"NA")</f>
        <v>1</v>
      </c>
      <c r="T465" s="79">
        <f>SUM(TbPrestamo[[#This Row],[GENERAL]:[ELEVADOR]])</f>
        <v>1</v>
      </c>
      <c r="U465" s="80">
        <f>IF(VLOOKUP(TbPrestamo[[#This Row],[ITEM]],TbPiezas[],5,FALSE)="NA",0,VLOOKUP(TbPrestamo[[#This Row],[ITEM]],TbPiezas[],5,FALSE))</f>
        <v>42</v>
      </c>
      <c r="V465" s="81">
        <f>+TbPrestamo[[#This Row],[TOTAL]]*TbPrestamo[[#This Row],[P.U. (1)]]</f>
        <v>42</v>
      </c>
      <c r="W465" s="82">
        <f>+VLOOKUP(TbPrestamo[[#This Row],[ITEM]],TbPiezas[],6,FALSE)</f>
        <v>6352.5</v>
      </c>
      <c r="X465" s="83">
        <f>+TbPrestamo[[#This Row],[TOTAL]]*TbPrestamo[[#This Row],[P.U. (2)]]</f>
        <v>6352.5</v>
      </c>
      <c r="Y465" s="82">
        <f>+VLOOKUP(TbPrestamo[[#This Row],[ITEM]],TbPiezas[],7,FALSE)</f>
        <v>317.625</v>
      </c>
      <c r="Z465" s="84">
        <f>+TbPrestamo[[#This Row],[TOTAL]]*TbPrestamo[[#This Row],[P.U. (3)]]</f>
        <v>317.625</v>
      </c>
    </row>
    <row r="466" spans="1:26" s="4" customFormat="1" x14ac:dyDescent="0.3">
      <c r="A466" s="2"/>
      <c r="B466" s="85">
        <v>444</v>
      </c>
      <c r="C466" s="71" t="s">
        <v>1472</v>
      </c>
      <c r="D466" s="72" t="s">
        <v>1468</v>
      </c>
      <c r="E466" s="73"/>
      <c r="F466" s="74">
        <f>+VLOOKUP(C466,TbPrestamo[],13,FALSE)</f>
        <v>0</v>
      </c>
      <c r="G466" s="2"/>
      <c r="H466" s="75" t="str">
        <f t="shared" ref="H466:H529" si="14">+C466</f>
        <v>EV.4310</v>
      </c>
      <c r="I466" s="59" t="str">
        <f t="shared" ref="I466:I529" si="15">+IF(C466=H466,"ok","mal")</f>
        <v>ok</v>
      </c>
      <c r="J466" s="77">
        <f>IFERROR(VLOOKUP($H466,TG[],3,FALSE),"NA")</f>
        <v>0</v>
      </c>
      <c r="K466" s="77" t="str">
        <f>IFERROR(VLOOKUP($H466,TF[],3,FALSE),"NA")</f>
        <v>NA</v>
      </c>
      <c r="L466" s="77" t="str">
        <f>IFERROR(VLOOKUP($H466,TT[],3,FALSE),"NA")</f>
        <v>NA</v>
      </c>
      <c r="M466" s="77" t="str">
        <f>IFERROR(VLOOKUP($H466,TES[],3,FALSE),"NA")</f>
        <v>NA</v>
      </c>
      <c r="N466" s="77" t="str">
        <f>IFERROR(VLOOKUP($H466,TEC[],3,FALSE),"NA")</f>
        <v>NA</v>
      </c>
      <c r="O466" s="77" t="str">
        <f>IFERROR(VLOOKUP($H466,TP[],3,FALSE),"NA")</f>
        <v>NA</v>
      </c>
      <c r="P466" s="77" t="str">
        <f>IFERROR(VLOOKUP($H466,TEN[],3,FALSE),"NA")</f>
        <v>NA</v>
      </c>
      <c r="Q466" s="77" t="str">
        <f>IFERROR(VLOOKUP($H466,TD[],3,FALSE),"NA")</f>
        <v>NA</v>
      </c>
      <c r="R466" s="77" t="str">
        <f>IFERROR(VLOOKUP($H466,TC[],3,FALSE),"NA")</f>
        <v>NA</v>
      </c>
      <c r="S466" s="77" t="str">
        <f>IFERROR(VLOOKUP($H466,TEV[],3,FALSE),"NA")</f>
        <v>NA</v>
      </c>
      <c r="T466" s="79">
        <f>SUM(TbPrestamo[[#This Row],[GENERAL]:[ELEVADOR]])</f>
        <v>0</v>
      </c>
      <c r="U466" s="80">
        <f>IF(VLOOKUP(TbPrestamo[[#This Row],[ITEM]],TbPiezas[],5,FALSE)="NA",0,VLOOKUP(TbPrestamo[[#This Row],[ITEM]],TbPiezas[],5,FALSE))</f>
        <v>0</v>
      </c>
      <c r="V466" s="81">
        <f>+TbPrestamo[[#This Row],[TOTAL]]*TbPrestamo[[#This Row],[P.U. (1)]]</f>
        <v>0</v>
      </c>
      <c r="W466" s="82">
        <f>+VLOOKUP(TbPrestamo[[#This Row],[ITEM]],TbPiezas[],6,FALSE)</f>
        <v>0</v>
      </c>
      <c r="X466" s="83">
        <f>+TbPrestamo[[#This Row],[TOTAL]]*TbPrestamo[[#This Row],[P.U. (2)]]</f>
        <v>0</v>
      </c>
      <c r="Y466" s="82">
        <f>+VLOOKUP(TbPrestamo[[#This Row],[ITEM]],TbPiezas[],7,FALSE)</f>
        <v>0</v>
      </c>
      <c r="Z466" s="84">
        <f>+TbPrestamo[[#This Row],[TOTAL]]*TbPrestamo[[#This Row],[P.U. (3)]]</f>
        <v>0</v>
      </c>
    </row>
    <row r="467" spans="1:26" s="4" customFormat="1" x14ac:dyDescent="0.3">
      <c r="A467" s="2"/>
      <c r="B467" s="85">
        <v>445</v>
      </c>
      <c r="C467" s="71" t="s">
        <v>1473</v>
      </c>
      <c r="D467" s="72" t="s">
        <v>1469</v>
      </c>
      <c r="E467" s="73"/>
      <c r="F467" s="74">
        <f>+VLOOKUP(C467,TbPrestamo[],13,FALSE)</f>
        <v>0</v>
      </c>
      <c r="G467" s="2"/>
      <c r="H467" s="75" t="str">
        <f t="shared" si="14"/>
        <v>EV.4320</v>
      </c>
      <c r="I467" s="59" t="str">
        <f t="shared" si="15"/>
        <v>ok</v>
      </c>
      <c r="J467" s="77">
        <f>IFERROR(VLOOKUP($H467,TG[],3,FALSE),"NA")</f>
        <v>0</v>
      </c>
      <c r="K467" s="77" t="str">
        <f>IFERROR(VLOOKUP($H467,TF[],3,FALSE),"NA")</f>
        <v>NA</v>
      </c>
      <c r="L467" s="77" t="str">
        <f>IFERROR(VLOOKUP($H467,TT[],3,FALSE),"NA")</f>
        <v>NA</v>
      </c>
      <c r="M467" s="77" t="str">
        <f>IFERROR(VLOOKUP($H467,TES[],3,FALSE),"NA")</f>
        <v>NA</v>
      </c>
      <c r="N467" s="77" t="str">
        <f>IFERROR(VLOOKUP($H467,TEC[],3,FALSE),"NA")</f>
        <v>NA</v>
      </c>
      <c r="O467" s="77" t="str">
        <f>IFERROR(VLOOKUP($H467,TP[],3,FALSE),"NA")</f>
        <v>NA</v>
      </c>
      <c r="P467" s="77" t="str">
        <f>IFERROR(VLOOKUP($H467,TEN[],3,FALSE),"NA")</f>
        <v>NA</v>
      </c>
      <c r="Q467" s="77" t="str">
        <f>IFERROR(VLOOKUP($H467,TD[],3,FALSE),"NA")</f>
        <v>NA</v>
      </c>
      <c r="R467" s="77" t="str">
        <f>IFERROR(VLOOKUP($H467,TC[],3,FALSE),"NA")</f>
        <v>NA</v>
      </c>
      <c r="S467" s="77" t="str">
        <f>IFERROR(VLOOKUP($H467,TEV[],3,FALSE),"NA")</f>
        <v>NA</v>
      </c>
      <c r="T467" s="79">
        <f>SUM(TbPrestamo[[#This Row],[GENERAL]:[ELEVADOR]])</f>
        <v>0</v>
      </c>
      <c r="U467" s="80">
        <f>IF(VLOOKUP(TbPrestamo[[#This Row],[ITEM]],TbPiezas[],5,FALSE)="NA",0,VLOOKUP(TbPrestamo[[#This Row],[ITEM]],TbPiezas[],5,FALSE))</f>
        <v>0</v>
      </c>
      <c r="V467" s="81">
        <f>+TbPrestamo[[#This Row],[TOTAL]]*TbPrestamo[[#This Row],[P.U. (1)]]</f>
        <v>0</v>
      </c>
      <c r="W467" s="82">
        <f>+VLOOKUP(TbPrestamo[[#This Row],[ITEM]],TbPiezas[],6,FALSE)</f>
        <v>0</v>
      </c>
      <c r="X467" s="83">
        <f>+TbPrestamo[[#This Row],[TOTAL]]*TbPrestamo[[#This Row],[P.U. (2)]]</f>
        <v>0</v>
      </c>
      <c r="Y467" s="82">
        <f>+VLOOKUP(TbPrestamo[[#This Row],[ITEM]],TbPiezas[],7,FALSE)</f>
        <v>0</v>
      </c>
      <c r="Z467" s="84">
        <f>+TbPrestamo[[#This Row],[TOTAL]]*TbPrestamo[[#This Row],[P.U. (3)]]</f>
        <v>0</v>
      </c>
    </row>
    <row r="468" spans="1:26" s="4" customFormat="1" x14ac:dyDescent="0.3">
      <c r="A468" s="2"/>
      <c r="B468" s="85">
        <v>446</v>
      </c>
      <c r="C468" s="71" t="s">
        <v>1472</v>
      </c>
      <c r="D468" s="72" t="s">
        <v>1470</v>
      </c>
      <c r="E468" s="73"/>
      <c r="F468" s="74">
        <f>+VLOOKUP(C468,TbPrestamo[],13,FALSE)</f>
        <v>0</v>
      </c>
      <c r="G468" s="2"/>
      <c r="H468" s="75" t="str">
        <f t="shared" si="14"/>
        <v>EV.4310</v>
      </c>
      <c r="I468" s="59" t="str">
        <f t="shared" si="15"/>
        <v>ok</v>
      </c>
      <c r="J468" s="77">
        <f>IFERROR(VLOOKUP($H468,TG[],3,FALSE),"NA")</f>
        <v>0</v>
      </c>
      <c r="K468" s="77" t="str">
        <f>IFERROR(VLOOKUP($H468,TF[],3,FALSE),"NA")</f>
        <v>NA</v>
      </c>
      <c r="L468" s="77" t="str">
        <f>IFERROR(VLOOKUP($H468,TT[],3,FALSE),"NA")</f>
        <v>NA</v>
      </c>
      <c r="M468" s="77" t="str">
        <f>IFERROR(VLOOKUP($H468,TES[],3,FALSE),"NA")</f>
        <v>NA</v>
      </c>
      <c r="N468" s="77" t="str">
        <f>IFERROR(VLOOKUP($H468,TEC[],3,FALSE),"NA")</f>
        <v>NA</v>
      </c>
      <c r="O468" s="77" t="str">
        <f>IFERROR(VLOOKUP($H468,TP[],3,FALSE),"NA")</f>
        <v>NA</v>
      </c>
      <c r="P468" s="77" t="str">
        <f>IFERROR(VLOOKUP($H468,TEN[],3,FALSE),"NA")</f>
        <v>NA</v>
      </c>
      <c r="Q468" s="77" t="str">
        <f>IFERROR(VLOOKUP($H468,TD[],3,FALSE),"NA")</f>
        <v>NA</v>
      </c>
      <c r="R468" s="77" t="str">
        <f>IFERROR(VLOOKUP($H468,TC[],3,FALSE),"NA")</f>
        <v>NA</v>
      </c>
      <c r="S468" s="77" t="str">
        <f>IFERROR(VLOOKUP($H468,TEV[],3,FALSE),"NA")</f>
        <v>NA</v>
      </c>
      <c r="T468" s="79">
        <f>SUM(TbPrestamo[[#This Row],[GENERAL]:[ELEVADOR]])</f>
        <v>0</v>
      </c>
      <c r="U468" s="80">
        <f>IF(VLOOKUP(TbPrestamo[[#This Row],[ITEM]],TbPiezas[],5,FALSE)="NA",0,VLOOKUP(TbPrestamo[[#This Row],[ITEM]],TbPiezas[],5,FALSE))</f>
        <v>0</v>
      </c>
      <c r="V468" s="81">
        <f>+TbPrestamo[[#This Row],[TOTAL]]*TbPrestamo[[#This Row],[P.U. (1)]]</f>
        <v>0</v>
      </c>
      <c r="W468" s="82">
        <f>+VLOOKUP(TbPrestamo[[#This Row],[ITEM]],TbPiezas[],6,FALSE)</f>
        <v>0</v>
      </c>
      <c r="X468" s="83">
        <f>+TbPrestamo[[#This Row],[TOTAL]]*TbPrestamo[[#This Row],[P.U. (2)]]</f>
        <v>0</v>
      </c>
      <c r="Y468" s="82">
        <f>+VLOOKUP(TbPrestamo[[#This Row],[ITEM]],TbPiezas[],7,FALSE)</f>
        <v>0</v>
      </c>
      <c r="Z468" s="84">
        <f>+TbPrestamo[[#This Row],[TOTAL]]*TbPrestamo[[#This Row],[P.U. (3)]]</f>
        <v>0</v>
      </c>
    </row>
    <row r="469" spans="1:26" s="4" customFormat="1" x14ac:dyDescent="0.3">
      <c r="A469" s="2"/>
      <c r="B469" s="85">
        <v>447</v>
      </c>
      <c r="C469" s="71" t="s">
        <v>1473</v>
      </c>
      <c r="D469" s="72" t="s">
        <v>1471</v>
      </c>
      <c r="E469" s="73"/>
      <c r="F469" s="74">
        <f>+VLOOKUP(C469,TbPrestamo[],13,FALSE)</f>
        <v>0</v>
      </c>
      <c r="G469" s="2"/>
      <c r="H469" s="75" t="str">
        <f t="shared" si="14"/>
        <v>EV.4320</v>
      </c>
      <c r="I469" s="59" t="str">
        <f t="shared" si="15"/>
        <v>ok</v>
      </c>
      <c r="J469" s="77">
        <f>IFERROR(VLOOKUP($H469,TG[],3,FALSE),"NA")</f>
        <v>0</v>
      </c>
      <c r="K469" s="77" t="str">
        <f>IFERROR(VLOOKUP($H469,TF[],3,FALSE),"NA")</f>
        <v>NA</v>
      </c>
      <c r="L469" s="77" t="str">
        <f>IFERROR(VLOOKUP($H469,TT[],3,FALSE),"NA")</f>
        <v>NA</v>
      </c>
      <c r="M469" s="77" t="str">
        <f>IFERROR(VLOOKUP($H469,TES[],3,FALSE),"NA")</f>
        <v>NA</v>
      </c>
      <c r="N469" s="77" t="str">
        <f>IFERROR(VLOOKUP($H469,TEC[],3,FALSE),"NA")</f>
        <v>NA</v>
      </c>
      <c r="O469" s="77" t="str">
        <f>IFERROR(VLOOKUP($H469,TP[],3,FALSE),"NA")</f>
        <v>NA</v>
      </c>
      <c r="P469" s="77" t="str">
        <f>IFERROR(VLOOKUP($H469,TEN[],3,FALSE),"NA")</f>
        <v>NA</v>
      </c>
      <c r="Q469" s="77" t="str">
        <f>IFERROR(VLOOKUP($H469,TD[],3,FALSE),"NA")</f>
        <v>NA</v>
      </c>
      <c r="R469" s="77" t="str">
        <f>IFERROR(VLOOKUP($H469,TC[],3,FALSE),"NA")</f>
        <v>NA</v>
      </c>
      <c r="S469" s="77" t="str">
        <f>IFERROR(VLOOKUP($H469,TEV[],3,FALSE),"NA")</f>
        <v>NA</v>
      </c>
      <c r="T469" s="79">
        <f>SUM(TbPrestamo[[#This Row],[GENERAL]:[ELEVADOR]])</f>
        <v>0</v>
      </c>
      <c r="U469" s="80">
        <f>IF(VLOOKUP(TbPrestamo[[#This Row],[ITEM]],TbPiezas[],5,FALSE)="NA",0,VLOOKUP(TbPrestamo[[#This Row],[ITEM]],TbPiezas[],5,FALSE))</f>
        <v>0</v>
      </c>
      <c r="V469" s="81">
        <f>+TbPrestamo[[#This Row],[TOTAL]]*TbPrestamo[[#This Row],[P.U. (1)]]</f>
        <v>0</v>
      </c>
      <c r="W469" s="82">
        <f>+VLOOKUP(TbPrestamo[[#This Row],[ITEM]],TbPiezas[],6,FALSE)</f>
        <v>0</v>
      </c>
      <c r="X469" s="83">
        <f>+TbPrestamo[[#This Row],[TOTAL]]*TbPrestamo[[#This Row],[P.U. (2)]]</f>
        <v>0</v>
      </c>
      <c r="Y469" s="82">
        <f>+VLOOKUP(TbPrestamo[[#This Row],[ITEM]],TbPiezas[],7,FALSE)</f>
        <v>0</v>
      </c>
      <c r="Z469" s="84">
        <f>+TbPrestamo[[#This Row],[TOTAL]]*TbPrestamo[[#This Row],[P.U. (3)]]</f>
        <v>0</v>
      </c>
    </row>
    <row r="470" spans="1:26" s="4" customFormat="1" x14ac:dyDescent="0.3">
      <c r="A470" s="2"/>
      <c r="B470" s="85">
        <v>448</v>
      </c>
      <c r="C470" s="71" t="s">
        <v>825</v>
      </c>
      <c r="D470" s="72" t="s">
        <v>826</v>
      </c>
      <c r="E470" s="73"/>
      <c r="F470" s="74">
        <f>+VLOOKUP(C470,TbPrestamo[],13,FALSE)</f>
        <v>3</v>
      </c>
      <c r="G470" s="2"/>
      <c r="H470" s="75" t="str">
        <f t="shared" si="14"/>
        <v>EV.4400</v>
      </c>
      <c r="I470" s="59" t="str">
        <f t="shared" si="15"/>
        <v>ok</v>
      </c>
      <c r="J470" s="77">
        <f>IFERROR(VLOOKUP($H470,TG[],3,FALSE),"NA")</f>
        <v>0</v>
      </c>
      <c r="K470" s="77" t="str">
        <f>IFERROR(VLOOKUP($H470,TF[],3,FALSE),"NA")</f>
        <v>NA</v>
      </c>
      <c r="L470" s="77" t="str">
        <f>IFERROR(VLOOKUP($H470,TT[],3,FALSE),"NA")</f>
        <v>NA</v>
      </c>
      <c r="M470" s="77" t="str">
        <f>IFERROR(VLOOKUP($H470,TES[],3,FALSE),"NA")</f>
        <v>NA</v>
      </c>
      <c r="N470" s="77" t="str">
        <f>IFERROR(VLOOKUP($H470,TEC[],3,FALSE),"NA")</f>
        <v>NA</v>
      </c>
      <c r="O470" s="77" t="str">
        <f>IFERROR(VLOOKUP($H470,TP[],3,FALSE),"NA")</f>
        <v>NA</v>
      </c>
      <c r="P470" s="77" t="str">
        <f>IFERROR(VLOOKUP($H470,TEN[],3,FALSE),"NA")</f>
        <v>NA</v>
      </c>
      <c r="Q470" s="77" t="str">
        <f>IFERROR(VLOOKUP($H470,TD[],3,FALSE),"NA")</f>
        <v>NA</v>
      </c>
      <c r="R470" s="77" t="str">
        <f>IFERROR(VLOOKUP($H470,TC[],3,FALSE),"NA")</f>
        <v>NA</v>
      </c>
      <c r="S470" s="77">
        <f>IFERROR(VLOOKUP($H470,TEV[],3,FALSE),"NA")</f>
        <v>3</v>
      </c>
      <c r="T470" s="79">
        <f>SUM(TbPrestamo[[#This Row],[GENERAL]:[ELEVADOR]])</f>
        <v>3</v>
      </c>
      <c r="U470" s="80">
        <f>IF(VLOOKUP(TbPrestamo[[#This Row],[ITEM]],TbPiezas[],5,FALSE)="NA",0,VLOOKUP(TbPrestamo[[#This Row],[ITEM]],TbPiezas[],5,FALSE))</f>
        <v>42</v>
      </c>
      <c r="V470" s="81">
        <f>+TbPrestamo[[#This Row],[TOTAL]]*TbPrestamo[[#This Row],[P.U. (1)]]</f>
        <v>126</v>
      </c>
      <c r="W470" s="82">
        <f>+VLOOKUP(TbPrestamo[[#This Row],[ITEM]],TbPiezas[],6,FALSE)</f>
        <v>6352.5</v>
      </c>
      <c r="X470" s="83">
        <f>+TbPrestamo[[#This Row],[TOTAL]]*TbPrestamo[[#This Row],[P.U. (2)]]</f>
        <v>19057.5</v>
      </c>
      <c r="Y470" s="82">
        <f>+VLOOKUP(TbPrestamo[[#This Row],[ITEM]],TbPiezas[],7,FALSE)</f>
        <v>317.625</v>
      </c>
      <c r="Z470" s="84">
        <f>+TbPrestamo[[#This Row],[TOTAL]]*TbPrestamo[[#This Row],[P.U. (3)]]</f>
        <v>952.875</v>
      </c>
    </row>
    <row r="471" spans="1:26" s="4" customFormat="1" x14ac:dyDescent="0.3">
      <c r="A471" s="2"/>
      <c r="B471" s="85">
        <v>449</v>
      </c>
      <c r="C471" s="71" t="s">
        <v>827</v>
      </c>
      <c r="D471" s="72" t="s">
        <v>828</v>
      </c>
      <c r="E471" s="73"/>
      <c r="F471" s="74">
        <f>+VLOOKUP(C471,TbPrestamo[],13,FALSE)</f>
        <v>0</v>
      </c>
      <c r="G471" s="2"/>
      <c r="H471" s="75" t="str">
        <f t="shared" si="14"/>
        <v>EV.4500</v>
      </c>
      <c r="I471" s="59" t="str">
        <f t="shared" si="15"/>
        <v>ok</v>
      </c>
      <c r="J471" s="77">
        <f>IFERROR(VLOOKUP($H471,TG[],3,FALSE),"NA")</f>
        <v>0</v>
      </c>
      <c r="K471" s="77" t="str">
        <f>IFERROR(VLOOKUP($H471,TF[],3,FALSE),"NA")</f>
        <v>NA</v>
      </c>
      <c r="L471" s="77" t="str">
        <f>IFERROR(VLOOKUP($H471,TT[],3,FALSE),"NA")</f>
        <v>NA</v>
      </c>
      <c r="M471" s="77" t="str">
        <f>IFERROR(VLOOKUP($H471,TES[],3,FALSE),"NA")</f>
        <v>NA</v>
      </c>
      <c r="N471" s="77" t="str">
        <f>IFERROR(VLOOKUP($H471,TEC[],3,FALSE),"NA")</f>
        <v>NA</v>
      </c>
      <c r="O471" s="77" t="str">
        <f>IFERROR(VLOOKUP($H471,TP[],3,FALSE),"NA")</f>
        <v>NA</v>
      </c>
      <c r="P471" s="77" t="str">
        <f>IFERROR(VLOOKUP($H471,TEN[],3,FALSE),"NA")</f>
        <v>NA</v>
      </c>
      <c r="Q471" s="77" t="str">
        <f>IFERROR(VLOOKUP($H471,TD[],3,FALSE),"NA")</f>
        <v>NA</v>
      </c>
      <c r="R471" s="77" t="str">
        <f>IFERROR(VLOOKUP($H471,TC[],3,FALSE),"NA")</f>
        <v>NA</v>
      </c>
      <c r="S471" s="77">
        <f>IFERROR(VLOOKUP($H471,TEV[],3,FALSE),"NA")</f>
        <v>0</v>
      </c>
      <c r="T471" s="79">
        <f>SUM(TbPrestamo[[#This Row],[GENERAL]:[ELEVADOR]])</f>
        <v>0</v>
      </c>
      <c r="U471" s="80">
        <f>IF(VLOOKUP(TbPrestamo[[#This Row],[ITEM]],TbPiezas[],5,FALSE)="NA",0,VLOOKUP(TbPrestamo[[#This Row],[ITEM]],TbPiezas[],5,FALSE))</f>
        <v>28.7</v>
      </c>
      <c r="V471" s="81">
        <f>+TbPrestamo[[#This Row],[TOTAL]]*TbPrestamo[[#This Row],[P.U. (1)]]</f>
        <v>0</v>
      </c>
      <c r="W471" s="82">
        <f>+VLOOKUP(TbPrestamo[[#This Row],[ITEM]],TbPiezas[],6,FALSE)</f>
        <v>6352.5</v>
      </c>
      <c r="X471" s="83">
        <f>+TbPrestamo[[#This Row],[TOTAL]]*TbPrestamo[[#This Row],[P.U. (2)]]</f>
        <v>0</v>
      </c>
      <c r="Y471" s="82">
        <f>+VLOOKUP(TbPrestamo[[#This Row],[ITEM]],TbPiezas[],7,FALSE)</f>
        <v>317.625</v>
      </c>
      <c r="Z471" s="84">
        <f>+TbPrestamo[[#This Row],[TOTAL]]*TbPrestamo[[#This Row],[P.U. (3)]]</f>
        <v>0</v>
      </c>
    </row>
    <row r="472" spans="1:26" s="4" customFormat="1" x14ac:dyDescent="0.3">
      <c r="A472" s="2"/>
      <c r="B472" s="85">
        <v>450</v>
      </c>
      <c r="C472" s="71" t="s">
        <v>829</v>
      </c>
      <c r="D472" s="72" t="s">
        <v>830</v>
      </c>
      <c r="E472" s="73"/>
      <c r="F472" s="74">
        <f>+VLOOKUP(C472,TbPrestamo[],13,FALSE)</f>
        <v>1</v>
      </c>
      <c r="G472" s="2"/>
      <c r="H472" s="75" t="str">
        <f t="shared" si="14"/>
        <v>EV.4600</v>
      </c>
      <c r="I472" s="59" t="str">
        <f t="shared" si="15"/>
        <v>ok</v>
      </c>
      <c r="J472" s="77">
        <f>IFERROR(VLOOKUP($H472,TG[],3,FALSE),"NA")</f>
        <v>0</v>
      </c>
      <c r="K472" s="77" t="str">
        <f>IFERROR(VLOOKUP($H472,TF[],3,FALSE),"NA")</f>
        <v>NA</v>
      </c>
      <c r="L472" s="77" t="str">
        <f>IFERROR(VLOOKUP($H472,TT[],3,FALSE),"NA")</f>
        <v>NA</v>
      </c>
      <c r="M472" s="77" t="str">
        <f>IFERROR(VLOOKUP($H472,TES[],3,FALSE),"NA")</f>
        <v>NA</v>
      </c>
      <c r="N472" s="77" t="str">
        <f>IFERROR(VLOOKUP($H472,TEC[],3,FALSE),"NA")</f>
        <v>NA</v>
      </c>
      <c r="O472" s="77" t="str">
        <f>IFERROR(VLOOKUP($H472,TP[],3,FALSE),"NA")</f>
        <v>NA</v>
      </c>
      <c r="P472" s="77" t="str">
        <f>IFERROR(VLOOKUP($H472,TEN[],3,FALSE),"NA")</f>
        <v>NA</v>
      </c>
      <c r="Q472" s="77" t="str">
        <f>IFERROR(VLOOKUP($H472,TD[],3,FALSE),"NA")</f>
        <v>NA</v>
      </c>
      <c r="R472" s="77" t="str">
        <f>IFERROR(VLOOKUP($H472,TC[],3,FALSE),"NA")</f>
        <v>NA</v>
      </c>
      <c r="S472" s="77">
        <f>IFERROR(VLOOKUP($H472,TEV[],3,FALSE),"NA")</f>
        <v>1</v>
      </c>
      <c r="T472" s="79">
        <f>SUM(TbPrestamo[[#This Row],[GENERAL]:[ELEVADOR]])</f>
        <v>1</v>
      </c>
      <c r="U472" s="80">
        <f>IF(VLOOKUP(TbPrestamo[[#This Row],[ITEM]],TbPiezas[],5,FALSE)="NA",0,VLOOKUP(TbPrestamo[[#This Row],[ITEM]],TbPiezas[],5,FALSE))</f>
        <v>28.7</v>
      </c>
      <c r="V472" s="81">
        <f>+TbPrestamo[[#This Row],[TOTAL]]*TbPrestamo[[#This Row],[P.U. (1)]]</f>
        <v>28.7</v>
      </c>
      <c r="W472" s="82">
        <f>+VLOOKUP(TbPrestamo[[#This Row],[ITEM]],TbPiezas[],6,FALSE)</f>
        <v>6352.5</v>
      </c>
      <c r="X472" s="83">
        <f>+TbPrestamo[[#This Row],[TOTAL]]*TbPrestamo[[#This Row],[P.U. (2)]]</f>
        <v>6352.5</v>
      </c>
      <c r="Y472" s="82">
        <f>+VLOOKUP(TbPrestamo[[#This Row],[ITEM]],TbPiezas[],7,FALSE)</f>
        <v>317.625</v>
      </c>
      <c r="Z472" s="84">
        <f>+TbPrestamo[[#This Row],[TOTAL]]*TbPrestamo[[#This Row],[P.U. (3)]]</f>
        <v>317.625</v>
      </c>
    </row>
    <row r="473" spans="1:26" s="4" customFormat="1" x14ac:dyDescent="0.3">
      <c r="A473" s="2"/>
      <c r="B473" s="85">
        <v>451</v>
      </c>
      <c r="C473" s="71" t="s">
        <v>831</v>
      </c>
      <c r="D473" s="72" t="s">
        <v>832</v>
      </c>
      <c r="E473" s="73"/>
      <c r="F473" s="74">
        <f>+VLOOKUP(C473,TbPrestamo[],13,FALSE)</f>
        <v>0</v>
      </c>
      <c r="G473" s="2"/>
      <c r="H473" s="75" t="str">
        <f t="shared" si="14"/>
        <v>EV.4700</v>
      </c>
      <c r="I473" s="59" t="str">
        <f t="shared" si="15"/>
        <v>ok</v>
      </c>
      <c r="J473" s="77">
        <f>IFERROR(VLOOKUP($H473,TG[],3,FALSE),"NA")</f>
        <v>0</v>
      </c>
      <c r="K473" s="77" t="str">
        <f>IFERROR(VLOOKUP($H473,TF[],3,FALSE),"NA")</f>
        <v>NA</v>
      </c>
      <c r="L473" s="77" t="str">
        <f>IFERROR(VLOOKUP($H473,TT[],3,FALSE),"NA")</f>
        <v>NA</v>
      </c>
      <c r="M473" s="77" t="str">
        <f>IFERROR(VLOOKUP($H473,TES[],3,FALSE),"NA")</f>
        <v>NA</v>
      </c>
      <c r="N473" s="77" t="str">
        <f>IFERROR(VLOOKUP($H473,TEC[],3,FALSE),"NA")</f>
        <v>NA</v>
      </c>
      <c r="O473" s="77" t="str">
        <f>IFERROR(VLOOKUP($H473,TP[],3,FALSE),"NA")</f>
        <v>NA</v>
      </c>
      <c r="P473" s="77" t="str">
        <f>IFERROR(VLOOKUP($H473,TEN[],3,FALSE),"NA")</f>
        <v>NA</v>
      </c>
      <c r="Q473" s="77" t="str">
        <f>IFERROR(VLOOKUP($H473,TD[],3,FALSE),"NA")</f>
        <v>NA</v>
      </c>
      <c r="R473" s="77" t="str">
        <f>IFERROR(VLOOKUP($H473,TC[],3,FALSE),"NA")</f>
        <v>NA</v>
      </c>
      <c r="S473" s="77">
        <f>IFERROR(VLOOKUP($H473,TEV[],3,FALSE),"NA")</f>
        <v>0</v>
      </c>
      <c r="T473" s="79">
        <f>SUM(TbPrestamo[[#This Row],[GENERAL]:[ELEVADOR]])</f>
        <v>0</v>
      </c>
      <c r="U473" s="80">
        <f>IF(VLOOKUP(TbPrestamo[[#This Row],[ITEM]],TbPiezas[],5,FALSE)="NA",0,VLOOKUP(TbPrestamo[[#This Row],[ITEM]],TbPiezas[],5,FALSE))</f>
        <v>148</v>
      </c>
      <c r="V473" s="81">
        <f>+TbPrestamo[[#This Row],[TOTAL]]*TbPrestamo[[#This Row],[P.U. (1)]]</f>
        <v>0</v>
      </c>
      <c r="W473" s="82">
        <f>+VLOOKUP(TbPrestamo[[#This Row],[ITEM]],TbPiezas[],6,FALSE)</f>
        <v>8258.25</v>
      </c>
      <c r="X473" s="83">
        <f>+TbPrestamo[[#This Row],[TOTAL]]*TbPrestamo[[#This Row],[P.U. (2)]]</f>
        <v>0</v>
      </c>
      <c r="Y473" s="82">
        <f>+VLOOKUP(TbPrestamo[[#This Row],[ITEM]],TbPiezas[],7,FALSE)</f>
        <v>412.91250000000002</v>
      </c>
      <c r="Z473" s="84">
        <f>+TbPrestamo[[#This Row],[TOTAL]]*TbPrestamo[[#This Row],[P.U. (3)]]</f>
        <v>0</v>
      </c>
    </row>
    <row r="474" spans="1:26" s="4" customFormat="1" x14ac:dyDescent="0.3">
      <c r="A474" s="2"/>
      <c r="B474" s="85">
        <v>452</v>
      </c>
      <c r="C474" s="71" t="s">
        <v>833</v>
      </c>
      <c r="D474" s="72" t="s">
        <v>834</v>
      </c>
      <c r="E474" s="73"/>
      <c r="F474" s="74">
        <f>+VLOOKUP(C474,TbPrestamo[],13,FALSE)</f>
        <v>1</v>
      </c>
      <c r="G474" s="2"/>
      <c r="H474" s="75" t="str">
        <f t="shared" si="14"/>
        <v>EV.4800</v>
      </c>
      <c r="I474" s="59" t="str">
        <f t="shared" si="15"/>
        <v>ok</v>
      </c>
      <c r="J474" s="77">
        <f>IFERROR(VLOOKUP($H474,TG[],3,FALSE),"NA")</f>
        <v>0</v>
      </c>
      <c r="K474" s="77" t="str">
        <f>IFERROR(VLOOKUP($H474,TF[],3,FALSE),"NA")</f>
        <v>NA</v>
      </c>
      <c r="L474" s="77" t="str">
        <f>IFERROR(VLOOKUP($H474,TT[],3,FALSE),"NA")</f>
        <v>NA</v>
      </c>
      <c r="M474" s="77" t="str">
        <f>IFERROR(VLOOKUP($H474,TES[],3,FALSE),"NA")</f>
        <v>NA</v>
      </c>
      <c r="N474" s="77" t="str">
        <f>IFERROR(VLOOKUP($H474,TEC[],3,FALSE),"NA")</f>
        <v>NA</v>
      </c>
      <c r="O474" s="77" t="str">
        <f>IFERROR(VLOOKUP($H474,TP[],3,FALSE),"NA")</f>
        <v>NA</v>
      </c>
      <c r="P474" s="77" t="str">
        <f>IFERROR(VLOOKUP($H474,TEN[],3,FALSE),"NA")</f>
        <v>NA</v>
      </c>
      <c r="Q474" s="77" t="str">
        <f>IFERROR(VLOOKUP($H474,TD[],3,FALSE),"NA")</f>
        <v>NA</v>
      </c>
      <c r="R474" s="77" t="str">
        <f>IFERROR(VLOOKUP($H474,TC[],3,FALSE),"NA")</f>
        <v>NA</v>
      </c>
      <c r="S474" s="77">
        <f>IFERROR(VLOOKUP($H474,TEV[],3,FALSE),"NA")</f>
        <v>1</v>
      </c>
      <c r="T474" s="79">
        <f>SUM(TbPrestamo[[#This Row],[GENERAL]:[ELEVADOR]])</f>
        <v>1</v>
      </c>
      <c r="U474" s="80">
        <f>IF(VLOOKUP(TbPrestamo[[#This Row],[ITEM]],TbPiezas[],5,FALSE)="NA",0,VLOOKUP(TbPrestamo[[#This Row],[ITEM]],TbPiezas[],5,FALSE))</f>
        <v>148</v>
      </c>
      <c r="V474" s="81">
        <f>+TbPrestamo[[#This Row],[TOTAL]]*TbPrestamo[[#This Row],[P.U. (1)]]</f>
        <v>148</v>
      </c>
      <c r="W474" s="82">
        <f>+VLOOKUP(TbPrestamo[[#This Row],[ITEM]],TbPiezas[],6,FALSE)</f>
        <v>8258.25</v>
      </c>
      <c r="X474" s="83">
        <f>+TbPrestamo[[#This Row],[TOTAL]]*TbPrestamo[[#This Row],[P.U. (2)]]</f>
        <v>8258.25</v>
      </c>
      <c r="Y474" s="82">
        <f>+VLOOKUP(TbPrestamo[[#This Row],[ITEM]],TbPiezas[],7,FALSE)</f>
        <v>412.91250000000002</v>
      </c>
      <c r="Z474" s="84">
        <f>+TbPrestamo[[#This Row],[TOTAL]]*TbPrestamo[[#This Row],[P.U. (3)]]</f>
        <v>412.91250000000002</v>
      </c>
    </row>
    <row r="475" spans="1:26" s="4" customFormat="1" x14ac:dyDescent="0.3">
      <c r="A475" s="2"/>
      <c r="B475" s="85">
        <v>453</v>
      </c>
      <c r="C475" s="71" t="s">
        <v>835</v>
      </c>
      <c r="D475" s="72" t="s">
        <v>836</v>
      </c>
      <c r="E475" s="73"/>
      <c r="F475" s="74">
        <f>+VLOOKUP(C475,TbPrestamo[],13,FALSE)</f>
        <v>0</v>
      </c>
      <c r="G475" s="2"/>
      <c r="H475" s="75" t="str">
        <f t="shared" si="14"/>
        <v>EV.4900</v>
      </c>
      <c r="I475" s="59" t="str">
        <f t="shared" si="15"/>
        <v>ok</v>
      </c>
      <c r="J475" s="77">
        <f>IFERROR(VLOOKUP($H475,TG[],3,FALSE),"NA")</f>
        <v>0</v>
      </c>
      <c r="K475" s="77" t="str">
        <f>IFERROR(VLOOKUP($H475,TF[],3,FALSE),"NA")</f>
        <v>NA</v>
      </c>
      <c r="L475" s="77" t="str">
        <f>IFERROR(VLOOKUP($H475,TT[],3,FALSE),"NA")</f>
        <v>NA</v>
      </c>
      <c r="M475" s="77" t="str">
        <f>IFERROR(VLOOKUP($H475,TES[],3,FALSE),"NA")</f>
        <v>NA</v>
      </c>
      <c r="N475" s="77" t="str">
        <f>IFERROR(VLOOKUP($H475,TEC[],3,FALSE),"NA")</f>
        <v>NA</v>
      </c>
      <c r="O475" s="77" t="str">
        <f>IFERROR(VLOOKUP($H475,TP[],3,FALSE),"NA")</f>
        <v>NA</v>
      </c>
      <c r="P475" s="77" t="str">
        <f>IFERROR(VLOOKUP($H475,TEN[],3,FALSE),"NA")</f>
        <v>NA</v>
      </c>
      <c r="Q475" s="77" t="str">
        <f>IFERROR(VLOOKUP($H475,TD[],3,FALSE),"NA")</f>
        <v>NA</v>
      </c>
      <c r="R475" s="77" t="str">
        <f>IFERROR(VLOOKUP($H475,TC[],3,FALSE),"NA")</f>
        <v>NA</v>
      </c>
      <c r="S475" s="77">
        <f>IFERROR(VLOOKUP($H475,TEV[],3,FALSE),"NA")</f>
        <v>0</v>
      </c>
      <c r="T475" s="79">
        <f>SUM(TbPrestamo[[#This Row],[GENERAL]:[ELEVADOR]])</f>
        <v>0</v>
      </c>
      <c r="U475" s="80">
        <f>IF(VLOOKUP(TbPrestamo[[#This Row],[ITEM]],TbPiezas[],5,FALSE)="NA",0,VLOOKUP(TbPrestamo[[#This Row],[ITEM]],TbPiezas[],5,FALSE))</f>
        <v>35.9</v>
      </c>
      <c r="V475" s="81">
        <f>+TbPrestamo[[#This Row],[TOTAL]]*TbPrestamo[[#This Row],[P.U. (1)]]</f>
        <v>0</v>
      </c>
      <c r="W475" s="82">
        <f>+VLOOKUP(TbPrestamo[[#This Row],[ITEM]],TbPiezas[],6,FALSE)</f>
        <v>3049.2</v>
      </c>
      <c r="X475" s="83">
        <f>+TbPrestamo[[#This Row],[TOTAL]]*TbPrestamo[[#This Row],[P.U. (2)]]</f>
        <v>0</v>
      </c>
      <c r="Y475" s="82">
        <f>+VLOOKUP(TbPrestamo[[#This Row],[ITEM]],TbPiezas[],7,FALSE)</f>
        <v>152.46</v>
      </c>
      <c r="Z475" s="84">
        <f>+TbPrestamo[[#This Row],[TOTAL]]*TbPrestamo[[#This Row],[P.U. (3)]]</f>
        <v>0</v>
      </c>
    </row>
    <row r="476" spans="1:26" s="4" customFormat="1" x14ac:dyDescent="0.3">
      <c r="A476" s="2"/>
      <c r="B476" s="85">
        <v>454</v>
      </c>
      <c r="C476" s="71" t="s">
        <v>837</v>
      </c>
      <c r="D476" s="72" t="s">
        <v>838</v>
      </c>
      <c r="E476" s="73"/>
      <c r="F476" s="74">
        <f>+VLOOKUP(C476,TbPrestamo[],13,FALSE)</f>
        <v>1</v>
      </c>
      <c r="G476" s="2"/>
      <c r="H476" s="75" t="str">
        <f t="shared" si="14"/>
        <v>EV.5000</v>
      </c>
      <c r="I476" s="59" t="str">
        <f t="shared" si="15"/>
        <v>ok</v>
      </c>
      <c r="J476" s="77">
        <f>IFERROR(VLOOKUP($H476,TG[],3,FALSE),"NA")</f>
        <v>0</v>
      </c>
      <c r="K476" s="77" t="str">
        <f>IFERROR(VLOOKUP($H476,TF[],3,FALSE),"NA")</f>
        <v>NA</v>
      </c>
      <c r="L476" s="77" t="str">
        <f>IFERROR(VLOOKUP($H476,TT[],3,FALSE),"NA")</f>
        <v>NA</v>
      </c>
      <c r="M476" s="77" t="str">
        <f>IFERROR(VLOOKUP($H476,TES[],3,FALSE),"NA")</f>
        <v>NA</v>
      </c>
      <c r="N476" s="77" t="str">
        <f>IFERROR(VLOOKUP($H476,TEC[],3,FALSE),"NA")</f>
        <v>NA</v>
      </c>
      <c r="O476" s="77" t="str">
        <f>IFERROR(VLOOKUP($H476,TP[],3,FALSE),"NA")</f>
        <v>NA</v>
      </c>
      <c r="P476" s="77" t="str">
        <f>IFERROR(VLOOKUP($H476,TEN[],3,FALSE),"NA")</f>
        <v>NA</v>
      </c>
      <c r="Q476" s="77" t="str">
        <f>IFERROR(VLOOKUP($H476,TD[],3,FALSE),"NA")</f>
        <v>NA</v>
      </c>
      <c r="R476" s="77" t="str">
        <f>IFERROR(VLOOKUP($H476,TC[],3,FALSE),"NA")</f>
        <v>NA</v>
      </c>
      <c r="S476" s="77">
        <f>IFERROR(VLOOKUP($H476,TEV[],3,FALSE),"NA")</f>
        <v>1</v>
      </c>
      <c r="T476" s="79">
        <f>SUM(TbPrestamo[[#This Row],[GENERAL]:[ELEVADOR]])</f>
        <v>1</v>
      </c>
      <c r="U476" s="80">
        <f>IF(VLOOKUP(TbPrestamo[[#This Row],[ITEM]],TbPiezas[],5,FALSE)="NA",0,VLOOKUP(TbPrestamo[[#This Row],[ITEM]],TbPiezas[],5,FALSE))</f>
        <v>35.9</v>
      </c>
      <c r="V476" s="81">
        <f>+TbPrestamo[[#This Row],[TOTAL]]*TbPrestamo[[#This Row],[P.U. (1)]]</f>
        <v>35.9</v>
      </c>
      <c r="W476" s="82">
        <f>+VLOOKUP(TbPrestamo[[#This Row],[ITEM]],TbPiezas[],6,FALSE)</f>
        <v>3049.2</v>
      </c>
      <c r="X476" s="83">
        <f>+TbPrestamo[[#This Row],[TOTAL]]*TbPrestamo[[#This Row],[P.U. (2)]]</f>
        <v>3049.2</v>
      </c>
      <c r="Y476" s="82">
        <f>+VLOOKUP(TbPrestamo[[#This Row],[ITEM]],TbPiezas[],7,FALSE)</f>
        <v>152.46</v>
      </c>
      <c r="Z476" s="84">
        <f>+TbPrestamo[[#This Row],[TOTAL]]*TbPrestamo[[#This Row],[P.U. (3)]]</f>
        <v>152.46</v>
      </c>
    </row>
    <row r="477" spans="1:26" s="4" customFormat="1" x14ac:dyDescent="0.3">
      <c r="A477" s="2"/>
      <c r="B477" s="85">
        <v>455</v>
      </c>
      <c r="C477" s="71" t="s">
        <v>839</v>
      </c>
      <c r="D477" s="72" t="s">
        <v>840</v>
      </c>
      <c r="E477" s="73"/>
      <c r="F477" s="74">
        <f>+VLOOKUP(C477,TbPrestamo[],13,FALSE)</f>
        <v>0</v>
      </c>
      <c r="G477" s="2"/>
      <c r="H477" s="75" t="str">
        <f t="shared" si="14"/>
        <v>EV.5100</v>
      </c>
      <c r="I477" s="59" t="str">
        <f t="shared" si="15"/>
        <v>ok</v>
      </c>
      <c r="J477" s="77">
        <f>IFERROR(VLOOKUP($H477,TG[],3,FALSE),"NA")</f>
        <v>0</v>
      </c>
      <c r="K477" s="77" t="str">
        <f>IFERROR(VLOOKUP($H477,TF[],3,FALSE),"NA")</f>
        <v>NA</v>
      </c>
      <c r="L477" s="77" t="str">
        <f>IFERROR(VLOOKUP($H477,TT[],3,FALSE),"NA")</f>
        <v>NA</v>
      </c>
      <c r="M477" s="77" t="str">
        <f>IFERROR(VLOOKUP($H477,TES[],3,FALSE),"NA")</f>
        <v>NA</v>
      </c>
      <c r="N477" s="77" t="str">
        <f>IFERROR(VLOOKUP($H477,TEC[],3,FALSE),"NA")</f>
        <v>NA</v>
      </c>
      <c r="O477" s="77" t="str">
        <f>IFERROR(VLOOKUP($H477,TP[],3,FALSE),"NA")</f>
        <v>NA</v>
      </c>
      <c r="P477" s="77" t="str">
        <f>IFERROR(VLOOKUP($H477,TEN[],3,FALSE),"NA")</f>
        <v>NA</v>
      </c>
      <c r="Q477" s="77" t="str">
        <f>IFERROR(VLOOKUP($H477,TD[],3,FALSE),"NA")</f>
        <v>NA</v>
      </c>
      <c r="R477" s="77" t="str">
        <f>IFERROR(VLOOKUP($H477,TC[],3,FALSE),"NA")</f>
        <v>NA</v>
      </c>
      <c r="S477" s="77">
        <f>IFERROR(VLOOKUP($H477,TEV[],3,FALSE),"NA")</f>
        <v>0</v>
      </c>
      <c r="T477" s="79">
        <f>SUM(TbPrestamo[[#This Row],[GENERAL]:[ELEVADOR]])</f>
        <v>0</v>
      </c>
      <c r="U477" s="80">
        <f>IF(VLOOKUP(TbPrestamo[[#This Row],[ITEM]],TbPiezas[],5,FALSE)="NA",0,VLOOKUP(TbPrestamo[[#This Row],[ITEM]],TbPiezas[],5,FALSE))</f>
        <v>26.6</v>
      </c>
      <c r="V477" s="81">
        <f>+TbPrestamo[[#This Row],[TOTAL]]*TbPrestamo[[#This Row],[P.U. (1)]]</f>
        <v>0</v>
      </c>
      <c r="W477" s="82">
        <f>+VLOOKUP(TbPrestamo[[#This Row],[ITEM]],TbPiezas[],6,FALSE)</f>
        <v>4446.75</v>
      </c>
      <c r="X477" s="83">
        <f>+TbPrestamo[[#This Row],[TOTAL]]*TbPrestamo[[#This Row],[P.U. (2)]]</f>
        <v>0</v>
      </c>
      <c r="Y477" s="82">
        <f>+VLOOKUP(TbPrestamo[[#This Row],[ITEM]],TbPiezas[],7,FALSE)</f>
        <v>222.33750000000001</v>
      </c>
      <c r="Z477" s="84">
        <f>+TbPrestamo[[#This Row],[TOTAL]]*TbPrestamo[[#This Row],[P.U. (3)]]</f>
        <v>0</v>
      </c>
    </row>
    <row r="478" spans="1:26" s="4" customFormat="1" x14ac:dyDescent="0.3">
      <c r="A478" s="2"/>
      <c r="B478" s="85">
        <v>456</v>
      </c>
      <c r="C478" s="71" t="s">
        <v>841</v>
      </c>
      <c r="D478" s="72" t="s">
        <v>842</v>
      </c>
      <c r="E478" s="73"/>
      <c r="F478" s="74">
        <f>+VLOOKUP(C478,TbPrestamo[],13,FALSE)</f>
        <v>1</v>
      </c>
      <c r="G478" s="2"/>
      <c r="H478" s="75" t="str">
        <f t="shared" si="14"/>
        <v>EV.5200</v>
      </c>
      <c r="I478" s="59" t="str">
        <f t="shared" si="15"/>
        <v>ok</v>
      </c>
      <c r="J478" s="77">
        <f>IFERROR(VLOOKUP($H478,TG[],3,FALSE),"NA")</f>
        <v>0</v>
      </c>
      <c r="K478" s="77" t="str">
        <f>IFERROR(VLOOKUP($H478,TF[],3,FALSE),"NA")</f>
        <v>NA</v>
      </c>
      <c r="L478" s="77" t="str">
        <f>IFERROR(VLOOKUP($H478,TT[],3,FALSE),"NA")</f>
        <v>NA</v>
      </c>
      <c r="M478" s="77" t="str">
        <f>IFERROR(VLOOKUP($H478,TES[],3,FALSE),"NA")</f>
        <v>NA</v>
      </c>
      <c r="N478" s="77" t="str">
        <f>IFERROR(VLOOKUP($H478,TEC[],3,FALSE),"NA")</f>
        <v>NA</v>
      </c>
      <c r="O478" s="77" t="str">
        <f>IFERROR(VLOOKUP($H478,TP[],3,FALSE),"NA")</f>
        <v>NA</v>
      </c>
      <c r="P478" s="77" t="str">
        <f>IFERROR(VLOOKUP($H478,TEN[],3,FALSE),"NA")</f>
        <v>NA</v>
      </c>
      <c r="Q478" s="77" t="str">
        <f>IFERROR(VLOOKUP($H478,TD[],3,FALSE),"NA")</f>
        <v>NA</v>
      </c>
      <c r="R478" s="77" t="str">
        <f>IFERROR(VLOOKUP($H478,TC[],3,FALSE),"NA")</f>
        <v>NA</v>
      </c>
      <c r="S478" s="77">
        <f>IFERROR(VLOOKUP($H478,TEV[],3,FALSE),"NA")</f>
        <v>1</v>
      </c>
      <c r="T478" s="79">
        <f>SUM(TbPrestamo[[#This Row],[GENERAL]:[ELEVADOR]])</f>
        <v>1</v>
      </c>
      <c r="U478" s="80">
        <f>IF(VLOOKUP(TbPrestamo[[#This Row],[ITEM]],TbPiezas[],5,FALSE)="NA",0,VLOOKUP(TbPrestamo[[#This Row],[ITEM]],TbPiezas[],5,FALSE))</f>
        <v>20.2</v>
      </c>
      <c r="V478" s="81">
        <f>+TbPrestamo[[#This Row],[TOTAL]]*TbPrestamo[[#This Row],[P.U. (1)]]</f>
        <v>20.2</v>
      </c>
      <c r="W478" s="82">
        <f>+VLOOKUP(TbPrestamo[[#This Row],[ITEM]],TbPiezas[],6,FALSE)</f>
        <v>4446.75</v>
      </c>
      <c r="X478" s="83">
        <f>+TbPrestamo[[#This Row],[TOTAL]]*TbPrestamo[[#This Row],[P.U. (2)]]</f>
        <v>4446.75</v>
      </c>
      <c r="Y478" s="82">
        <f>+VLOOKUP(TbPrestamo[[#This Row],[ITEM]],TbPiezas[],7,FALSE)</f>
        <v>222.33750000000001</v>
      </c>
      <c r="Z478" s="84">
        <f>+TbPrestamo[[#This Row],[TOTAL]]*TbPrestamo[[#This Row],[P.U. (3)]]</f>
        <v>222.33750000000001</v>
      </c>
    </row>
    <row r="479" spans="1:26" s="4" customFormat="1" x14ac:dyDescent="0.3">
      <c r="A479" s="2"/>
      <c r="B479" s="85">
        <v>457</v>
      </c>
      <c r="C479" s="71" t="s">
        <v>843</v>
      </c>
      <c r="D479" s="72" t="s">
        <v>844</v>
      </c>
      <c r="E479" s="73"/>
      <c r="F479" s="74">
        <f>+VLOOKUP(C479,TbPrestamo[],13,FALSE)</f>
        <v>0</v>
      </c>
      <c r="G479" s="2"/>
      <c r="H479" s="75" t="str">
        <f t="shared" si="14"/>
        <v>EV.5300</v>
      </c>
      <c r="I479" s="59" t="str">
        <f t="shared" si="15"/>
        <v>ok</v>
      </c>
      <c r="J479" s="77">
        <f>IFERROR(VLOOKUP($H479,TG[],3,FALSE),"NA")</f>
        <v>0</v>
      </c>
      <c r="K479" s="77" t="str">
        <f>IFERROR(VLOOKUP($H479,TF[],3,FALSE),"NA")</f>
        <v>NA</v>
      </c>
      <c r="L479" s="77" t="str">
        <f>IFERROR(VLOOKUP($H479,TT[],3,FALSE),"NA")</f>
        <v>NA</v>
      </c>
      <c r="M479" s="77" t="str">
        <f>IFERROR(VLOOKUP($H479,TES[],3,FALSE),"NA")</f>
        <v>NA</v>
      </c>
      <c r="N479" s="77" t="str">
        <f>IFERROR(VLOOKUP($H479,TEC[],3,FALSE),"NA")</f>
        <v>NA</v>
      </c>
      <c r="O479" s="77" t="str">
        <f>IFERROR(VLOOKUP($H479,TP[],3,FALSE),"NA")</f>
        <v>NA</v>
      </c>
      <c r="P479" s="77" t="str">
        <f>IFERROR(VLOOKUP($H479,TEN[],3,FALSE),"NA")</f>
        <v>NA</v>
      </c>
      <c r="Q479" s="77" t="str">
        <f>IFERROR(VLOOKUP($H479,TD[],3,FALSE),"NA")</f>
        <v>NA</v>
      </c>
      <c r="R479" s="77" t="str">
        <f>IFERROR(VLOOKUP($H479,TC[],3,FALSE),"NA")</f>
        <v>NA</v>
      </c>
      <c r="S479" s="77">
        <f>IFERROR(VLOOKUP($H479,TEV[],3,FALSE),"NA")</f>
        <v>0</v>
      </c>
      <c r="T479" s="79">
        <f>SUM(TbPrestamo[[#This Row],[GENERAL]:[ELEVADOR]])</f>
        <v>0</v>
      </c>
      <c r="U479" s="80">
        <f>IF(VLOOKUP(TbPrestamo[[#This Row],[ITEM]],TbPiezas[],5,FALSE)="NA",0,VLOOKUP(TbPrestamo[[#This Row],[ITEM]],TbPiezas[],5,FALSE))</f>
        <v>26.6</v>
      </c>
      <c r="V479" s="81">
        <f>+TbPrestamo[[#This Row],[TOTAL]]*TbPrestamo[[#This Row],[P.U. (1)]]</f>
        <v>0</v>
      </c>
      <c r="W479" s="82">
        <f>+VLOOKUP(TbPrestamo[[#This Row],[ITEM]],TbPiezas[],6,FALSE)</f>
        <v>4446.75</v>
      </c>
      <c r="X479" s="83">
        <f>+TbPrestamo[[#This Row],[TOTAL]]*TbPrestamo[[#This Row],[P.U. (2)]]</f>
        <v>0</v>
      </c>
      <c r="Y479" s="82">
        <f>+VLOOKUP(TbPrestamo[[#This Row],[ITEM]],TbPiezas[],7,FALSE)</f>
        <v>222.33750000000001</v>
      </c>
      <c r="Z479" s="84">
        <f>+TbPrestamo[[#This Row],[TOTAL]]*TbPrestamo[[#This Row],[P.U. (3)]]</f>
        <v>0</v>
      </c>
    </row>
    <row r="480" spans="1:26" s="4" customFormat="1" x14ac:dyDescent="0.3">
      <c r="A480" s="2"/>
      <c r="B480" s="85">
        <v>458</v>
      </c>
      <c r="C480" s="71" t="s">
        <v>845</v>
      </c>
      <c r="D480" s="72" t="s">
        <v>846</v>
      </c>
      <c r="E480" s="73"/>
      <c r="F480" s="74">
        <f>+VLOOKUP(C480,TbPrestamo[],13,FALSE)</f>
        <v>1</v>
      </c>
      <c r="G480" s="2"/>
      <c r="H480" s="75" t="str">
        <f t="shared" si="14"/>
        <v>EV.5400</v>
      </c>
      <c r="I480" s="59" t="str">
        <f t="shared" si="15"/>
        <v>ok</v>
      </c>
      <c r="J480" s="77">
        <f>IFERROR(VLOOKUP($H480,TG[],3,FALSE),"NA")</f>
        <v>0</v>
      </c>
      <c r="K480" s="77" t="str">
        <f>IFERROR(VLOOKUP($H480,TF[],3,FALSE),"NA")</f>
        <v>NA</v>
      </c>
      <c r="L480" s="77" t="str">
        <f>IFERROR(VLOOKUP($H480,TT[],3,FALSE),"NA")</f>
        <v>NA</v>
      </c>
      <c r="M480" s="77" t="str">
        <f>IFERROR(VLOOKUP($H480,TES[],3,FALSE),"NA")</f>
        <v>NA</v>
      </c>
      <c r="N480" s="77" t="str">
        <f>IFERROR(VLOOKUP($H480,TEC[],3,FALSE),"NA")</f>
        <v>NA</v>
      </c>
      <c r="O480" s="77" t="str">
        <f>IFERROR(VLOOKUP($H480,TP[],3,FALSE),"NA")</f>
        <v>NA</v>
      </c>
      <c r="P480" s="77" t="str">
        <f>IFERROR(VLOOKUP($H480,TEN[],3,FALSE),"NA")</f>
        <v>NA</v>
      </c>
      <c r="Q480" s="77" t="str">
        <f>IFERROR(VLOOKUP($H480,TD[],3,FALSE),"NA")</f>
        <v>NA</v>
      </c>
      <c r="R480" s="77" t="str">
        <f>IFERROR(VLOOKUP($H480,TC[],3,FALSE),"NA")</f>
        <v>NA</v>
      </c>
      <c r="S480" s="77">
        <f>IFERROR(VLOOKUP($H480,TEV[],3,FALSE),"NA")</f>
        <v>1</v>
      </c>
      <c r="T480" s="79">
        <f>SUM(TbPrestamo[[#This Row],[GENERAL]:[ELEVADOR]])</f>
        <v>1</v>
      </c>
      <c r="U480" s="80">
        <f>IF(VLOOKUP(TbPrestamo[[#This Row],[ITEM]],TbPiezas[],5,FALSE)="NA",0,VLOOKUP(TbPrestamo[[#This Row],[ITEM]],TbPiezas[],5,FALSE))</f>
        <v>20.2</v>
      </c>
      <c r="V480" s="81">
        <f>+TbPrestamo[[#This Row],[TOTAL]]*TbPrestamo[[#This Row],[P.U. (1)]]</f>
        <v>20.2</v>
      </c>
      <c r="W480" s="82">
        <f>+VLOOKUP(TbPrestamo[[#This Row],[ITEM]],TbPiezas[],6,FALSE)</f>
        <v>4446.75</v>
      </c>
      <c r="X480" s="83">
        <f>+TbPrestamo[[#This Row],[TOTAL]]*TbPrestamo[[#This Row],[P.U. (2)]]</f>
        <v>4446.75</v>
      </c>
      <c r="Y480" s="82">
        <f>+VLOOKUP(TbPrestamo[[#This Row],[ITEM]],TbPiezas[],7,FALSE)</f>
        <v>222.33750000000001</v>
      </c>
      <c r="Z480" s="84">
        <f>+TbPrestamo[[#This Row],[TOTAL]]*TbPrestamo[[#This Row],[P.U. (3)]]</f>
        <v>222.33750000000001</v>
      </c>
    </row>
    <row r="481" spans="1:26" s="4" customFormat="1" x14ac:dyDescent="0.3">
      <c r="A481" s="2"/>
      <c r="B481" s="85">
        <v>459</v>
      </c>
      <c r="C481" s="71" t="s">
        <v>1480</v>
      </c>
      <c r="D481" s="72" t="s">
        <v>1474</v>
      </c>
      <c r="E481" s="73"/>
      <c r="F481" s="74">
        <f>+VLOOKUP(C481,TbPrestamo[],13,FALSE)</f>
        <v>0</v>
      </c>
      <c r="G481" s="2"/>
      <c r="H481" s="75" t="str">
        <f t="shared" si="14"/>
        <v>EV.5410</v>
      </c>
      <c r="I481" s="59" t="str">
        <f t="shared" si="15"/>
        <v>ok</v>
      </c>
      <c r="J481" s="77">
        <f>IFERROR(VLOOKUP($H481,TG[],3,FALSE),"NA")</f>
        <v>0</v>
      </c>
      <c r="K481" s="77" t="str">
        <f>IFERROR(VLOOKUP($H481,TF[],3,FALSE),"NA")</f>
        <v>NA</v>
      </c>
      <c r="L481" s="77" t="str">
        <f>IFERROR(VLOOKUP($H481,TT[],3,FALSE),"NA")</f>
        <v>NA</v>
      </c>
      <c r="M481" s="77" t="str">
        <f>IFERROR(VLOOKUP($H481,TES[],3,FALSE),"NA")</f>
        <v>NA</v>
      </c>
      <c r="N481" s="77" t="str">
        <f>IFERROR(VLOOKUP($H481,TEC[],3,FALSE),"NA")</f>
        <v>NA</v>
      </c>
      <c r="O481" s="77" t="str">
        <f>IFERROR(VLOOKUP($H481,TP[],3,FALSE),"NA")</f>
        <v>NA</v>
      </c>
      <c r="P481" s="77" t="str">
        <f>IFERROR(VLOOKUP($H481,TEN[],3,FALSE),"NA")</f>
        <v>NA</v>
      </c>
      <c r="Q481" s="77" t="str">
        <f>IFERROR(VLOOKUP($H481,TD[],3,FALSE),"NA")</f>
        <v>NA</v>
      </c>
      <c r="R481" s="77" t="str">
        <f>IFERROR(VLOOKUP($H481,TC[],3,FALSE),"NA")</f>
        <v>NA</v>
      </c>
      <c r="S481" s="77" t="str">
        <f>IFERROR(VLOOKUP($H481,TEV[],3,FALSE),"NA")</f>
        <v>NA</v>
      </c>
      <c r="T481" s="79">
        <f>SUM(TbPrestamo[[#This Row],[GENERAL]:[ELEVADOR]])</f>
        <v>0</v>
      </c>
      <c r="U481" s="80">
        <f>IF(VLOOKUP(TbPrestamo[[#This Row],[ITEM]],TbPiezas[],5,FALSE)="NA",0,VLOOKUP(TbPrestamo[[#This Row],[ITEM]],TbPiezas[],5,FALSE))</f>
        <v>0</v>
      </c>
      <c r="V481" s="81">
        <f>+TbPrestamo[[#This Row],[TOTAL]]*TbPrestamo[[#This Row],[P.U. (1)]]</f>
        <v>0</v>
      </c>
      <c r="W481" s="82">
        <f>+VLOOKUP(TbPrestamo[[#This Row],[ITEM]],TbPiezas[],6,FALSE)</f>
        <v>0</v>
      </c>
      <c r="X481" s="83">
        <f>+TbPrestamo[[#This Row],[TOTAL]]*TbPrestamo[[#This Row],[P.U. (2)]]</f>
        <v>0</v>
      </c>
      <c r="Y481" s="82">
        <f>+VLOOKUP(TbPrestamo[[#This Row],[ITEM]],TbPiezas[],7,FALSE)</f>
        <v>0</v>
      </c>
      <c r="Z481" s="84">
        <f>+TbPrestamo[[#This Row],[TOTAL]]*TbPrestamo[[#This Row],[P.U. (3)]]</f>
        <v>0</v>
      </c>
    </row>
    <row r="482" spans="1:26" s="4" customFormat="1" x14ac:dyDescent="0.3">
      <c r="A482" s="2"/>
      <c r="B482" s="85">
        <v>460</v>
      </c>
      <c r="C482" s="71" t="s">
        <v>1481</v>
      </c>
      <c r="D482" s="72" t="s">
        <v>1475</v>
      </c>
      <c r="E482" s="73"/>
      <c r="F482" s="74">
        <f>+VLOOKUP(C482,TbPrestamo[],13,FALSE)</f>
        <v>0</v>
      </c>
      <c r="G482" s="2"/>
      <c r="H482" s="75" t="str">
        <f t="shared" si="14"/>
        <v>EV.5420</v>
      </c>
      <c r="I482" s="59" t="str">
        <f t="shared" si="15"/>
        <v>ok</v>
      </c>
      <c r="J482" s="77">
        <f>IFERROR(VLOOKUP($H482,TG[],3,FALSE),"NA")</f>
        <v>0</v>
      </c>
      <c r="K482" s="77" t="str">
        <f>IFERROR(VLOOKUP($H482,TF[],3,FALSE),"NA")</f>
        <v>NA</v>
      </c>
      <c r="L482" s="77" t="str">
        <f>IFERROR(VLOOKUP($H482,TT[],3,FALSE),"NA")</f>
        <v>NA</v>
      </c>
      <c r="M482" s="77" t="str">
        <f>IFERROR(VLOOKUP($H482,TES[],3,FALSE),"NA")</f>
        <v>NA</v>
      </c>
      <c r="N482" s="77" t="str">
        <f>IFERROR(VLOOKUP($H482,TEC[],3,FALSE),"NA")</f>
        <v>NA</v>
      </c>
      <c r="O482" s="77" t="str">
        <f>IFERROR(VLOOKUP($H482,TP[],3,FALSE),"NA")</f>
        <v>NA</v>
      </c>
      <c r="P482" s="77" t="str">
        <f>IFERROR(VLOOKUP($H482,TEN[],3,FALSE),"NA")</f>
        <v>NA</v>
      </c>
      <c r="Q482" s="77" t="str">
        <f>IFERROR(VLOOKUP($H482,TD[],3,FALSE),"NA")</f>
        <v>NA</v>
      </c>
      <c r="R482" s="77" t="str">
        <f>IFERROR(VLOOKUP($H482,TC[],3,FALSE),"NA")</f>
        <v>NA</v>
      </c>
      <c r="S482" s="77" t="str">
        <f>IFERROR(VLOOKUP($H482,TEV[],3,FALSE),"NA")</f>
        <v>NA</v>
      </c>
      <c r="T482" s="79">
        <f>SUM(TbPrestamo[[#This Row],[GENERAL]:[ELEVADOR]])</f>
        <v>0</v>
      </c>
      <c r="U482" s="80">
        <f>IF(VLOOKUP(TbPrestamo[[#This Row],[ITEM]],TbPiezas[],5,FALSE)="NA",0,VLOOKUP(TbPrestamo[[#This Row],[ITEM]],TbPiezas[],5,FALSE))</f>
        <v>0</v>
      </c>
      <c r="V482" s="81">
        <f>+TbPrestamo[[#This Row],[TOTAL]]*TbPrestamo[[#This Row],[P.U. (1)]]</f>
        <v>0</v>
      </c>
      <c r="W482" s="82">
        <f>+VLOOKUP(TbPrestamo[[#This Row],[ITEM]],TbPiezas[],6,FALSE)</f>
        <v>0</v>
      </c>
      <c r="X482" s="83">
        <f>+TbPrestamo[[#This Row],[TOTAL]]*TbPrestamo[[#This Row],[P.U. (2)]]</f>
        <v>0</v>
      </c>
      <c r="Y482" s="82">
        <f>+VLOOKUP(TbPrestamo[[#This Row],[ITEM]],TbPiezas[],7,FALSE)</f>
        <v>0</v>
      </c>
      <c r="Z482" s="84">
        <f>+TbPrestamo[[#This Row],[TOTAL]]*TbPrestamo[[#This Row],[P.U. (3)]]</f>
        <v>0</v>
      </c>
    </row>
    <row r="483" spans="1:26" s="4" customFormat="1" x14ac:dyDescent="0.3">
      <c r="A483" s="2"/>
      <c r="B483" s="85">
        <v>461</v>
      </c>
      <c r="C483" s="71" t="s">
        <v>1482</v>
      </c>
      <c r="D483" s="72" t="s">
        <v>1476</v>
      </c>
      <c r="E483" s="73"/>
      <c r="F483" s="74">
        <f>+VLOOKUP(C483,TbPrestamo[],13,FALSE)</f>
        <v>0</v>
      </c>
      <c r="G483" s="2"/>
      <c r="H483" s="75" t="str">
        <f t="shared" si="14"/>
        <v>EV.5430</v>
      </c>
      <c r="I483" s="59" t="str">
        <f t="shared" si="15"/>
        <v>ok</v>
      </c>
      <c r="J483" s="77">
        <f>IFERROR(VLOOKUP($H483,TG[],3,FALSE),"NA")</f>
        <v>0</v>
      </c>
      <c r="K483" s="77" t="str">
        <f>IFERROR(VLOOKUP($H483,TF[],3,FALSE),"NA")</f>
        <v>NA</v>
      </c>
      <c r="L483" s="77" t="str">
        <f>IFERROR(VLOOKUP($H483,TT[],3,FALSE),"NA")</f>
        <v>NA</v>
      </c>
      <c r="M483" s="77" t="str">
        <f>IFERROR(VLOOKUP($H483,TES[],3,FALSE),"NA")</f>
        <v>NA</v>
      </c>
      <c r="N483" s="77" t="str">
        <f>IFERROR(VLOOKUP($H483,TEC[],3,FALSE),"NA")</f>
        <v>NA</v>
      </c>
      <c r="O483" s="77" t="str">
        <f>IFERROR(VLOOKUP($H483,TP[],3,FALSE),"NA")</f>
        <v>NA</v>
      </c>
      <c r="P483" s="77" t="str">
        <f>IFERROR(VLOOKUP($H483,TEN[],3,FALSE),"NA")</f>
        <v>NA</v>
      </c>
      <c r="Q483" s="77" t="str">
        <f>IFERROR(VLOOKUP($H483,TD[],3,FALSE),"NA")</f>
        <v>NA</v>
      </c>
      <c r="R483" s="77" t="str">
        <f>IFERROR(VLOOKUP($H483,TC[],3,FALSE),"NA")</f>
        <v>NA</v>
      </c>
      <c r="S483" s="77" t="str">
        <f>IFERROR(VLOOKUP($H483,TEV[],3,FALSE),"NA")</f>
        <v>NA</v>
      </c>
      <c r="T483" s="79">
        <f>SUM(TbPrestamo[[#This Row],[GENERAL]:[ELEVADOR]])</f>
        <v>0</v>
      </c>
      <c r="U483" s="80">
        <f>IF(VLOOKUP(TbPrestamo[[#This Row],[ITEM]],TbPiezas[],5,FALSE)="NA",0,VLOOKUP(TbPrestamo[[#This Row],[ITEM]],TbPiezas[],5,FALSE))</f>
        <v>0</v>
      </c>
      <c r="V483" s="81">
        <f>+TbPrestamo[[#This Row],[TOTAL]]*TbPrestamo[[#This Row],[P.U. (1)]]</f>
        <v>0</v>
      </c>
      <c r="W483" s="82">
        <f>+VLOOKUP(TbPrestamo[[#This Row],[ITEM]],TbPiezas[],6,FALSE)</f>
        <v>0</v>
      </c>
      <c r="X483" s="83">
        <f>+TbPrestamo[[#This Row],[TOTAL]]*TbPrestamo[[#This Row],[P.U. (2)]]</f>
        <v>0</v>
      </c>
      <c r="Y483" s="82">
        <f>+VLOOKUP(TbPrestamo[[#This Row],[ITEM]],TbPiezas[],7,FALSE)</f>
        <v>0</v>
      </c>
      <c r="Z483" s="84">
        <f>+TbPrestamo[[#This Row],[TOTAL]]*TbPrestamo[[#This Row],[P.U. (3)]]</f>
        <v>0</v>
      </c>
    </row>
    <row r="484" spans="1:26" s="4" customFormat="1" x14ac:dyDescent="0.3">
      <c r="A484" s="2"/>
      <c r="B484" s="85">
        <v>462</v>
      </c>
      <c r="C484" s="71" t="s">
        <v>1483</v>
      </c>
      <c r="D484" s="72" t="s">
        <v>1477</v>
      </c>
      <c r="E484" s="73"/>
      <c r="F484" s="74">
        <f>+VLOOKUP(C484,TbPrestamo[],13,FALSE)</f>
        <v>0</v>
      </c>
      <c r="G484" s="2"/>
      <c r="H484" s="75" t="str">
        <f t="shared" si="14"/>
        <v>EV.5440</v>
      </c>
      <c r="I484" s="59" t="str">
        <f t="shared" si="15"/>
        <v>ok</v>
      </c>
      <c r="J484" s="77">
        <f>IFERROR(VLOOKUP($H484,TG[],3,FALSE),"NA")</f>
        <v>0</v>
      </c>
      <c r="K484" s="77" t="str">
        <f>IFERROR(VLOOKUP($H484,TF[],3,FALSE),"NA")</f>
        <v>NA</v>
      </c>
      <c r="L484" s="77" t="str">
        <f>IFERROR(VLOOKUP($H484,TT[],3,FALSE),"NA")</f>
        <v>NA</v>
      </c>
      <c r="M484" s="77" t="str">
        <f>IFERROR(VLOOKUP($H484,TES[],3,FALSE),"NA")</f>
        <v>NA</v>
      </c>
      <c r="N484" s="77" t="str">
        <f>IFERROR(VLOOKUP($H484,TEC[],3,FALSE),"NA")</f>
        <v>NA</v>
      </c>
      <c r="O484" s="77" t="str">
        <f>IFERROR(VLOOKUP($H484,TP[],3,FALSE),"NA")</f>
        <v>NA</v>
      </c>
      <c r="P484" s="77" t="str">
        <f>IFERROR(VLOOKUP($H484,TEN[],3,FALSE),"NA")</f>
        <v>NA</v>
      </c>
      <c r="Q484" s="77" t="str">
        <f>IFERROR(VLOOKUP($H484,TD[],3,FALSE),"NA")</f>
        <v>NA</v>
      </c>
      <c r="R484" s="77" t="str">
        <f>IFERROR(VLOOKUP($H484,TC[],3,FALSE),"NA")</f>
        <v>NA</v>
      </c>
      <c r="S484" s="77" t="str">
        <f>IFERROR(VLOOKUP($H484,TEV[],3,FALSE),"NA")</f>
        <v>NA</v>
      </c>
      <c r="T484" s="79">
        <f>SUM(TbPrestamo[[#This Row],[GENERAL]:[ELEVADOR]])</f>
        <v>0</v>
      </c>
      <c r="U484" s="80">
        <f>IF(VLOOKUP(TbPrestamo[[#This Row],[ITEM]],TbPiezas[],5,FALSE)="NA",0,VLOOKUP(TbPrestamo[[#This Row],[ITEM]],TbPiezas[],5,FALSE))</f>
        <v>0</v>
      </c>
      <c r="V484" s="81">
        <f>+TbPrestamo[[#This Row],[TOTAL]]*TbPrestamo[[#This Row],[P.U. (1)]]</f>
        <v>0</v>
      </c>
      <c r="W484" s="82">
        <f>+VLOOKUP(TbPrestamo[[#This Row],[ITEM]],TbPiezas[],6,FALSE)</f>
        <v>0</v>
      </c>
      <c r="X484" s="83">
        <f>+TbPrestamo[[#This Row],[TOTAL]]*TbPrestamo[[#This Row],[P.U. (2)]]</f>
        <v>0</v>
      </c>
      <c r="Y484" s="82">
        <f>+VLOOKUP(TbPrestamo[[#This Row],[ITEM]],TbPiezas[],7,FALSE)</f>
        <v>0</v>
      </c>
      <c r="Z484" s="84">
        <f>+TbPrestamo[[#This Row],[TOTAL]]*TbPrestamo[[#This Row],[P.U. (3)]]</f>
        <v>0</v>
      </c>
    </row>
    <row r="485" spans="1:26" s="4" customFormat="1" x14ac:dyDescent="0.3">
      <c r="A485" s="2"/>
      <c r="B485" s="85">
        <v>463</v>
      </c>
      <c r="C485" s="71" t="s">
        <v>1484</v>
      </c>
      <c r="D485" s="72" t="s">
        <v>1478</v>
      </c>
      <c r="E485" s="73"/>
      <c r="F485" s="74">
        <f>+VLOOKUP(C485,TbPrestamo[],13,FALSE)</f>
        <v>0</v>
      </c>
      <c r="G485" s="2"/>
      <c r="H485" s="75" t="str">
        <f t="shared" si="14"/>
        <v>EV.5450</v>
      </c>
      <c r="I485" s="59" t="str">
        <f t="shared" si="15"/>
        <v>ok</v>
      </c>
      <c r="J485" s="77">
        <f>IFERROR(VLOOKUP($H485,TG[],3,FALSE),"NA")</f>
        <v>0</v>
      </c>
      <c r="K485" s="77" t="str">
        <f>IFERROR(VLOOKUP($H485,TF[],3,FALSE),"NA")</f>
        <v>NA</v>
      </c>
      <c r="L485" s="77" t="str">
        <f>IFERROR(VLOOKUP($H485,TT[],3,FALSE),"NA")</f>
        <v>NA</v>
      </c>
      <c r="M485" s="77" t="str">
        <f>IFERROR(VLOOKUP($H485,TES[],3,FALSE),"NA")</f>
        <v>NA</v>
      </c>
      <c r="N485" s="77" t="str">
        <f>IFERROR(VLOOKUP($H485,TEC[],3,FALSE),"NA")</f>
        <v>NA</v>
      </c>
      <c r="O485" s="77" t="str">
        <f>IFERROR(VLOOKUP($H485,TP[],3,FALSE),"NA")</f>
        <v>NA</v>
      </c>
      <c r="P485" s="77" t="str">
        <f>IFERROR(VLOOKUP($H485,TEN[],3,FALSE),"NA")</f>
        <v>NA</v>
      </c>
      <c r="Q485" s="77" t="str">
        <f>IFERROR(VLOOKUP($H485,TD[],3,FALSE),"NA")</f>
        <v>NA</v>
      </c>
      <c r="R485" s="77" t="str">
        <f>IFERROR(VLOOKUP($H485,TC[],3,FALSE),"NA")</f>
        <v>NA</v>
      </c>
      <c r="S485" s="77" t="str">
        <f>IFERROR(VLOOKUP($H485,TEV[],3,FALSE),"NA")</f>
        <v>NA</v>
      </c>
      <c r="T485" s="79">
        <f>SUM(TbPrestamo[[#This Row],[GENERAL]:[ELEVADOR]])</f>
        <v>0</v>
      </c>
      <c r="U485" s="80">
        <f>IF(VLOOKUP(TbPrestamo[[#This Row],[ITEM]],TbPiezas[],5,FALSE)="NA",0,VLOOKUP(TbPrestamo[[#This Row],[ITEM]],TbPiezas[],5,FALSE))</f>
        <v>0</v>
      </c>
      <c r="V485" s="81">
        <f>+TbPrestamo[[#This Row],[TOTAL]]*TbPrestamo[[#This Row],[P.U. (1)]]</f>
        <v>0</v>
      </c>
      <c r="W485" s="82">
        <f>+VLOOKUP(TbPrestamo[[#This Row],[ITEM]],TbPiezas[],6,FALSE)</f>
        <v>0</v>
      </c>
      <c r="X485" s="83">
        <f>+TbPrestamo[[#This Row],[TOTAL]]*TbPrestamo[[#This Row],[P.U. (2)]]</f>
        <v>0</v>
      </c>
      <c r="Y485" s="82">
        <f>+VLOOKUP(TbPrestamo[[#This Row],[ITEM]],TbPiezas[],7,FALSE)</f>
        <v>0</v>
      </c>
      <c r="Z485" s="84">
        <f>+TbPrestamo[[#This Row],[TOTAL]]*TbPrestamo[[#This Row],[P.U. (3)]]</f>
        <v>0</v>
      </c>
    </row>
    <row r="486" spans="1:26" s="4" customFormat="1" x14ac:dyDescent="0.3">
      <c r="A486" s="2"/>
      <c r="B486" s="85">
        <v>464</v>
      </c>
      <c r="C486" s="71" t="s">
        <v>1485</v>
      </c>
      <c r="D486" s="72" t="s">
        <v>1479</v>
      </c>
      <c r="E486" s="73"/>
      <c r="F486" s="74">
        <f>+VLOOKUP(C486,TbPrestamo[],13,FALSE)</f>
        <v>0</v>
      </c>
      <c r="G486" s="2"/>
      <c r="H486" s="75" t="str">
        <f t="shared" si="14"/>
        <v>EV.5460</v>
      </c>
      <c r="I486" s="59" t="str">
        <f t="shared" si="15"/>
        <v>ok</v>
      </c>
      <c r="J486" s="77">
        <f>IFERROR(VLOOKUP($H486,TG[],3,FALSE),"NA")</f>
        <v>0</v>
      </c>
      <c r="K486" s="77" t="str">
        <f>IFERROR(VLOOKUP($H486,TF[],3,FALSE),"NA")</f>
        <v>NA</v>
      </c>
      <c r="L486" s="77" t="str">
        <f>IFERROR(VLOOKUP($H486,TT[],3,FALSE),"NA")</f>
        <v>NA</v>
      </c>
      <c r="M486" s="77" t="str">
        <f>IFERROR(VLOOKUP($H486,TES[],3,FALSE),"NA")</f>
        <v>NA</v>
      </c>
      <c r="N486" s="77" t="str">
        <f>IFERROR(VLOOKUP($H486,TEC[],3,FALSE),"NA")</f>
        <v>NA</v>
      </c>
      <c r="O486" s="77" t="str">
        <f>IFERROR(VLOOKUP($H486,TP[],3,FALSE),"NA")</f>
        <v>NA</v>
      </c>
      <c r="P486" s="77" t="str">
        <f>IFERROR(VLOOKUP($H486,TEN[],3,FALSE),"NA")</f>
        <v>NA</v>
      </c>
      <c r="Q486" s="77" t="str">
        <f>IFERROR(VLOOKUP($H486,TD[],3,FALSE),"NA")</f>
        <v>NA</v>
      </c>
      <c r="R486" s="77" t="str">
        <f>IFERROR(VLOOKUP($H486,TC[],3,FALSE),"NA")</f>
        <v>NA</v>
      </c>
      <c r="S486" s="77" t="str">
        <f>IFERROR(VLOOKUP($H486,TEV[],3,FALSE),"NA")</f>
        <v>NA</v>
      </c>
      <c r="T486" s="79">
        <f>SUM(TbPrestamo[[#This Row],[GENERAL]:[ELEVADOR]])</f>
        <v>0</v>
      </c>
      <c r="U486" s="80">
        <f>IF(VLOOKUP(TbPrestamo[[#This Row],[ITEM]],TbPiezas[],5,FALSE)="NA",0,VLOOKUP(TbPrestamo[[#This Row],[ITEM]],TbPiezas[],5,FALSE))</f>
        <v>0</v>
      </c>
      <c r="V486" s="81">
        <f>+TbPrestamo[[#This Row],[TOTAL]]*TbPrestamo[[#This Row],[P.U. (1)]]</f>
        <v>0</v>
      </c>
      <c r="W486" s="82">
        <f>+VLOOKUP(TbPrestamo[[#This Row],[ITEM]],TbPiezas[],6,FALSE)</f>
        <v>0</v>
      </c>
      <c r="X486" s="83">
        <f>+TbPrestamo[[#This Row],[TOTAL]]*TbPrestamo[[#This Row],[P.U. (2)]]</f>
        <v>0</v>
      </c>
      <c r="Y486" s="82">
        <f>+VLOOKUP(TbPrestamo[[#This Row],[ITEM]],TbPiezas[],7,FALSE)</f>
        <v>0</v>
      </c>
      <c r="Z486" s="84">
        <f>+TbPrestamo[[#This Row],[TOTAL]]*TbPrestamo[[#This Row],[P.U. (3)]]</f>
        <v>0</v>
      </c>
    </row>
    <row r="487" spans="1:26" s="4" customFormat="1" x14ac:dyDescent="0.3">
      <c r="A487" s="2"/>
      <c r="B487" s="85">
        <v>465</v>
      </c>
      <c r="C487" s="71" t="s">
        <v>847</v>
      </c>
      <c r="D487" s="72" t="s">
        <v>848</v>
      </c>
      <c r="E487" s="73"/>
      <c r="F487" s="74">
        <f>+VLOOKUP(C487,TbPrestamo[],13,FALSE)</f>
        <v>1</v>
      </c>
      <c r="G487" s="2"/>
      <c r="H487" s="75" t="str">
        <f t="shared" si="14"/>
        <v>EV.5500</v>
      </c>
      <c r="I487" s="59" t="str">
        <f t="shared" si="15"/>
        <v>ok</v>
      </c>
      <c r="J487" s="77">
        <f>IFERROR(VLOOKUP($H487,TG[],3,FALSE),"NA")</f>
        <v>0</v>
      </c>
      <c r="K487" s="77" t="str">
        <f>IFERROR(VLOOKUP($H487,TF[],3,FALSE),"NA")</f>
        <v>NA</v>
      </c>
      <c r="L487" s="77" t="str">
        <f>IFERROR(VLOOKUP($H487,TT[],3,FALSE),"NA")</f>
        <v>NA</v>
      </c>
      <c r="M487" s="77" t="str">
        <f>IFERROR(VLOOKUP($H487,TES[],3,FALSE),"NA")</f>
        <v>NA</v>
      </c>
      <c r="N487" s="77" t="str">
        <f>IFERROR(VLOOKUP($H487,TEC[],3,FALSE),"NA")</f>
        <v>NA</v>
      </c>
      <c r="O487" s="77" t="str">
        <f>IFERROR(VLOOKUP($H487,TP[],3,FALSE),"NA")</f>
        <v>NA</v>
      </c>
      <c r="P487" s="77" t="str">
        <f>IFERROR(VLOOKUP($H487,TEN[],3,FALSE),"NA")</f>
        <v>NA</v>
      </c>
      <c r="Q487" s="77" t="str">
        <f>IFERROR(VLOOKUP($H487,TD[],3,FALSE),"NA")</f>
        <v>NA</v>
      </c>
      <c r="R487" s="77" t="str">
        <f>IFERROR(VLOOKUP($H487,TC[],3,FALSE),"NA")</f>
        <v>NA</v>
      </c>
      <c r="S487" s="77">
        <f>IFERROR(VLOOKUP($H487,TEV[],3,FALSE),"NA")</f>
        <v>1</v>
      </c>
      <c r="T487" s="79">
        <f>SUM(TbPrestamo[[#This Row],[GENERAL]:[ELEVADOR]])</f>
        <v>1</v>
      </c>
      <c r="U487" s="80">
        <f>IF(VLOOKUP(TbPrestamo[[#This Row],[ITEM]],TbPiezas[],5,FALSE)="NA",0,VLOOKUP(TbPrestamo[[#This Row],[ITEM]],TbPiezas[],5,FALSE))</f>
        <v>0.7</v>
      </c>
      <c r="V487" s="81">
        <f>+TbPrestamo[[#This Row],[TOTAL]]*TbPrestamo[[#This Row],[P.U. (1)]]</f>
        <v>0.7</v>
      </c>
      <c r="W487" s="82">
        <f>+VLOOKUP(TbPrestamo[[#This Row],[ITEM]],TbPiezas[],6,FALSE)</f>
        <v>2032.8</v>
      </c>
      <c r="X487" s="83">
        <f>+TbPrestamo[[#This Row],[TOTAL]]*TbPrestamo[[#This Row],[P.U. (2)]]</f>
        <v>2032.8</v>
      </c>
      <c r="Y487" s="82">
        <f>+VLOOKUP(TbPrestamo[[#This Row],[ITEM]],TbPiezas[],7,FALSE)</f>
        <v>101.64</v>
      </c>
      <c r="Z487" s="84">
        <f>+TbPrestamo[[#This Row],[TOTAL]]*TbPrestamo[[#This Row],[P.U. (3)]]</f>
        <v>101.64</v>
      </c>
    </row>
    <row r="488" spans="1:26" s="4" customFormat="1" x14ac:dyDescent="0.3">
      <c r="A488" s="2"/>
      <c r="B488" s="85">
        <v>466</v>
      </c>
      <c r="C488" s="71" t="s">
        <v>849</v>
      </c>
      <c r="D488" s="72" t="s">
        <v>1486</v>
      </c>
      <c r="E488" s="73"/>
      <c r="F488" s="74">
        <f>+VLOOKUP(C488,TbPrestamo[],13,FALSE)</f>
        <v>2</v>
      </c>
      <c r="G488" s="2"/>
      <c r="H488" s="75" t="str">
        <f t="shared" si="14"/>
        <v>EV.5600</v>
      </c>
      <c r="I488" s="59" t="str">
        <f t="shared" si="15"/>
        <v>ok</v>
      </c>
      <c r="J488" s="77">
        <f>IFERROR(VLOOKUP($H488,TG[],3,FALSE),"NA")</f>
        <v>0</v>
      </c>
      <c r="K488" s="77" t="str">
        <f>IFERROR(VLOOKUP($H488,TF[],3,FALSE),"NA")</f>
        <v>NA</v>
      </c>
      <c r="L488" s="77" t="str">
        <f>IFERROR(VLOOKUP($H488,TT[],3,FALSE),"NA")</f>
        <v>NA</v>
      </c>
      <c r="M488" s="77" t="str">
        <f>IFERROR(VLOOKUP($H488,TES[],3,FALSE),"NA")</f>
        <v>NA</v>
      </c>
      <c r="N488" s="77" t="str">
        <f>IFERROR(VLOOKUP($H488,TEC[],3,FALSE),"NA")</f>
        <v>NA</v>
      </c>
      <c r="O488" s="77" t="str">
        <f>IFERROR(VLOOKUP($H488,TP[],3,FALSE),"NA")</f>
        <v>NA</v>
      </c>
      <c r="P488" s="77" t="str">
        <f>IFERROR(VLOOKUP($H488,TEN[],3,FALSE),"NA")</f>
        <v>NA</v>
      </c>
      <c r="Q488" s="77" t="str">
        <f>IFERROR(VLOOKUP($H488,TD[],3,FALSE),"NA")</f>
        <v>NA</v>
      </c>
      <c r="R488" s="77" t="str">
        <f>IFERROR(VLOOKUP($H488,TC[],3,FALSE),"NA")</f>
        <v>NA</v>
      </c>
      <c r="S488" s="77">
        <f>IFERROR(VLOOKUP($H488,TEV[],3,FALSE),"NA")</f>
        <v>2</v>
      </c>
      <c r="T488" s="79">
        <f>SUM(TbPrestamo[[#This Row],[GENERAL]:[ELEVADOR]])</f>
        <v>2</v>
      </c>
      <c r="U488" s="80">
        <f>IF(VLOOKUP(TbPrestamo[[#This Row],[ITEM]],TbPiezas[],5,FALSE)="NA",0,VLOOKUP(TbPrestamo[[#This Row],[ITEM]],TbPiezas[],5,FALSE))</f>
        <v>8.1999999999999993</v>
      </c>
      <c r="V488" s="81">
        <f>+TbPrestamo[[#This Row],[TOTAL]]*TbPrestamo[[#This Row],[P.U. (1)]]</f>
        <v>16.399999999999999</v>
      </c>
      <c r="W488" s="82">
        <f>+VLOOKUP(TbPrestamo[[#This Row],[ITEM]],TbPiezas[],6,FALSE)</f>
        <v>1079.93</v>
      </c>
      <c r="X488" s="83">
        <f>+TbPrestamo[[#This Row],[TOTAL]]*TbPrestamo[[#This Row],[P.U. (2)]]</f>
        <v>2159.86</v>
      </c>
      <c r="Y488" s="82">
        <f>+VLOOKUP(TbPrestamo[[#This Row],[ITEM]],TbPiezas[],7,FALSE)</f>
        <v>53.996500000000005</v>
      </c>
      <c r="Z488" s="84">
        <f>+TbPrestamo[[#This Row],[TOTAL]]*TbPrestamo[[#This Row],[P.U. (3)]]</f>
        <v>107.99300000000001</v>
      </c>
    </row>
    <row r="489" spans="1:26" s="4" customFormat="1" x14ac:dyDescent="0.3">
      <c r="A489" s="2"/>
      <c r="B489" s="85">
        <v>467</v>
      </c>
      <c r="C489" s="71" t="s">
        <v>1488</v>
      </c>
      <c r="D489" s="72" t="s">
        <v>1487</v>
      </c>
      <c r="E489" s="73"/>
      <c r="F489" s="74">
        <f>+VLOOKUP(C489,TbPrestamo[],13,FALSE)</f>
        <v>0</v>
      </c>
      <c r="G489" s="2"/>
      <c r="H489" s="75" t="str">
        <f t="shared" si="14"/>
        <v>EV.5610</v>
      </c>
      <c r="I489" s="59" t="str">
        <f t="shared" si="15"/>
        <v>ok</v>
      </c>
      <c r="J489" s="77">
        <f>IFERROR(VLOOKUP($H489,TG[],3,FALSE),"NA")</f>
        <v>0</v>
      </c>
      <c r="K489" s="77" t="str">
        <f>IFERROR(VLOOKUP($H489,TF[],3,FALSE),"NA")</f>
        <v>NA</v>
      </c>
      <c r="L489" s="77" t="str">
        <f>IFERROR(VLOOKUP($H489,TT[],3,FALSE),"NA")</f>
        <v>NA</v>
      </c>
      <c r="M489" s="77" t="str">
        <f>IFERROR(VLOOKUP($H489,TES[],3,FALSE),"NA")</f>
        <v>NA</v>
      </c>
      <c r="N489" s="77" t="str">
        <f>IFERROR(VLOOKUP($H489,TEC[],3,FALSE),"NA")</f>
        <v>NA</v>
      </c>
      <c r="O489" s="77" t="str">
        <f>IFERROR(VLOOKUP($H489,TP[],3,FALSE),"NA")</f>
        <v>NA</v>
      </c>
      <c r="P489" s="77" t="str">
        <f>IFERROR(VLOOKUP($H489,TEN[],3,FALSE),"NA")</f>
        <v>NA</v>
      </c>
      <c r="Q489" s="77" t="str">
        <f>IFERROR(VLOOKUP($H489,TD[],3,FALSE),"NA")</f>
        <v>NA</v>
      </c>
      <c r="R489" s="77" t="str">
        <f>IFERROR(VLOOKUP($H489,TC[],3,FALSE),"NA")</f>
        <v>NA</v>
      </c>
      <c r="S489" s="77" t="str">
        <f>IFERROR(VLOOKUP($H489,TEV[],3,FALSE),"NA")</f>
        <v>NA</v>
      </c>
      <c r="T489" s="79">
        <f>SUM(TbPrestamo[[#This Row],[GENERAL]:[ELEVADOR]])</f>
        <v>0</v>
      </c>
      <c r="U489" s="80">
        <f>IF(VLOOKUP(TbPrestamo[[#This Row],[ITEM]],TbPiezas[],5,FALSE)="NA",0,VLOOKUP(TbPrestamo[[#This Row],[ITEM]],TbPiezas[],5,FALSE))</f>
        <v>0</v>
      </c>
      <c r="V489" s="81">
        <f>+TbPrestamo[[#This Row],[TOTAL]]*TbPrestamo[[#This Row],[P.U. (1)]]</f>
        <v>0</v>
      </c>
      <c r="W489" s="82">
        <f>+VLOOKUP(TbPrestamo[[#This Row],[ITEM]],TbPiezas[],6,FALSE)</f>
        <v>0</v>
      </c>
      <c r="X489" s="83">
        <f>+TbPrestamo[[#This Row],[TOTAL]]*TbPrestamo[[#This Row],[P.U. (2)]]</f>
        <v>0</v>
      </c>
      <c r="Y489" s="82">
        <f>+VLOOKUP(TbPrestamo[[#This Row],[ITEM]],TbPiezas[],7,FALSE)</f>
        <v>0</v>
      </c>
      <c r="Z489" s="84">
        <f>+TbPrestamo[[#This Row],[TOTAL]]*TbPrestamo[[#This Row],[P.U. (3)]]</f>
        <v>0</v>
      </c>
    </row>
    <row r="490" spans="1:26" s="4" customFormat="1" x14ac:dyDescent="0.3">
      <c r="A490" s="2"/>
      <c r="B490" s="85">
        <v>468</v>
      </c>
      <c r="C490" s="71" t="s">
        <v>850</v>
      </c>
      <c r="D490" s="72" t="s">
        <v>1489</v>
      </c>
      <c r="E490" s="73"/>
      <c r="F490" s="74">
        <f>+VLOOKUP(C490,TbPrestamo[],13,FALSE)</f>
        <v>2</v>
      </c>
      <c r="G490" s="2"/>
      <c r="H490" s="75" t="str">
        <f t="shared" si="14"/>
        <v>EV.5700</v>
      </c>
      <c r="I490" s="59" t="str">
        <f t="shared" si="15"/>
        <v>ok</v>
      </c>
      <c r="J490" s="77">
        <f>IFERROR(VLOOKUP($H490,TG[],3,FALSE),"NA")</f>
        <v>0</v>
      </c>
      <c r="K490" s="77" t="str">
        <f>IFERROR(VLOOKUP($H490,TF[],3,FALSE),"NA")</f>
        <v>NA</v>
      </c>
      <c r="L490" s="77" t="str">
        <f>IFERROR(VLOOKUP($H490,TT[],3,FALSE),"NA")</f>
        <v>NA</v>
      </c>
      <c r="M490" s="77" t="str">
        <f>IFERROR(VLOOKUP($H490,TES[],3,FALSE),"NA")</f>
        <v>NA</v>
      </c>
      <c r="N490" s="77" t="str">
        <f>IFERROR(VLOOKUP($H490,TEC[],3,FALSE),"NA")</f>
        <v>NA</v>
      </c>
      <c r="O490" s="77" t="str">
        <f>IFERROR(VLOOKUP($H490,TP[],3,FALSE),"NA")</f>
        <v>NA</v>
      </c>
      <c r="P490" s="77" t="str">
        <f>IFERROR(VLOOKUP($H490,TEN[],3,FALSE),"NA")</f>
        <v>NA</v>
      </c>
      <c r="Q490" s="77" t="str">
        <f>IFERROR(VLOOKUP($H490,TD[],3,FALSE),"NA")</f>
        <v>NA</v>
      </c>
      <c r="R490" s="77" t="str">
        <f>IFERROR(VLOOKUP($H490,TC[],3,FALSE),"NA")</f>
        <v>NA</v>
      </c>
      <c r="S490" s="77">
        <f>IFERROR(VLOOKUP($H490,TEV[],3,FALSE),"NA")</f>
        <v>2</v>
      </c>
      <c r="T490" s="79">
        <f>SUM(TbPrestamo[[#This Row],[GENERAL]:[ELEVADOR]])</f>
        <v>2</v>
      </c>
      <c r="U490" s="80">
        <f>IF(VLOOKUP(TbPrestamo[[#This Row],[ITEM]],TbPiezas[],5,FALSE)="NA",0,VLOOKUP(TbPrestamo[[#This Row],[ITEM]],TbPiezas[],5,FALSE))</f>
        <v>20</v>
      </c>
      <c r="V490" s="81">
        <f>+TbPrestamo[[#This Row],[TOTAL]]*TbPrestamo[[#This Row],[P.U. (1)]]</f>
        <v>40</v>
      </c>
      <c r="W490" s="82">
        <f>+VLOOKUP(TbPrestamo[[#This Row],[ITEM]],TbPiezas[],6,FALSE)</f>
        <v>571.73</v>
      </c>
      <c r="X490" s="83">
        <f>+TbPrestamo[[#This Row],[TOTAL]]*TbPrestamo[[#This Row],[P.U. (2)]]</f>
        <v>1143.46</v>
      </c>
      <c r="Y490" s="82">
        <f>+VLOOKUP(TbPrestamo[[#This Row],[ITEM]],TbPiezas[],7,FALSE)</f>
        <v>28.586500000000001</v>
      </c>
      <c r="Z490" s="84">
        <f>+TbPrestamo[[#This Row],[TOTAL]]*TbPrestamo[[#This Row],[P.U. (3)]]</f>
        <v>57.173000000000002</v>
      </c>
    </row>
    <row r="491" spans="1:26" s="4" customFormat="1" x14ac:dyDescent="0.3">
      <c r="A491" s="2"/>
      <c r="B491" s="85">
        <v>469</v>
      </c>
      <c r="C491" s="71" t="s">
        <v>1490</v>
      </c>
      <c r="D491" s="72" t="s">
        <v>1511</v>
      </c>
      <c r="E491" s="73"/>
      <c r="F491" s="74">
        <f>+VLOOKUP(C491,TbPrestamo[],13,FALSE)</f>
        <v>0</v>
      </c>
      <c r="G491" s="2"/>
      <c r="H491" s="75" t="str">
        <f t="shared" si="14"/>
        <v>EV.5710</v>
      </c>
      <c r="I491" s="59" t="str">
        <f t="shared" si="15"/>
        <v>ok</v>
      </c>
      <c r="J491" s="77">
        <f>IFERROR(VLOOKUP($H491,TG[],3,FALSE),"NA")</f>
        <v>0</v>
      </c>
      <c r="K491" s="77" t="str">
        <f>IFERROR(VLOOKUP($H491,TF[],3,FALSE),"NA")</f>
        <v>NA</v>
      </c>
      <c r="L491" s="77" t="str">
        <f>IFERROR(VLOOKUP($H491,TT[],3,FALSE),"NA")</f>
        <v>NA</v>
      </c>
      <c r="M491" s="77" t="str">
        <f>IFERROR(VLOOKUP($H491,TES[],3,FALSE),"NA")</f>
        <v>NA</v>
      </c>
      <c r="N491" s="77" t="str">
        <f>IFERROR(VLOOKUP($H491,TEC[],3,FALSE),"NA")</f>
        <v>NA</v>
      </c>
      <c r="O491" s="77" t="str">
        <f>IFERROR(VLOOKUP($H491,TP[],3,FALSE),"NA")</f>
        <v>NA</v>
      </c>
      <c r="P491" s="77" t="str">
        <f>IFERROR(VLOOKUP($H491,TEN[],3,FALSE),"NA")</f>
        <v>NA</v>
      </c>
      <c r="Q491" s="77" t="str">
        <f>IFERROR(VLOOKUP($H491,TD[],3,FALSE),"NA")</f>
        <v>NA</v>
      </c>
      <c r="R491" s="77" t="str">
        <f>IFERROR(VLOOKUP($H491,TC[],3,FALSE),"NA")</f>
        <v>NA</v>
      </c>
      <c r="S491" s="77" t="str">
        <f>IFERROR(VLOOKUP($H491,TEV[],3,FALSE),"NA")</f>
        <v>NA</v>
      </c>
      <c r="T491" s="79">
        <f>SUM(TbPrestamo[[#This Row],[GENERAL]:[ELEVADOR]])</f>
        <v>0</v>
      </c>
      <c r="U491" s="80">
        <f>IF(VLOOKUP(TbPrestamo[[#This Row],[ITEM]],TbPiezas[],5,FALSE)="NA",0,VLOOKUP(TbPrestamo[[#This Row],[ITEM]],TbPiezas[],5,FALSE))</f>
        <v>0</v>
      </c>
      <c r="V491" s="81">
        <f>+TbPrestamo[[#This Row],[TOTAL]]*TbPrestamo[[#This Row],[P.U. (1)]]</f>
        <v>0</v>
      </c>
      <c r="W491" s="82">
        <f>+VLOOKUP(TbPrestamo[[#This Row],[ITEM]],TbPiezas[],6,FALSE)</f>
        <v>0</v>
      </c>
      <c r="X491" s="83">
        <f>+TbPrestamo[[#This Row],[TOTAL]]*TbPrestamo[[#This Row],[P.U. (2)]]</f>
        <v>0</v>
      </c>
      <c r="Y491" s="82">
        <f>+VLOOKUP(TbPrestamo[[#This Row],[ITEM]],TbPiezas[],7,FALSE)</f>
        <v>0</v>
      </c>
      <c r="Z491" s="84">
        <f>+TbPrestamo[[#This Row],[TOTAL]]*TbPrestamo[[#This Row],[P.U. (3)]]</f>
        <v>0</v>
      </c>
    </row>
    <row r="492" spans="1:26" s="4" customFormat="1" x14ac:dyDescent="0.3">
      <c r="A492" s="2"/>
      <c r="B492" s="85">
        <v>470</v>
      </c>
      <c r="C492" s="71" t="s">
        <v>851</v>
      </c>
      <c r="D492" s="72" t="s">
        <v>1491</v>
      </c>
      <c r="E492" s="73"/>
      <c r="F492" s="74">
        <f>+VLOOKUP(C492,TbPrestamo[],13,FALSE)</f>
        <v>0</v>
      </c>
      <c r="G492" s="2"/>
      <c r="H492" s="75" t="str">
        <f t="shared" si="14"/>
        <v>EV.5800</v>
      </c>
      <c r="I492" s="59" t="str">
        <f t="shared" si="15"/>
        <v>ok</v>
      </c>
      <c r="J492" s="77">
        <f>IFERROR(VLOOKUP($H492,TG[],3,FALSE),"NA")</f>
        <v>0</v>
      </c>
      <c r="K492" s="77" t="str">
        <f>IFERROR(VLOOKUP($H492,TF[],3,FALSE),"NA")</f>
        <v>NA</v>
      </c>
      <c r="L492" s="77" t="str">
        <f>IFERROR(VLOOKUP($H492,TT[],3,FALSE),"NA")</f>
        <v>NA</v>
      </c>
      <c r="M492" s="77" t="str">
        <f>IFERROR(VLOOKUP($H492,TES[],3,FALSE),"NA")</f>
        <v>NA</v>
      </c>
      <c r="N492" s="77" t="str">
        <f>IFERROR(VLOOKUP($H492,TEC[],3,FALSE),"NA")</f>
        <v>NA</v>
      </c>
      <c r="O492" s="77" t="str">
        <f>IFERROR(VLOOKUP($H492,TP[],3,FALSE),"NA")</f>
        <v>NA</v>
      </c>
      <c r="P492" s="77" t="str">
        <f>IFERROR(VLOOKUP($H492,TEN[],3,FALSE),"NA")</f>
        <v>NA</v>
      </c>
      <c r="Q492" s="77" t="str">
        <f>IFERROR(VLOOKUP($H492,TD[],3,FALSE),"NA")</f>
        <v>NA</v>
      </c>
      <c r="R492" s="77" t="str">
        <f>IFERROR(VLOOKUP($H492,TC[],3,FALSE),"NA")</f>
        <v>NA</v>
      </c>
      <c r="S492" s="77">
        <f>IFERROR(VLOOKUP($H492,TEV[],3,FALSE),"NA")</f>
        <v>0</v>
      </c>
      <c r="T492" s="79">
        <f>SUM(TbPrestamo[[#This Row],[GENERAL]:[ELEVADOR]])</f>
        <v>0</v>
      </c>
      <c r="U492" s="80">
        <f>IF(VLOOKUP(TbPrestamo[[#This Row],[ITEM]],TbPiezas[],5,FALSE)="NA",0,VLOOKUP(TbPrestamo[[#This Row],[ITEM]],TbPiezas[],5,FALSE))</f>
        <v>3.3</v>
      </c>
      <c r="V492" s="81">
        <f>+TbPrestamo[[#This Row],[TOTAL]]*TbPrestamo[[#This Row],[P.U. (1)]]</f>
        <v>0</v>
      </c>
      <c r="W492" s="82">
        <f>+VLOOKUP(TbPrestamo[[#This Row],[ITEM]],TbPiezas[],6,FALSE)</f>
        <v>228.69</v>
      </c>
      <c r="X492" s="83">
        <f>+TbPrestamo[[#This Row],[TOTAL]]*TbPrestamo[[#This Row],[P.U. (2)]]</f>
        <v>0</v>
      </c>
      <c r="Y492" s="82">
        <f>+VLOOKUP(TbPrestamo[[#This Row],[ITEM]],TbPiezas[],7,FALSE)</f>
        <v>11.4345</v>
      </c>
      <c r="Z492" s="84">
        <f>+TbPrestamo[[#This Row],[TOTAL]]*TbPrestamo[[#This Row],[P.U. (3)]]</f>
        <v>0</v>
      </c>
    </row>
    <row r="493" spans="1:26" s="4" customFormat="1" x14ac:dyDescent="0.3">
      <c r="A493" s="2"/>
      <c r="B493" s="85">
        <v>471</v>
      </c>
      <c r="C493" s="71" t="s">
        <v>852</v>
      </c>
      <c r="D493" s="72" t="s">
        <v>1492</v>
      </c>
      <c r="E493" s="73"/>
      <c r="F493" s="74">
        <f>+VLOOKUP(C493,TbPrestamo[],13,FALSE)</f>
        <v>1</v>
      </c>
      <c r="G493" s="2"/>
      <c r="H493" s="75" t="str">
        <f t="shared" si="14"/>
        <v>EV.5900</v>
      </c>
      <c r="I493" s="59" t="str">
        <f t="shared" si="15"/>
        <v>ok</v>
      </c>
      <c r="J493" s="77">
        <f>IFERROR(VLOOKUP($H493,TG[],3,FALSE),"NA")</f>
        <v>0</v>
      </c>
      <c r="K493" s="77" t="str">
        <f>IFERROR(VLOOKUP($H493,TF[],3,FALSE),"NA")</f>
        <v>NA</v>
      </c>
      <c r="L493" s="77" t="str">
        <f>IFERROR(VLOOKUP($H493,TT[],3,FALSE),"NA")</f>
        <v>NA</v>
      </c>
      <c r="M493" s="77" t="str">
        <f>IFERROR(VLOOKUP($H493,TES[],3,FALSE),"NA")</f>
        <v>NA</v>
      </c>
      <c r="N493" s="77" t="str">
        <f>IFERROR(VLOOKUP($H493,TEC[],3,FALSE),"NA")</f>
        <v>NA</v>
      </c>
      <c r="O493" s="77" t="str">
        <f>IFERROR(VLOOKUP($H493,TP[],3,FALSE),"NA")</f>
        <v>NA</v>
      </c>
      <c r="P493" s="77" t="str">
        <f>IFERROR(VLOOKUP($H493,TEN[],3,FALSE),"NA")</f>
        <v>NA</v>
      </c>
      <c r="Q493" s="77" t="str">
        <f>IFERROR(VLOOKUP($H493,TD[],3,FALSE),"NA")</f>
        <v>NA</v>
      </c>
      <c r="R493" s="77" t="str">
        <f>IFERROR(VLOOKUP($H493,TC[],3,FALSE),"NA")</f>
        <v>NA</v>
      </c>
      <c r="S493" s="77">
        <f>IFERROR(VLOOKUP($H493,TEV[],3,FALSE),"NA")</f>
        <v>1</v>
      </c>
      <c r="T493" s="79">
        <f>SUM(TbPrestamo[[#This Row],[GENERAL]:[ELEVADOR]])</f>
        <v>1</v>
      </c>
      <c r="U493" s="80">
        <f>IF(VLOOKUP(TbPrestamo[[#This Row],[ITEM]],TbPiezas[],5,FALSE)="NA",0,VLOOKUP(TbPrestamo[[#This Row],[ITEM]],TbPiezas[],5,FALSE))</f>
        <v>3.3</v>
      </c>
      <c r="V493" s="81">
        <f>+TbPrestamo[[#This Row],[TOTAL]]*TbPrestamo[[#This Row],[P.U. (1)]]</f>
        <v>3.3</v>
      </c>
      <c r="W493" s="82">
        <f>+VLOOKUP(TbPrestamo[[#This Row],[ITEM]],TbPiezas[],6,FALSE)</f>
        <v>228.69</v>
      </c>
      <c r="X493" s="83">
        <f>+TbPrestamo[[#This Row],[TOTAL]]*TbPrestamo[[#This Row],[P.U. (2)]]</f>
        <v>228.69</v>
      </c>
      <c r="Y493" s="82">
        <f>+VLOOKUP(TbPrestamo[[#This Row],[ITEM]],TbPiezas[],7,FALSE)</f>
        <v>11.4345</v>
      </c>
      <c r="Z493" s="84">
        <f>+TbPrestamo[[#This Row],[TOTAL]]*TbPrestamo[[#This Row],[P.U. (3)]]</f>
        <v>11.4345</v>
      </c>
    </row>
    <row r="494" spans="1:26" s="4" customFormat="1" x14ac:dyDescent="0.3">
      <c r="A494" s="2"/>
      <c r="B494" s="85">
        <v>472</v>
      </c>
      <c r="C494" s="71" t="s">
        <v>853</v>
      </c>
      <c r="D494" s="72" t="s">
        <v>854</v>
      </c>
      <c r="E494" s="73"/>
      <c r="F494" s="74">
        <f>+VLOOKUP(C494,TbPrestamo[],13,FALSE)</f>
        <v>0</v>
      </c>
      <c r="G494" s="2"/>
      <c r="H494" s="75" t="str">
        <f t="shared" si="14"/>
        <v>EV.6000</v>
      </c>
      <c r="I494" s="59" t="str">
        <f t="shared" si="15"/>
        <v>ok</v>
      </c>
      <c r="J494" s="77">
        <f>IFERROR(VLOOKUP($H494,TG[],3,FALSE),"NA")</f>
        <v>0</v>
      </c>
      <c r="K494" s="77" t="str">
        <f>IFERROR(VLOOKUP($H494,TF[],3,FALSE),"NA")</f>
        <v>NA</v>
      </c>
      <c r="L494" s="77" t="str">
        <f>IFERROR(VLOOKUP($H494,TT[],3,FALSE),"NA")</f>
        <v>NA</v>
      </c>
      <c r="M494" s="77" t="str">
        <f>IFERROR(VLOOKUP($H494,TES[],3,FALSE),"NA")</f>
        <v>NA</v>
      </c>
      <c r="N494" s="77" t="str">
        <f>IFERROR(VLOOKUP($H494,TEC[],3,FALSE),"NA")</f>
        <v>NA</v>
      </c>
      <c r="O494" s="77" t="str">
        <f>IFERROR(VLOOKUP($H494,TP[],3,FALSE),"NA")</f>
        <v>NA</v>
      </c>
      <c r="P494" s="77" t="str">
        <f>IFERROR(VLOOKUP($H494,TEN[],3,FALSE),"NA")</f>
        <v>NA</v>
      </c>
      <c r="Q494" s="77" t="str">
        <f>IFERROR(VLOOKUP($H494,TD[],3,FALSE),"NA")</f>
        <v>NA</v>
      </c>
      <c r="R494" s="77" t="str">
        <f>IFERROR(VLOOKUP($H494,TC[],3,FALSE),"NA")</f>
        <v>NA</v>
      </c>
      <c r="S494" s="77">
        <f>IFERROR(VLOOKUP($H494,TEV[],3,FALSE),"NA")</f>
        <v>0</v>
      </c>
      <c r="T494" s="79">
        <f>SUM(TbPrestamo[[#This Row],[GENERAL]:[ELEVADOR]])</f>
        <v>0</v>
      </c>
      <c r="U494" s="80">
        <f>IF(VLOOKUP(TbPrestamo[[#This Row],[ITEM]],TbPiezas[],5,FALSE)="NA",0,VLOOKUP(TbPrestamo[[#This Row],[ITEM]],TbPiezas[],5,FALSE))</f>
        <v>0.2</v>
      </c>
      <c r="V494" s="81">
        <f>+TbPrestamo[[#This Row],[TOTAL]]*TbPrestamo[[#This Row],[P.U. (1)]]</f>
        <v>0</v>
      </c>
      <c r="W494" s="82">
        <f>+VLOOKUP(TbPrestamo[[#This Row],[ITEM]],TbPiezas[],6,FALSE)</f>
        <v>228.69</v>
      </c>
      <c r="X494" s="83">
        <f>+TbPrestamo[[#This Row],[TOTAL]]*TbPrestamo[[#This Row],[P.U. (2)]]</f>
        <v>0</v>
      </c>
      <c r="Y494" s="82">
        <f>+VLOOKUP(TbPrestamo[[#This Row],[ITEM]],TbPiezas[],7,FALSE)</f>
        <v>11.4345</v>
      </c>
      <c r="Z494" s="84">
        <f>+TbPrestamo[[#This Row],[TOTAL]]*TbPrestamo[[#This Row],[P.U. (3)]]</f>
        <v>0</v>
      </c>
    </row>
    <row r="495" spans="1:26" s="4" customFormat="1" x14ac:dyDescent="0.3">
      <c r="A495" s="2"/>
      <c r="B495" s="85">
        <v>473</v>
      </c>
      <c r="C495" s="71" t="s">
        <v>855</v>
      </c>
      <c r="D495" s="72" t="s">
        <v>856</v>
      </c>
      <c r="E495" s="73"/>
      <c r="F495" s="74">
        <f>+VLOOKUP(C495,TbPrestamo[],13,FALSE)</f>
        <v>1</v>
      </c>
      <c r="G495" s="2"/>
      <c r="H495" s="75" t="str">
        <f t="shared" si="14"/>
        <v>EV.6100</v>
      </c>
      <c r="I495" s="59" t="str">
        <f t="shared" si="15"/>
        <v>ok</v>
      </c>
      <c r="J495" s="77">
        <f>IFERROR(VLOOKUP($H495,TG[],3,FALSE),"NA")</f>
        <v>0</v>
      </c>
      <c r="K495" s="77" t="str">
        <f>IFERROR(VLOOKUP($H495,TF[],3,FALSE),"NA")</f>
        <v>NA</v>
      </c>
      <c r="L495" s="77" t="str">
        <f>IFERROR(VLOOKUP($H495,TT[],3,FALSE),"NA")</f>
        <v>NA</v>
      </c>
      <c r="M495" s="77" t="str">
        <f>IFERROR(VLOOKUP($H495,TES[],3,FALSE),"NA")</f>
        <v>NA</v>
      </c>
      <c r="N495" s="77" t="str">
        <f>IFERROR(VLOOKUP($H495,TEC[],3,FALSE),"NA")</f>
        <v>NA</v>
      </c>
      <c r="O495" s="77" t="str">
        <f>IFERROR(VLOOKUP($H495,TP[],3,FALSE),"NA")</f>
        <v>NA</v>
      </c>
      <c r="P495" s="77" t="str">
        <f>IFERROR(VLOOKUP($H495,TEN[],3,FALSE),"NA")</f>
        <v>NA</v>
      </c>
      <c r="Q495" s="77" t="str">
        <f>IFERROR(VLOOKUP($H495,TD[],3,FALSE),"NA")</f>
        <v>NA</v>
      </c>
      <c r="R495" s="77" t="str">
        <f>IFERROR(VLOOKUP($H495,TC[],3,FALSE),"NA")</f>
        <v>NA</v>
      </c>
      <c r="S495" s="77">
        <f>IFERROR(VLOOKUP($H495,TEV[],3,FALSE),"NA")</f>
        <v>1</v>
      </c>
      <c r="T495" s="79">
        <f>SUM(TbPrestamo[[#This Row],[GENERAL]:[ELEVADOR]])</f>
        <v>1</v>
      </c>
      <c r="U495" s="80">
        <f>IF(VLOOKUP(TbPrestamo[[#This Row],[ITEM]],TbPiezas[],5,FALSE)="NA",0,VLOOKUP(TbPrestamo[[#This Row],[ITEM]],TbPiezas[],5,FALSE))</f>
        <v>3</v>
      </c>
      <c r="V495" s="81">
        <f>+TbPrestamo[[#This Row],[TOTAL]]*TbPrestamo[[#This Row],[P.U. (1)]]</f>
        <v>3</v>
      </c>
      <c r="W495" s="82">
        <f>+VLOOKUP(TbPrestamo[[#This Row],[ITEM]],TbPiezas[],6,FALSE)</f>
        <v>228.69</v>
      </c>
      <c r="X495" s="83">
        <f>+TbPrestamo[[#This Row],[TOTAL]]*TbPrestamo[[#This Row],[P.U. (2)]]</f>
        <v>228.69</v>
      </c>
      <c r="Y495" s="82">
        <f>+VLOOKUP(TbPrestamo[[#This Row],[ITEM]],TbPiezas[],7,FALSE)</f>
        <v>11.4345</v>
      </c>
      <c r="Z495" s="84">
        <f>+TbPrestamo[[#This Row],[TOTAL]]*TbPrestamo[[#This Row],[P.U. (3)]]</f>
        <v>11.4345</v>
      </c>
    </row>
    <row r="496" spans="1:26" s="4" customFormat="1" x14ac:dyDescent="0.3">
      <c r="A496" s="2"/>
      <c r="B496" s="85">
        <v>474</v>
      </c>
      <c r="C496" s="71" t="s">
        <v>857</v>
      </c>
      <c r="D496" s="72" t="s">
        <v>858</v>
      </c>
      <c r="E496" s="73"/>
      <c r="F496" s="74">
        <f>+VLOOKUP(C496,TbPrestamo[],13,FALSE)</f>
        <v>2</v>
      </c>
      <c r="G496" s="2"/>
      <c r="H496" s="75" t="str">
        <f t="shared" si="14"/>
        <v>EV.6200</v>
      </c>
      <c r="I496" s="59" t="str">
        <f t="shared" si="15"/>
        <v>ok</v>
      </c>
      <c r="J496" s="77">
        <f>IFERROR(VLOOKUP($H496,TG[],3,FALSE),"NA")</f>
        <v>0</v>
      </c>
      <c r="K496" s="77" t="str">
        <f>IFERROR(VLOOKUP($H496,TF[],3,FALSE),"NA")</f>
        <v>NA</v>
      </c>
      <c r="L496" s="77" t="str">
        <f>IFERROR(VLOOKUP($H496,TT[],3,FALSE),"NA")</f>
        <v>NA</v>
      </c>
      <c r="M496" s="77" t="str">
        <f>IFERROR(VLOOKUP($H496,TES[],3,FALSE),"NA")</f>
        <v>NA</v>
      </c>
      <c r="N496" s="77" t="str">
        <f>IFERROR(VLOOKUP($H496,TEC[],3,FALSE),"NA")</f>
        <v>NA</v>
      </c>
      <c r="O496" s="77" t="str">
        <f>IFERROR(VLOOKUP($H496,TP[],3,FALSE),"NA")</f>
        <v>NA</v>
      </c>
      <c r="P496" s="77" t="str">
        <f>IFERROR(VLOOKUP($H496,TEN[],3,FALSE),"NA")</f>
        <v>NA</v>
      </c>
      <c r="Q496" s="77" t="str">
        <f>IFERROR(VLOOKUP($H496,TD[],3,FALSE),"NA")</f>
        <v>NA</v>
      </c>
      <c r="R496" s="77" t="str">
        <f>IFERROR(VLOOKUP($H496,TC[],3,FALSE),"NA")</f>
        <v>NA</v>
      </c>
      <c r="S496" s="77">
        <f>IFERROR(VLOOKUP($H496,TEV[],3,FALSE),"NA")</f>
        <v>2</v>
      </c>
      <c r="T496" s="79">
        <f>SUM(TbPrestamo[[#This Row],[GENERAL]:[ELEVADOR]])</f>
        <v>2</v>
      </c>
      <c r="U496" s="80">
        <f>IF(VLOOKUP(TbPrestamo[[#This Row],[ITEM]],TbPiezas[],5,FALSE)="NA",0,VLOOKUP(TbPrestamo[[#This Row],[ITEM]],TbPiezas[],5,FALSE))</f>
        <v>3</v>
      </c>
      <c r="V496" s="81">
        <f>+TbPrestamo[[#This Row],[TOTAL]]*TbPrestamo[[#This Row],[P.U. (1)]]</f>
        <v>6</v>
      </c>
      <c r="W496" s="82">
        <f>+VLOOKUP(TbPrestamo[[#This Row],[ITEM]],TbPiezas[],6,FALSE)</f>
        <v>228.69</v>
      </c>
      <c r="X496" s="83">
        <f>+TbPrestamo[[#This Row],[TOTAL]]*TbPrestamo[[#This Row],[P.U. (2)]]</f>
        <v>457.38</v>
      </c>
      <c r="Y496" s="82">
        <f>+VLOOKUP(TbPrestamo[[#This Row],[ITEM]],TbPiezas[],7,FALSE)</f>
        <v>11.4345</v>
      </c>
      <c r="Z496" s="84">
        <f>+TbPrestamo[[#This Row],[TOTAL]]*TbPrestamo[[#This Row],[P.U. (3)]]</f>
        <v>22.869</v>
      </c>
    </row>
    <row r="497" spans="1:26" s="4" customFormat="1" x14ac:dyDescent="0.3">
      <c r="A497" s="2"/>
      <c r="B497" s="85">
        <v>475</v>
      </c>
      <c r="C497" s="71" t="s">
        <v>859</v>
      </c>
      <c r="D497" s="72" t="s">
        <v>860</v>
      </c>
      <c r="E497" s="73"/>
      <c r="F497" s="74">
        <f>+VLOOKUP(C497,TbPrestamo[],13,FALSE)</f>
        <v>18</v>
      </c>
      <c r="G497" s="2"/>
      <c r="H497" s="75" t="str">
        <f t="shared" si="14"/>
        <v>EV.6300</v>
      </c>
      <c r="I497" s="59" t="str">
        <f t="shared" si="15"/>
        <v>ok</v>
      </c>
      <c r="J497" s="77">
        <f>IFERROR(VLOOKUP($H497,TG[],3,FALSE),"NA")</f>
        <v>0</v>
      </c>
      <c r="K497" s="77" t="str">
        <f>IFERROR(VLOOKUP($H497,TF[],3,FALSE),"NA")</f>
        <v>NA</v>
      </c>
      <c r="L497" s="77" t="str">
        <f>IFERROR(VLOOKUP($H497,TT[],3,FALSE),"NA")</f>
        <v>NA</v>
      </c>
      <c r="M497" s="77" t="str">
        <f>IFERROR(VLOOKUP($H497,TES[],3,FALSE),"NA")</f>
        <v>NA</v>
      </c>
      <c r="N497" s="77" t="str">
        <f>IFERROR(VLOOKUP($H497,TEC[],3,FALSE),"NA")</f>
        <v>NA</v>
      </c>
      <c r="O497" s="77" t="str">
        <f>IFERROR(VLOOKUP($H497,TP[],3,FALSE),"NA")</f>
        <v>NA</v>
      </c>
      <c r="P497" s="77" t="str">
        <f>IFERROR(VLOOKUP($H497,TEN[],3,FALSE),"NA")</f>
        <v>NA</v>
      </c>
      <c r="Q497" s="77" t="str">
        <f>IFERROR(VLOOKUP($H497,TD[],3,FALSE),"NA")</f>
        <v>NA</v>
      </c>
      <c r="R497" s="77" t="str">
        <f>IFERROR(VLOOKUP($H497,TC[],3,FALSE),"NA")</f>
        <v>NA</v>
      </c>
      <c r="S497" s="77">
        <f>IFERROR(VLOOKUP($H497,TEV[],3,FALSE),"NA")</f>
        <v>18</v>
      </c>
      <c r="T497" s="79">
        <f>SUM(TbPrestamo[[#This Row],[GENERAL]:[ELEVADOR]])</f>
        <v>18</v>
      </c>
      <c r="U497" s="80">
        <f>IF(VLOOKUP(TbPrestamo[[#This Row],[ITEM]],TbPiezas[],5,FALSE)="NA",0,VLOOKUP(TbPrestamo[[#This Row],[ITEM]],TbPiezas[],5,FALSE))</f>
        <v>4.5999999999999996</v>
      </c>
      <c r="V497" s="81">
        <f>+TbPrestamo[[#This Row],[TOTAL]]*TbPrestamo[[#This Row],[P.U. (1)]]</f>
        <v>82.8</v>
      </c>
      <c r="W497" s="82">
        <f>+VLOOKUP(TbPrestamo[[#This Row],[ITEM]],TbPiezas[],6,FALSE)</f>
        <v>571.73</v>
      </c>
      <c r="X497" s="83">
        <f>+TbPrestamo[[#This Row],[TOTAL]]*TbPrestamo[[#This Row],[P.U. (2)]]</f>
        <v>10291.14</v>
      </c>
      <c r="Y497" s="82">
        <f>+VLOOKUP(TbPrestamo[[#This Row],[ITEM]],TbPiezas[],7,FALSE)</f>
        <v>28.586500000000001</v>
      </c>
      <c r="Z497" s="84">
        <f>+TbPrestamo[[#This Row],[TOTAL]]*TbPrestamo[[#This Row],[P.U. (3)]]</f>
        <v>514.55700000000002</v>
      </c>
    </row>
    <row r="498" spans="1:26" s="4" customFormat="1" x14ac:dyDescent="0.3">
      <c r="A498" s="2"/>
      <c r="B498" s="85">
        <v>476</v>
      </c>
      <c r="C498" s="71" t="s">
        <v>861</v>
      </c>
      <c r="D498" s="72" t="s">
        <v>862</v>
      </c>
      <c r="E498" s="73"/>
      <c r="F498" s="74">
        <f>+VLOOKUP(C498,TbPrestamo[],13,FALSE)</f>
        <v>2</v>
      </c>
      <c r="G498" s="2"/>
      <c r="H498" s="75" t="str">
        <f t="shared" si="14"/>
        <v>EV.6400</v>
      </c>
      <c r="I498" s="59" t="str">
        <f t="shared" si="15"/>
        <v>ok</v>
      </c>
      <c r="J498" s="77">
        <f>IFERROR(VLOOKUP($H498,TG[],3,FALSE),"NA")</f>
        <v>0</v>
      </c>
      <c r="K498" s="77" t="str">
        <f>IFERROR(VLOOKUP($H498,TF[],3,FALSE),"NA")</f>
        <v>NA</v>
      </c>
      <c r="L498" s="77" t="str">
        <f>IFERROR(VLOOKUP($H498,TT[],3,FALSE),"NA")</f>
        <v>NA</v>
      </c>
      <c r="M498" s="77" t="str">
        <f>IFERROR(VLOOKUP($H498,TES[],3,FALSE),"NA")</f>
        <v>NA</v>
      </c>
      <c r="N498" s="77" t="str">
        <f>IFERROR(VLOOKUP($H498,TEC[],3,FALSE),"NA")</f>
        <v>NA</v>
      </c>
      <c r="O498" s="77" t="str">
        <f>IFERROR(VLOOKUP($H498,TP[],3,FALSE),"NA")</f>
        <v>NA</v>
      </c>
      <c r="P498" s="77" t="str">
        <f>IFERROR(VLOOKUP($H498,TEN[],3,FALSE),"NA")</f>
        <v>NA</v>
      </c>
      <c r="Q498" s="77" t="str">
        <f>IFERROR(VLOOKUP($H498,TD[],3,FALSE),"NA")</f>
        <v>NA</v>
      </c>
      <c r="R498" s="77" t="str">
        <f>IFERROR(VLOOKUP($H498,TC[],3,FALSE),"NA")</f>
        <v>NA</v>
      </c>
      <c r="S498" s="77">
        <f>IFERROR(VLOOKUP($H498,TEV[],3,FALSE),"NA")</f>
        <v>2</v>
      </c>
      <c r="T498" s="79">
        <f>SUM(TbPrestamo[[#This Row],[GENERAL]:[ELEVADOR]])</f>
        <v>2</v>
      </c>
      <c r="U498" s="80">
        <f>IF(VLOOKUP(TbPrestamo[[#This Row],[ITEM]],TbPiezas[],5,FALSE)="NA",0,VLOOKUP(TbPrestamo[[#This Row],[ITEM]],TbPiezas[],5,FALSE))</f>
        <v>1.2</v>
      </c>
      <c r="V498" s="81">
        <f>+TbPrestamo[[#This Row],[TOTAL]]*TbPrestamo[[#This Row],[P.U. (1)]]</f>
        <v>2.4</v>
      </c>
      <c r="W498" s="82">
        <f>+VLOOKUP(TbPrestamo[[#This Row],[ITEM]],TbPiezas[],6,FALSE)</f>
        <v>228.69</v>
      </c>
      <c r="X498" s="83">
        <f>+TbPrestamo[[#This Row],[TOTAL]]*TbPrestamo[[#This Row],[P.U. (2)]]</f>
        <v>457.38</v>
      </c>
      <c r="Y498" s="82">
        <f>+VLOOKUP(TbPrestamo[[#This Row],[ITEM]],TbPiezas[],7,FALSE)</f>
        <v>11.4345</v>
      </c>
      <c r="Z498" s="84">
        <f>+TbPrestamo[[#This Row],[TOTAL]]*TbPrestamo[[#This Row],[P.U. (3)]]</f>
        <v>22.869</v>
      </c>
    </row>
    <row r="499" spans="1:26" s="4" customFormat="1" x14ac:dyDescent="0.3">
      <c r="A499" s="2"/>
      <c r="B499" s="85">
        <v>477</v>
      </c>
      <c r="C499" s="71" t="s">
        <v>863</v>
      </c>
      <c r="D499" s="72" t="s">
        <v>864</v>
      </c>
      <c r="E499" s="73"/>
      <c r="F499" s="74">
        <f>+VLOOKUP(C499,TbPrestamo[],13,FALSE)</f>
        <v>1</v>
      </c>
      <c r="G499" s="2"/>
      <c r="H499" s="75" t="str">
        <f t="shared" si="14"/>
        <v>EV.6500</v>
      </c>
      <c r="I499" s="59" t="str">
        <f t="shared" si="15"/>
        <v>ok</v>
      </c>
      <c r="J499" s="77">
        <f>IFERROR(VLOOKUP($H499,TG[],3,FALSE),"NA")</f>
        <v>0</v>
      </c>
      <c r="K499" s="77" t="str">
        <f>IFERROR(VLOOKUP($H499,TF[],3,FALSE),"NA")</f>
        <v>NA</v>
      </c>
      <c r="L499" s="77" t="str">
        <f>IFERROR(VLOOKUP($H499,TT[],3,FALSE),"NA")</f>
        <v>NA</v>
      </c>
      <c r="M499" s="77" t="str">
        <f>IFERROR(VLOOKUP($H499,TES[],3,FALSE),"NA")</f>
        <v>NA</v>
      </c>
      <c r="N499" s="77" t="str">
        <f>IFERROR(VLOOKUP($H499,TEC[],3,FALSE),"NA")</f>
        <v>NA</v>
      </c>
      <c r="O499" s="77" t="str">
        <f>IFERROR(VLOOKUP($H499,TP[],3,FALSE),"NA")</f>
        <v>NA</v>
      </c>
      <c r="P499" s="77" t="str">
        <f>IFERROR(VLOOKUP($H499,TEN[],3,FALSE),"NA")</f>
        <v>NA</v>
      </c>
      <c r="Q499" s="77" t="str">
        <f>IFERROR(VLOOKUP($H499,TD[],3,FALSE),"NA")</f>
        <v>NA</v>
      </c>
      <c r="R499" s="77" t="str">
        <f>IFERROR(VLOOKUP($H499,TC[],3,FALSE),"NA")</f>
        <v>NA</v>
      </c>
      <c r="S499" s="77">
        <f>IFERROR(VLOOKUP($H499,TEV[],3,FALSE),"NA")</f>
        <v>1</v>
      </c>
      <c r="T499" s="79">
        <f>SUM(TbPrestamo[[#This Row],[GENERAL]:[ELEVADOR]])</f>
        <v>1</v>
      </c>
      <c r="U499" s="80">
        <f>IF(VLOOKUP(TbPrestamo[[#This Row],[ITEM]],TbPiezas[],5,FALSE)="NA",0,VLOOKUP(TbPrestamo[[#This Row],[ITEM]],TbPiezas[],5,FALSE))</f>
        <v>39</v>
      </c>
      <c r="V499" s="81">
        <f>+TbPrestamo[[#This Row],[TOTAL]]*TbPrestamo[[#This Row],[P.U. (1)]]</f>
        <v>39</v>
      </c>
      <c r="W499" s="82">
        <f>+VLOOKUP(TbPrestamo[[#This Row],[ITEM]],TbPiezas[],6,FALSE)</f>
        <v>2032.8</v>
      </c>
      <c r="X499" s="83">
        <f>+TbPrestamo[[#This Row],[TOTAL]]*TbPrestamo[[#This Row],[P.U. (2)]]</f>
        <v>2032.8</v>
      </c>
      <c r="Y499" s="82">
        <f>+VLOOKUP(TbPrestamo[[#This Row],[ITEM]],TbPiezas[],7,FALSE)</f>
        <v>101.64</v>
      </c>
      <c r="Z499" s="84">
        <f>+TbPrestamo[[#This Row],[TOTAL]]*TbPrestamo[[#This Row],[P.U. (3)]]</f>
        <v>101.64</v>
      </c>
    </row>
    <row r="500" spans="1:26" s="4" customFormat="1" x14ac:dyDescent="0.3">
      <c r="A500" s="2"/>
      <c r="B500" s="85">
        <v>478</v>
      </c>
      <c r="C500" s="71" t="s">
        <v>865</v>
      </c>
      <c r="D500" s="72" t="s">
        <v>866</v>
      </c>
      <c r="E500" s="73"/>
      <c r="F500" s="74">
        <f>+VLOOKUP(C500,TbPrestamo[],13,FALSE)</f>
        <v>1</v>
      </c>
      <c r="G500" s="2"/>
      <c r="H500" s="75" t="str">
        <f t="shared" si="14"/>
        <v>EV.6600</v>
      </c>
      <c r="I500" s="59" t="str">
        <f t="shared" si="15"/>
        <v>ok</v>
      </c>
      <c r="J500" s="77">
        <f>IFERROR(VLOOKUP($H500,TG[],3,FALSE),"NA")</f>
        <v>0</v>
      </c>
      <c r="K500" s="77" t="str">
        <f>IFERROR(VLOOKUP($H500,TF[],3,FALSE),"NA")</f>
        <v>NA</v>
      </c>
      <c r="L500" s="77" t="str">
        <f>IFERROR(VLOOKUP($H500,TT[],3,FALSE),"NA")</f>
        <v>NA</v>
      </c>
      <c r="M500" s="77" t="str">
        <f>IFERROR(VLOOKUP($H500,TES[],3,FALSE),"NA")</f>
        <v>NA</v>
      </c>
      <c r="N500" s="77" t="str">
        <f>IFERROR(VLOOKUP($H500,TEC[],3,FALSE),"NA")</f>
        <v>NA</v>
      </c>
      <c r="O500" s="77" t="str">
        <f>IFERROR(VLOOKUP($H500,TP[],3,FALSE),"NA")</f>
        <v>NA</v>
      </c>
      <c r="P500" s="77" t="str">
        <f>IFERROR(VLOOKUP($H500,TEN[],3,FALSE),"NA")</f>
        <v>NA</v>
      </c>
      <c r="Q500" s="77" t="str">
        <f>IFERROR(VLOOKUP($H500,TD[],3,FALSE),"NA")</f>
        <v>NA</v>
      </c>
      <c r="R500" s="77" t="str">
        <f>IFERROR(VLOOKUP($H500,TC[],3,FALSE),"NA")</f>
        <v>NA</v>
      </c>
      <c r="S500" s="77">
        <f>IFERROR(VLOOKUP($H500,TEV[],3,FALSE),"NA")</f>
        <v>1</v>
      </c>
      <c r="T500" s="79">
        <f>SUM(TbPrestamo[[#This Row],[GENERAL]:[ELEVADOR]])</f>
        <v>1</v>
      </c>
      <c r="U500" s="80">
        <f>IF(VLOOKUP(TbPrestamo[[#This Row],[ITEM]],TbPiezas[],5,FALSE)="NA",0,VLOOKUP(TbPrestamo[[#This Row],[ITEM]],TbPiezas[],5,FALSE))</f>
        <v>104</v>
      </c>
      <c r="V500" s="81">
        <f>+TbPrestamo[[#This Row],[TOTAL]]*TbPrestamo[[#This Row],[P.U. (1)]]</f>
        <v>104</v>
      </c>
      <c r="W500" s="82">
        <f>+VLOOKUP(TbPrestamo[[#This Row],[ITEM]],TbPiezas[],6,FALSE)</f>
        <v>4446.75</v>
      </c>
      <c r="X500" s="83">
        <f>+TbPrestamo[[#This Row],[TOTAL]]*TbPrestamo[[#This Row],[P.U. (2)]]</f>
        <v>4446.75</v>
      </c>
      <c r="Y500" s="82">
        <f>+VLOOKUP(TbPrestamo[[#This Row],[ITEM]],TbPiezas[],7,FALSE)</f>
        <v>222.33750000000001</v>
      </c>
      <c r="Z500" s="84">
        <f>+TbPrestamo[[#This Row],[TOTAL]]*TbPrestamo[[#This Row],[P.U. (3)]]</f>
        <v>222.33750000000001</v>
      </c>
    </row>
    <row r="501" spans="1:26" s="4" customFormat="1" x14ac:dyDescent="0.3">
      <c r="A501" s="2"/>
      <c r="B501" s="85">
        <v>479</v>
      </c>
      <c r="C501" s="71" t="s">
        <v>867</v>
      </c>
      <c r="D501" s="72" t="s">
        <v>868</v>
      </c>
      <c r="E501" s="73"/>
      <c r="F501" s="74">
        <f>+VLOOKUP(C501,TbPrestamo[],13,FALSE)</f>
        <v>50</v>
      </c>
      <c r="G501" s="2"/>
      <c r="H501" s="75" t="str">
        <f t="shared" si="14"/>
        <v>EV.6700</v>
      </c>
      <c r="I501" s="59" t="str">
        <f t="shared" si="15"/>
        <v>ok</v>
      </c>
      <c r="J501" s="77">
        <f>IFERROR(VLOOKUP($H501,TG[],3,FALSE),"NA")</f>
        <v>0</v>
      </c>
      <c r="K501" s="77" t="str">
        <f>IFERROR(VLOOKUP($H501,TF[],3,FALSE),"NA")</f>
        <v>NA</v>
      </c>
      <c r="L501" s="77" t="str">
        <f>IFERROR(VLOOKUP($H501,TT[],3,FALSE),"NA")</f>
        <v>NA</v>
      </c>
      <c r="M501" s="77" t="str">
        <f>IFERROR(VLOOKUP($H501,TES[],3,FALSE),"NA")</f>
        <v>NA</v>
      </c>
      <c r="N501" s="77" t="str">
        <f>IFERROR(VLOOKUP($H501,TEC[],3,FALSE),"NA")</f>
        <v>NA</v>
      </c>
      <c r="O501" s="77" t="str">
        <f>IFERROR(VLOOKUP($H501,TP[],3,FALSE),"NA")</f>
        <v>NA</v>
      </c>
      <c r="P501" s="77" t="str">
        <f>IFERROR(VLOOKUP($H501,TEN[],3,FALSE),"NA")</f>
        <v>NA</v>
      </c>
      <c r="Q501" s="77" t="str">
        <f>IFERROR(VLOOKUP($H501,TD[],3,FALSE),"NA")</f>
        <v>NA</v>
      </c>
      <c r="R501" s="77" t="str">
        <f>IFERROR(VLOOKUP($H501,TC[],3,FALSE),"NA")</f>
        <v>NA</v>
      </c>
      <c r="S501" s="77">
        <f>IFERROR(VLOOKUP($H501,TEV[],3,FALSE),"NA")</f>
        <v>50</v>
      </c>
      <c r="T501" s="79">
        <f>SUM(TbPrestamo[[#This Row],[GENERAL]:[ELEVADOR]])</f>
        <v>50</v>
      </c>
      <c r="U501" s="80">
        <f>IF(VLOOKUP(TbPrestamo[[#This Row],[ITEM]],TbPiezas[],5,FALSE)="NA",0,VLOOKUP(TbPrestamo[[#This Row],[ITEM]],TbPiezas[],5,FALSE))</f>
        <v>154</v>
      </c>
      <c r="V501" s="81">
        <f>+TbPrestamo[[#This Row],[TOTAL]]*TbPrestamo[[#This Row],[P.U. (1)]]</f>
        <v>7700</v>
      </c>
      <c r="W501" s="82">
        <f>+VLOOKUP(TbPrestamo[[#This Row],[ITEM]],TbPiezas[],6,FALSE)</f>
        <v>4954.95</v>
      </c>
      <c r="X501" s="83">
        <f>+TbPrestamo[[#This Row],[TOTAL]]*TbPrestamo[[#This Row],[P.U. (2)]]</f>
        <v>247747.5</v>
      </c>
      <c r="Y501" s="82">
        <f>+VLOOKUP(TbPrestamo[[#This Row],[ITEM]],TbPiezas[],7,FALSE)</f>
        <v>247.7475</v>
      </c>
      <c r="Z501" s="84">
        <f>+TbPrestamo[[#This Row],[TOTAL]]*TbPrestamo[[#This Row],[P.U. (3)]]</f>
        <v>12387.375</v>
      </c>
    </row>
    <row r="502" spans="1:26" s="4" customFormat="1" x14ac:dyDescent="0.3">
      <c r="A502" s="2"/>
      <c r="B502" s="85">
        <v>480</v>
      </c>
      <c r="C502" s="71" t="s">
        <v>869</v>
      </c>
      <c r="D502" s="72" t="s">
        <v>870</v>
      </c>
      <c r="E502" s="73"/>
      <c r="F502" s="74">
        <f>+VLOOKUP(C502,TbPrestamo[],13,FALSE)</f>
        <v>1</v>
      </c>
      <c r="G502" s="2"/>
      <c r="H502" s="75" t="str">
        <f t="shared" si="14"/>
        <v>EV.6800</v>
      </c>
      <c r="I502" s="59" t="str">
        <f t="shared" si="15"/>
        <v>ok</v>
      </c>
      <c r="J502" s="77">
        <f>IFERROR(VLOOKUP($H502,TG[],3,FALSE),"NA")</f>
        <v>0</v>
      </c>
      <c r="K502" s="77" t="str">
        <f>IFERROR(VLOOKUP($H502,TF[],3,FALSE),"NA")</f>
        <v>NA</v>
      </c>
      <c r="L502" s="77" t="str">
        <f>IFERROR(VLOOKUP($H502,TT[],3,FALSE),"NA")</f>
        <v>NA</v>
      </c>
      <c r="M502" s="77" t="str">
        <f>IFERROR(VLOOKUP($H502,TES[],3,FALSE),"NA")</f>
        <v>NA</v>
      </c>
      <c r="N502" s="77" t="str">
        <f>IFERROR(VLOOKUP($H502,TEC[],3,FALSE),"NA")</f>
        <v>NA</v>
      </c>
      <c r="O502" s="77" t="str">
        <f>IFERROR(VLOOKUP($H502,TP[],3,FALSE),"NA")</f>
        <v>NA</v>
      </c>
      <c r="P502" s="77" t="str">
        <f>IFERROR(VLOOKUP($H502,TEN[],3,FALSE),"NA")</f>
        <v>NA</v>
      </c>
      <c r="Q502" s="77" t="str">
        <f>IFERROR(VLOOKUP($H502,TD[],3,FALSE),"NA")</f>
        <v>NA</v>
      </c>
      <c r="R502" s="77" t="str">
        <f>IFERROR(VLOOKUP($H502,TC[],3,FALSE),"NA")</f>
        <v>NA</v>
      </c>
      <c r="S502" s="77">
        <f>IFERROR(VLOOKUP($H502,TEV[],3,FALSE),"NA")</f>
        <v>1</v>
      </c>
      <c r="T502" s="79">
        <f>SUM(TbPrestamo[[#This Row],[GENERAL]:[ELEVADOR]])</f>
        <v>1</v>
      </c>
      <c r="U502" s="80">
        <f>IF(VLOOKUP(TbPrestamo[[#This Row],[ITEM]],TbPiezas[],5,FALSE)="NA",0,VLOOKUP(TbPrestamo[[#This Row],[ITEM]],TbPiezas[],5,FALSE))</f>
        <v>104</v>
      </c>
      <c r="V502" s="81">
        <f>+TbPrestamo[[#This Row],[TOTAL]]*TbPrestamo[[#This Row],[P.U. (1)]]</f>
        <v>104</v>
      </c>
      <c r="W502" s="82">
        <f>+VLOOKUP(TbPrestamo[[#This Row],[ITEM]],TbPiezas[],6,FALSE)</f>
        <v>4446.75</v>
      </c>
      <c r="X502" s="83">
        <f>+TbPrestamo[[#This Row],[TOTAL]]*TbPrestamo[[#This Row],[P.U. (2)]]</f>
        <v>4446.75</v>
      </c>
      <c r="Y502" s="82">
        <f>+VLOOKUP(TbPrestamo[[#This Row],[ITEM]],TbPiezas[],7,FALSE)</f>
        <v>222.33750000000001</v>
      </c>
      <c r="Z502" s="84">
        <f>+TbPrestamo[[#This Row],[TOTAL]]*TbPrestamo[[#This Row],[P.U. (3)]]</f>
        <v>222.33750000000001</v>
      </c>
    </row>
    <row r="503" spans="1:26" s="4" customFormat="1" x14ac:dyDescent="0.3">
      <c r="A503" s="2"/>
      <c r="B503" s="85">
        <v>481</v>
      </c>
      <c r="C503" s="71" t="s">
        <v>871</v>
      </c>
      <c r="D503" s="72" t="s">
        <v>872</v>
      </c>
      <c r="E503" s="73"/>
      <c r="F503" s="74">
        <f>+VLOOKUP(C503,TbPrestamo[],13,FALSE)</f>
        <v>0</v>
      </c>
      <c r="G503" s="2"/>
      <c r="H503" s="75" t="str">
        <f t="shared" si="14"/>
        <v>EV.6850</v>
      </c>
      <c r="I503" s="59" t="str">
        <f t="shared" si="15"/>
        <v>ok</v>
      </c>
      <c r="J503" s="77">
        <f>IFERROR(VLOOKUP($H503,TG[],3,FALSE),"NA")</f>
        <v>0</v>
      </c>
      <c r="K503" s="77" t="str">
        <f>IFERROR(VLOOKUP($H503,TF[],3,FALSE),"NA")</f>
        <v>NA</v>
      </c>
      <c r="L503" s="77" t="str">
        <f>IFERROR(VLOOKUP($H503,TT[],3,FALSE),"NA")</f>
        <v>NA</v>
      </c>
      <c r="M503" s="77" t="str">
        <f>IFERROR(VLOOKUP($H503,TES[],3,FALSE),"NA")</f>
        <v>NA</v>
      </c>
      <c r="N503" s="77" t="str">
        <f>IFERROR(VLOOKUP($H503,TEC[],3,FALSE),"NA")</f>
        <v>NA</v>
      </c>
      <c r="O503" s="77" t="str">
        <f>IFERROR(VLOOKUP($H503,TP[],3,FALSE),"NA")</f>
        <v>NA</v>
      </c>
      <c r="P503" s="77" t="str">
        <f>IFERROR(VLOOKUP($H503,TEN[],3,FALSE),"NA")</f>
        <v>NA</v>
      </c>
      <c r="Q503" s="77" t="str">
        <f>IFERROR(VLOOKUP($H503,TD[],3,FALSE),"NA")</f>
        <v>NA</v>
      </c>
      <c r="R503" s="77" t="str">
        <f>IFERROR(VLOOKUP($H503,TC[],3,FALSE),"NA")</f>
        <v>NA</v>
      </c>
      <c r="S503" s="77">
        <f>IFERROR(VLOOKUP($H503,TEV[],3,FALSE),"NA")</f>
        <v>0</v>
      </c>
      <c r="T503" s="79">
        <f>SUM(TbPrestamo[[#This Row],[GENERAL]:[ELEVADOR]])</f>
        <v>0</v>
      </c>
      <c r="U503" s="80">
        <f>IF(VLOOKUP(TbPrestamo[[#This Row],[ITEM]],TbPiezas[],5,FALSE)="NA",0,VLOOKUP(TbPrestamo[[#This Row],[ITEM]],TbPiezas[],5,FALSE))</f>
        <v>31.8</v>
      </c>
      <c r="V503" s="81">
        <f>+TbPrestamo[[#This Row],[TOTAL]]*TbPrestamo[[#This Row],[P.U. (1)]]</f>
        <v>0</v>
      </c>
      <c r="W503" s="82">
        <f>+VLOOKUP(TbPrestamo[[#This Row],[ITEM]],TbPiezas[],6,FALSE)</f>
        <v>1626.24</v>
      </c>
      <c r="X503" s="83">
        <f>+TbPrestamo[[#This Row],[TOTAL]]*TbPrestamo[[#This Row],[P.U. (2)]]</f>
        <v>0</v>
      </c>
      <c r="Y503" s="82">
        <f>+VLOOKUP(TbPrestamo[[#This Row],[ITEM]],TbPiezas[],7,FALSE)</f>
        <v>81.312000000000012</v>
      </c>
      <c r="Z503" s="84">
        <f>+TbPrestamo[[#This Row],[TOTAL]]*TbPrestamo[[#This Row],[P.U. (3)]]</f>
        <v>0</v>
      </c>
    </row>
    <row r="504" spans="1:26" s="4" customFormat="1" x14ac:dyDescent="0.3">
      <c r="A504" s="2"/>
      <c r="B504" s="85">
        <v>482</v>
      </c>
      <c r="C504" s="71" t="s">
        <v>873</v>
      </c>
      <c r="D504" s="72" t="s">
        <v>874</v>
      </c>
      <c r="E504" s="73"/>
      <c r="F504" s="74">
        <f>+VLOOKUP(C504,TbPrestamo[],13,FALSE)</f>
        <v>9</v>
      </c>
      <c r="G504" s="2"/>
      <c r="H504" s="75" t="str">
        <f t="shared" si="14"/>
        <v>EV.6900</v>
      </c>
      <c r="I504" s="59" t="str">
        <f t="shared" si="15"/>
        <v>ok</v>
      </c>
      <c r="J504" s="77">
        <f>IFERROR(VLOOKUP($H504,TG[],3,FALSE),"NA")</f>
        <v>0</v>
      </c>
      <c r="K504" s="77" t="str">
        <f>IFERROR(VLOOKUP($H504,TF[],3,FALSE),"NA")</f>
        <v>NA</v>
      </c>
      <c r="L504" s="77" t="str">
        <f>IFERROR(VLOOKUP($H504,TT[],3,FALSE),"NA")</f>
        <v>NA</v>
      </c>
      <c r="M504" s="77" t="str">
        <f>IFERROR(VLOOKUP($H504,TES[],3,FALSE),"NA")</f>
        <v>NA</v>
      </c>
      <c r="N504" s="77" t="str">
        <f>IFERROR(VLOOKUP($H504,TEC[],3,FALSE),"NA")</f>
        <v>NA</v>
      </c>
      <c r="O504" s="77" t="str">
        <f>IFERROR(VLOOKUP($H504,TP[],3,FALSE),"NA")</f>
        <v>NA</v>
      </c>
      <c r="P504" s="77" t="str">
        <f>IFERROR(VLOOKUP($H504,TEN[],3,FALSE),"NA")</f>
        <v>NA</v>
      </c>
      <c r="Q504" s="77" t="str">
        <f>IFERROR(VLOOKUP($H504,TD[],3,FALSE),"NA")</f>
        <v>NA</v>
      </c>
      <c r="R504" s="77" t="str">
        <f>IFERROR(VLOOKUP($H504,TC[],3,FALSE),"NA")</f>
        <v>NA</v>
      </c>
      <c r="S504" s="77">
        <f>IFERROR(VLOOKUP($H504,TEV[],3,FALSE),"NA")</f>
        <v>9</v>
      </c>
      <c r="T504" s="79">
        <f>SUM(TbPrestamo[[#This Row],[GENERAL]:[ELEVADOR]])</f>
        <v>9</v>
      </c>
      <c r="U504" s="80">
        <f>IF(VLOOKUP(TbPrestamo[[#This Row],[ITEM]],TbPiezas[],5,FALSE)="NA",0,VLOOKUP(TbPrestamo[[#This Row],[ITEM]],TbPiezas[],5,FALSE))</f>
        <v>41.4</v>
      </c>
      <c r="V504" s="81">
        <f>+TbPrestamo[[#This Row],[TOTAL]]*TbPrestamo[[#This Row],[P.U. (1)]]</f>
        <v>372.59999999999997</v>
      </c>
      <c r="W504" s="82">
        <f>+VLOOKUP(TbPrestamo[[#This Row],[ITEM]],TbPiezas[],6,FALSE)</f>
        <v>8258.25</v>
      </c>
      <c r="X504" s="83">
        <f>+TbPrestamo[[#This Row],[TOTAL]]*TbPrestamo[[#This Row],[P.U. (2)]]</f>
        <v>74324.25</v>
      </c>
      <c r="Y504" s="82">
        <f>+VLOOKUP(TbPrestamo[[#This Row],[ITEM]],TbPiezas[],7,FALSE)</f>
        <v>412.91250000000002</v>
      </c>
      <c r="Z504" s="84">
        <f>+TbPrestamo[[#This Row],[TOTAL]]*TbPrestamo[[#This Row],[P.U. (3)]]</f>
        <v>3716.2125000000001</v>
      </c>
    </row>
    <row r="505" spans="1:26" s="4" customFormat="1" x14ac:dyDescent="0.3">
      <c r="A505" s="2"/>
      <c r="B505" s="85"/>
      <c r="C505" s="71" t="s">
        <v>875</v>
      </c>
      <c r="D505" s="72" t="s">
        <v>876</v>
      </c>
      <c r="E505" s="73"/>
      <c r="F505" s="74"/>
      <c r="G505" s="2"/>
      <c r="H505" s="75" t="str">
        <f t="shared" si="14"/>
        <v>EV.6925</v>
      </c>
      <c r="I505" s="59" t="str">
        <f t="shared" si="15"/>
        <v>ok</v>
      </c>
      <c r="J505" s="77">
        <f>IFERROR(VLOOKUP($H505,TG[],3,FALSE),"NA")</f>
        <v>0</v>
      </c>
      <c r="K505" s="408" t="str">
        <f>IFERROR(VLOOKUP($H505,TF[],3,FALSE),"NA")</f>
        <v>NA</v>
      </c>
      <c r="L505" s="408" t="str">
        <f>IFERROR(VLOOKUP($H505,TT[],3,FALSE),"NA")</f>
        <v>NA</v>
      </c>
      <c r="M505" s="77" t="str">
        <f>IFERROR(VLOOKUP($H505,TES[],3,FALSE),"NA")</f>
        <v>NA</v>
      </c>
      <c r="N505" s="77" t="str">
        <f>IFERROR(VLOOKUP($H505,TEC[],3,FALSE),"NA")</f>
        <v>NA</v>
      </c>
      <c r="O505" s="77" t="str">
        <f>IFERROR(VLOOKUP($H505,TP[],3,FALSE),"NA")</f>
        <v>NA</v>
      </c>
      <c r="P505" s="77" t="str">
        <f>IFERROR(VLOOKUP($H505,TEN[],3,FALSE),"NA")</f>
        <v>NA</v>
      </c>
      <c r="Q505" s="77" t="str">
        <f>IFERROR(VLOOKUP($H505,TD[],3,FALSE),"NA")</f>
        <v>NA</v>
      </c>
      <c r="R505" s="77" t="str">
        <f>IFERROR(VLOOKUP($H505,TC[],3,FALSE),"NA")</f>
        <v>NA</v>
      </c>
      <c r="S505" s="408">
        <f>IFERROR(VLOOKUP($H505,TEV[],3,FALSE),"NA")</f>
        <v>0</v>
      </c>
      <c r="T505" s="78">
        <f>SUM(TbPrestamo[[#This Row],[GENERAL]:[ELEVADOR]])</f>
        <v>0</v>
      </c>
      <c r="U505" s="295">
        <f>IF(VLOOKUP(TbPrestamo[[#This Row],[ITEM]],TbPiezas[],5,FALSE)="NA",0,VLOOKUP(TbPrestamo[[#This Row],[ITEM]],TbPiezas[],5,FALSE))</f>
        <v>4.9000000000000004</v>
      </c>
      <c r="V505" s="295">
        <f>+TbPrestamo[[#This Row],[TOTAL]]*TbPrestamo[[#This Row],[P.U. (1)]]</f>
        <v>0</v>
      </c>
      <c r="W505" s="84">
        <f>+VLOOKUP(TbPrestamo[[#This Row],[ITEM]],TbPiezas[],6,FALSE)</f>
        <v>368.08</v>
      </c>
      <c r="X505" s="296">
        <f>+TbPrestamo[[#This Row],[TOTAL]]*TbPrestamo[[#This Row],[P.U. (2)]]</f>
        <v>0</v>
      </c>
      <c r="Y505" s="84">
        <f>+VLOOKUP(TbPrestamo[[#This Row],[ITEM]],TbPiezas[],7,FALSE)</f>
        <v>18.404</v>
      </c>
      <c r="Z505" s="296">
        <f>+TbPrestamo[[#This Row],[TOTAL]]*TbPrestamo[[#This Row],[P.U. (3)]]</f>
        <v>0</v>
      </c>
    </row>
    <row r="506" spans="1:26" s="4" customFormat="1" x14ac:dyDescent="0.3">
      <c r="A506" s="2"/>
      <c r="B506" s="85"/>
      <c r="C506" s="71" t="s">
        <v>877</v>
      </c>
      <c r="D506" s="72" t="s">
        <v>878</v>
      </c>
      <c r="E506" s="73"/>
      <c r="F506" s="74"/>
      <c r="G506" s="2"/>
      <c r="H506" s="75" t="str">
        <f t="shared" si="14"/>
        <v>EV.6950</v>
      </c>
      <c r="I506" s="59" t="str">
        <f t="shared" si="15"/>
        <v>ok</v>
      </c>
      <c r="J506" s="77">
        <f>IFERROR(VLOOKUP($H506,TG[],3,FALSE),"NA")</f>
        <v>0</v>
      </c>
      <c r="K506" s="408" t="str">
        <f>IFERROR(VLOOKUP($H506,TF[],3,FALSE),"NA")</f>
        <v>NA</v>
      </c>
      <c r="L506" s="408" t="str">
        <f>IFERROR(VLOOKUP($H506,TT[],3,FALSE),"NA")</f>
        <v>NA</v>
      </c>
      <c r="M506" s="77" t="str">
        <f>IFERROR(VLOOKUP($H506,TES[],3,FALSE),"NA")</f>
        <v>NA</v>
      </c>
      <c r="N506" s="77" t="str">
        <f>IFERROR(VLOOKUP($H506,TEC[],3,FALSE),"NA")</f>
        <v>NA</v>
      </c>
      <c r="O506" s="77" t="str">
        <f>IFERROR(VLOOKUP($H506,TP[],3,FALSE),"NA")</f>
        <v>NA</v>
      </c>
      <c r="P506" s="77" t="str">
        <f>IFERROR(VLOOKUP($H506,TEN[],3,FALSE),"NA")</f>
        <v>NA</v>
      </c>
      <c r="Q506" s="77" t="str">
        <f>IFERROR(VLOOKUP($H506,TD[],3,FALSE),"NA")</f>
        <v>NA</v>
      </c>
      <c r="R506" s="77" t="str">
        <f>IFERROR(VLOOKUP($H506,TC[],3,FALSE),"NA")</f>
        <v>NA</v>
      </c>
      <c r="S506" s="408">
        <f>IFERROR(VLOOKUP($H506,TEV[],3,FALSE),"NA")</f>
        <v>0</v>
      </c>
      <c r="T506" s="78">
        <f>SUM(TbPrestamo[[#This Row],[GENERAL]:[ELEVADOR]])</f>
        <v>0</v>
      </c>
      <c r="U506" s="295">
        <f>IF(VLOOKUP(TbPrestamo[[#This Row],[ITEM]],TbPiezas[],5,FALSE)="NA",0,VLOOKUP(TbPrestamo[[#This Row],[ITEM]],TbPiezas[],5,FALSE))</f>
        <v>10</v>
      </c>
      <c r="V506" s="295">
        <f>+TbPrestamo[[#This Row],[TOTAL]]*TbPrestamo[[#This Row],[P.U. (1)]]</f>
        <v>0</v>
      </c>
      <c r="W506" s="84">
        <f>+VLOOKUP(TbPrestamo[[#This Row],[ITEM]],TbPiezas[],6,FALSE)</f>
        <v>329.57</v>
      </c>
      <c r="X506" s="296">
        <f>+TbPrestamo[[#This Row],[TOTAL]]*TbPrestamo[[#This Row],[P.U. (2)]]</f>
        <v>0</v>
      </c>
      <c r="Y506" s="84">
        <f>+VLOOKUP(TbPrestamo[[#This Row],[ITEM]],TbPiezas[],7,FALSE)</f>
        <v>16.4785</v>
      </c>
      <c r="Z506" s="296">
        <f>+TbPrestamo[[#This Row],[TOTAL]]*TbPrestamo[[#This Row],[P.U. (3)]]</f>
        <v>0</v>
      </c>
    </row>
    <row r="507" spans="1:26" s="4" customFormat="1" x14ac:dyDescent="0.3">
      <c r="A507" s="2"/>
      <c r="B507" s="85"/>
      <c r="C507" s="71" t="s">
        <v>879</v>
      </c>
      <c r="D507" s="72" t="s">
        <v>880</v>
      </c>
      <c r="E507" s="73"/>
      <c r="F507" s="74"/>
      <c r="G507" s="2"/>
      <c r="H507" s="75" t="str">
        <f t="shared" si="14"/>
        <v>EV.7000</v>
      </c>
      <c r="I507" s="59" t="str">
        <f t="shared" si="15"/>
        <v>ok</v>
      </c>
      <c r="J507" s="77">
        <f>IFERROR(VLOOKUP($H507,TG[],3,FALSE),"NA")</f>
        <v>0</v>
      </c>
      <c r="K507" s="408" t="str">
        <f>IFERROR(VLOOKUP($H507,TF[],3,FALSE),"NA")</f>
        <v>NA</v>
      </c>
      <c r="L507" s="408" t="str">
        <f>IFERROR(VLOOKUP($H507,TT[],3,FALSE),"NA")</f>
        <v>NA</v>
      </c>
      <c r="M507" s="77" t="str">
        <f>IFERROR(VLOOKUP($H507,TES[],3,FALSE),"NA")</f>
        <v>NA</v>
      </c>
      <c r="N507" s="77" t="str">
        <f>IFERROR(VLOOKUP($H507,TEC[],3,FALSE),"NA")</f>
        <v>NA</v>
      </c>
      <c r="O507" s="77" t="str">
        <f>IFERROR(VLOOKUP($H507,TP[],3,FALSE),"NA")</f>
        <v>NA</v>
      </c>
      <c r="P507" s="77" t="str">
        <f>IFERROR(VLOOKUP($H507,TEN[],3,FALSE),"NA")</f>
        <v>NA</v>
      </c>
      <c r="Q507" s="77" t="str">
        <f>IFERROR(VLOOKUP($H507,TD[],3,FALSE),"NA")</f>
        <v>NA</v>
      </c>
      <c r="R507" s="77" t="str">
        <f>IFERROR(VLOOKUP($H507,TC[],3,FALSE),"NA")</f>
        <v>NA</v>
      </c>
      <c r="S507" s="408">
        <f>IFERROR(VLOOKUP($H507,TEV[],3,FALSE),"NA")</f>
        <v>18</v>
      </c>
      <c r="T507" s="78">
        <f>SUM(TbPrestamo[[#This Row],[GENERAL]:[ELEVADOR]])</f>
        <v>18</v>
      </c>
      <c r="U507" s="295">
        <f>IF(VLOOKUP(TbPrestamo[[#This Row],[ITEM]],TbPiezas[],5,FALSE)="NA",0,VLOOKUP(TbPrestamo[[#This Row],[ITEM]],TbPiezas[],5,FALSE))</f>
        <v>13.3</v>
      </c>
      <c r="V507" s="295">
        <f>+TbPrestamo[[#This Row],[TOTAL]]*TbPrestamo[[#This Row],[P.U. (1)]]</f>
        <v>239.4</v>
      </c>
      <c r="W507" s="84">
        <f>+VLOOKUP(TbPrestamo[[#This Row],[ITEM]],TbPiezas[],6,FALSE)</f>
        <v>825.83</v>
      </c>
      <c r="X507" s="296">
        <f>+TbPrestamo[[#This Row],[TOTAL]]*TbPrestamo[[#This Row],[P.U. (2)]]</f>
        <v>14864.94</v>
      </c>
      <c r="Y507" s="84">
        <f>+VLOOKUP(TbPrestamo[[#This Row],[ITEM]],TbPiezas[],7,FALSE)</f>
        <v>41.291500000000006</v>
      </c>
      <c r="Z507" s="296">
        <f>+TbPrestamo[[#This Row],[TOTAL]]*TbPrestamo[[#This Row],[P.U. (3)]]</f>
        <v>743.24700000000007</v>
      </c>
    </row>
    <row r="508" spans="1:26" s="4" customFormat="1" x14ac:dyDescent="0.3">
      <c r="A508" s="2"/>
      <c r="B508" s="85"/>
      <c r="C508" s="71" t="s">
        <v>881</v>
      </c>
      <c r="D508" s="72" t="s">
        <v>1493</v>
      </c>
      <c r="E508" s="73"/>
      <c r="F508" s="74"/>
      <c r="G508" s="2"/>
      <c r="H508" s="75" t="str">
        <f t="shared" si="14"/>
        <v>EV.7025</v>
      </c>
      <c r="I508" s="59" t="str">
        <f t="shared" si="15"/>
        <v>ok</v>
      </c>
      <c r="J508" s="77">
        <f>IFERROR(VLOOKUP($H508,TG[],3,FALSE),"NA")</f>
        <v>0</v>
      </c>
      <c r="K508" s="408" t="str">
        <f>IFERROR(VLOOKUP($H508,TF[],3,FALSE),"NA")</f>
        <v>NA</v>
      </c>
      <c r="L508" s="408" t="str">
        <f>IFERROR(VLOOKUP($H508,TT[],3,FALSE),"NA")</f>
        <v>NA</v>
      </c>
      <c r="M508" s="77" t="str">
        <f>IFERROR(VLOOKUP($H508,TES[],3,FALSE),"NA")</f>
        <v>NA</v>
      </c>
      <c r="N508" s="77" t="str">
        <f>IFERROR(VLOOKUP($H508,TEC[],3,FALSE),"NA")</f>
        <v>NA</v>
      </c>
      <c r="O508" s="77" t="str">
        <f>IFERROR(VLOOKUP($H508,TP[],3,FALSE),"NA")</f>
        <v>NA</v>
      </c>
      <c r="P508" s="77" t="str">
        <f>IFERROR(VLOOKUP($H508,TEN[],3,FALSE),"NA")</f>
        <v>NA</v>
      </c>
      <c r="Q508" s="77" t="str">
        <f>IFERROR(VLOOKUP($H508,TD[],3,FALSE),"NA")</f>
        <v>NA</v>
      </c>
      <c r="R508" s="77" t="str">
        <f>IFERROR(VLOOKUP($H508,TC[],3,FALSE),"NA")</f>
        <v>NA</v>
      </c>
      <c r="S508" s="408">
        <f>IFERROR(VLOOKUP($H508,TEV[],3,FALSE),"NA")</f>
        <v>0</v>
      </c>
      <c r="T508" s="78">
        <f>SUM(TbPrestamo[[#This Row],[GENERAL]:[ELEVADOR]])</f>
        <v>0</v>
      </c>
      <c r="U508" s="295">
        <f>IF(VLOOKUP(TbPrestamo[[#This Row],[ITEM]],TbPiezas[],5,FALSE)="NA",0,VLOOKUP(TbPrestamo[[#This Row],[ITEM]],TbPiezas[],5,FALSE))</f>
        <v>3</v>
      </c>
      <c r="V508" s="295">
        <f>+TbPrestamo[[#This Row],[TOTAL]]*TbPrestamo[[#This Row],[P.U. (1)]]</f>
        <v>0</v>
      </c>
      <c r="W508" s="84">
        <f>+VLOOKUP(TbPrestamo[[#This Row],[ITEM]],TbPiezas[],6,FALSE)</f>
        <v>271.04000000000002</v>
      </c>
      <c r="X508" s="296">
        <f>+TbPrestamo[[#This Row],[TOTAL]]*TbPrestamo[[#This Row],[P.U. (2)]]</f>
        <v>0</v>
      </c>
      <c r="Y508" s="84">
        <f>+VLOOKUP(TbPrestamo[[#This Row],[ITEM]],TbPiezas[],7,FALSE)</f>
        <v>13.552000000000001</v>
      </c>
      <c r="Z508" s="296">
        <f>+TbPrestamo[[#This Row],[TOTAL]]*TbPrestamo[[#This Row],[P.U. (3)]]</f>
        <v>0</v>
      </c>
    </row>
    <row r="509" spans="1:26" s="4" customFormat="1" x14ac:dyDescent="0.3">
      <c r="A509" s="2"/>
      <c r="B509" s="85"/>
      <c r="C509" s="71" t="s">
        <v>883</v>
      </c>
      <c r="D509" s="72" t="s">
        <v>1494</v>
      </c>
      <c r="E509" s="73"/>
      <c r="F509" s="74"/>
      <c r="G509" s="2"/>
      <c r="H509" s="75" t="str">
        <f t="shared" si="14"/>
        <v>EV.7050</v>
      </c>
      <c r="I509" s="59" t="str">
        <f t="shared" si="15"/>
        <v>ok</v>
      </c>
      <c r="J509" s="77">
        <f>IFERROR(VLOOKUP($H509,TG[],3,FALSE),"NA")</f>
        <v>0</v>
      </c>
      <c r="K509" s="408" t="str">
        <f>IFERROR(VLOOKUP($H509,TF[],3,FALSE),"NA")</f>
        <v>NA</v>
      </c>
      <c r="L509" s="408" t="str">
        <f>IFERROR(VLOOKUP($H509,TT[],3,FALSE),"NA")</f>
        <v>NA</v>
      </c>
      <c r="M509" s="77" t="str">
        <f>IFERROR(VLOOKUP($H509,TES[],3,FALSE),"NA")</f>
        <v>NA</v>
      </c>
      <c r="N509" s="77" t="str">
        <f>IFERROR(VLOOKUP($H509,TEC[],3,FALSE),"NA")</f>
        <v>NA</v>
      </c>
      <c r="O509" s="77" t="str">
        <f>IFERROR(VLOOKUP($H509,TP[],3,FALSE),"NA")</f>
        <v>NA</v>
      </c>
      <c r="P509" s="77" t="str">
        <f>IFERROR(VLOOKUP($H509,TEN[],3,FALSE),"NA")</f>
        <v>NA</v>
      </c>
      <c r="Q509" s="77" t="str">
        <f>IFERROR(VLOOKUP($H509,TD[],3,FALSE),"NA")</f>
        <v>NA</v>
      </c>
      <c r="R509" s="77" t="str">
        <f>IFERROR(VLOOKUP($H509,TC[],3,FALSE),"NA")</f>
        <v>NA</v>
      </c>
      <c r="S509" s="408">
        <f>IFERROR(VLOOKUP($H509,TEV[],3,FALSE),"NA")</f>
        <v>0</v>
      </c>
      <c r="T509" s="78">
        <f>SUM(TbPrestamo[[#This Row],[GENERAL]:[ELEVADOR]])</f>
        <v>0</v>
      </c>
      <c r="U509" s="295">
        <f>IF(VLOOKUP(TbPrestamo[[#This Row],[ITEM]],TbPiezas[],5,FALSE)="NA",0,VLOOKUP(TbPrestamo[[#This Row],[ITEM]],TbPiezas[],5,FALSE))</f>
        <v>4</v>
      </c>
      <c r="V509" s="295">
        <f>+TbPrestamo[[#This Row],[TOTAL]]*TbPrestamo[[#This Row],[P.U. (1)]]</f>
        <v>0</v>
      </c>
      <c r="W509" s="84">
        <f>+VLOOKUP(TbPrestamo[[#This Row],[ITEM]],TbPiezas[],6,FALSE)</f>
        <v>298.14</v>
      </c>
      <c r="X509" s="296">
        <f>+TbPrestamo[[#This Row],[TOTAL]]*TbPrestamo[[#This Row],[P.U. (2)]]</f>
        <v>0</v>
      </c>
      <c r="Y509" s="84">
        <f>+VLOOKUP(TbPrestamo[[#This Row],[ITEM]],TbPiezas[],7,FALSE)</f>
        <v>14.907</v>
      </c>
      <c r="Z509" s="296">
        <f>+TbPrestamo[[#This Row],[TOTAL]]*TbPrestamo[[#This Row],[P.U. (3)]]</f>
        <v>0</v>
      </c>
    </row>
    <row r="510" spans="1:26" s="4" customFormat="1" x14ac:dyDescent="0.3">
      <c r="A510" s="2"/>
      <c r="B510" s="85"/>
      <c r="C510" s="71" t="s">
        <v>885</v>
      </c>
      <c r="D510" s="72" t="s">
        <v>886</v>
      </c>
      <c r="E510" s="73"/>
      <c r="F510" s="74"/>
      <c r="G510" s="2"/>
      <c r="H510" s="75" t="str">
        <f t="shared" si="14"/>
        <v>EV.7100</v>
      </c>
      <c r="I510" s="59" t="str">
        <f t="shared" si="15"/>
        <v>ok</v>
      </c>
      <c r="J510" s="77">
        <f>IFERROR(VLOOKUP($H510,TG[],3,FALSE),"NA")</f>
        <v>0</v>
      </c>
      <c r="K510" s="408" t="str">
        <f>IFERROR(VLOOKUP($H510,TF[],3,FALSE),"NA")</f>
        <v>NA</v>
      </c>
      <c r="L510" s="408" t="str">
        <f>IFERROR(VLOOKUP($H510,TT[],3,FALSE),"NA")</f>
        <v>NA</v>
      </c>
      <c r="M510" s="77" t="str">
        <f>IFERROR(VLOOKUP($H510,TES[],3,FALSE),"NA")</f>
        <v>NA</v>
      </c>
      <c r="N510" s="77" t="str">
        <f>IFERROR(VLOOKUP($H510,TEC[],3,FALSE),"NA")</f>
        <v>NA</v>
      </c>
      <c r="O510" s="77" t="str">
        <f>IFERROR(VLOOKUP($H510,TP[],3,FALSE),"NA")</f>
        <v>NA</v>
      </c>
      <c r="P510" s="77" t="str">
        <f>IFERROR(VLOOKUP($H510,TEN[],3,FALSE),"NA")</f>
        <v>NA</v>
      </c>
      <c r="Q510" s="77" t="str">
        <f>IFERROR(VLOOKUP($H510,TD[],3,FALSE),"NA")</f>
        <v>NA</v>
      </c>
      <c r="R510" s="77" t="str">
        <f>IFERROR(VLOOKUP($H510,TC[],3,FALSE),"NA")</f>
        <v>NA</v>
      </c>
      <c r="S510" s="408">
        <f>IFERROR(VLOOKUP($H510,TEV[],3,FALSE),"NA")</f>
        <v>1</v>
      </c>
      <c r="T510" s="78">
        <f>SUM(TbPrestamo[[#This Row],[GENERAL]:[ELEVADOR]])</f>
        <v>1</v>
      </c>
      <c r="U510" s="295">
        <f>IF(VLOOKUP(TbPrestamo[[#This Row],[ITEM]],TbPiezas[],5,FALSE)="NA",0,VLOOKUP(TbPrestamo[[#This Row],[ITEM]],TbPiezas[],5,FALSE))</f>
        <v>7.5</v>
      </c>
      <c r="V510" s="295">
        <f>+TbPrestamo[[#This Row],[TOTAL]]*TbPrestamo[[#This Row],[P.U. (1)]]</f>
        <v>7.5</v>
      </c>
      <c r="W510" s="84">
        <f>+VLOOKUP(TbPrestamo[[#This Row],[ITEM]],TbPiezas[],6,FALSE)</f>
        <v>1905.75</v>
      </c>
      <c r="X510" s="296">
        <f>+TbPrestamo[[#This Row],[TOTAL]]*TbPrestamo[[#This Row],[P.U. (2)]]</f>
        <v>1905.75</v>
      </c>
      <c r="Y510" s="84">
        <f>+VLOOKUP(TbPrestamo[[#This Row],[ITEM]],TbPiezas[],7,FALSE)</f>
        <v>95.287500000000009</v>
      </c>
      <c r="Z510" s="296">
        <f>+TbPrestamo[[#This Row],[TOTAL]]*TbPrestamo[[#This Row],[P.U. (3)]]</f>
        <v>95.287500000000009</v>
      </c>
    </row>
    <row r="511" spans="1:26" s="4" customFormat="1" x14ac:dyDescent="0.3">
      <c r="A511" s="2"/>
      <c r="B511" s="85"/>
      <c r="C511" s="71" t="s">
        <v>1499</v>
      </c>
      <c r="D511" s="72" t="s">
        <v>1495</v>
      </c>
      <c r="E511" s="73"/>
      <c r="F511" s="74"/>
      <c r="G511" s="2"/>
      <c r="H511" s="75" t="str">
        <f t="shared" si="14"/>
        <v>EV.7110</v>
      </c>
      <c r="I511" s="59" t="str">
        <f t="shared" si="15"/>
        <v>ok</v>
      </c>
      <c r="J511" s="77">
        <f>IFERROR(VLOOKUP($H511,TG[],3,FALSE),"NA")</f>
        <v>0</v>
      </c>
      <c r="K511" s="408" t="str">
        <f>IFERROR(VLOOKUP($H511,TF[],3,FALSE),"NA")</f>
        <v>NA</v>
      </c>
      <c r="L511" s="408" t="str">
        <f>IFERROR(VLOOKUP($H511,TT[],3,FALSE),"NA")</f>
        <v>NA</v>
      </c>
      <c r="M511" s="77" t="str">
        <f>IFERROR(VLOOKUP($H511,TES[],3,FALSE),"NA")</f>
        <v>NA</v>
      </c>
      <c r="N511" s="77" t="str">
        <f>IFERROR(VLOOKUP($H511,TEC[],3,FALSE),"NA")</f>
        <v>NA</v>
      </c>
      <c r="O511" s="77" t="str">
        <f>IFERROR(VLOOKUP($H511,TP[],3,FALSE),"NA")</f>
        <v>NA</v>
      </c>
      <c r="P511" s="77" t="str">
        <f>IFERROR(VLOOKUP($H511,TEN[],3,FALSE),"NA")</f>
        <v>NA</v>
      </c>
      <c r="Q511" s="77" t="str">
        <f>IFERROR(VLOOKUP($H511,TD[],3,FALSE),"NA")</f>
        <v>NA</v>
      </c>
      <c r="R511" s="77" t="str">
        <f>IFERROR(VLOOKUP($H511,TC[],3,FALSE),"NA")</f>
        <v>NA</v>
      </c>
      <c r="S511" s="408" t="str">
        <f>IFERROR(VLOOKUP($H511,TEV[],3,FALSE),"NA")</f>
        <v>NA</v>
      </c>
      <c r="T511" s="78">
        <f>SUM(TbPrestamo[[#This Row],[GENERAL]:[ELEVADOR]])</f>
        <v>0</v>
      </c>
      <c r="U511" s="295">
        <f>IF(VLOOKUP(TbPrestamo[[#This Row],[ITEM]],TbPiezas[],5,FALSE)="NA",0,VLOOKUP(TbPrestamo[[#This Row],[ITEM]],TbPiezas[],5,FALSE))</f>
        <v>0</v>
      </c>
      <c r="V511" s="295">
        <f>+TbPrestamo[[#This Row],[TOTAL]]*TbPrestamo[[#This Row],[P.U. (1)]]</f>
        <v>0</v>
      </c>
      <c r="W511" s="84">
        <f>+VLOOKUP(TbPrestamo[[#This Row],[ITEM]],TbPiezas[],6,FALSE)</f>
        <v>0</v>
      </c>
      <c r="X511" s="296">
        <f>+TbPrestamo[[#This Row],[TOTAL]]*TbPrestamo[[#This Row],[P.U. (2)]]</f>
        <v>0</v>
      </c>
      <c r="Y511" s="84">
        <f>+VLOOKUP(TbPrestamo[[#This Row],[ITEM]],TbPiezas[],7,FALSE)</f>
        <v>0</v>
      </c>
      <c r="Z511" s="296">
        <f>+TbPrestamo[[#This Row],[TOTAL]]*TbPrestamo[[#This Row],[P.U. (3)]]</f>
        <v>0</v>
      </c>
    </row>
    <row r="512" spans="1:26" s="4" customFormat="1" x14ac:dyDescent="0.3">
      <c r="A512" s="2"/>
      <c r="B512" s="85"/>
      <c r="C512" s="71" t="s">
        <v>1500</v>
      </c>
      <c r="D512" s="72" t="s">
        <v>887</v>
      </c>
      <c r="E512" s="73"/>
      <c r="F512" s="74"/>
      <c r="G512" s="2"/>
      <c r="H512" s="75" t="str">
        <f t="shared" si="14"/>
        <v>EV.7120</v>
      </c>
      <c r="I512" s="59" t="str">
        <f t="shared" si="15"/>
        <v>ok</v>
      </c>
      <c r="J512" s="77">
        <f>IFERROR(VLOOKUP($H512,TG[],3,FALSE),"NA")</f>
        <v>0</v>
      </c>
      <c r="K512" s="408" t="str">
        <f>IFERROR(VLOOKUP($H512,TF[],3,FALSE),"NA")</f>
        <v>NA</v>
      </c>
      <c r="L512" s="408" t="str">
        <f>IFERROR(VLOOKUP($H512,TT[],3,FALSE),"NA")</f>
        <v>NA</v>
      </c>
      <c r="M512" s="77" t="str">
        <f>IFERROR(VLOOKUP($H512,TES[],3,FALSE),"NA")</f>
        <v>NA</v>
      </c>
      <c r="N512" s="77" t="str">
        <f>IFERROR(VLOOKUP($H512,TEC[],3,FALSE),"NA")</f>
        <v>NA</v>
      </c>
      <c r="O512" s="77" t="str">
        <f>IFERROR(VLOOKUP($H512,TP[],3,FALSE),"NA")</f>
        <v>NA</v>
      </c>
      <c r="P512" s="77" t="str">
        <f>IFERROR(VLOOKUP($H512,TEN[],3,FALSE),"NA")</f>
        <v>NA</v>
      </c>
      <c r="Q512" s="77" t="str">
        <f>IFERROR(VLOOKUP($H512,TD[],3,FALSE),"NA")</f>
        <v>NA</v>
      </c>
      <c r="R512" s="77" t="str">
        <f>IFERROR(VLOOKUP($H512,TC[],3,FALSE),"NA")</f>
        <v>NA</v>
      </c>
      <c r="S512" s="408">
        <f>IFERROR(VLOOKUP($H512,TEV[],3,FALSE),"NA")</f>
        <v>1</v>
      </c>
      <c r="T512" s="78">
        <f>SUM(TbPrestamo[[#This Row],[GENERAL]:[ELEVADOR]])</f>
        <v>1</v>
      </c>
      <c r="U512" s="295">
        <f>IF(VLOOKUP(TbPrestamo[[#This Row],[ITEM]],TbPiezas[],5,FALSE)="NA",0,VLOOKUP(TbPrestamo[[#This Row],[ITEM]],TbPiezas[],5,FALSE))</f>
        <v>12.4</v>
      </c>
      <c r="V512" s="295">
        <f>+TbPrestamo[[#This Row],[TOTAL]]*TbPrestamo[[#This Row],[P.U. (1)]]</f>
        <v>12.4</v>
      </c>
      <c r="W512" s="84">
        <f>+VLOOKUP(TbPrestamo[[#This Row],[ITEM]],TbPiezas[],6,FALSE)</f>
        <v>1727.88</v>
      </c>
      <c r="X512" s="296">
        <f>+TbPrestamo[[#This Row],[TOTAL]]*TbPrestamo[[#This Row],[P.U. (2)]]</f>
        <v>1727.88</v>
      </c>
      <c r="Y512" s="84">
        <f>+VLOOKUP(TbPrestamo[[#This Row],[ITEM]],TbPiezas[],7,FALSE)</f>
        <v>86.394000000000005</v>
      </c>
      <c r="Z512" s="296">
        <f>+TbPrestamo[[#This Row],[TOTAL]]*TbPrestamo[[#This Row],[P.U. (3)]]</f>
        <v>86.394000000000005</v>
      </c>
    </row>
    <row r="513" spans="1:26" s="4" customFormat="1" x14ac:dyDescent="0.3">
      <c r="A513" s="2"/>
      <c r="B513" s="85"/>
      <c r="C513" s="71" t="s">
        <v>888</v>
      </c>
      <c r="D513" s="72" t="s">
        <v>1501</v>
      </c>
      <c r="E513" s="73"/>
      <c r="F513" s="74"/>
      <c r="G513" s="2"/>
      <c r="H513" s="75" t="str">
        <f t="shared" si="14"/>
        <v>EV.7300</v>
      </c>
      <c r="I513" s="59" t="str">
        <f t="shared" si="15"/>
        <v>ok</v>
      </c>
      <c r="J513" s="77">
        <f>IFERROR(VLOOKUP($H513,TG[],3,FALSE),"NA")</f>
        <v>0</v>
      </c>
      <c r="K513" s="408" t="str">
        <f>IFERROR(VLOOKUP($H513,TF[],3,FALSE),"NA")</f>
        <v>NA</v>
      </c>
      <c r="L513" s="408" t="str">
        <f>IFERROR(VLOOKUP($H513,TT[],3,FALSE),"NA")</f>
        <v>NA</v>
      </c>
      <c r="M513" s="77" t="str">
        <f>IFERROR(VLOOKUP($H513,TES[],3,FALSE),"NA")</f>
        <v>NA</v>
      </c>
      <c r="N513" s="77" t="str">
        <f>IFERROR(VLOOKUP($H513,TEC[],3,FALSE),"NA")</f>
        <v>NA</v>
      </c>
      <c r="O513" s="77" t="str">
        <f>IFERROR(VLOOKUP($H513,TP[],3,FALSE),"NA")</f>
        <v>NA</v>
      </c>
      <c r="P513" s="77" t="str">
        <f>IFERROR(VLOOKUP($H513,TEN[],3,FALSE),"NA")</f>
        <v>NA</v>
      </c>
      <c r="Q513" s="77" t="str">
        <f>IFERROR(VLOOKUP($H513,TD[],3,FALSE),"NA")</f>
        <v>NA</v>
      </c>
      <c r="R513" s="77" t="str">
        <f>IFERROR(VLOOKUP($H513,TC[],3,FALSE),"NA")</f>
        <v>NA</v>
      </c>
      <c r="S513" s="408">
        <f>IFERROR(VLOOKUP($H513,TEV[],3,FALSE),"NA")</f>
        <v>0</v>
      </c>
      <c r="T513" s="78">
        <f>SUM(TbPrestamo[[#This Row],[GENERAL]:[ELEVADOR]])</f>
        <v>0</v>
      </c>
      <c r="U513" s="295">
        <f>IF(VLOOKUP(TbPrestamo[[#This Row],[ITEM]],TbPiezas[],5,FALSE)="NA",0,VLOOKUP(TbPrestamo[[#This Row],[ITEM]],TbPiezas[],5,FALSE))</f>
        <v>6.8</v>
      </c>
      <c r="V513" s="295">
        <f>+TbPrestamo[[#This Row],[TOTAL]]*TbPrestamo[[#This Row],[P.U. (1)]]</f>
        <v>0</v>
      </c>
      <c r="W513" s="84">
        <f>+VLOOKUP(TbPrestamo[[#This Row],[ITEM]],TbPiezas[],6,FALSE)</f>
        <v>1727.88</v>
      </c>
      <c r="X513" s="296">
        <f>+TbPrestamo[[#This Row],[TOTAL]]*TbPrestamo[[#This Row],[P.U. (2)]]</f>
        <v>0</v>
      </c>
      <c r="Y513" s="84">
        <f>+VLOOKUP(TbPrestamo[[#This Row],[ITEM]],TbPiezas[],7,FALSE)</f>
        <v>86.394000000000005</v>
      </c>
      <c r="Z513" s="296">
        <f>+TbPrestamo[[#This Row],[TOTAL]]*TbPrestamo[[#This Row],[P.U. (3)]]</f>
        <v>0</v>
      </c>
    </row>
    <row r="514" spans="1:26" s="4" customFormat="1" x14ac:dyDescent="0.3">
      <c r="A514" s="2"/>
      <c r="B514" s="85"/>
      <c r="C514" s="71" t="s">
        <v>1503</v>
      </c>
      <c r="D514" s="72" t="s">
        <v>1502</v>
      </c>
      <c r="E514" s="73"/>
      <c r="F514" s="74"/>
      <c r="G514" s="2"/>
      <c r="H514" s="75" t="str">
        <f t="shared" si="14"/>
        <v>EV.7310</v>
      </c>
      <c r="I514" s="59" t="str">
        <f t="shared" si="15"/>
        <v>ok</v>
      </c>
      <c r="J514" s="77">
        <f>IFERROR(VLOOKUP($H514,TG[],3,FALSE),"NA")</f>
        <v>0</v>
      </c>
      <c r="K514" s="408" t="str">
        <f>IFERROR(VLOOKUP($H514,TF[],3,FALSE),"NA")</f>
        <v>NA</v>
      </c>
      <c r="L514" s="408" t="str">
        <f>IFERROR(VLOOKUP($H514,TT[],3,FALSE),"NA")</f>
        <v>NA</v>
      </c>
      <c r="M514" s="77" t="str">
        <f>IFERROR(VLOOKUP($H514,TES[],3,FALSE),"NA")</f>
        <v>NA</v>
      </c>
      <c r="N514" s="77" t="str">
        <f>IFERROR(VLOOKUP($H514,TEC[],3,FALSE),"NA")</f>
        <v>NA</v>
      </c>
      <c r="O514" s="77" t="str">
        <f>IFERROR(VLOOKUP($H514,TP[],3,FALSE),"NA")</f>
        <v>NA</v>
      </c>
      <c r="P514" s="77" t="str">
        <f>IFERROR(VLOOKUP($H514,TEN[],3,FALSE),"NA")</f>
        <v>NA</v>
      </c>
      <c r="Q514" s="77" t="str">
        <f>IFERROR(VLOOKUP($H514,TD[],3,FALSE),"NA")</f>
        <v>NA</v>
      </c>
      <c r="R514" s="77" t="str">
        <f>IFERROR(VLOOKUP($H514,TC[],3,FALSE),"NA")</f>
        <v>NA</v>
      </c>
      <c r="S514" s="408" t="str">
        <f>IFERROR(VLOOKUP($H514,TEV[],3,FALSE),"NA")</f>
        <v>NA</v>
      </c>
      <c r="T514" s="78">
        <f>SUM(TbPrestamo[[#This Row],[GENERAL]:[ELEVADOR]])</f>
        <v>0</v>
      </c>
      <c r="U514" s="295">
        <f>IF(VLOOKUP(TbPrestamo[[#This Row],[ITEM]],TbPiezas[],5,FALSE)="NA",0,VLOOKUP(TbPrestamo[[#This Row],[ITEM]],TbPiezas[],5,FALSE))</f>
        <v>0</v>
      </c>
      <c r="V514" s="295">
        <f>+TbPrestamo[[#This Row],[TOTAL]]*TbPrestamo[[#This Row],[P.U. (1)]]</f>
        <v>0</v>
      </c>
      <c r="W514" s="84">
        <f>+VLOOKUP(TbPrestamo[[#This Row],[ITEM]],TbPiezas[],6,FALSE)</f>
        <v>0</v>
      </c>
      <c r="X514" s="296">
        <f>+TbPrestamo[[#This Row],[TOTAL]]*TbPrestamo[[#This Row],[P.U. (2)]]</f>
        <v>0</v>
      </c>
      <c r="Y514" s="84">
        <f>+VLOOKUP(TbPrestamo[[#This Row],[ITEM]],TbPiezas[],7,FALSE)</f>
        <v>0</v>
      </c>
      <c r="Z514" s="296">
        <f>+TbPrestamo[[#This Row],[TOTAL]]*TbPrestamo[[#This Row],[P.U. (3)]]</f>
        <v>0</v>
      </c>
    </row>
    <row r="515" spans="1:26" s="4" customFormat="1" x14ac:dyDescent="0.3">
      <c r="A515" s="2"/>
      <c r="B515" s="85"/>
      <c r="C515" s="71" t="s">
        <v>889</v>
      </c>
      <c r="D515" s="72" t="s">
        <v>1496</v>
      </c>
      <c r="E515" s="73"/>
      <c r="F515" s="74"/>
      <c r="G515" s="2"/>
      <c r="H515" s="75" t="str">
        <f t="shared" si="14"/>
        <v>EV.7400</v>
      </c>
      <c r="I515" s="59" t="str">
        <f t="shared" si="15"/>
        <v>ok</v>
      </c>
      <c r="J515" s="77">
        <f>IFERROR(VLOOKUP($H515,TG[],3,FALSE),"NA")</f>
        <v>0</v>
      </c>
      <c r="K515" s="408" t="str">
        <f>IFERROR(VLOOKUP($H515,TF[],3,FALSE),"NA")</f>
        <v>NA</v>
      </c>
      <c r="L515" s="408" t="str">
        <f>IFERROR(VLOOKUP($H515,TT[],3,FALSE),"NA")</f>
        <v>NA</v>
      </c>
      <c r="M515" s="77" t="str">
        <f>IFERROR(VLOOKUP($H515,TES[],3,FALSE),"NA")</f>
        <v>NA</v>
      </c>
      <c r="N515" s="77" t="str">
        <f>IFERROR(VLOOKUP($H515,TEC[],3,FALSE),"NA")</f>
        <v>NA</v>
      </c>
      <c r="O515" s="77" t="str">
        <f>IFERROR(VLOOKUP($H515,TP[],3,FALSE),"NA")</f>
        <v>NA</v>
      </c>
      <c r="P515" s="77" t="str">
        <f>IFERROR(VLOOKUP($H515,TEN[],3,FALSE),"NA")</f>
        <v>NA</v>
      </c>
      <c r="Q515" s="77" t="str">
        <f>IFERROR(VLOOKUP($H515,TD[],3,FALSE),"NA")</f>
        <v>NA</v>
      </c>
      <c r="R515" s="77" t="str">
        <f>IFERROR(VLOOKUP($H515,TC[],3,FALSE),"NA")</f>
        <v>NA</v>
      </c>
      <c r="S515" s="408">
        <f>IFERROR(VLOOKUP($H515,TEV[],3,FALSE),"NA")</f>
        <v>18</v>
      </c>
      <c r="T515" s="78">
        <f>SUM(TbPrestamo[[#This Row],[GENERAL]:[ELEVADOR]])</f>
        <v>18</v>
      </c>
      <c r="U515" s="295">
        <f>IF(VLOOKUP(TbPrestamo[[#This Row],[ITEM]],TbPiezas[],5,FALSE)="NA",0,VLOOKUP(TbPrestamo[[#This Row],[ITEM]],TbPiezas[],5,FALSE))</f>
        <v>8.4</v>
      </c>
      <c r="V515" s="295">
        <f>+TbPrestamo[[#This Row],[TOTAL]]*TbPrestamo[[#This Row],[P.U. (1)]]</f>
        <v>151.20000000000002</v>
      </c>
      <c r="W515" s="84">
        <f>+VLOOKUP(TbPrestamo[[#This Row],[ITEM]],TbPiezas[],6,FALSE)</f>
        <v>4446.75</v>
      </c>
      <c r="X515" s="296">
        <f>+TbPrestamo[[#This Row],[TOTAL]]*TbPrestamo[[#This Row],[P.U. (2)]]</f>
        <v>80041.5</v>
      </c>
      <c r="Y515" s="84">
        <f>+VLOOKUP(TbPrestamo[[#This Row],[ITEM]],TbPiezas[],7,FALSE)</f>
        <v>222.33750000000001</v>
      </c>
      <c r="Z515" s="296">
        <f>+TbPrestamo[[#This Row],[TOTAL]]*TbPrestamo[[#This Row],[P.U. (3)]]</f>
        <v>4002.0750000000003</v>
      </c>
    </row>
    <row r="516" spans="1:26" s="4" customFormat="1" x14ac:dyDescent="0.3">
      <c r="A516" s="2"/>
      <c r="B516" s="85"/>
      <c r="C516" s="71" t="s">
        <v>1498</v>
      </c>
      <c r="D516" s="72" t="s">
        <v>1497</v>
      </c>
      <c r="E516" s="73"/>
      <c r="F516" s="74"/>
      <c r="G516" s="2"/>
      <c r="H516" s="75" t="str">
        <f t="shared" si="14"/>
        <v>EV.7410</v>
      </c>
      <c r="I516" s="59" t="str">
        <f t="shared" si="15"/>
        <v>ok</v>
      </c>
      <c r="J516" s="77">
        <f>IFERROR(VLOOKUP($H516,TG[],3,FALSE),"NA")</f>
        <v>0</v>
      </c>
      <c r="K516" s="408" t="str">
        <f>IFERROR(VLOOKUP($H516,TF[],3,FALSE),"NA")</f>
        <v>NA</v>
      </c>
      <c r="L516" s="408" t="str">
        <f>IFERROR(VLOOKUP($H516,TT[],3,FALSE),"NA")</f>
        <v>NA</v>
      </c>
      <c r="M516" s="77" t="str">
        <f>IFERROR(VLOOKUP($H516,TES[],3,FALSE),"NA")</f>
        <v>NA</v>
      </c>
      <c r="N516" s="77" t="str">
        <f>IFERROR(VLOOKUP($H516,TEC[],3,FALSE),"NA")</f>
        <v>NA</v>
      </c>
      <c r="O516" s="77" t="str">
        <f>IFERROR(VLOOKUP($H516,TP[],3,FALSE),"NA")</f>
        <v>NA</v>
      </c>
      <c r="P516" s="77" t="str">
        <f>IFERROR(VLOOKUP($H516,TEN[],3,FALSE),"NA")</f>
        <v>NA</v>
      </c>
      <c r="Q516" s="77" t="str">
        <f>IFERROR(VLOOKUP($H516,TD[],3,FALSE),"NA")</f>
        <v>NA</v>
      </c>
      <c r="R516" s="77" t="str">
        <f>IFERROR(VLOOKUP($H516,TC[],3,FALSE),"NA")</f>
        <v>NA</v>
      </c>
      <c r="S516" s="408" t="str">
        <f>IFERROR(VLOOKUP($H516,TEV[],3,FALSE),"NA")</f>
        <v>NA</v>
      </c>
      <c r="T516" s="78">
        <f>SUM(TbPrestamo[[#This Row],[GENERAL]:[ELEVADOR]])</f>
        <v>0</v>
      </c>
      <c r="U516" s="295">
        <f>IF(VLOOKUP(TbPrestamo[[#This Row],[ITEM]],TbPiezas[],5,FALSE)="NA",0,VLOOKUP(TbPrestamo[[#This Row],[ITEM]],TbPiezas[],5,FALSE))</f>
        <v>0</v>
      </c>
      <c r="V516" s="295">
        <f>+TbPrestamo[[#This Row],[TOTAL]]*TbPrestamo[[#This Row],[P.U. (1)]]</f>
        <v>0</v>
      </c>
      <c r="W516" s="84">
        <f>+VLOOKUP(TbPrestamo[[#This Row],[ITEM]],TbPiezas[],6,FALSE)</f>
        <v>0</v>
      </c>
      <c r="X516" s="296">
        <f>+TbPrestamo[[#This Row],[TOTAL]]*TbPrestamo[[#This Row],[P.U. (2)]]</f>
        <v>0</v>
      </c>
      <c r="Y516" s="84">
        <f>+VLOOKUP(TbPrestamo[[#This Row],[ITEM]],TbPiezas[],7,FALSE)</f>
        <v>0</v>
      </c>
      <c r="Z516" s="296">
        <f>+TbPrestamo[[#This Row],[TOTAL]]*TbPrestamo[[#This Row],[P.U. (3)]]</f>
        <v>0</v>
      </c>
    </row>
    <row r="517" spans="1:26" s="4" customFormat="1" x14ac:dyDescent="0.3">
      <c r="A517" s="2"/>
      <c r="B517" s="85"/>
      <c r="C517" s="71" t="s">
        <v>890</v>
      </c>
      <c r="D517" s="72" t="s">
        <v>891</v>
      </c>
      <c r="E517" s="73"/>
      <c r="F517" s="74"/>
      <c r="G517" s="2"/>
      <c r="H517" s="75" t="str">
        <f t="shared" si="14"/>
        <v>EV.7500</v>
      </c>
      <c r="I517" s="59" t="str">
        <f t="shared" si="15"/>
        <v>ok</v>
      </c>
      <c r="J517" s="77">
        <f>IFERROR(VLOOKUP($H517,TG[],3,FALSE),"NA")</f>
        <v>0</v>
      </c>
      <c r="K517" s="408" t="str">
        <f>IFERROR(VLOOKUP($H517,TF[],3,FALSE),"NA")</f>
        <v>NA</v>
      </c>
      <c r="L517" s="408" t="str">
        <f>IFERROR(VLOOKUP($H517,TT[],3,FALSE),"NA")</f>
        <v>NA</v>
      </c>
      <c r="M517" s="77" t="str">
        <f>IFERROR(VLOOKUP($H517,TES[],3,FALSE),"NA")</f>
        <v>NA</v>
      </c>
      <c r="N517" s="77" t="str">
        <f>IFERROR(VLOOKUP($H517,TEC[],3,FALSE),"NA")</f>
        <v>NA</v>
      </c>
      <c r="O517" s="77" t="str">
        <f>IFERROR(VLOOKUP($H517,TP[],3,FALSE),"NA")</f>
        <v>NA</v>
      </c>
      <c r="P517" s="77" t="str">
        <f>IFERROR(VLOOKUP($H517,TEN[],3,FALSE),"NA")</f>
        <v>NA</v>
      </c>
      <c r="Q517" s="77" t="str">
        <f>IFERROR(VLOOKUP($H517,TD[],3,FALSE),"NA")</f>
        <v>NA</v>
      </c>
      <c r="R517" s="77" t="str">
        <f>IFERROR(VLOOKUP($H517,TC[],3,FALSE),"NA")</f>
        <v>NA</v>
      </c>
      <c r="S517" s="408">
        <f>IFERROR(VLOOKUP($H517,TEV[],3,FALSE),"NA")</f>
        <v>1</v>
      </c>
      <c r="T517" s="78">
        <f>SUM(TbPrestamo[[#This Row],[GENERAL]:[ELEVADOR]])</f>
        <v>1</v>
      </c>
      <c r="U517" s="295">
        <f>IF(VLOOKUP(TbPrestamo[[#This Row],[ITEM]],TbPiezas[],5,FALSE)="NA",0,VLOOKUP(TbPrestamo[[#This Row],[ITEM]],TbPiezas[],5,FALSE))</f>
        <v>3.6</v>
      </c>
      <c r="V517" s="295">
        <f>+TbPrestamo[[#This Row],[TOTAL]]*TbPrestamo[[#This Row],[P.U. (1)]]</f>
        <v>3.6</v>
      </c>
      <c r="W517" s="84">
        <f>+VLOOKUP(TbPrestamo[[#This Row],[ITEM]],TbPiezas[],6,FALSE)</f>
        <v>2286.9</v>
      </c>
      <c r="X517" s="296">
        <f>+TbPrestamo[[#This Row],[TOTAL]]*TbPrestamo[[#This Row],[P.U. (2)]]</f>
        <v>2286.9</v>
      </c>
      <c r="Y517" s="84">
        <f>+VLOOKUP(TbPrestamo[[#This Row],[ITEM]],TbPiezas[],7,FALSE)</f>
        <v>114.34500000000001</v>
      </c>
      <c r="Z517" s="296">
        <f>+TbPrestamo[[#This Row],[TOTAL]]*TbPrestamo[[#This Row],[P.U. (3)]]</f>
        <v>114.34500000000001</v>
      </c>
    </row>
    <row r="518" spans="1:26" s="4" customFormat="1" x14ac:dyDescent="0.3">
      <c r="A518" s="2"/>
      <c r="B518" s="85"/>
      <c r="C518" s="71" t="s">
        <v>892</v>
      </c>
      <c r="D518" s="72" t="s">
        <v>893</v>
      </c>
      <c r="E518" s="73"/>
      <c r="F518" s="74"/>
      <c r="G518" s="2"/>
      <c r="H518" s="75" t="str">
        <f t="shared" si="14"/>
        <v>EV.7600</v>
      </c>
      <c r="I518" s="59" t="str">
        <f t="shared" si="15"/>
        <v>ok</v>
      </c>
      <c r="J518" s="77">
        <f>IFERROR(VLOOKUP($H518,TG[],3,FALSE),"NA")</f>
        <v>0</v>
      </c>
      <c r="K518" s="408" t="str">
        <f>IFERROR(VLOOKUP($H518,TF[],3,FALSE),"NA")</f>
        <v>NA</v>
      </c>
      <c r="L518" s="408" t="str">
        <f>IFERROR(VLOOKUP($H518,TT[],3,FALSE),"NA")</f>
        <v>NA</v>
      </c>
      <c r="M518" s="77" t="str">
        <f>IFERROR(VLOOKUP($H518,TES[],3,FALSE),"NA")</f>
        <v>NA</v>
      </c>
      <c r="N518" s="77" t="str">
        <f>IFERROR(VLOOKUP($H518,TEC[],3,FALSE),"NA")</f>
        <v>NA</v>
      </c>
      <c r="O518" s="77" t="str">
        <f>IFERROR(VLOOKUP($H518,TP[],3,FALSE),"NA")</f>
        <v>NA</v>
      </c>
      <c r="P518" s="77" t="str">
        <f>IFERROR(VLOOKUP($H518,TEN[],3,FALSE),"NA")</f>
        <v>NA</v>
      </c>
      <c r="Q518" s="77" t="str">
        <f>IFERROR(VLOOKUP($H518,TD[],3,FALSE),"NA")</f>
        <v>NA</v>
      </c>
      <c r="R518" s="77" t="str">
        <f>IFERROR(VLOOKUP($H518,TC[],3,FALSE),"NA")</f>
        <v>NA</v>
      </c>
      <c r="S518" s="408">
        <f>IFERROR(VLOOKUP($H518,TEV[],3,FALSE),"NA")</f>
        <v>2</v>
      </c>
      <c r="T518" s="78">
        <f>SUM(TbPrestamo[[#This Row],[GENERAL]:[ELEVADOR]])</f>
        <v>2</v>
      </c>
      <c r="U518" s="295">
        <f>IF(VLOOKUP(TbPrestamo[[#This Row],[ITEM]],TbPiezas[],5,FALSE)="NA",0,VLOOKUP(TbPrestamo[[#This Row],[ITEM]],TbPiezas[],5,FALSE))</f>
        <v>4.8</v>
      </c>
      <c r="V518" s="295">
        <f>+TbPrestamo[[#This Row],[TOTAL]]*TbPrestamo[[#This Row],[P.U. (1)]]</f>
        <v>9.6</v>
      </c>
      <c r="W518" s="84">
        <f>+VLOOKUP(TbPrestamo[[#This Row],[ITEM]],TbPiezas[],6,FALSE)</f>
        <v>444.68</v>
      </c>
      <c r="X518" s="296">
        <f>+TbPrestamo[[#This Row],[TOTAL]]*TbPrestamo[[#This Row],[P.U. (2)]]</f>
        <v>889.36</v>
      </c>
      <c r="Y518" s="84">
        <f>+VLOOKUP(TbPrestamo[[#This Row],[ITEM]],TbPiezas[],7,FALSE)</f>
        <v>22.234000000000002</v>
      </c>
      <c r="Z518" s="296">
        <f>+TbPrestamo[[#This Row],[TOTAL]]*TbPrestamo[[#This Row],[P.U. (3)]]</f>
        <v>44.468000000000004</v>
      </c>
    </row>
    <row r="519" spans="1:26" s="4" customFormat="1" x14ac:dyDescent="0.3">
      <c r="A519" s="2"/>
      <c r="B519" s="85"/>
      <c r="C519" s="71" t="s">
        <v>894</v>
      </c>
      <c r="D519" s="72" t="s">
        <v>895</v>
      </c>
      <c r="E519" s="73"/>
      <c r="F519" s="74"/>
      <c r="G519" s="2"/>
      <c r="H519" s="75" t="str">
        <f t="shared" si="14"/>
        <v>EV.7700</v>
      </c>
      <c r="I519" s="59" t="str">
        <f t="shared" si="15"/>
        <v>ok</v>
      </c>
      <c r="J519" s="77">
        <f>IFERROR(VLOOKUP($H519,TG[],3,FALSE),"NA")</f>
        <v>0</v>
      </c>
      <c r="K519" s="408" t="str">
        <f>IFERROR(VLOOKUP($H519,TF[],3,FALSE),"NA")</f>
        <v>NA</v>
      </c>
      <c r="L519" s="408" t="str">
        <f>IFERROR(VLOOKUP($H519,TT[],3,FALSE),"NA")</f>
        <v>NA</v>
      </c>
      <c r="M519" s="77" t="str">
        <f>IFERROR(VLOOKUP($H519,TES[],3,FALSE),"NA")</f>
        <v>NA</v>
      </c>
      <c r="N519" s="77" t="str">
        <f>IFERROR(VLOOKUP($H519,TEC[],3,FALSE),"NA")</f>
        <v>NA</v>
      </c>
      <c r="O519" s="77" t="str">
        <f>IFERROR(VLOOKUP($H519,TP[],3,FALSE),"NA")</f>
        <v>NA</v>
      </c>
      <c r="P519" s="77" t="str">
        <f>IFERROR(VLOOKUP($H519,TEN[],3,FALSE),"NA")</f>
        <v>NA</v>
      </c>
      <c r="Q519" s="77" t="str">
        <f>IFERROR(VLOOKUP($H519,TD[],3,FALSE),"NA")</f>
        <v>NA</v>
      </c>
      <c r="R519" s="77" t="str">
        <f>IFERROR(VLOOKUP($H519,TC[],3,FALSE),"NA")</f>
        <v>NA</v>
      </c>
      <c r="S519" s="408">
        <f>IFERROR(VLOOKUP($H519,TEV[],3,FALSE),"NA")</f>
        <v>2</v>
      </c>
      <c r="T519" s="78">
        <f>SUM(TbPrestamo[[#This Row],[GENERAL]:[ELEVADOR]])</f>
        <v>2</v>
      </c>
      <c r="U519" s="295">
        <f>IF(VLOOKUP(TbPrestamo[[#This Row],[ITEM]],TbPiezas[],5,FALSE)="NA",0,VLOOKUP(TbPrestamo[[#This Row],[ITEM]],TbPiezas[],5,FALSE))</f>
        <v>3.5</v>
      </c>
      <c r="V519" s="295">
        <f>+TbPrestamo[[#This Row],[TOTAL]]*TbPrestamo[[#This Row],[P.U. (1)]]</f>
        <v>7</v>
      </c>
      <c r="W519" s="84">
        <f>+VLOOKUP(TbPrestamo[[#This Row],[ITEM]],TbPiezas[],6,FALSE)</f>
        <v>444.68</v>
      </c>
      <c r="X519" s="296">
        <f>+TbPrestamo[[#This Row],[TOTAL]]*TbPrestamo[[#This Row],[P.U. (2)]]</f>
        <v>889.36</v>
      </c>
      <c r="Y519" s="84">
        <f>+VLOOKUP(TbPrestamo[[#This Row],[ITEM]],TbPiezas[],7,FALSE)</f>
        <v>22.234000000000002</v>
      </c>
      <c r="Z519" s="296">
        <f>+TbPrestamo[[#This Row],[TOTAL]]*TbPrestamo[[#This Row],[P.U. (3)]]</f>
        <v>44.468000000000004</v>
      </c>
    </row>
    <row r="520" spans="1:26" s="4" customFormat="1" x14ac:dyDescent="0.3">
      <c r="A520" s="2"/>
      <c r="B520" s="85"/>
      <c r="C520" s="71" t="s">
        <v>896</v>
      </c>
      <c r="D520" s="72" t="s">
        <v>897</v>
      </c>
      <c r="E520" s="73"/>
      <c r="F520" s="74"/>
      <c r="G520" s="2"/>
      <c r="H520" s="75" t="str">
        <f t="shared" si="14"/>
        <v>EV.7800</v>
      </c>
      <c r="I520" s="59" t="str">
        <f t="shared" si="15"/>
        <v>ok</v>
      </c>
      <c r="J520" s="77">
        <f>IFERROR(VLOOKUP($H520,TG[],3,FALSE),"NA")</f>
        <v>0</v>
      </c>
      <c r="K520" s="408" t="str">
        <f>IFERROR(VLOOKUP($H520,TF[],3,FALSE),"NA")</f>
        <v>NA</v>
      </c>
      <c r="L520" s="408" t="str">
        <f>IFERROR(VLOOKUP($H520,TT[],3,FALSE),"NA")</f>
        <v>NA</v>
      </c>
      <c r="M520" s="77" t="str">
        <f>IFERROR(VLOOKUP($H520,TES[],3,FALSE),"NA")</f>
        <v>NA</v>
      </c>
      <c r="N520" s="77" t="str">
        <f>IFERROR(VLOOKUP($H520,TEC[],3,FALSE),"NA")</f>
        <v>NA</v>
      </c>
      <c r="O520" s="77" t="str">
        <f>IFERROR(VLOOKUP($H520,TP[],3,FALSE),"NA")</f>
        <v>NA</v>
      </c>
      <c r="P520" s="77" t="str">
        <f>IFERROR(VLOOKUP($H520,TEN[],3,FALSE),"NA")</f>
        <v>NA</v>
      </c>
      <c r="Q520" s="77" t="str">
        <f>IFERROR(VLOOKUP($H520,TD[],3,FALSE),"NA")</f>
        <v>NA</v>
      </c>
      <c r="R520" s="77" t="str">
        <f>IFERROR(VLOOKUP($H520,TC[],3,FALSE),"NA")</f>
        <v>NA</v>
      </c>
      <c r="S520" s="408">
        <f>IFERROR(VLOOKUP($H520,TEV[],3,FALSE),"NA")</f>
        <v>2</v>
      </c>
      <c r="T520" s="78">
        <f>SUM(TbPrestamo[[#This Row],[GENERAL]:[ELEVADOR]])</f>
        <v>2</v>
      </c>
      <c r="U520" s="295">
        <f>IF(VLOOKUP(TbPrestamo[[#This Row],[ITEM]],TbPiezas[],5,FALSE)="NA",0,VLOOKUP(TbPrestamo[[#This Row],[ITEM]],TbPiezas[],5,FALSE))</f>
        <v>4.2</v>
      </c>
      <c r="V520" s="295">
        <f>+TbPrestamo[[#This Row],[TOTAL]]*TbPrestamo[[#This Row],[P.U. (1)]]</f>
        <v>8.4</v>
      </c>
      <c r="W520" s="84">
        <f>+VLOOKUP(TbPrestamo[[#This Row],[ITEM]],TbPiezas[],6,FALSE)</f>
        <v>444.68</v>
      </c>
      <c r="X520" s="296">
        <f>+TbPrestamo[[#This Row],[TOTAL]]*TbPrestamo[[#This Row],[P.U. (2)]]</f>
        <v>889.36</v>
      </c>
      <c r="Y520" s="84">
        <f>+VLOOKUP(TbPrestamo[[#This Row],[ITEM]],TbPiezas[],7,FALSE)</f>
        <v>22.234000000000002</v>
      </c>
      <c r="Z520" s="296">
        <f>+TbPrestamo[[#This Row],[TOTAL]]*TbPrestamo[[#This Row],[P.U. (3)]]</f>
        <v>44.468000000000004</v>
      </c>
    </row>
    <row r="521" spans="1:26" s="4" customFormat="1" x14ac:dyDescent="0.3">
      <c r="A521" s="2"/>
      <c r="B521" s="85"/>
      <c r="C521" s="71" t="s">
        <v>898</v>
      </c>
      <c r="D521" s="72" t="s">
        <v>899</v>
      </c>
      <c r="E521" s="73"/>
      <c r="F521" s="74"/>
      <c r="G521" s="2"/>
      <c r="H521" s="75" t="str">
        <f t="shared" si="14"/>
        <v>EV.7900</v>
      </c>
      <c r="I521" s="59" t="str">
        <f t="shared" si="15"/>
        <v>ok</v>
      </c>
      <c r="J521" s="77">
        <f>IFERROR(VLOOKUP($H521,TG[],3,FALSE),"NA")</f>
        <v>0</v>
      </c>
      <c r="K521" s="408" t="str">
        <f>IFERROR(VLOOKUP($H521,TF[],3,FALSE),"NA")</f>
        <v>NA</v>
      </c>
      <c r="L521" s="408" t="str">
        <f>IFERROR(VLOOKUP($H521,TT[],3,FALSE),"NA")</f>
        <v>NA</v>
      </c>
      <c r="M521" s="77" t="str">
        <f>IFERROR(VLOOKUP($H521,TES[],3,FALSE),"NA")</f>
        <v>NA</v>
      </c>
      <c r="N521" s="77" t="str">
        <f>IFERROR(VLOOKUP($H521,TEC[],3,FALSE),"NA")</f>
        <v>NA</v>
      </c>
      <c r="O521" s="77" t="str">
        <f>IFERROR(VLOOKUP($H521,TP[],3,FALSE),"NA")</f>
        <v>NA</v>
      </c>
      <c r="P521" s="77" t="str">
        <f>IFERROR(VLOOKUP($H521,TEN[],3,FALSE),"NA")</f>
        <v>NA</v>
      </c>
      <c r="Q521" s="77" t="str">
        <f>IFERROR(VLOOKUP($H521,TD[],3,FALSE),"NA")</f>
        <v>NA</v>
      </c>
      <c r="R521" s="77" t="str">
        <f>IFERROR(VLOOKUP($H521,TC[],3,FALSE),"NA")</f>
        <v>NA</v>
      </c>
      <c r="S521" s="408">
        <f>IFERROR(VLOOKUP($H521,TEV[],3,FALSE),"NA")</f>
        <v>0</v>
      </c>
      <c r="T521" s="78">
        <f>SUM(TbPrestamo[[#This Row],[GENERAL]:[ELEVADOR]])</f>
        <v>0</v>
      </c>
      <c r="U521" s="295">
        <f>IF(VLOOKUP(TbPrestamo[[#This Row],[ITEM]],TbPiezas[],5,FALSE)="NA",0,VLOOKUP(TbPrestamo[[#This Row],[ITEM]],TbPiezas[],5,FALSE))</f>
        <v>250</v>
      </c>
      <c r="V521" s="295">
        <f>+TbPrestamo[[#This Row],[TOTAL]]*TbPrestamo[[#This Row],[P.U. (1)]]</f>
        <v>0</v>
      </c>
      <c r="W521" s="84">
        <f>+VLOOKUP(TbPrestamo[[#This Row],[ITEM]],TbPiezas[],6,FALSE)</f>
        <v>22869</v>
      </c>
      <c r="X521" s="296">
        <f>+TbPrestamo[[#This Row],[TOTAL]]*TbPrestamo[[#This Row],[P.U. (2)]]</f>
        <v>0</v>
      </c>
      <c r="Y521" s="84">
        <f>+VLOOKUP(TbPrestamo[[#This Row],[ITEM]],TbPiezas[],7,FALSE)</f>
        <v>1143.45</v>
      </c>
      <c r="Z521" s="296">
        <f>+TbPrestamo[[#This Row],[TOTAL]]*TbPrestamo[[#This Row],[P.U. (3)]]</f>
        <v>0</v>
      </c>
    </row>
    <row r="522" spans="1:26" s="4" customFormat="1" x14ac:dyDescent="0.3">
      <c r="A522" s="2"/>
      <c r="B522" s="85"/>
      <c r="C522" s="71" t="s">
        <v>900</v>
      </c>
      <c r="D522" s="72" t="s">
        <v>901</v>
      </c>
      <c r="E522" s="73"/>
      <c r="F522" s="74"/>
      <c r="G522" s="2"/>
      <c r="H522" s="75" t="str">
        <f t="shared" si="14"/>
        <v>EV.8000</v>
      </c>
      <c r="I522" s="59" t="str">
        <f t="shared" si="15"/>
        <v>ok</v>
      </c>
      <c r="J522" s="77">
        <f>IFERROR(VLOOKUP($H522,TG[],3,FALSE),"NA")</f>
        <v>0</v>
      </c>
      <c r="K522" s="408" t="str">
        <f>IFERROR(VLOOKUP($H522,TF[],3,FALSE),"NA")</f>
        <v>NA</v>
      </c>
      <c r="L522" s="408" t="str">
        <f>IFERROR(VLOOKUP($H522,TT[],3,FALSE),"NA")</f>
        <v>NA</v>
      </c>
      <c r="M522" s="77" t="str">
        <f>IFERROR(VLOOKUP($H522,TES[],3,FALSE),"NA")</f>
        <v>NA</v>
      </c>
      <c r="N522" s="77" t="str">
        <f>IFERROR(VLOOKUP($H522,TEC[],3,FALSE),"NA")</f>
        <v>NA</v>
      </c>
      <c r="O522" s="77" t="str">
        <f>IFERROR(VLOOKUP($H522,TP[],3,FALSE),"NA")</f>
        <v>NA</v>
      </c>
      <c r="P522" s="77" t="str">
        <f>IFERROR(VLOOKUP($H522,TEN[],3,FALSE),"NA")</f>
        <v>NA</v>
      </c>
      <c r="Q522" s="77" t="str">
        <f>IFERROR(VLOOKUP($H522,TD[],3,FALSE),"NA")</f>
        <v>NA</v>
      </c>
      <c r="R522" s="77" t="str">
        <f>IFERROR(VLOOKUP($H522,TC[],3,FALSE),"NA")</f>
        <v>NA</v>
      </c>
      <c r="S522" s="408">
        <f>IFERROR(VLOOKUP($H522,TEV[],3,FALSE),"NA")</f>
        <v>0</v>
      </c>
      <c r="T522" s="78">
        <f>SUM(TbPrestamo[[#This Row],[GENERAL]:[ELEVADOR]])</f>
        <v>0</v>
      </c>
      <c r="U522" s="295">
        <f>IF(VLOOKUP(TbPrestamo[[#This Row],[ITEM]],TbPiezas[],5,FALSE)="NA",0,VLOOKUP(TbPrestamo[[#This Row],[ITEM]],TbPiezas[],5,FALSE))</f>
        <v>300</v>
      </c>
      <c r="V522" s="295">
        <f>+TbPrestamo[[#This Row],[TOTAL]]*TbPrestamo[[#This Row],[P.U. (1)]]</f>
        <v>0</v>
      </c>
      <c r="W522" s="84">
        <f>+VLOOKUP(TbPrestamo[[#This Row],[ITEM]],TbPiezas[],6,FALSE)</f>
        <v>22869</v>
      </c>
      <c r="X522" s="296">
        <f>+TbPrestamo[[#This Row],[TOTAL]]*TbPrestamo[[#This Row],[P.U. (2)]]</f>
        <v>0</v>
      </c>
      <c r="Y522" s="84">
        <f>+VLOOKUP(TbPrestamo[[#This Row],[ITEM]],TbPiezas[],7,FALSE)</f>
        <v>1143.45</v>
      </c>
      <c r="Z522" s="296">
        <f>+TbPrestamo[[#This Row],[TOTAL]]*TbPrestamo[[#This Row],[P.U. (3)]]</f>
        <v>0</v>
      </c>
    </row>
    <row r="523" spans="1:26" s="4" customFormat="1" x14ac:dyDescent="0.3">
      <c r="A523" s="2"/>
      <c r="B523" s="85"/>
      <c r="C523" s="71"/>
      <c r="D523" s="72" t="s">
        <v>1504</v>
      </c>
      <c r="E523" s="73"/>
      <c r="F523" s="74"/>
      <c r="G523" s="2"/>
      <c r="H523" s="75">
        <f t="shared" si="14"/>
        <v>0</v>
      </c>
      <c r="I523" s="59" t="str">
        <f t="shared" si="15"/>
        <v>ok</v>
      </c>
      <c r="J523" s="77">
        <f>IFERROR(VLOOKUP($H523,TG[],3,FALSE),"NA")</f>
        <v>0</v>
      </c>
      <c r="K523" s="408" t="str">
        <f>IFERROR(VLOOKUP($H523,TF[],3,FALSE),"NA")</f>
        <v>NA</v>
      </c>
      <c r="L523" s="408" t="str">
        <f>IFERROR(VLOOKUP($H523,TT[],3,FALSE),"NA")</f>
        <v>NA</v>
      </c>
      <c r="M523" s="77" t="str">
        <f>IFERROR(VLOOKUP($H523,TES[],3,FALSE),"NA")</f>
        <v>NA</v>
      </c>
      <c r="N523" s="77" t="str">
        <f>IFERROR(VLOOKUP($H523,TEC[],3,FALSE),"NA")</f>
        <v>NA</v>
      </c>
      <c r="O523" s="77" t="str">
        <f>IFERROR(VLOOKUP($H523,TP[],3,FALSE),"NA")</f>
        <v>NA</v>
      </c>
      <c r="P523" s="77" t="str">
        <f>IFERROR(VLOOKUP($H523,TEN[],3,FALSE),"NA")</f>
        <v>NA</v>
      </c>
      <c r="Q523" s="77" t="str">
        <f>IFERROR(VLOOKUP($H523,TD[],3,FALSE),"NA")</f>
        <v>NA</v>
      </c>
      <c r="R523" s="77" t="str">
        <f>IFERROR(VLOOKUP($H523,TC[],3,FALSE),"NA")</f>
        <v>NA</v>
      </c>
      <c r="S523" s="408" t="str">
        <f>IFERROR(VLOOKUP($H523,TEV[],3,FALSE),"NA")</f>
        <v>NA</v>
      </c>
      <c r="T523" s="78">
        <f>SUM(TbPrestamo[[#This Row],[GENERAL]:[ELEVADOR]])</f>
        <v>0</v>
      </c>
      <c r="U523" s="295" t="e">
        <f>IF(VLOOKUP(TbPrestamo[[#This Row],[ITEM]],TbPiezas[],5,FALSE)="NA",0,VLOOKUP(TbPrestamo[[#This Row],[ITEM]],TbPiezas[],5,FALSE))</f>
        <v>#N/A</v>
      </c>
      <c r="V523" s="295" t="e">
        <f>+TbPrestamo[[#This Row],[TOTAL]]*TbPrestamo[[#This Row],[P.U. (1)]]</f>
        <v>#N/A</v>
      </c>
      <c r="W523" s="84" t="e">
        <f>+VLOOKUP(TbPrestamo[[#This Row],[ITEM]],TbPiezas[],6,FALSE)</f>
        <v>#N/A</v>
      </c>
      <c r="X523" s="296" t="e">
        <f>+TbPrestamo[[#This Row],[TOTAL]]*TbPrestamo[[#This Row],[P.U. (2)]]</f>
        <v>#N/A</v>
      </c>
      <c r="Y523" s="84" t="e">
        <f>+VLOOKUP(TbPrestamo[[#This Row],[ITEM]],TbPiezas[],7,FALSE)</f>
        <v>#N/A</v>
      </c>
      <c r="Z523" s="296" t="e">
        <f>+TbPrestamo[[#This Row],[TOTAL]]*TbPrestamo[[#This Row],[P.U. (3)]]</f>
        <v>#N/A</v>
      </c>
    </row>
    <row r="524" spans="1:26" s="4" customFormat="1" x14ac:dyDescent="0.3">
      <c r="A524" s="2"/>
      <c r="B524" s="85"/>
      <c r="C524" s="71" t="s">
        <v>902</v>
      </c>
      <c r="D524" s="72" t="s">
        <v>905</v>
      </c>
      <c r="E524" s="73"/>
      <c r="F524" s="74"/>
      <c r="G524" s="2"/>
      <c r="H524" s="75" t="str">
        <f t="shared" si="14"/>
        <v>EV.8100</v>
      </c>
      <c r="I524" s="59" t="str">
        <f t="shared" si="15"/>
        <v>ok</v>
      </c>
      <c r="J524" s="77">
        <f>IFERROR(VLOOKUP($H524,TG[],3,FALSE),"NA")</f>
        <v>0</v>
      </c>
      <c r="K524" s="408" t="str">
        <f>IFERROR(VLOOKUP($H524,TF[],3,FALSE),"NA")</f>
        <v>NA</v>
      </c>
      <c r="L524" s="408" t="str">
        <f>IFERROR(VLOOKUP($H524,TT[],3,FALSE),"NA")</f>
        <v>NA</v>
      </c>
      <c r="M524" s="77" t="str">
        <f>IFERROR(VLOOKUP($H524,TES[],3,FALSE),"NA")</f>
        <v>NA</v>
      </c>
      <c r="N524" s="77" t="str">
        <f>IFERROR(VLOOKUP($H524,TEC[],3,FALSE),"NA")</f>
        <v>NA</v>
      </c>
      <c r="O524" s="77" t="str">
        <f>IFERROR(VLOOKUP($H524,TP[],3,FALSE),"NA")</f>
        <v>NA</v>
      </c>
      <c r="P524" s="77" t="str">
        <f>IFERROR(VLOOKUP($H524,TEN[],3,FALSE),"NA")</f>
        <v>NA</v>
      </c>
      <c r="Q524" s="77" t="str">
        <f>IFERROR(VLOOKUP($H524,TD[],3,FALSE),"NA")</f>
        <v>NA</v>
      </c>
      <c r="R524" s="77" t="str">
        <f>IFERROR(VLOOKUP($H524,TC[],3,FALSE),"NA")</f>
        <v>NA</v>
      </c>
      <c r="S524" s="408">
        <f>IFERROR(VLOOKUP($H524,TEV[],3,FALSE),"NA")</f>
        <v>0</v>
      </c>
      <c r="T524" s="78">
        <f>SUM(TbPrestamo[[#This Row],[GENERAL]:[ELEVADOR]])</f>
        <v>0</v>
      </c>
      <c r="U524" s="295">
        <f>IF(VLOOKUP(TbPrestamo[[#This Row],[ITEM]],TbPiezas[],5,FALSE)="NA",0,VLOOKUP(TbPrestamo[[#This Row],[ITEM]],TbPiezas[],5,FALSE))</f>
        <v>150</v>
      </c>
      <c r="V524" s="295">
        <f>+TbPrestamo[[#This Row],[TOTAL]]*TbPrestamo[[#This Row],[P.U. (1)]]</f>
        <v>0</v>
      </c>
      <c r="W524" s="84">
        <f>+VLOOKUP(TbPrestamo[[#This Row],[ITEM]],TbPiezas[],6,FALSE)</f>
        <v>14157</v>
      </c>
      <c r="X524" s="296">
        <f>+TbPrestamo[[#This Row],[TOTAL]]*TbPrestamo[[#This Row],[P.U. (2)]]</f>
        <v>0</v>
      </c>
      <c r="Y524" s="84">
        <f>+VLOOKUP(TbPrestamo[[#This Row],[ITEM]],TbPiezas[],7,FALSE)</f>
        <v>707.85</v>
      </c>
      <c r="Z524" s="296">
        <f>+TbPrestamo[[#This Row],[TOTAL]]*TbPrestamo[[#This Row],[P.U. (3)]]</f>
        <v>0</v>
      </c>
    </row>
    <row r="525" spans="1:26" s="4" customFormat="1" x14ac:dyDescent="0.3">
      <c r="A525" s="2"/>
      <c r="B525" s="85"/>
      <c r="C525" s="71" t="s">
        <v>904</v>
      </c>
      <c r="D525" s="72" t="s">
        <v>1505</v>
      </c>
      <c r="E525" s="73"/>
      <c r="F525" s="74"/>
      <c r="G525" s="2"/>
      <c r="H525" s="75" t="str">
        <f t="shared" si="14"/>
        <v>EV.8150</v>
      </c>
      <c r="I525" s="59" t="str">
        <f t="shared" si="15"/>
        <v>ok</v>
      </c>
      <c r="J525" s="77">
        <f>IFERROR(VLOOKUP($H525,TG[],3,FALSE),"NA")</f>
        <v>0</v>
      </c>
      <c r="K525" s="408" t="str">
        <f>IFERROR(VLOOKUP($H525,TF[],3,FALSE),"NA")</f>
        <v>NA</v>
      </c>
      <c r="L525" s="408" t="str">
        <f>IFERROR(VLOOKUP($H525,TT[],3,FALSE),"NA")</f>
        <v>NA</v>
      </c>
      <c r="M525" s="77" t="str">
        <f>IFERROR(VLOOKUP($H525,TES[],3,FALSE),"NA")</f>
        <v>NA</v>
      </c>
      <c r="N525" s="77" t="str">
        <f>IFERROR(VLOOKUP($H525,TEC[],3,FALSE),"NA")</f>
        <v>NA</v>
      </c>
      <c r="O525" s="77" t="str">
        <f>IFERROR(VLOOKUP($H525,TP[],3,FALSE),"NA")</f>
        <v>NA</v>
      </c>
      <c r="P525" s="77" t="str">
        <f>IFERROR(VLOOKUP($H525,TEN[],3,FALSE),"NA")</f>
        <v>NA</v>
      </c>
      <c r="Q525" s="77" t="str">
        <f>IFERROR(VLOOKUP($H525,TD[],3,FALSE),"NA")</f>
        <v>NA</v>
      </c>
      <c r="R525" s="77" t="str">
        <f>IFERROR(VLOOKUP($H525,TC[],3,FALSE),"NA")</f>
        <v>NA</v>
      </c>
      <c r="S525" s="408" t="str">
        <f>IFERROR(VLOOKUP($H525,TEV[],3,FALSE),"NA")</f>
        <v>NA</v>
      </c>
      <c r="T525" s="78">
        <f>SUM(TbPrestamo[[#This Row],[GENERAL]:[ELEVADOR]])</f>
        <v>0</v>
      </c>
      <c r="U525" s="295">
        <f>IF(VLOOKUP(TbPrestamo[[#This Row],[ITEM]],TbPiezas[],5,FALSE)="NA",0,VLOOKUP(TbPrestamo[[#This Row],[ITEM]],TbPiezas[],5,FALSE))</f>
        <v>0</v>
      </c>
      <c r="V525" s="295">
        <f>+TbPrestamo[[#This Row],[TOTAL]]*TbPrestamo[[#This Row],[P.U. (1)]]</f>
        <v>0</v>
      </c>
      <c r="W525" s="84">
        <f>+VLOOKUP(TbPrestamo[[#This Row],[ITEM]],TbPiezas[],6,FALSE)</f>
        <v>0</v>
      </c>
      <c r="X525" s="296">
        <f>+TbPrestamo[[#This Row],[TOTAL]]*TbPrestamo[[#This Row],[P.U. (2)]]</f>
        <v>0</v>
      </c>
      <c r="Y525" s="84">
        <f>+VLOOKUP(TbPrestamo[[#This Row],[ITEM]],TbPiezas[],7,FALSE)</f>
        <v>0</v>
      </c>
      <c r="Z525" s="296">
        <f>+TbPrestamo[[#This Row],[TOTAL]]*TbPrestamo[[#This Row],[P.U. (3)]]</f>
        <v>0</v>
      </c>
    </row>
    <row r="526" spans="1:26" s="4" customFormat="1" x14ac:dyDescent="0.3">
      <c r="A526" s="2"/>
      <c r="B526" s="85"/>
      <c r="C526" s="71" t="s">
        <v>1506</v>
      </c>
      <c r="D526" s="72" t="s">
        <v>907</v>
      </c>
      <c r="E526" s="73"/>
      <c r="F526" s="74"/>
      <c r="G526" s="2"/>
      <c r="H526" s="75" t="str">
        <f t="shared" si="14"/>
        <v>EV.8160</v>
      </c>
      <c r="I526" s="59" t="str">
        <f t="shared" si="15"/>
        <v>ok</v>
      </c>
      <c r="J526" s="77">
        <f>IFERROR(VLOOKUP($H526,TG[],3,FALSE),"NA")</f>
        <v>0</v>
      </c>
      <c r="K526" s="408" t="str">
        <f>IFERROR(VLOOKUP($H526,TF[],3,FALSE),"NA")</f>
        <v>NA</v>
      </c>
      <c r="L526" s="408" t="str">
        <f>IFERROR(VLOOKUP($H526,TT[],3,FALSE),"NA")</f>
        <v>NA</v>
      </c>
      <c r="M526" s="77" t="str">
        <f>IFERROR(VLOOKUP($H526,TES[],3,FALSE),"NA")</f>
        <v>NA</v>
      </c>
      <c r="N526" s="77" t="str">
        <f>IFERROR(VLOOKUP($H526,TEC[],3,FALSE),"NA")</f>
        <v>NA</v>
      </c>
      <c r="O526" s="77" t="str">
        <f>IFERROR(VLOOKUP($H526,TP[],3,FALSE),"NA")</f>
        <v>NA</v>
      </c>
      <c r="P526" s="77" t="str">
        <f>IFERROR(VLOOKUP($H526,TEN[],3,FALSE),"NA")</f>
        <v>NA</v>
      </c>
      <c r="Q526" s="77" t="str">
        <f>IFERROR(VLOOKUP($H526,TD[],3,FALSE),"NA")</f>
        <v>NA</v>
      </c>
      <c r="R526" s="77" t="str">
        <f>IFERROR(VLOOKUP($H526,TC[],3,FALSE),"NA")</f>
        <v>NA</v>
      </c>
      <c r="S526" s="408">
        <f>IFERROR(VLOOKUP($H526,TEV[],3,FALSE),"NA")</f>
        <v>1</v>
      </c>
      <c r="T526" s="78">
        <f>SUM(TbPrestamo[[#This Row],[GENERAL]:[ELEVADOR]])</f>
        <v>1</v>
      </c>
      <c r="U526" s="295">
        <f>IF(VLOOKUP(TbPrestamo[[#This Row],[ITEM]],TbPiezas[],5,FALSE)="NA",0,VLOOKUP(TbPrestamo[[#This Row],[ITEM]],TbPiezas[],5,FALSE))</f>
        <v>86.8</v>
      </c>
      <c r="V526" s="295">
        <f>+TbPrestamo[[#This Row],[TOTAL]]*TbPrestamo[[#This Row],[P.U. (1)]]</f>
        <v>86.8</v>
      </c>
      <c r="W526" s="84">
        <f>+VLOOKUP(TbPrestamo[[#This Row],[ITEM]],TbPiezas[],6,FALSE)</f>
        <v>8258.25</v>
      </c>
      <c r="X526" s="296">
        <f>+TbPrestamo[[#This Row],[TOTAL]]*TbPrestamo[[#This Row],[P.U. (2)]]</f>
        <v>8258.25</v>
      </c>
      <c r="Y526" s="84">
        <f>+VLOOKUP(TbPrestamo[[#This Row],[ITEM]],TbPiezas[],7,FALSE)</f>
        <v>412.91250000000002</v>
      </c>
      <c r="Z526" s="296">
        <f>+TbPrestamo[[#This Row],[TOTAL]]*TbPrestamo[[#This Row],[P.U. (3)]]</f>
        <v>412.91250000000002</v>
      </c>
    </row>
    <row r="527" spans="1:26" s="4" customFormat="1" x14ac:dyDescent="0.3">
      <c r="A527" s="2"/>
      <c r="B527" s="85"/>
      <c r="C527" s="71" t="s">
        <v>906</v>
      </c>
      <c r="D527" s="72" t="s">
        <v>909</v>
      </c>
      <c r="E527" s="73"/>
      <c r="F527" s="74"/>
      <c r="G527" s="2"/>
      <c r="H527" s="75" t="str">
        <f t="shared" si="14"/>
        <v>EV.8200</v>
      </c>
      <c r="I527" s="59" t="str">
        <f t="shared" si="15"/>
        <v>ok</v>
      </c>
      <c r="J527" s="77">
        <f>IFERROR(VLOOKUP($H527,TG[],3,FALSE),"NA")</f>
        <v>0</v>
      </c>
      <c r="K527" s="408" t="str">
        <f>IFERROR(VLOOKUP($H527,TF[],3,FALSE),"NA")</f>
        <v>NA</v>
      </c>
      <c r="L527" s="408" t="str">
        <f>IFERROR(VLOOKUP($H527,TT[],3,FALSE),"NA")</f>
        <v>NA</v>
      </c>
      <c r="M527" s="77" t="str">
        <f>IFERROR(VLOOKUP($H527,TES[],3,FALSE),"NA")</f>
        <v>NA</v>
      </c>
      <c r="N527" s="77" t="str">
        <f>IFERROR(VLOOKUP($H527,TEC[],3,FALSE),"NA")</f>
        <v>NA</v>
      </c>
      <c r="O527" s="77" t="str">
        <f>IFERROR(VLOOKUP($H527,TP[],3,FALSE),"NA")</f>
        <v>NA</v>
      </c>
      <c r="P527" s="77" t="str">
        <f>IFERROR(VLOOKUP($H527,TEN[],3,FALSE),"NA")</f>
        <v>NA</v>
      </c>
      <c r="Q527" s="77" t="str">
        <f>IFERROR(VLOOKUP($H527,TD[],3,FALSE),"NA")</f>
        <v>NA</v>
      </c>
      <c r="R527" s="77" t="str">
        <f>IFERROR(VLOOKUP($H527,TC[],3,FALSE),"NA")</f>
        <v>NA</v>
      </c>
      <c r="S527" s="408">
        <f>IFERROR(VLOOKUP($H527,TEV[],3,FALSE),"NA")</f>
        <v>0</v>
      </c>
      <c r="T527" s="78">
        <f>SUM(TbPrestamo[[#This Row],[GENERAL]:[ELEVADOR]])</f>
        <v>0</v>
      </c>
      <c r="U527" s="295">
        <f>IF(VLOOKUP(TbPrestamo[[#This Row],[ITEM]],TbPiezas[],5,FALSE)="NA",0,VLOOKUP(TbPrestamo[[#This Row],[ITEM]],TbPiezas[],5,FALSE))</f>
        <v>12.4</v>
      </c>
      <c r="V527" s="295">
        <f>+TbPrestamo[[#This Row],[TOTAL]]*TbPrestamo[[#This Row],[P.U. (1)]]</f>
        <v>0</v>
      </c>
      <c r="W527" s="84">
        <f>+VLOOKUP(TbPrestamo[[#This Row],[ITEM]],TbPiezas[],6,FALSE)</f>
        <v>1181.57</v>
      </c>
      <c r="X527" s="296">
        <f>+TbPrestamo[[#This Row],[TOTAL]]*TbPrestamo[[#This Row],[P.U. (2)]]</f>
        <v>0</v>
      </c>
      <c r="Y527" s="84">
        <f>+VLOOKUP(TbPrestamo[[#This Row],[ITEM]],TbPiezas[],7,FALSE)</f>
        <v>59.078499999999998</v>
      </c>
      <c r="Z527" s="296">
        <f>+TbPrestamo[[#This Row],[TOTAL]]*TbPrestamo[[#This Row],[P.U. (3)]]</f>
        <v>0</v>
      </c>
    </row>
    <row r="528" spans="1:26" s="4" customFormat="1" x14ac:dyDescent="0.3">
      <c r="A528" s="2"/>
      <c r="B528" s="85"/>
      <c r="C528" s="71" t="s">
        <v>908</v>
      </c>
      <c r="D528" s="72" t="s">
        <v>903</v>
      </c>
      <c r="E528" s="73"/>
      <c r="F528" s="74"/>
      <c r="G528" s="2"/>
      <c r="H528" s="75" t="str">
        <f t="shared" si="14"/>
        <v>EV.8300</v>
      </c>
      <c r="I528" s="59" t="str">
        <f t="shared" si="15"/>
        <v>ok</v>
      </c>
      <c r="J528" s="77">
        <f>IFERROR(VLOOKUP($H528,TG[],3,FALSE),"NA")</f>
        <v>0</v>
      </c>
      <c r="K528" s="408" t="str">
        <f>IFERROR(VLOOKUP($H528,TF[],3,FALSE),"NA")</f>
        <v>NA</v>
      </c>
      <c r="L528" s="408" t="str">
        <f>IFERROR(VLOOKUP($H528,TT[],3,FALSE),"NA")</f>
        <v>NA</v>
      </c>
      <c r="M528" s="77" t="str">
        <f>IFERROR(VLOOKUP($H528,TES[],3,FALSE),"NA")</f>
        <v>NA</v>
      </c>
      <c r="N528" s="77" t="str">
        <f>IFERROR(VLOOKUP($H528,TEC[],3,FALSE),"NA")</f>
        <v>NA</v>
      </c>
      <c r="O528" s="77" t="str">
        <f>IFERROR(VLOOKUP($H528,TP[],3,FALSE),"NA")</f>
        <v>NA</v>
      </c>
      <c r="P528" s="77" t="str">
        <f>IFERROR(VLOOKUP($H528,TEN[],3,FALSE),"NA")</f>
        <v>NA</v>
      </c>
      <c r="Q528" s="77" t="str">
        <f>IFERROR(VLOOKUP($H528,TD[],3,FALSE),"NA")</f>
        <v>NA</v>
      </c>
      <c r="R528" s="77" t="str">
        <f>IFERROR(VLOOKUP($H528,TC[],3,FALSE),"NA")</f>
        <v>NA</v>
      </c>
      <c r="S528" s="408">
        <f>IFERROR(VLOOKUP($H528,TEV[],3,FALSE),"NA")</f>
        <v>1</v>
      </c>
      <c r="T528" s="78">
        <f>SUM(TbPrestamo[[#This Row],[GENERAL]:[ELEVADOR]])</f>
        <v>1</v>
      </c>
      <c r="U528" s="295">
        <f>IF(VLOOKUP(TbPrestamo[[#This Row],[ITEM]],TbPiezas[],5,FALSE)="NA",0,VLOOKUP(TbPrestamo[[#This Row],[ITEM]],TbPiezas[],5,FALSE))</f>
        <v>6.2</v>
      </c>
      <c r="V528" s="295">
        <f>+TbPrestamo[[#This Row],[TOTAL]]*TbPrestamo[[#This Row],[P.U. (1)]]</f>
        <v>6.2</v>
      </c>
      <c r="W528" s="84">
        <f>+VLOOKUP(TbPrestamo[[#This Row],[ITEM]],TbPiezas[],6,FALSE)</f>
        <v>190.58</v>
      </c>
      <c r="X528" s="296">
        <f>+TbPrestamo[[#This Row],[TOTAL]]*TbPrestamo[[#This Row],[P.U. (2)]]</f>
        <v>190.58</v>
      </c>
      <c r="Y528" s="84">
        <f>+VLOOKUP(TbPrestamo[[#This Row],[ITEM]],TbPiezas[],7,FALSE)</f>
        <v>9.5290000000000017</v>
      </c>
      <c r="Z528" s="296">
        <f>+TbPrestamo[[#This Row],[TOTAL]]*TbPrestamo[[#This Row],[P.U. (3)]]</f>
        <v>9.5290000000000017</v>
      </c>
    </row>
    <row r="529" spans="1:26" s="4" customFormat="1" x14ac:dyDescent="0.3">
      <c r="A529" s="2"/>
      <c r="B529" s="85"/>
      <c r="C529" s="71" t="s">
        <v>910</v>
      </c>
      <c r="D529" s="72" t="s">
        <v>911</v>
      </c>
      <c r="E529" s="73"/>
      <c r="F529" s="74"/>
      <c r="G529" s="2"/>
      <c r="H529" s="75" t="str">
        <f t="shared" si="14"/>
        <v>EV.8400</v>
      </c>
      <c r="I529" s="59" t="str">
        <f t="shared" si="15"/>
        <v>ok</v>
      </c>
      <c r="J529" s="77">
        <f>IFERROR(VLOOKUP($H529,TG[],3,FALSE),"NA")</f>
        <v>0</v>
      </c>
      <c r="K529" s="408" t="str">
        <f>IFERROR(VLOOKUP($H529,TF[],3,FALSE),"NA")</f>
        <v>NA</v>
      </c>
      <c r="L529" s="408" t="str">
        <f>IFERROR(VLOOKUP($H529,TT[],3,FALSE),"NA")</f>
        <v>NA</v>
      </c>
      <c r="M529" s="77" t="str">
        <f>IFERROR(VLOOKUP($H529,TES[],3,FALSE),"NA")</f>
        <v>NA</v>
      </c>
      <c r="N529" s="77" t="str">
        <f>IFERROR(VLOOKUP($H529,TEC[],3,FALSE),"NA")</f>
        <v>NA</v>
      </c>
      <c r="O529" s="77" t="str">
        <f>IFERROR(VLOOKUP($H529,TP[],3,FALSE),"NA")</f>
        <v>NA</v>
      </c>
      <c r="P529" s="77" t="str">
        <f>IFERROR(VLOOKUP($H529,TEN[],3,FALSE),"NA")</f>
        <v>NA</v>
      </c>
      <c r="Q529" s="77" t="str">
        <f>IFERROR(VLOOKUP($H529,TD[],3,FALSE),"NA")</f>
        <v>NA</v>
      </c>
      <c r="R529" s="77" t="str">
        <f>IFERROR(VLOOKUP($H529,TC[],3,FALSE),"NA")</f>
        <v>NA</v>
      </c>
      <c r="S529" s="408">
        <f>IFERROR(VLOOKUP($H529,TEV[],3,FALSE),"NA")</f>
        <v>1</v>
      </c>
      <c r="T529" s="78">
        <f>SUM(TbPrestamo[[#This Row],[GENERAL]:[ELEVADOR]])</f>
        <v>1</v>
      </c>
      <c r="U529" s="295">
        <f>IF(VLOOKUP(TbPrestamo[[#This Row],[ITEM]],TbPiezas[],5,FALSE)="NA",0,VLOOKUP(TbPrestamo[[#This Row],[ITEM]],TbPiezas[],5,FALSE))</f>
        <v>0</v>
      </c>
      <c r="V529" s="295">
        <f>+TbPrestamo[[#This Row],[TOTAL]]*TbPrestamo[[#This Row],[P.U. (1)]]</f>
        <v>0</v>
      </c>
      <c r="W529" s="84">
        <f>+VLOOKUP(TbPrestamo[[#This Row],[ITEM]],TbPiezas[],6,FALSE)</f>
        <v>171.52</v>
      </c>
      <c r="X529" s="296">
        <f>+TbPrestamo[[#This Row],[TOTAL]]*TbPrestamo[[#This Row],[P.U. (2)]]</f>
        <v>171.52</v>
      </c>
      <c r="Y529" s="84">
        <f>+VLOOKUP(TbPrestamo[[#This Row],[ITEM]],TbPiezas[],7,FALSE)</f>
        <v>8.5760000000000005</v>
      </c>
      <c r="Z529" s="296">
        <f>+TbPrestamo[[#This Row],[TOTAL]]*TbPrestamo[[#This Row],[P.U. (3)]]</f>
        <v>8.5760000000000005</v>
      </c>
    </row>
    <row r="530" spans="1:26" s="4" customFormat="1" x14ac:dyDescent="0.3">
      <c r="A530" s="2"/>
      <c r="B530" s="85"/>
      <c r="C530" s="71" t="s">
        <v>912</v>
      </c>
      <c r="D530" s="72" t="s">
        <v>913</v>
      </c>
      <c r="E530" s="73"/>
      <c r="F530" s="74"/>
      <c r="G530" s="2"/>
      <c r="H530" s="75" t="str">
        <f t="shared" ref="H530:H564" si="16">+C530</f>
        <v>EV.8500</v>
      </c>
      <c r="I530" s="59" t="str">
        <f t="shared" ref="I530:I564" si="17">+IF(C530=H530,"ok","mal")</f>
        <v>ok</v>
      </c>
      <c r="J530" s="77">
        <f>IFERROR(VLOOKUP($H530,TG[],3,FALSE),"NA")</f>
        <v>0</v>
      </c>
      <c r="K530" s="408" t="str">
        <f>IFERROR(VLOOKUP($H530,TF[],3,FALSE),"NA")</f>
        <v>NA</v>
      </c>
      <c r="L530" s="408" t="str">
        <f>IFERROR(VLOOKUP($H530,TT[],3,FALSE),"NA")</f>
        <v>NA</v>
      </c>
      <c r="M530" s="77" t="str">
        <f>IFERROR(VLOOKUP($H530,TES[],3,FALSE),"NA")</f>
        <v>NA</v>
      </c>
      <c r="N530" s="77" t="str">
        <f>IFERROR(VLOOKUP($H530,TEC[],3,FALSE),"NA")</f>
        <v>NA</v>
      </c>
      <c r="O530" s="77" t="str">
        <f>IFERROR(VLOOKUP($H530,TP[],3,FALSE),"NA")</f>
        <v>NA</v>
      </c>
      <c r="P530" s="77" t="str">
        <f>IFERROR(VLOOKUP($H530,TEN[],3,FALSE),"NA")</f>
        <v>NA</v>
      </c>
      <c r="Q530" s="77" t="str">
        <f>IFERROR(VLOOKUP($H530,TD[],3,FALSE),"NA")</f>
        <v>NA</v>
      </c>
      <c r="R530" s="77" t="str">
        <f>IFERROR(VLOOKUP($H530,TC[],3,FALSE),"NA")</f>
        <v>NA</v>
      </c>
      <c r="S530" s="408">
        <f>IFERROR(VLOOKUP($H530,TEV[],3,FALSE),"NA")</f>
        <v>1</v>
      </c>
      <c r="T530" s="78">
        <f>SUM(TbPrestamo[[#This Row],[GENERAL]:[ELEVADOR]])</f>
        <v>1</v>
      </c>
      <c r="U530" s="295">
        <f>IF(VLOOKUP(TbPrestamo[[#This Row],[ITEM]],TbPiezas[],5,FALSE)="NA",0,VLOOKUP(TbPrestamo[[#This Row],[ITEM]],TbPiezas[],5,FALSE))</f>
        <v>54.1</v>
      </c>
      <c r="V530" s="295">
        <f>+TbPrestamo[[#This Row],[TOTAL]]*TbPrestamo[[#This Row],[P.U. (1)]]</f>
        <v>54.1</v>
      </c>
      <c r="W530" s="84">
        <f>+VLOOKUP(TbPrestamo[[#This Row],[ITEM]],TbPiezas[],6,FALSE)</f>
        <v>1245.0899999999999</v>
      </c>
      <c r="X530" s="296">
        <f>+TbPrestamo[[#This Row],[TOTAL]]*TbPrestamo[[#This Row],[P.U. (2)]]</f>
        <v>1245.0899999999999</v>
      </c>
      <c r="Y530" s="84">
        <f>+VLOOKUP(TbPrestamo[[#This Row],[ITEM]],TbPiezas[],7,FALSE)</f>
        <v>62.2545</v>
      </c>
      <c r="Z530" s="296">
        <f>+TbPrestamo[[#This Row],[TOTAL]]*TbPrestamo[[#This Row],[P.U. (3)]]</f>
        <v>62.2545</v>
      </c>
    </row>
    <row r="531" spans="1:26" s="4" customFormat="1" x14ac:dyDescent="0.3">
      <c r="A531" s="2"/>
      <c r="B531" s="85"/>
      <c r="C531" s="71" t="s">
        <v>1509</v>
      </c>
      <c r="D531" s="72" t="s">
        <v>1507</v>
      </c>
      <c r="E531" s="73"/>
      <c r="F531" s="74"/>
      <c r="G531" s="2"/>
      <c r="H531" s="75" t="str">
        <f t="shared" si="16"/>
        <v>EV.8510</v>
      </c>
      <c r="I531" s="59" t="str">
        <f t="shared" si="17"/>
        <v>ok</v>
      </c>
      <c r="J531" s="77">
        <f>IFERROR(VLOOKUP($H531,TG[],3,FALSE),"NA")</f>
        <v>0</v>
      </c>
      <c r="K531" s="408" t="str">
        <f>IFERROR(VLOOKUP($H531,TF[],3,FALSE),"NA")</f>
        <v>NA</v>
      </c>
      <c r="L531" s="408" t="str">
        <f>IFERROR(VLOOKUP($H531,TT[],3,FALSE),"NA")</f>
        <v>NA</v>
      </c>
      <c r="M531" s="77" t="str">
        <f>IFERROR(VLOOKUP($H531,TES[],3,FALSE),"NA")</f>
        <v>NA</v>
      </c>
      <c r="N531" s="77" t="str">
        <f>IFERROR(VLOOKUP($H531,TEC[],3,FALSE),"NA")</f>
        <v>NA</v>
      </c>
      <c r="O531" s="77" t="str">
        <f>IFERROR(VLOOKUP($H531,TP[],3,FALSE),"NA")</f>
        <v>NA</v>
      </c>
      <c r="P531" s="77" t="str">
        <f>IFERROR(VLOOKUP($H531,TEN[],3,FALSE),"NA")</f>
        <v>NA</v>
      </c>
      <c r="Q531" s="77" t="str">
        <f>IFERROR(VLOOKUP($H531,TD[],3,FALSE),"NA")</f>
        <v>NA</v>
      </c>
      <c r="R531" s="77" t="str">
        <f>IFERROR(VLOOKUP($H531,TC[],3,FALSE),"NA")</f>
        <v>NA</v>
      </c>
      <c r="S531" s="408" t="str">
        <f>IFERROR(VLOOKUP($H531,TEV[],3,FALSE),"NA")</f>
        <v>NA</v>
      </c>
      <c r="T531" s="78">
        <f>SUM(TbPrestamo[[#This Row],[GENERAL]:[ELEVADOR]])</f>
        <v>0</v>
      </c>
      <c r="U531" s="295">
        <f>IF(VLOOKUP(TbPrestamo[[#This Row],[ITEM]],TbPiezas[],5,FALSE)="NA",0,VLOOKUP(TbPrestamo[[#This Row],[ITEM]],TbPiezas[],5,FALSE))</f>
        <v>0</v>
      </c>
      <c r="V531" s="295">
        <f>+TbPrestamo[[#This Row],[TOTAL]]*TbPrestamo[[#This Row],[P.U. (1)]]</f>
        <v>0</v>
      </c>
      <c r="W531" s="84">
        <f>+VLOOKUP(TbPrestamo[[#This Row],[ITEM]],TbPiezas[],6,FALSE)</f>
        <v>0</v>
      </c>
      <c r="X531" s="296">
        <f>+TbPrestamo[[#This Row],[TOTAL]]*TbPrestamo[[#This Row],[P.U. (2)]]</f>
        <v>0</v>
      </c>
      <c r="Y531" s="84">
        <f>+VLOOKUP(TbPrestamo[[#This Row],[ITEM]],TbPiezas[],7,FALSE)</f>
        <v>0</v>
      </c>
      <c r="Z531" s="296">
        <f>+TbPrestamo[[#This Row],[TOTAL]]*TbPrestamo[[#This Row],[P.U. (3)]]</f>
        <v>0</v>
      </c>
    </row>
    <row r="532" spans="1:26" s="4" customFormat="1" x14ac:dyDescent="0.3">
      <c r="A532" s="2"/>
      <c r="B532" s="85"/>
      <c r="C532" s="71" t="s">
        <v>1510</v>
      </c>
      <c r="D532" s="72" t="s">
        <v>1508</v>
      </c>
      <c r="E532" s="73"/>
      <c r="F532" s="74"/>
      <c r="G532" s="2"/>
      <c r="H532" s="75" t="str">
        <f t="shared" si="16"/>
        <v>EV.8520</v>
      </c>
      <c r="I532" s="59" t="str">
        <f t="shared" si="17"/>
        <v>ok</v>
      </c>
      <c r="J532" s="77">
        <f>IFERROR(VLOOKUP($H532,TG[],3,FALSE),"NA")</f>
        <v>0</v>
      </c>
      <c r="K532" s="408" t="str">
        <f>IFERROR(VLOOKUP($H532,TF[],3,FALSE),"NA")</f>
        <v>NA</v>
      </c>
      <c r="L532" s="408" t="str">
        <f>IFERROR(VLOOKUP($H532,TT[],3,FALSE),"NA")</f>
        <v>NA</v>
      </c>
      <c r="M532" s="77" t="str">
        <f>IFERROR(VLOOKUP($H532,TES[],3,FALSE),"NA")</f>
        <v>NA</v>
      </c>
      <c r="N532" s="77" t="str">
        <f>IFERROR(VLOOKUP($H532,TEC[],3,FALSE),"NA")</f>
        <v>NA</v>
      </c>
      <c r="O532" s="77" t="str">
        <f>IFERROR(VLOOKUP($H532,TP[],3,FALSE),"NA")</f>
        <v>NA</v>
      </c>
      <c r="P532" s="77" t="str">
        <f>IFERROR(VLOOKUP($H532,TEN[],3,FALSE),"NA")</f>
        <v>NA</v>
      </c>
      <c r="Q532" s="77" t="str">
        <f>IFERROR(VLOOKUP($H532,TD[],3,FALSE),"NA")</f>
        <v>NA</v>
      </c>
      <c r="R532" s="77" t="str">
        <f>IFERROR(VLOOKUP($H532,TC[],3,FALSE),"NA")</f>
        <v>NA</v>
      </c>
      <c r="S532" s="408" t="str">
        <f>IFERROR(VLOOKUP($H532,TEV[],3,FALSE),"NA")</f>
        <v>NA</v>
      </c>
      <c r="T532" s="78">
        <f>SUM(TbPrestamo[[#This Row],[GENERAL]:[ELEVADOR]])</f>
        <v>0</v>
      </c>
      <c r="U532" s="295">
        <f>IF(VLOOKUP(TbPrestamo[[#This Row],[ITEM]],TbPiezas[],5,FALSE)="NA",0,VLOOKUP(TbPrestamo[[#This Row],[ITEM]],TbPiezas[],5,FALSE))</f>
        <v>0</v>
      </c>
      <c r="V532" s="295">
        <f>+TbPrestamo[[#This Row],[TOTAL]]*TbPrestamo[[#This Row],[P.U. (1)]]</f>
        <v>0</v>
      </c>
      <c r="W532" s="84">
        <f>+VLOOKUP(TbPrestamo[[#This Row],[ITEM]],TbPiezas[],6,FALSE)</f>
        <v>0</v>
      </c>
      <c r="X532" s="296">
        <f>+TbPrestamo[[#This Row],[TOTAL]]*TbPrestamo[[#This Row],[P.U. (2)]]</f>
        <v>0</v>
      </c>
      <c r="Y532" s="84">
        <f>+VLOOKUP(TbPrestamo[[#This Row],[ITEM]],TbPiezas[],7,FALSE)</f>
        <v>0</v>
      </c>
      <c r="Z532" s="296">
        <f>+TbPrestamo[[#This Row],[TOTAL]]*TbPrestamo[[#This Row],[P.U. (3)]]</f>
        <v>0</v>
      </c>
    </row>
    <row r="533" spans="1:26" s="4" customFormat="1" x14ac:dyDescent="0.3">
      <c r="A533" s="2"/>
      <c r="B533" s="85"/>
      <c r="C533" s="71" t="s">
        <v>914</v>
      </c>
      <c r="D533" s="72" t="s">
        <v>915</v>
      </c>
      <c r="E533" s="73"/>
      <c r="F533" s="74"/>
      <c r="G533" s="2"/>
      <c r="H533" s="75" t="str">
        <f t="shared" si="16"/>
        <v>EV.8600</v>
      </c>
      <c r="I533" s="59" t="str">
        <f t="shared" si="17"/>
        <v>ok</v>
      </c>
      <c r="J533" s="77">
        <f>IFERROR(VLOOKUP($H533,TG[],3,FALSE),"NA")</f>
        <v>0</v>
      </c>
      <c r="K533" s="408" t="str">
        <f>IFERROR(VLOOKUP($H533,TF[],3,FALSE),"NA")</f>
        <v>NA</v>
      </c>
      <c r="L533" s="408" t="str">
        <f>IFERROR(VLOOKUP($H533,TT[],3,FALSE),"NA")</f>
        <v>NA</v>
      </c>
      <c r="M533" s="77" t="str">
        <f>IFERROR(VLOOKUP($H533,TES[],3,FALSE),"NA")</f>
        <v>NA</v>
      </c>
      <c r="N533" s="77" t="str">
        <f>IFERROR(VLOOKUP($H533,TEC[],3,FALSE),"NA")</f>
        <v>NA</v>
      </c>
      <c r="O533" s="77" t="str">
        <f>IFERROR(VLOOKUP($H533,TP[],3,FALSE),"NA")</f>
        <v>NA</v>
      </c>
      <c r="P533" s="77" t="str">
        <f>IFERROR(VLOOKUP($H533,TEN[],3,FALSE),"NA")</f>
        <v>NA</v>
      </c>
      <c r="Q533" s="77" t="str">
        <f>IFERROR(VLOOKUP($H533,TD[],3,FALSE),"NA")</f>
        <v>NA</v>
      </c>
      <c r="R533" s="77" t="str">
        <f>IFERROR(VLOOKUP($H533,TC[],3,FALSE),"NA")</f>
        <v>NA</v>
      </c>
      <c r="S533" s="408">
        <f>IFERROR(VLOOKUP($H533,TEV[],3,FALSE),"NA")</f>
        <v>1</v>
      </c>
      <c r="T533" s="78">
        <f>SUM(TbPrestamo[[#This Row],[GENERAL]:[ELEVADOR]])</f>
        <v>1</v>
      </c>
      <c r="U533" s="295">
        <f>IF(VLOOKUP(TbPrestamo[[#This Row],[ITEM]],TbPiezas[],5,FALSE)="NA",0,VLOOKUP(TbPrestamo[[#This Row],[ITEM]],TbPiezas[],5,FALSE))</f>
        <v>3</v>
      </c>
      <c r="V533" s="295">
        <f>+TbPrestamo[[#This Row],[TOTAL]]*TbPrestamo[[#This Row],[P.U. (1)]]</f>
        <v>3</v>
      </c>
      <c r="W533" s="84">
        <f>+VLOOKUP(TbPrestamo[[#This Row],[ITEM]],TbPiezas[],6,FALSE)</f>
        <v>317.63</v>
      </c>
      <c r="X533" s="296">
        <f>+TbPrestamo[[#This Row],[TOTAL]]*TbPrestamo[[#This Row],[P.U. (2)]]</f>
        <v>317.63</v>
      </c>
      <c r="Y533" s="84">
        <f>+VLOOKUP(TbPrestamo[[#This Row],[ITEM]],TbPiezas[],7,FALSE)</f>
        <v>15.881500000000001</v>
      </c>
      <c r="Z533" s="296">
        <f>+TbPrestamo[[#This Row],[TOTAL]]*TbPrestamo[[#This Row],[P.U. (3)]]</f>
        <v>15.881500000000001</v>
      </c>
    </row>
    <row r="534" spans="1:26" s="4" customFormat="1" x14ac:dyDescent="0.3">
      <c r="A534" s="2"/>
      <c r="B534" s="85"/>
      <c r="C534" s="71" t="s">
        <v>916</v>
      </c>
      <c r="D534" s="72" t="s">
        <v>917</v>
      </c>
      <c r="E534" s="73"/>
      <c r="F534" s="74"/>
      <c r="G534" s="2"/>
      <c r="H534" s="75" t="str">
        <f t="shared" si="16"/>
        <v>EV.8700</v>
      </c>
      <c r="I534" s="59" t="str">
        <f t="shared" si="17"/>
        <v>ok</v>
      </c>
      <c r="J534" s="77">
        <f>IFERROR(VLOOKUP($H534,TG[],3,FALSE),"NA")</f>
        <v>0</v>
      </c>
      <c r="K534" s="408" t="str">
        <f>IFERROR(VLOOKUP($H534,TF[],3,FALSE),"NA")</f>
        <v>NA</v>
      </c>
      <c r="L534" s="408" t="str">
        <f>IFERROR(VLOOKUP($H534,TT[],3,FALSE),"NA")</f>
        <v>NA</v>
      </c>
      <c r="M534" s="77" t="str">
        <f>IFERROR(VLOOKUP($H534,TES[],3,FALSE),"NA")</f>
        <v>NA</v>
      </c>
      <c r="N534" s="77" t="str">
        <f>IFERROR(VLOOKUP($H534,TEC[],3,FALSE),"NA")</f>
        <v>NA</v>
      </c>
      <c r="O534" s="77" t="str">
        <f>IFERROR(VLOOKUP($H534,TP[],3,FALSE),"NA")</f>
        <v>NA</v>
      </c>
      <c r="P534" s="77" t="str">
        <f>IFERROR(VLOOKUP($H534,TEN[],3,FALSE),"NA")</f>
        <v>NA</v>
      </c>
      <c r="Q534" s="77" t="str">
        <f>IFERROR(VLOOKUP($H534,TD[],3,FALSE),"NA")</f>
        <v>NA</v>
      </c>
      <c r="R534" s="77" t="str">
        <f>IFERROR(VLOOKUP($H534,TC[],3,FALSE),"NA")</f>
        <v>NA</v>
      </c>
      <c r="S534" s="408">
        <f>IFERROR(VLOOKUP($H534,TEV[],3,FALSE),"NA")</f>
        <v>1</v>
      </c>
      <c r="T534" s="78">
        <f>SUM(TbPrestamo[[#This Row],[GENERAL]:[ELEVADOR]])</f>
        <v>1</v>
      </c>
      <c r="U534" s="295">
        <f>IF(VLOOKUP(TbPrestamo[[#This Row],[ITEM]],TbPiezas[],5,FALSE)="NA",0,VLOOKUP(TbPrestamo[[#This Row],[ITEM]],TbPiezas[],5,FALSE))</f>
        <v>3</v>
      </c>
      <c r="V534" s="295">
        <f>+TbPrestamo[[#This Row],[TOTAL]]*TbPrestamo[[#This Row],[P.U. (1)]]</f>
        <v>3</v>
      </c>
      <c r="W534" s="84">
        <f>+VLOOKUP(TbPrestamo[[#This Row],[ITEM]],TbPiezas[],6,FALSE)</f>
        <v>190.58</v>
      </c>
      <c r="X534" s="296">
        <f>+TbPrestamo[[#This Row],[TOTAL]]*TbPrestamo[[#This Row],[P.U. (2)]]</f>
        <v>190.58</v>
      </c>
      <c r="Y534" s="84">
        <f>+VLOOKUP(TbPrestamo[[#This Row],[ITEM]],TbPiezas[],7,FALSE)</f>
        <v>9.5290000000000017</v>
      </c>
      <c r="Z534" s="296">
        <f>+TbPrestamo[[#This Row],[TOTAL]]*TbPrestamo[[#This Row],[P.U. (3)]]</f>
        <v>9.5290000000000017</v>
      </c>
    </row>
    <row r="535" spans="1:26" s="4" customFormat="1" x14ac:dyDescent="0.3">
      <c r="A535" s="2"/>
      <c r="B535" s="85"/>
      <c r="C535" s="71" t="s">
        <v>918</v>
      </c>
      <c r="D535" s="72" t="s">
        <v>919</v>
      </c>
      <c r="E535" s="73"/>
      <c r="F535" s="74"/>
      <c r="G535" s="2"/>
      <c r="H535" s="75" t="str">
        <f t="shared" si="16"/>
        <v>EV.8800</v>
      </c>
      <c r="I535" s="59" t="str">
        <f t="shared" si="17"/>
        <v>ok</v>
      </c>
      <c r="J535" s="77">
        <f>IFERROR(VLOOKUP($H535,TG[],3,FALSE),"NA")</f>
        <v>0</v>
      </c>
      <c r="K535" s="408" t="str">
        <f>IFERROR(VLOOKUP($H535,TF[],3,FALSE),"NA")</f>
        <v>NA</v>
      </c>
      <c r="L535" s="408" t="str">
        <f>IFERROR(VLOOKUP($H535,TT[],3,FALSE),"NA")</f>
        <v>NA</v>
      </c>
      <c r="M535" s="77" t="str">
        <f>IFERROR(VLOOKUP($H535,TES[],3,FALSE),"NA")</f>
        <v>NA</v>
      </c>
      <c r="N535" s="77" t="str">
        <f>IFERROR(VLOOKUP($H535,TEC[],3,FALSE),"NA")</f>
        <v>NA</v>
      </c>
      <c r="O535" s="77" t="str">
        <f>IFERROR(VLOOKUP($H535,TP[],3,FALSE),"NA")</f>
        <v>NA</v>
      </c>
      <c r="P535" s="77" t="str">
        <f>IFERROR(VLOOKUP($H535,TEN[],3,FALSE),"NA")</f>
        <v>NA</v>
      </c>
      <c r="Q535" s="77" t="str">
        <f>IFERROR(VLOOKUP($H535,TD[],3,FALSE),"NA")</f>
        <v>NA</v>
      </c>
      <c r="R535" s="77" t="str">
        <f>IFERROR(VLOOKUP($H535,TC[],3,FALSE),"NA")</f>
        <v>NA</v>
      </c>
      <c r="S535" s="408">
        <f>IFERROR(VLOOKUP($H535,TEV[],3,FALSE),"NA")</f>
        <v>1</v>
      </c>
      <c r="T535" s="78">
        <f>SUM(TbPrestamo[[#This Row],[GENERAL]:[ELEVADOR]])</f>
        <v>1</v>
      </c>
      <c r="U535" s="295">
        <f>IF(VLOOKUP(TbPrestamo[[#This Row],[ITEM]],TbPiezas[],5,FALSE)="NA",0,VLOOKUP(TbPrestamo[[#This Row],[ITEM]],TbPiezas[],5,FALSE))</f>
        <v>1</v>
      </c>
      <c r="V535" s="295">
        <f>+TbPrestamo[[#This Row],[TOTAL]]*TbPrestamo[[#This Row],[P.U. (1)]]</f>
        <v>1</v>
      </c>
      <c r="W535" s="84">
        <f>+VLOOKUP(TbPrestamo[[#This Row],[ITEM]],TbPiezas[],6,FALSE)</f>
        <v>101.64</v>
      </c>
      <c r="X535" s="296">
        <f>+TbPrestamo[[#This Row],[TOTAL]]*TbPrestamo[[#This Row],[P.U. (2)]]</f>
        <v>101.64</v>
      </c>
      <c r="Y535" s="84">
        <f>+VLOOKUP(TbPrestamo[[#This Row],[ITEM]],TbPiezas[],7,FALSE)</f>
        <v>5.0820000000000007</v>
      </c>
      <c r="Z535" s="296">
        <f>+TbPrestamo[[#This Row],[TOTAL]]*TbPrestamo[[#This Row],[P.U. (3)]]</f>
        <v>5.0820000000000007</v>
      </c>
    </row>
    <row r="536" spans="1:26" s="4" customFormat="1" x14ac:dyDescent="0.3">
      <c r="A536" s="2"/>
      <c r="B536" s="85"/>
      <c r="C536" s="71" t="s">
        <v>920</v>
      </c>
      <c r="D536" s="72" t="s">
        <v>921</v>
      </c>
      <c r="E536" s="73"/>
      <c r="F536" s="74"/>
      <c r="G536" s="2"/>
      <c r="H536" s="75" t="str">
        <f t="shared" si="16"/>
        <v>EV.8900</v>
      </c>
      <c r="I536" s="59" t="str">
        <f t="shared" si="17"/>
        <v>ok</v>
      </c>
      <c r="J536" s="77">
        <f>IFERROR(VLOOKUP($H536,TG[],3,FALSE),"NA")</f>
        <v>0</v>
      </c>
      <c r="K536" s="408" t="str">
        <f>IFERROR(VLOOKUP($H536,TF[],3,FALSE),"NA")</f>
        <v>NA</v>
      </c>
      <c r="L536" s="408" t="str">
        <f>IFERROR(VLOOKUP($H536,TT[],3,FALSE),"NA")</f>
        <v>NA</v>
      </c>
      <c r="M536" s="77" t="str">
        <f>IFERROR(VLOOKUP($H536,TES[],3,FALSE),"NA")</f>
        <v>NA</v>
      </c>
      <c r="N536" s="77" t="str">
        <f>IFERROR(VLOOKUP($H536,TEC[],3,FALSE),"NA")</f>
        <v>NA</v>
      </c>
      <c r="O536" s="77" t="str">
        <f>IFERROR(VLOOKUP($H536,TP[],3,FALSE),"NA")</f>
        <v>NA</v>
      </c>
      <c r="P536" s="77" t="str">
        <f>IFERROR(VLOOKUP($H536,TEN[],3,FALSE),"NA")</f>
        <v>NA</v>
      </c>
      <c r="Q536" s="77" t="str">
        <f>IFERROR(VLOOKUP($H536,TD[],3,FALSE),"NA")</f>
        <v>NA</v>
      </c>
      <c r="R536" s="77" t="str">
        <f>IFERROR(VLOOKUP($H536,TC[],3,FALSE),"NA")</f>
        <v>NA</v>
      </c>
      <c r="S536" s="408">
        <f>IFERROR(VLOOKUP($H536,TEV[],3,FALSE),"NA")</f>
        <v>1</v>
      </c>
      <c r="T536" s="78">
        <f>SUM(TbPrestamo[[#This Row],[GENERAL]:[ELEVADOR]])</f>
        <v>1</v>
      </c>
      <c r="U536" s="295">
        <f>IF(VLOOKUP(TbPrestamo[[#This Row],[ITEM]],TbPiezas[],5,FALSE)="NA",0,VLOOKUP(TbPrestamo[[#This Row],[ITEM]],TbPiezas[],5,FALSE))</f>
        <v>0.4</v>
      </c>
      <c r="V536" s="295">
        <f>+TbPrestamo[[#This Row],[TOTAL]]*TbPrestamo[[#This Row],[P.U. (1)]]</f>
        <v>0.4</v>
      </c>
      <c r="W536" s="84">
        <f>+VLOOKUP(TbPrestamo[[#This Row],[ITEM]],TbPiezas[],6,FALSE)</f>
        <v>825.83</v>
      </c>
      <c r="X536" s="296">
        <f>+TbPrestamo[[#This Row],[TOTAL]]*TbPrestamo[[#This Row],[P.U. (2)]]</f>
        <v>825.83</v>
      </c>
      <c r="Y536" s="84">
        <f>+VLOOKUP(TbPrestamo[[#This Row],[ITEM]],TbPiezas[],7,FALSE)</f>
        <v>41.291500000000006</v>
      </c>
      <c r="Z536" s="296">
        <f>+TbPrestamo[[#This Row],[TOTAL]]*TbPrestamo[[#This Row],[P.U. (3)]]</f>
        <v>41.291500000000006</v>
      </c>
    </row>
    <row r="537" spans="1:26" s="4" customFormat="1" x14ac:dyDescent="0.3">
      <c r="A537" s="2"/>
      <c r="B537" s="85"/>
      <c r="C537" s="71" t="s">
        <v>922</v>
      </c>
      <c r="D537" s="72" t="s">
        <v>923</v>
      </c>
      <c r="E537" s="73"/>
      <c r="F537" s="74"/>
      <c r="G537" s="2"/>
      <c r="H537" s="75" t="str">
        <f t="shared" si="16"/>
        <v>EV.9000</v>
      </c>
      <c r="I537" s="59" t="str">
        <f t="shared" si="17"/>
        <v>ok</v>
      </c>
      <c r="J537" s="77">
        <f>IFERROR(VLOOKUP($H537,TG[],3,FALSE),"NA")</f>
        <v>0</v>
      </c>
      <c r="K537" s="408" t="str">
        <f>IFERROR(VLOOKUP($H537,TF[],3,FALSE),"NA")</f>
        <v>NA</v>
      </c>
      <c r="L537" s="408" t="str">
        <f>IFERROR(VLOOKUP($H537,TT[],3,FALSE),"NA")</f>
        <v>NA</v>
      </c>
      <c r="M537" s="77" t="str">
        <f>IFERROR(VLOOKUP($H537,TES[],3,FALSE),"NA")</f>
        <v>NA</v>
      </c>
      <c r="N537" s="77" t="str">
        <f>IFERROR(VLOOKUP($H537,TEC[],3,FALSE),"NA")</f>
        <v>NA</v>
      </c>
      <c r="O537" s="77" t="str">
        <f>IFERROR(VLOOKUP($H537,TP[],3,FALSE),"NA")</f>
        <v>NA</v>
      </c>
      <c r="P537" s="77" t="str">
        <f>IFERROR(VLOOKUP($H537,TEN[],3,FALSE),"NA")</f>
        <v>NA</v>
      </c>
      <c r="Q537" s="77" t="str">
        <f>IFERROR(VLOOKUP($H537,TD[],3,FALSE),"NA")</f>
        <v>NA</v>
      </c>
      <c r="R537" s="77" t="str">
        <f>IFERROR(VLOOKUP($H537,TC[],3,FALSE),"NA")</f>
        <v>NA</v>
      </c>
      <c r="S537" s="408">
        <f>IFERROR(VLOOKUP($H537,TEV[],3,FALSE),"NA")</f>
        <v>0</v>
      </c>
      <c r="T537" s="78">
        <f>SUM(TbPrestamo[[#This Row],[GENERAL]:[ELEVADOR]])</f>
        <v>0</v>
      </c>
      <c r="U537" s="295">
        <f>IF(VLOOKUP(TbPrestamo[[#This Row],[ITEM]],TbPiezas[],5,FALSE)="NA",0,VLOOKUP(TbPrestamo[[#This Row],[ITEM]],TbPiezas[],5,FALSE))</f>
        <v>0.7</v>
      </c>
      <c r="V537" s="295">
        <f>+TbPrestamo[[#This Row],[TOTAL]]*TbPrestamo[[#This Row],[P.U. (1)]]</f>
        <v>0</v>
      </c>
      <c r="W537" s="84">
        <f>+VLOOKUP(TbPrestamo[[#This Row],[ITEM]],TbPiezas[],6,FALSE)</f>
        <v>317.63</v>
      </c>
      <c r="X537" s="296">
        <f>+TbPrestamo[[#This Row],[TOTAL]]*TbPrestamo[[#This Row],[P.U. (2)]]</f>
        <v>0</v>
      </c>
      <c r="Y537" s="84">
        <f>+VLOOKUP(TbPrestamo[[#This Row],[ITEM]],TbPiezas[],7,FALSE)</f>
        <v>15.881500000000001</v>
      </c>
      <c r="Z537" s="296">
        <f>+TbPrestamo[[#This Row],[TOTAL]]*TbPrestamo[[#This Row],[P.U. (3)]]</f>
        <v>0</v>
      </c>
    </row>
    <row r="538" spans="1:26" s="4" customFormat="1" x14ac:dyDescent="0.3">
      <c r="A538" s="2"/>
      <c r="B538" s="85"/>
      <c r="C538" s="71" t="s">
        <v>924</v>
      </c>
      <c r="D538" s="72" t="s">
        <v>925</v>
      </c>
      <c r="E538" s="73"/>
      <c r="F538" s="74"/>
      <c r="G538" s="2"/>
      <c r="H538" s="75" t="str">
        <f t="shared" si="16"/>
        <v>EV.9050</v>
      </c>
      <c r="I538" s="59" t="str">
        <f t="shared" si="17"/>
        <v>ok</v>
      </c>
      <c r="J538" s="77">
        <f>IFERROR(VLOOKUP($H538,TG[],3,FALSE),"NA")</f>
        <v>0</v>
      </c>
      <c r="K538" s="408" t="str">
        <f>IFERROR(VLOOKUP($H538,TF[],3,FALSE),"NA")</f>
        <v>NA</v>
      </c>
      <c r="L538" s="408" t="str">
        <f>IFERROR(VLOOKUP($H538,TT[],3,FALSE),"NA")</f>
        <v>NA</v>
      </c>
      <c r="M538" s="77" t="str">
        <f>IFERROR(VLOOKUP($H538,TES[],3,FALSE),"NA")</f>
        <v>NA</v>
      </c>
      <c r="N538" s="77" t="str">
        <f>IFERROR(VLOOKUP($H538,TEC[],3,FALSE),"NA")</f>
        <v>NA</v>
      </c>
      <c r="O538" s="77" t="str">
        <f>IFERROR(VLOOKUP($H538,TP[],3,FALSE),"NA")</f>
        <v>NA</v>
      </c>
      <c r="P538" s="77" t="str">
        <f>IFERROR(VLOOKUP($H538,TEN[],3,FALSE),"NA")</f>
        <v>NA</v>
      </c>
      <c r="Q538" s="77" t="str">
        <f>IFERROR(VLOOKUP($H538,TD[],3,FALSE),"NA")</f>
        <v>NA</v>
      </c>
      <c r="R538" s="77" t="str">
        <f>IFERROR(VLOOKUP($H538,TC[],3,FALSE),"NA")</f>
        <v>NA</v>
      </c>
      <c r="S538" s="408">
        <f>IFERROR(VLOOKUP($H538,TEV[],3,FALSE),"NA")</f>
        <v>0</v>
      </c>
      <c r="T538" s="78">
        <f>SUM(TbPrestamo[[#This Row],[GENERAL]:[ELEVADOR]])</f>
        <v>0</v>
      </c>
      <c r="U538" s="295">
        <f>IF(VLOOKUP(TbPrestamo[[#This Row],[ITEM]],TbPiezas[],5,FALSE)="NA",0,VLOOKUP(TbPrestamo[[#This Row],[ITEM]],TbPiezas[],5,FALSE))</f>
        <v>2</v>
      </c>
      <c r="V538" s="295">
        <f>+TbPrestamo[[#This Row],[TOTAL]]*TbPrestamo[[#This Row],[P.U. (1)]]</f>
        <v>0</v>
      </c>
      <c r="W538" s="84">
        <f>+VLOOKUP(TbPrestamo[[#This Row],[ITEM]],TbPiezas[],6,FALSE)</f>
        <v>45.1</v>
      </c>
      <c r="X538" s="296">
        <f>+TbPrestamo[[#This Row],[TOTAL]]*TbPrestamo[[#This Row],[P.U. (2)]]</f>
        <v>0</v>
      </c>
      <c r="Y538" s="84">
        <f>+VLOOKUP(TbPrestamo[[#This Row],[ITEM]],TbPiezas[],7,FALSE)</f>
        <v>2.2550000000000003</v>
      </c>
      <c r="Z538" s="296">
        <f>+TbPrestamo[[#This Row],[TOTAL]]*TbPrestamo[[#This Row],[P.U. (3)]]</f>
        <v>0</v>
      </c>
    </row>
    <row r="539" spans="1:26" s="4" customFormat="1" x14ac:dyDescent="0.3">
      <c r="A539" s="2"/>
      <c r="B539" s="85"/>
      <c r="C539" s="71" t="s">
        <v>926</v>
      </c>
      <c r="D539" s="72" t="s">
        <v>927</v>
      </c>
      <c r="E539" s="73"/>
      <c r="F539" s="74"/>
      <c r="G539" s="2"/>
      <c r="H539" s="75" t="str">
        <f t="shared" si="16"/>
        <v>EV.9100</v>
      </c>
      <c r="I539" s="59" t="str">
        <f t="shared" si="17"/>
        <v>ok</v>
      </c>
      <c r="J539" s="77">
        <f>IFERROR(VLOOKUP($H539,TG[],3,FALSE),"NA")</f>
        <v>0</v>
      </c>
      <c r="K539" s="408" t="str">
        <f>IFERROR(VLOOKUP($H539,TF[],3,FALSE),"NA")</f>
        <v>NA</v>
      </c>
      <c r="L539" s="408" t="str">
        <f>IFERROR(VLOOKUP($H539,TT[],3,FALSE),"NA")</f>
        <v>NA</v>
      </c>
      <c r="M539" s="77" t="str">
        <f>IFERROR(VLOOKUP($H539,TES[],3,FALSE),"NA")</f>
        <v>NA</v>
      </c>
      <c r="N539" s="77" t="str">
        <f>IFERROR(VLOOKUP($H539,TEC[],3,FALSE),"NA")</f>
        <v>NA</v>
      </c>
      <c r="O539" s="77" t="str">
        <f>IFERROR(VLOOKUP($H539,TP[],3,FALSE),"NA")</f>
        <v>NA</v>
      </c>
      <c r="P539" s="77" t="str">
        <f>IFERROR(VLOOKUP($H539,TEN[],3,FALSE),"NA")</f>
        <v>NA</v>
      </c>
      <c r="Q539" s="77" t="str">
        <f>IFERROR(VLOOKUP($H539,TD[],3,FALSE),"NA")</f>
        <v>NA</v>
      </c>
      <c r="R539" s="77" t="str">
        <f>IFERROR(VLOOKUP($H539,TC[],3,FALSE),"NA")</f>
        <v>NA</v>
      </c>
      <c r="S539" s="408">
        <f>IFERROR(VLOOKUP($H539,TEV[],3,FALSE),"NA")</f>
        <v>4</v>
      </c>
      <c r="T539" s="78">
        <f>SUM(TbPrestamo[[#This Row],[GENERAL]:[ELEVADOR]])</f>
        <v>4</v>
      </c>
      <c r="U539" s="295">
        <f>IF(VLOOKUP(TbPrestamo[[#This Row],[ITEM]],TbPiezas[],5,FALSE)="NA",0,VLOOKUP(TbPrestamo[[#This Row],[ITEM]],TbPiezas[],5,FALSE))</f>
        <v>0.72899999999999998</v>
      </c>
      <c r="V539" s="295">
        <f>+TbPrestamo[[#This Row],[TOTAL]]*TbPrestamo[[#This Row],[P.U. (1)]]</f>
        <v>2.9159999999999999</v>
      </c>
      <c r="W539" s="84">
        <f>+VLOOKUP(TbPrestamo[[#This Row],[ITEM]],TbPiezas[],6,FALSE)</f>
        <v>19.059999999999999</v>
      </c>
      <c r="X539" s="296">
        <f>+TbPrestamo[[#This Row],[TOTAL]]*TbPrestamo[[#This Row],[P.U. (2)]]</f>
        <v>76.239999999999995</v>
      </c>
      <c r="Y539" s="84">
        <f>+VLOOKUP(TbPrestamo[[#This Row],[ITEM]],TbPiezas[],7,FALSE)</f>
        <v>0.95299999999999996</v>
      </c>
      <c r="Z539" s="296">
        <f>+TbPrestamo[[#This Row],[TOTAL]]*TbPrestamo[[#This Row],[P.U. (3)]]</f>
        <v>3.8119999999999998</v>
      </c>
    </row>
    <row r="540" spans="1:26" s="4" customFormat="1" x14ac:dyDescent="0.3">
      <c r="A540" s="2"/>
      <c r="B540" s="85"/>
      <c r="C540" s="71" t="s">
        <v>928</v>
      </c>
      <c r="D540" s="72" t="s">
        <v>929</v>
      </c>
      <c r="E540" s="73"/>
      <c r="F540" s="74"/>
      <c r="G540" s="2"/>
      <c r="H540" s="75" t="str">
        <f t="shared" si="16"/>
        <v>EV.9200</v>
      </c>
      <c r="I540" s="59" t="str">
        <f t="shared" si="17"/>
        <v>ok</v>
      </c>
      <c r="J540" s="77">
        <f>IFERROR(VLOOKUP($H540,TG[],3,FALSE),"NA")</f>
        <v>0</v>
      </c>
      <c r="K540" s="408" t="str">
        <f>IFERROR(VLOOKUP($H540,TF[],3,FALSE),"NA")</f>
        <v>NA</v>
      </c>
      <c r="L540" s="408" t="str">
        <f>IFERROR(VLOOKUP($H540,TT[],3,FALSE),"NA")</f>
        <v>NA</v>
      </c>
      <c r="M540" s="77" t="str">
        <f>IFERROR(VLOOKUP($H540,TES[],3,FALSE),"NA")</f>
        <v>NA</v>
      </c>
      <c r="N540" s="77" t="str">
        <f>IFERROR(VLOOKUP($H540,TEC[],3,FALSE),"NA")</f>
        <v>NA</v>
      </c>
      <c r="O540" s="77" t="str">
        <f>IFERROR(VLOOKUP($H540,TP[],3,FALSE),"NA")</f>
        <v>NA</v>
      </c>
      <c r="P540" s="77" t="str">
        <f>IFERROR(VLOOKUP($H540,TEN[],3,FALSE),"NA")</f>
        <v>NA</v>
      </c>
      <c r="Q540" s="77" t="str">
        <f>IFERROR(VLOOKUP($H540,TD[],3,FALSE),"NA")</f>
        <v>NA</v>
      </c>
      <c r="R540" s="77" t="str">
        <f>IFERROR(VLOOKUP($H540,TC[],3,FALSE),"NA")</f>
        <v>NA</v>
      </c>
      <c r="S540" s="408">
        <f>IFERROR(VLOOKUP($H540,TEV[],3,FALSE),"NA")</f>
        <v>200</v>
      </c>
      <c r="T540" s="78">
        <f>SUM(TbPrestamo[[#This Row],[GENERAL]:[ELEVADOR]])</f>
        <v>200</v>
      </c>
      <c r="U540" s="295">
        <f>IF(VLOOKUP(TbPrestamo[[#This Row],[ITEM]],TbPiezas[],5,FALSE)="NA",0,VLOOKUP(TbPrestamo[[#This Row],[ITEM]],TbPiezas[],5,FALSE))</f>
        <v>1.1000000000000001</v>
      </c>
      <c r="V540" s="295">
        <f>+TbPrestamo[[#This Row],[TOTAL]]*TbPrestamo[[#This Row],[P.U. (1)]]</f>
        <v>220.00000000000003</v>
      </c>
      <c r="W540" s="84">
        <f>+VLOOKUP(TbPrestamo[[#This Row],[ITEM]],TbPiezas[],6,FALSE)</f>
        <v>31.76</v>
      </c>
      <c r="X540" s="296">
        <f>+TbPrestamo[[#This Row],[TOTAL]]*TbPrestamo[[#This Row],[P.U. (2)]]</f>
        <v>6352</v>
      </c>
      <c r="Y540" s="84">
        <f>+VLOOKUP(TbPrestamo[[#This Row],[ITEM]],TbPiezas[],7,FALSE)</f>
        <v>1.5880000000000001</v>
      </c>
      <c r="Z540" s="296">
        <f>+TbPrestamo[[#This Row],[TOTAL]]*TbPrestamo[[#This Row],[P.U. (3)]]</f>
        <v>317.60000000000002</v>
      </c>
    </row>
    <row r="541" spans="1:26" s="4" customFormat="1" x14ac:dyDescent="0.3">
      <c r="A541" s="2"/>
      <c r="B541" s="85"/>
      <c r="C541" s="71" t="s">
        <v>930</v>
      </c>
      <c r="D541" s="72" t="s">
        <v>931</v>
      </c>
      <c r="E541" s="73"/>
      <c r="F541" s="74"/>
      <c r="G541" s="2"/>
      <c r="H541" s="75" t="str">
        <f t="shared" si="16"/>
        <v>EV.9300</v>
      </c>
      <c r="I541" s="59" t="str">
        <f t="shared" si="17"/>
        <v>ok</v>
      </c>
      <c r="J541" s="77">
        <f>IFERROR(VLOOKUP($H541,TG[],3,FALSE),"NA")</f>
        <v>0</v>
      </c>
      <c r="K541" s="408" t="str">
        <f>IFERROR(VLOOKUP($H541,TF[],3,FALSE),"NA")</f>
        <v>NA</v>
      </c>
      <c r="L541" s="408" t="str">
        <f>IFERROR(VLOOKUP($H541,TT[],3,FALSE),"NA")</f>
        <v>NA</v>
      </c>
      <c r="M541" s="77" t="str">
        <f>IFERROR(VLOOKUP($H541,TES[],3,FALSE),"NA")</f>
        <v>NA</v>
      </c>
      <c r="N541" s="77" t="str">
        <f>IFERROR(VLOOKUP($H541,TEC[],3,FALSE),"NA")</f>
        <v>NA</v>
      </c>
      <c r="O541" s="77" t="str">
        <f>IFERROR(VLOOKUP($H541,TP[],3,FALSE),"NA")</f>
        <v>NA</v>
      </c>
      <c r="P541" s="77" t="str">
        <f>IFERROR(VLOOKUP($H541,TEN[],3,FALSE),"NA")</f>
        <v>NA</v>
      </c>
      <c r="Q541" s="77" t="str">
        <f>IFERROR(VLOOKUP($H541,TD[],3,FALSE),"NA")</f>
        <v>NA</v>
      </c>
      <c r="R541" s="77" t="str">
        <f>IFERROR(VLOOKUP($H541,TC[],3,FALSE),"NA")</f>
        <v>NA</v>
      </c>
      <c r="S541" s="408">
        <f>IFERROR(VLOOKUP($H541,TEV[],3,FALSE),"NA")</f>
        <v>36</v>
      </c>
      <c r="T541" s="78">
        <f>SUM(TbPrestamo[[#This Row],[GENERAL]:[ELEVADOR]])</f>
        <v>36</v>
      </c>
      <c r="U541" s="295">
        <f>IF(VLOOKUP(TbPrestamo[[#This Row],[ITEM]],TbPiezas[],5,FALSE)="NA",0,VLOOKUP(TbPrestamo[[#This Row],[ITEM]],TbPiezas[],5,FALSE))</f>
        <v>0.7</v>
      </c>
      <c r="V541" s="295">
        <f>+TbPrestamo[[#This Row],[TOTAL]]*TbPrestamo[[#This Row],[P.U. (1)]]</f>
        <v>25.2</v>
      </c>
      <c r="W541" s="84">
        <f>+VLOOKUP(TbPrestamo[[#This Row],[ITEM]],TbPiezas[],6,FALSE)</f>
        <v>19.059999999999999</v>
      </c>
      <c r="X541" s="296">
        <f>+TbPrestamo[[#This Row],[TOTAL]]*TbPrestamo[[#This Row],[P.U. (2)]]</f>
        <v>686.16</v>
      </c>
      <c r="Y541" s="84">
        <f>+VLOOKUP(TbPrestamo[[#This Row],[ITEM]],TbPiezas[],7,FALSE)</f>
        <v>0.95299999999999996</v>
      </c>
      <c r="Z541" s="296">
        <f>+TbPrestamo[[#This Row],[TOTAL]]*TbPrestamo[[#This Row],[P.U. (3)]]</f>
        <v>34.308</v>
      </c>
    </row>
    <row r="542" spans="1:26" s="4" customFormat="1" x14ac:dyDescent="0.3">
      <c r="A542" s="2"/>
      <c r="B542" s="85"/>
      <c r="C542" s="71" t="s">
        <v>932</v>
      </c>
      <c r="D542" s="72" t="s">
        <v>933</v>
      </c>
      <c r="E542" s="73"/>
      <c r="F542" s="74"/>
      <c r="G542" s="2"/>
      <c r="H542" s="75" t="str">
        <f t="shared" si="16"/>
        <v>EV.9400</v>
      </c>
      <c r="I542" s="59" t="str">
        <f t="shared" si="17"/>
        <v>ok</v>
      </c>
      <c r="J542" s="77">
        <f>IFERROR(VLOOKUP($H542,TG[],3,FALSE),"NA")</f>
        <v>0</v>
      </c>
      <c r="K542" s="408" t="str">
        <f>IFERROR(VLOOKUP($H542,TF[],3,FALSE),"NA")</f>
        <v>NA</v>
      </c>
      <c r="L542" s="408" t="str">
        <f>IFERROR(VLOOKUP($H542,TT[],3,FALSE),"NA")</f>
        <v>NA</v>
      </c>
      <c r="M542" s="77" t="str">
        <f>IFERROR(VLOOKUP($H542,TES[],3,FALSE),"NA")</f>
        <v>NA</v>
      </c>
      <c r="N542" s="77" t="str">
        <f>IFERROR(VLOOKUP($H542,TEC[],3,FALSE),"NA")</f>
        <v>NA</v>
      </c>
      <c r="O542" s="77" t="str">
        <f>IFERROR(VLOOKUP($H542,TP[],3,FALSE),"NA")</f>
        <v>NA</v>
      </c>
      <c r="P542" s="77" t="str">
        <f>IFERROR(VLOOKUP($H542,TEN[],3,FALSE),"NA")</f>
        <v>NA</v>
      </c>
      <c r="Q542" s="77" t="str">
        <f>IFERROR(VLOOKUP($H542,TD[],3,FALSE),"NA")</f>
        <v>NA</v>
      </c>
      <c r="R542" s="77" t="str">
        <f>IFERROR(VLOOKUP($H542,TC[],3,FALSE),"NA")</f>
        <v>NA</v>
      </c>
      <c r="S542" s="408">
        <f>IFERROR(VLOOKUP($H542,TEV[],3,FALSE),"NA")</f>
        <v>8</v>
      </c>
      <c r="T542" s="78">
        <f>SUM(TbPrestamo[[#This Row],[GENERAL]:[ELEVADOR]])</f>
        <v>8</v>
      </c>
      <c r="U542" s="295">
        <f>IF(VLOOKUP(TbPrestamo[[#This Row],[ITEM]],TbPiezas[],5,FALSE)="NA",0,VLOOKUP(TbPrestamo[[#This Row],[ITEM]],TbPiezas[],5,FALSE))</f>
        <v>0.3</v>
      </c>
      <c r="V542" s="295">
        <f>+TbPrestamo[[#This Row],[TOTAL]]*TbPrestamo[[#This Row],[P.U. (1)]]</f>
        <v>2.4</v>
      </c>
      <c r="W542" s="84">
        <f>+VLOOKUP(TbPrestamo[[#This Row],[ITEM]],TbPiezas[],6,FALSE)</f>
        <v>19.059999999999999</v>
      </c>
      <c r="X542" s="296">
        <f>+TbPrestamo[[#This Row],[TOTAL]]*TbPrestamo[[#This Row],[P.U. (2)]]</f>
        <v>152.47999999999999</v>
      </c>
      <c r="Y542" s="84">
        <f>+VLOOKUP(TbPrestamo[[#This Row],[ITEM]],TbPiezas[],7,FALSE)</f>
        <v>0.95299999999999996</v>
      </c>
      <c r="Z542" s="296">
        <f>+TbPrestamo[[#This Row],[TOTAL]]*TbPrestamo[[#This Row],[P.U. (3)]]</f>
        <v>7.6239999999999997</v>
      </c>
    </row>
    <row r="543" spans="1:26" s="4" customFormat="1" x14ac:dyDescent="0.3">
      <c r="A543" s="2"/>
      <c r="B543" s="85"/>
      <c r="C543" s="71" t="s">
        <v>934</v>
      </c>
      <c r="D543" s="72" t="s">
        <v>935</v>
      </c>
      <c r="E543" s="73"/>
      <c r="F543" s="74"/>
      <c r="G543" s="2"/>
      <c r="H543" s="75" t="str">
        <f t="shared" si="16"/>
        <v>EV.9500</v>
      </c>
      <c r="I543" s="59" t="str">
        <f t="shared" si="17"/>
        <v>ok</v>
      </c>
      <c r="J543" s="77">
        <f>IFERROR(VLOOKUP($H543,TG[],3,FALSE),"NA")</f>
        <v>0</v>
      </c>
      <c r="K543" s="408" t="str">
        <f>IFERROR(VLOOKUP($H543,TF[],3,FALSE),"NA")</f>
        <v>NA</v>
      </c>
      <c r="L543" s="408" t="str">
        <f>IFERROR(VLOOKUP($H543,TT[],3,FALSE),"NA")</f>
        <v>NA</v>
      </c>
      <c r="M543" s="77" t="str">
        <f>IFERROR(VLOOKUP($H543,TES[],3,FALSE),"NA")</f>
        <v>NA</v>
      </c>
      <c r="N543" s="77" t="str">
        <f>IFERROR(VLOOKUP($H543,TEC[],3,FALSE),"NA")</f>
        <v>NA</v>
      </c>
      <c r="O543" s="77" t="str">
        <f>IFERROR(VLOOKUP($H543,TP[],3,FALSE),"NA")</f>
        <v>NA</v>
      </c>
      <c r="P543" s="77" t="str">
        <f>IFERROR(VLOOKUP($H543,TEN[],3,FALSE),"NA")</f>
        <v>NA</v>
      </c>
      <c r="Q543" s="77" t="str">
        <f>IFERROR(VLOOKUP($H543,TD[],3,FALSE),"NA")</f>
        <v>NA</v>
      </c>
      <c r="R543" s="77" t="str">
        <f>IFERROR(VLOOKUP($H543,TC[],3,FALSE),"NA")</f>
        <v>NA</v>
      </c>
      <c r="S543" s="408">
        <f>IFERROR(VLOOKUP($H543,TEV[],3,FALSE),"NA")</f>
        <v>36</v>
      </c>
      <c r="T543" s="78">
        <f>SUM(TbPrestamo[[#This Row],[GENERAL]:[ELEVADOR]])</f>
        <v>36</v>
      </c>
      <c r="U543" s="295">
        <f>IF(VLOOKUP(TbPrestamo[[#This Row],[ITEM]],TbPiezas[],5,FALSE)="NA",0,VLOOKUP(TbPrestamo[[#This Row],[ITEM]],TbPiezas[],5,FALSE))</f>
        <v>0.5</v>
      </c>
      <c r="V543" s="295">
        <f>+TbPrestamo[[#This Row],[TOTAL]]*TbPrestamo[[#This Row],[P.U. (1)]]</f>
        <v>18</v>
      </c>
      <c r="W543" s="84">
        <f>+VLOOKUP(TbPrestamo[[#This Row],[ITEM]],TbPiezas[],6,FALSE)</f>
        <v>19.059999999999999</v>
      </c>
      <c r="X543" s="296">
        <f>+TbPrestamo[[#This Row],[TOTAL]]*TbPrestamo[[#This Row],[P.U. (2)]]</f>
        <v>686.16</v>
      </c>
      <c r="Y543" s="84">
        <f>+VLOOKUP(TbPrestamo[[#This Row],[ITEM]],TbPiezas[],7,FALSE)</f>
        <v>0.95299999999999996</v>
      </c>
      <c r="Z543" s="296">
        <f>+TbPrestamo[[#This Row],[TOTAL]]*TbPrestamo[[#This Row],[P.U. (3)]]</f>
        <v>34.308</v>
      </c>
    </row>
    <row r="544" spans="1:26" s="4" customFormat="1" x14ac:dyDescent="0.3">
      <c r="A544" s="2"/>
      <c r="B544" s="85"/>
      <c r="C544" s="71" t="s">
        <v>936</v>
      </c>
      <c r="D544" s="72" t="s">
        <v>937</v>
      </c>
      <c r="E544" s="73"/>
      <c r="F544" s="74"/>
      <c r="G544" s="2"/>
      <c r="H544" s="75" t="str">
        <f t="shared" si="16"/>
        <v>EV.9600</v>
      </c>
      <c r="I544" s="59" t="str">
        <f t="shared" si="17"/>
        <v>ok</v>
      </c>
      <c r="J544" s="77">
        <f>IFERROR(VLOOKUP($H544,TG[],3,FALSE),"NA")</f>
        <v>0</v>
      </c>
      <c r="K544" s="408" t="str">
        <f>IFERROR(VLOOKUP($H544,TF[],3,FALSE),"NA")</f>
        <v>NA</v>
      </c>
      <c r="L544" s="408" t="str">
        <f>IFERROR(VLOOKUP($H544,TT[],3,FALSE),"NA")</f>
        <v>NA</v>
      </c>
      <c r="M544" s="77" t="str">
        <f>IFERROR(VLOOKUP($H544,TES[],3,FALSE),"NA")</f>
        <v>NA</v>
      </c>
      <c r="N544" s="77" t="str">
        <f>IFERROR(VLOOKUP($H544,TEC[],3,FALSE),"NA")</f>
        <v>NA</v>
      </c>
      <c r="O544" s="77" t="str">
        <f>IFERROR(VLOOKUP($H544,TP[],3,FALSE),"NA")</f>
        <v>NA</v>
      </c>
      <c r="P544" s="77" t="str">
        <f>IFERROR(VLOOKUP($H544,TEN[],3,FALSE),"NA")</f>
        <v>NA</v>
      </c>
      <c r="Q544" s="77" t="str">
        <f>IFERROR(VLOOKUP($H544,TD[],3,FALSE),"NA")</f>
        <v>NA</v>
      </c>
      <c r="R544" s="77" t="str">
        <f>IFERROR(VLOOKUP($H544,TC[],3,FALSE),"NA")</f>
        <v>NA</v>
      </c>
      <c r="S544" s="408">
        <f>IFERROR(VLOOKUP($H544,TEV[],3,FALSE),"NA")</f>
        <v>4</v>
      </c>
      <c r="T544" s="78">
        <f>SUM(TbPrestamo[[#This Row],[GENERAL]:[ELEVADOR]])</f>
        <v>4</v>
      </c>
      <c r="U544" s="295">
        <f>IF(VLOOKUP(TbPrestamo[[#This Row],[ITEM]],TbPiezas[],5,FALSE)="NA",0,VLOOKUP(TbPrestamo[[#This Row],[ITEM]],TbPiezas[],5,FALSE))</f>
        <v>6.7000000000000004E-2</v>
      </c>
      <c r="V544" s="295">
        <f>+TbPrestamo[[#This Row],[TOTAL]]*TbPrestamo[[#This Row],[P.U. (1)]]</f>
        <v>0.26800000000000002</v>
      </c>
      <c r="W544" s="84">
        <f>+VLOOKUP(TbPrestamo[[#This Row],[ITEM]],TbPiezas[],6,FALSE)</f>
        <v>19.059999999999999</v>
      </c>
      <c r="X544" s="296">
        <f>+TbPrestamo[[#This Row],[TOTAL]]*TbPrestamo[[#This Row],[P.U. (2)]]</f>
        <v>76.239999999999995</v>
      </c>
      <c r="Y544" s="84">
        <f>+VLOOKUP(TbPrestamo[[#This Row],[ITEM]],TbPiezas[],7,FALSE)</f>
        <v>0.95299999999999996</v>
      </c>
      <c r="Z544" s="296">
        <f>+TbPrestamo[[#This Row],[TOTAL]]*TbPrestamo[[#This Row],[P.U. (3)]]</f>
        <v>3.8119999999999998</v>
      </c>
    </row>
    <row r="545" spans="1:26" s="4" customFormat="1" x14ac:dyDescent="0.3">
      <c r="A545" s="2"/>
      <c r="B545" s="85"/>
      <c r="C545" s="71" t="s">
        <v>938</v>
      </c>
      <c r="D545" s="72" t="s">
        <v>939</v>
      </c>
      <c r="E545" s="73"/>
      <c r="F545" s="74"/>
      <c r="G545" s="2"/>
      <c r="H545" s="75" t="str">
        <f t="shared" si="16"/>
        <v>EV.9700</v>
      </c>
      <c r="I545" s="59" t="str">
        <f t="shared" si="17"/>
        <v>ok</v>
      </c>
      <c r="J545" s="77">
        <f>IFERROR(VLOOKUP($H545,TG[],3,FALSE),"NA")</f>
        <v>0</v>
      </c>
      <c r="K545" s="408" t="str">
        <f>IFERROR(VLOOKUP($H545,TF[],3,FALSE),"NA")</f>
        <v>NA</v>
      </c>
      <c r="L545" s="408" t="str">
        <f>IFERROR(VLOOKUP($H545,TT[],3,FALSE),"NA")</f>
        <v>NA</v>
      </c>
      <c r="M545" s="77" t="str">
        <f>IFERROR(VLOOKUP($H545,TES[],3,FALSE),"NA")</f>
        <v>NA</v>
      </c>
      <c r="N545" s="77" t="str">
        <f>IFERROR(VLOOKUP($H545,TEC[],3,FALSE),"NA")</f>
        <v>NA</v>
      </c>
      <c r="O545" s="77" t="str">
        <f>IFERROR(VLOOKUP($H545,TP[],3,FALSE),"NA")</f>
        <v>NA</v>
      </c>
      <c r="P545" s="77" t="str">
        <f>IFERROR(VLOOKUP($H545,TEN[],3,FALSE),"NA")</f>
        <v>NA</v>
      </c>
      <c r="Q545" s="77" t="str">
        <f>IFERROR(VLOOKUP($H545,TD[],3,FALSE),"NA")</f>
        <v>NA</v>
      </c>
      <c r="R545" s="77" t="str">
        <f>IFERROR(VLOOKUP($H545,TC[],3,FALSE),"NA")</f>
        <v>NA</v>
      </c>
      <c r="S545" s="408">
        <f>IFERROR(VLOOKUP($H545,TEV[],3,FALSE),"NA")</f>
        <v>4</v>
      </c>
      <c r="T545" s="78">
        <f>SUM(TbPrestamo[[#This Row],[GENERAL]:[ELEVADOR]])</f>
        <v>4</v>
      </c>
      <c r="U545" s="295">
        <f>IF(VLOOKUP(TbPrestamo[[#This Row],[ITEM]],TbPiezas[],5,FALSE)="NA",0,VLOOKUP(TbPrestamo[[#This Row],[ITEM]],TbPiezas[],5,FALSE))</f>
        <v>0.06</v>
      </c>
      <c r="V545" s="295">
        <f>+TbPrestamo[[#This Row],[TOTAL]]*TbPrestamo[[#This Row],[P.U. (1)]]</f>
        <v>0.24</v>
      </c>
      <c r="W545" s="84">
        <f>+VLOOKUP(TbPrestamo[[#This Row],[ITEM]],TbPiezas[],6,FALSE)</f>
        <v>19.059999999999999</v>
      </c>
      <c r="X545" s="296">
        <f>+TbPrestamo[[#This Row],[TOTAL]]*TbPrestamo[[#This Row],[P.U. (2)]]</f>
        <v>76.239999999999995</v>
      </c>
      <c r="Y545" s="84">
        <f>+VLOOKUP(TbPrestamo[[#This Row],[ITEM]],TbPiezas[],7,FALSE)</f>
        <v>0.95299999999999996</v>
      </c>
      <c r="Z545" s="296">
        <f>+TbPrestamo[[#This Row],[TOTAL]]*TbPrestamo[[#This Row],[P.U. (3)]]</f>
        <v>3.8119999999999998</v>
      </c>
    </row>
    <row r="546" spans="1:26" s="4" customFormat="1" x14ac:dyDescent="0.3">
      <c r="A546" s="2"/>
      <c r="B546" s="85"/>
      <c r="C546" s="71" t="s">
        <v>940</v>
      </c>
      <c r="D546" s="72" t="s">
        <v>941</v>
      </c>
      <c r="E546" s="73"/>
      <c r="F546" s="74"/>
      <c r="G546" s="2"/>
      <c r="H546" s="75" t="str">
        <f t="shared" si="16"/>
        <v>EV.9800</v>
      </c>
      <c r="I546" s="59" t="str">
        <f t="shared" si="17"/>
        <v>ok</v>
      </c>
      <c r="J546" s="77">
        <f>IFERROR(VLOOKUP($H546,TG[],3,FALSE),"NA")</f>
        <v>0</v>
      </c>
      <c r="K546" s="408" t="str">
        <f>IFERROR(VLOOKUP($H546,TF[],3,FALSE),"NA")</f>
        <v>NA</v>
      </c>
      <c r="L546" s="408" t="str">
        <f>IFERROR(VLOOKUP($H546,TT[],3,FALSE),"NA")</f>
        <v>NA</v>
      </c>
      <c r="M546" s="77" t="str">
        <f>IFERROR(VLOOKUP($H546,TES[],3,FALSE),"NA")</f>
        <v>NA</v>
      </c>
      <c r="N546" s="77" t="str">
        <f>IFERROR(VLOOKUP($H546,TEC[],3,FALSE),"NA")</f>
        <v>NA</v>
      </c>
      <c r="O546" s="77" t="str">
        <f>IFERROR(VLOOKUP($H546,TP[],3,FALSE),"NA")</f>
        <v>NA</v>
      </c>
      <c r="P546" s="77" t="str">
        <f>IFERROR(VLOOKUP($H546,TEN[],3,FALSE),"NA")</f>
        <v>NA</v>
      </c>
      <c r="Q546" s="77" t="str">
        <f>IFERROR(VLOOKUP($H546,TD[],3,FALSE),"NA")</f>
        <v>NA</v>
      </c>
      <c r="R546" s="77" t="str">
        <f>IFERROR(VLOOKUP($H546,TC[],3,FALSE),"NA")</f>
        <v>NA</v>
      </c>
      <c r="S546" s="408">
        <f>IFERROR(VLOOKUP($H546,TEV[],3,FALSE),"NA")</f>
        <v>0</v>
      </c>
      <c r="T546" s="78">
        <f>SUM(TbPrestamo[[#This Row],[GENERAL]:[ELEVADOR]])</f>
        <v>0</v>
      </c>
      <c r="U546" s="295">
        <f>IF(VLOOKUP(TbPrestamo[[#This Row],[ITEM]],TbPiezas[],5,FALSE)="NA",0,VLOOKUP(TbPrestamo[[#This Row],[ITEM]],TbPiezas[],5,FALSE))</f>
        <v>9.5000000000000001E-2</v>
      </c>
      <c r="V546" s="295">
        <f>+TbPrestamo[[#This Row],[TOTAL]]*TbPrestamo[[#This Row],[P.U. (1)]]</f>
        <v>0</v>
      </c>
      <c r="W546" s="84">
        <f>+VLOOKUP(TbPrestamo[[#This Row],[ITEM]],TbPiezas[],6,FALSE)</f>
        <v>19.059999999999999</v>
      </c>
      <c r="X546" s="296">
        <f>+TbPrestamo[[#This Row],[TOTAL]]*TbPrestamo[[#This Row],[P.U. (2)]]</f>
        <v>0</v>
      </c>
      <c r="Y546" s="84">
        <f>+VLOOKUP(TbPrestamo[[#This Row],[ITEM]],TbPiezas[],7,FALSE)</f>
        <v>0.95299999999999996</v>
      </c>
      <c r="Z546" s="296">
        <f>+TbPrestamo[[#This Row],[TOTAL]]*TbPrestamo[[#This Row],[P.U. (3)]]</f>
        <v>0</v>
      </c>
    </row>
    <row r="547" spans="1:26" s="4" customFormat="1" x14ac:dyDescent="0.3">
      <c r="A547" s="2"/>
      <c r="B547" s="85"/>
      <c r="C547" s="71" t="s">
        <v>942</v>
      </c>
      <c r="D547" s="72" t="s">
        <v>943</v>
      </c>
      <c r="E547" s="73"/>
      <c r="F547" s="74"/>
      <c r="G547" s="2"/>
      <c r="H547" s="75" t="str">
        <f t="shared" si="16"/>
        <v>EV.9900</v>
      </c>
      <c r="I547" s="59" t="str">
        <f t="shared" si="17"/>
        <v>ok</v>
      </c>
      <c r="J547" s="77">
        <f>IFERROR(VLOOKUP($H547,TG[],3,FALSE),"NA")</f>
        <v>0</v>
      </c>
      <c r="K547" s="408" t="str">
        <f>IFERROR(VLOOKUP($H547,TF[],3,FALSE),"NA")</f>
        <v>NA</v>
      </c>
      <c r="L547" s="408" t="str">
        <f>IFERROR(VLOOKUP($H547,TT[],3,FALSE),"NA")</f>
        <v>NA</v>
      </c>
      <c r="M547" s="77" t="str">
        <f>IFERROR(VLOOKUP($H547,TES[],3,FALSE),"NA")</f>
        <v>NA</v>
      </c>
      <c r="N547" s="77" t="str">
        <f>IFERROR(VLOOKUP($H547,TEC[],3,FALSE),"NA")</f>
        <v>NA</v>
      </c>
      <c r="O547" s="77" t="str">
        <f>IFERROR(VLOOKUP($H547,TP[],3,FALSE),"NA")</f>
        <v>NA</v>
      </c>
      <c r="P547" s="77" t="str">
        <f>IFERROR(VLOOKUP($H547,TEN[],3,FALSE),"NA")</f>
        <v>NA</v>
      </c>
      <c r="Q547" s="77" t="str">
        <f>IFERROR(VLOOKUP($H547,TD[],3,FALSE),"NA")</f>
        <v>NA</v>
      </c>
      <c r="R547" s="77" t="str">
        <f>IFERROR(VLOOKUP($H547,TC[],3,FALSE),"NA")</f>
        <v>NA</v>
      </c>
      <c r="S547" s="408">
        <f>IFERROR(VLOOKUP($H547,TEV[],3,FALSE),"NA")</f>
        <v>12</v>
      </c>
      <c r="T547" s="78">
        <f>SUM(TbPrestamo[[#This Row],[GENERAL]:[ELEVADOR]])</f>
        <v>12</v>
      </c>
      <c r="U547" s="295">
        <f>IF(VLOOKUP(TbPrestamo[[#This Row],[ITEM]],TbPiezas[],5,FALSE)="NA",0,VLOOKUP(TbPrestamo[[#This Row],[ITEM]],TbPiezas[],5,FALSE))</f>
        <v>0.1</v>
      </c>
      <c r="V547" s="295">
        <f>+TbPrestamo[[#This Row],[TOTAL]]*TbPrestamo[[#This Row],[P.U. (1)]]</f>
        <v>1.2000000000000002</v>
      </c>
      <c r="W547" s="84">
        <f>+VLOOKUP(TbPrestamo[[#This Row],[ITEM]],TbPiezas[],6,FALSE)</f>
        <v>19.059999999999999</v>
      </c>
      <c r="X547" s="296">
        <f>+TbPrestamo[[#This Row],[TOTAL]]*TbPrestamo[[#This Row],[P.U. (2)]]</f>
        <v>228.71999999999997</v>
      </c>
      <c r="Y547" s="84">
        <f>+VLOOKUP(TbPrestamo[[#This Row],[ITEM]],TbPiezas[],7,FALSE)</f>
        <v>0.95299999999999996</v>
      </c>
      <c r="Z547" s="296">
        <f>+TbPrestamo[[#This Row],[TOTAL]]*TbPrestamo[[#This Row],[P.U. (3)]]</f>
        <v>11.436</v>
      </c>
    </row>
    <row r="548" spans="1:26" s="4" customFormat="1" x14ac:dyDescent="0.3">
      <c r="A548" s="2"/>
      <c r="B548" s="85"/>
      <c r="C548" s="71" t="s">
        <v>944</v>
      </c>
      <c r="D548" s="72" t="s">
        <v>945</v>
      </c>
      <c r="E548" s="73"/>
      <c r="F548" s="74"/>
      <c r="G548" s="2"/>
      <c r="H548" s="75" t="str">
        <f t="shared" si="16"/>
        <v>EV.10000</v>
      </c>
      <c r="I548" s="59" t="str">
        <f t="shared" si="17"/>
        <v>ok</v>
      </c>
      <c r="J548" s="77">
        <f>IFERROR(VLOOKUP($H548,TG[],3,FALSE),"NA")</f>
        <v>0</v>
      </c>
      <c r="K548" s="408" t="str">
        <f>IFERROR(VLOOKUP($H548,TF[],3,FALSE),"NA")</f>
        <v>NA</v>
      </c>
      <c r="L548" s="408" t="str">
        <f>IFERROR(VLOOKUP($H548,TT[],3,FALSE),"NA")</f>
        <v>NA</v>
      </c>
      <c r="M548" s="77" t="str">
        <f>IFERROR(VLOOKUP($H548,TES[],3,FALSE),"NA")</f>
        <v>NA</v>
      </c>
      <c r="N548" s="77" t="str">
        <f>IFERROR(VLOOKUP($H548,TEC[],3,FALSE),"NA")</f>
        <v>NA</v>
      </c>
      <c r="O548" s="77" t="str">
        <f>IFERROR(VLOOKUP($H548,TP[],3,FALSE),"NA")</f>
        <v>NA</v>
      </c>
      <c r="P548" s="77" t="str">
        <f>IFERROR(VLOOKUP($H548,TEN[],3,FALSE),"NA")</f>
        <v>NA</v>
      </c>
      <c r="Q548" s="77" t="str">
        <f>IFERROR(VLOOKUP($H548,TD[],3,FALSE),"NA")</f>
        <v>NA</v>
      </c>
      <c r="R548" s="77" t="str">
        <f>IFERROR(VLOOKUP($H548,TC[],3,FALSE),"NA")</f>
        <v>NA</v>
      </c>
      <c r="S548" s="408">
        <f>IFERROR(VLOOKUP($H548,TEV[],3,FALSE),"NA")</f>
        <v>6</v>
      </c>
      <c r="T548" s="78">
        <f>SUM(TbPrestamo[[#This Row],[GENERAL]:[ELEVADOR]])</f>
        <v>6</v>
      </c>
      <c r="U548" s="295">
        <f>IF(VLOOKUP(TbPrestamo[[#This Row],[ITEM]],TbPiezas[],5,FALSE)="NA",0,VLOOKUP(TbPrestamo[[#This Row],[ITEM]],TbPiezas[],5,FALSE))</f>
        <v>3.5000000000000003E-2</v>
      </c>
      <c r="V548" s="295">
        <f>+TbPrestamo[[#This Row],[TOTAL]]*TbPrestamo[[#This Row],[P.U. (1)]]</f>
        <v>0.21000000000000002</v>
      </c>
      <c r="W548" s="84">
        <f>+VLOOKUP(TbPrestamo[[#This Row],[ITEM]],TbPiezas[],6,FALSE)</f>
        <v>31.76</v>
      </c>
      <c r="X548" s="296">
        <f>+TbPrestamo[[#This Row],[TOTAL]]*TbPrestamo[[#This Row],[P.U. (2)]]</f>
        <v>190.56</v>
      </c>
      <c r="Y548" s="84">
        <f>+VLOOKUP(TbPrestamo[[#This Row],[ITEM]],TbPiezas[],7,FALSE)</f>
        <v>1.5880000000000001</v>
      </c>
      <c r="Z548" s="296">
        <f>+TbPrestamo[[#This Row],[TOTAL]]*TbPrestamo[[#This Row],[P.U. (3)]]</f>
        <v>9.5280000000000005</v>
      </c>
    </row>
    <row r="549" spans="1:26" s="4" customFormat="1" x14ac:dyDescent="0.3">
      <c r="A549" s="2"/>
      <c r="B549" s="85"/>
      <c r="C549" s="71" t="s">
        <v>946</v>
      </c>
      <c r="D549" s="72" t="s">
        <v>947</v>
      </c>
      <c r="E549" s="73"/>
      <c r="F549" s="74"/>
      <c r="G549" s="2"/>
      <c r="H549" s="75" t="str">
        <f t="shared" si="16"/>
        <v>EV.10100</v>
      </c>
      <c r="I549" s="59" t="str">
        <f t="shared" si="17"/>
        <v>ok</v>
      </c>
      <c r="J549" s="77">
        <f>IFERROR(VLOOKUP($H549,TG[],3,FALSE),"NA")</f>
        <v>0</v>
      </c>
      <c r="K549" s="408" t="str">
        <f>IFERROR(VLOOKUP($H549,TF[],3,FALSE),"NA")</f>
        <v>NA</v>
      </c>
      <c r="L549" s="408" t="str">
        <f>IFERROR(VLOOKUP($H549,TT[],3,FALSE),"NA")</f>
        <v>NA</v>
      </c>
      <c r="M549" s="77" t="str">
        <f>IFERROR(VLOOKUP($H549,TES[],3,FALSE),"NA")</f>
        <v>NA</v>
      </c>
      <c r="N549" s="77" t="str">
        <f>IFERROR(VLOOKUP($H549,TEC[],3,FALSE),"NA")</f>
        <v>NA</v>
      </c>
      <c r="O549" s="77" t="str">
        <f>IFERROR(VLOOKUP($H549,TP[],3,FALSE),"NA")</f>
        <v>NA</v>
      </c>
      <c r="P549" s="77" t="str">
        <f>IFERROR(VLOOKUP($H549,TEN[],3,FALSE),"NA")</f>
        <v>NA</v>
      </c>
      <c r="Q549" s="77" t="str">
        <f>IFERROR(VLOOKUP($H549,TD[],3,FALSE),"NA")</f>
        <v>NA</v>
      </c>
      <c r="R549" s="77" t="str">
        <f>IFERROR(VLOOKUP($H549,TC[],3,FALSE),"NA")</f>
        <v>NA</v>
      </c>
      <c r="S549" s="408">
        <f>IFERROR(VLOOKUP($H549,TEV[],3,FALSE),"NA")</f>
        <v>22</v>
      </c>
      <c r="T549" s="78">
        <f>SUM(TbPrestamo[[#This Row],[GENERAL]:[ELEVADOR]])</f>
        <v>22</v>
      </c>
      <c r="U549" s="295">
        <f>IF(VLOOKUP(TbPrestamo[[#This Row],[ITEM]],TbPiezas[],5,FALSE)="NA",0,VLOOKUP(TbPrestamo[[#This Row],[ITEM]],TbPiezas[],5,FALSE))</f>
        <v>0.02</v>
      </c>
      <c r="V549" s="295">
        <f>+TbPrestamo[[#This Row],[TOTAL]]*TbPrestamo[[#This Row],[P.U. (1)]]</f>
        <v>0.44</v>
      </c>
      <c r="W549" s="84">
        <f>+VLOOKUP(TbPrestamo[[#This Row],[ITEM]],TbPiezas[],6,FALSE)</f>
        <v>19.059999999999999</v>
      </c>
      <c r="X549" s="296">
        <f>+TbPrestamo[[#This Row],[TOTAL]]*TbPrestamo[[#This Row],[P.U. (2)]]</f>
        <v>419.32</v>
      </c>
      <c r="Y549" s="84">
        <f>+VLOOKUP(TbPrestamo[[#This Row],[ITEM]],TbPiezas[],7,FALSE)</f>
        <v>0.95299999999999996</v>
      </c>
      <c r="Z549" s="296">
        <f>+TbPrestamo[[#This Row],[TOTAL]]*TbPrestamo[[#This Row],[P.U. (3)]]</f>
        <v>20.965999999999998</v>
      </c>
    </row>
    <row r="550" spans="1:26" s="4" customFormat="1" x14ac:dyDescent="0.3">
      <c r="A550" s="2"/>
      <c r="B550" s="85"/>
      <c r="C550" s="71" t="s">
        <v>948</v>
      </c>
      <c r="D550" s="72" t="s">
        <v>949</v>
      </c>
      <c r="E550" s="73"/>
      <c r="F550" s="74"/>
      <c r="G550" s="2"/>
      <c r="H550" s="75" t="str">
        <f t="shared" si="16"/>
        <v>EV.10200</v>
      </c>
      <c r="I550" s="59" t="str">
        <f t="shared" si="17"/>
        <v>ok</v>
      </c>
      <c r="J550" s="77">
        <f>IFERROR(VLOOKUP($H550,TG[],3,FALSE),"NA")</f>
        <v>0</v>
      </c>
      <c r="K550" s="408" t="str">
        <f>IFERROR(VLOOKUP($H550,TF[],3,FALSE),"NA")</f>
        <v>NA</v>
      </c>
      <c r="L550" s="408" t="str">
        <f>IFERROR(VLOOKUP($H550,TT[],3,FALSE),"NA")</f>
        <v>NA</v>
      </c>
      <c r="M550" s="77" t="str">
        <f>IFERROR(VLOOKUP($H550,TES[],3,FALSE),"NA")</f>
        <v>NA</v>
      </c>
      <c r="N550" s="77" t="str">
        <f>IFERROR(VLOOKUP($H550,TEC[],3,FALSE),"NA")</f>
        <v>NA</v>
      </c>
      <c r="O550" s="77" t="str">
        <f>IFERROR(VLOOKUP($H550,TP[],3,FALSE),"NA")</f>
        <v>NA</v>
      </c>
      <c r="P550" s="77" t="str">
        <f>IFERROR(VLOOKUP($H550,TEN[],3,FALSE),"NA")</f>
        <v>NA</v>
      </c>
      <c r="Q550" s="77" t="str">
        <f>IFERROR(VLOOKUP($H550,TD[],3,FALSE),"NA")</f>
        <v>NA</v>
      </c>
      <c r="R550" s="77" t="str">
        <f>IFERROR(VLOOKUP($H550,TC[],3,FALSE),"NA")</f>
        <v>NA</v>
      </c>
      <c r="S550" s="408">
        <f>IFERROR(VLOOKUP($H550,TEV[],3,FALSE),"NA")</f>
        <v>4</v>
      </c>
      <c r="T550" s="78">
        <f>SUM(TbPrestamo[[#This Row],[GENERAL]:[ELEVADOR]])</f>
        <v>4</v>
      </c>
      <c r="U550" s="295">
        <f>IF(VLOOKUP(TbPrestamo[[#This Row],[ITEM]],TbPiezas[],5,FALSE)="NA",0,VLOOKUP(TbPrestamo[[#This Row],[ITEM]],TbPiezas[],5,FALSE))</f>
        <v>2.3E-2</v>
      </c>
      <c r="V550" s="295">
        <f>+TbPrestamo[[#This Row],[TOTAL]]*TbPrestamo[[#This Row],[P.U. (1)]]</f>
        <v>9.1999999999999998E-2</v>
      </c>
      <c r="W550" s="84">
        <f>+VLOOKUP(TbPrestamo[[#This Row],[ITEM]],TbPiezas[],6,FALSE)</f>
        <v>19.059999999999999</v>
      </c>
      <c r="X550" s="296">
        <f>+TbPrestamo[[#This Row],[TOTAL]]*TbPrestamo[[#This Row],[P.U. (2)]]</f>
        <v>76.239999999999995</v>
      </c>
      <c r="Y550" s="84">
        <f>+VLOOKUP(TbPrestamo[[#This Row],[ITEM]],TbPiezas[],7,FALSE)</f>
        <v>0.95299999999999996</v>
      </c>
      <c r="Z550" s="296">
        <f>+TbPrestamo[[#This Row],[TOTAL]]*TbPrestamo[[#This Row],[P.U. (3)]]</f>
        <v>3.8119999999999998</v>
      </c>
    </row>
    <row r="551" spans="1:26" s="4" customFormat="1" x14ac:dyDescent="0.3">
      <c r="A551" s="2"/>
      <c r="B551" s="85"/>
      <c r="C551" s="71" t="s">
        <v>950</v>
      </c>
      <c r="D551" s="72" t="s">
        <v>951</v>
      </c>
      <c r="E551" s="73"/>
      <c r="F551" s="74"/>
      <c r="G551" s="2"/>
      <c r="H551" s="75" t="str">
        <f t="shared" si="16"/>
        <v>EV.10300</v>
      </c>
      <c r="I551" s="59" t="str">
        <f t="shared" si="17"/>
        <v>ok</v>
      </c>
      <c r="J551" s="77">
        <f>IFERROR(VLOOKUP($H551,TG[],3,FALSE),"NA")</f>
        <v>0</v>
      </c>
      <c r="K551" s="408" t="str">
        <f>IFERROR(VLOOKUP($H551,TF[],3,FALSE),"NA")</f>
        <v>NA</v>
      </c>
      <c r="L551" s="408" t="str">
        <f>IFERROR(VLOOKUP($H551,TT[],3,FALSE),"NA")</f>
        <v>NA</v>
      </c>
      <c r="M551" s="77" t="str">
        <f>IFERROR(VLOOKUP($H551,TES[],3,FALSE),"NA")</f>
        <v>NA</v>
      </c>
      <c r="N551" s="77" t="str">
        <f>IFERROR(VLOOKUP($H551,TEC[],3,FALSE),"NA")</f>
        <v>NA</v>
      </c>
      <c r="O551" s="77" t="str">
        <f>IFERROR(VLOOKUP($H551,TP[],3,FALSE),"NA")</f>
        <v>NA</v>
      </c>
      <c r="P551" s="77" t="str">
        <f>IFERROR(VLOOKUP($H551,TEN[],3,FALSE),"NA")</f>
        <v>NA</v>
      </c>
      <c r="Q551" s="77" t="str">
        <f>IFERROR(VLOOKUP($H551,TD[],3,FALSE),"NA")</f>
        <v>NA</v>
      </c>
      <c r="R551" s="77" t="str">
        <f>IFERROR(VLOOKUP($H551,TC[],3,FALSE),"NA")</f>
        <v>NA</v>
      </c>
      <c r="S551" s="408">
        <f>IFERROR(VLOOKUP($H551,TEV[],3,FALSE),"NA")</f>
        <v>4</v>
      </c>
      <c r="T551" s="78">
        <f>SUM(TbPrestamo[[#This Row],[GENERAL]:[ELEVADOR]])</f>
        <v>4</v>
      </c>
      <c r="U551" s="295">
        <f>IF(VLOOKUP(TbPrestamo[[#This Row],[ITEM]],TbPiezas[],5,FALSE)="NA",0,VLOOKUP(TbPrestamo[[#This Row],[ITEM]],TbPiezas[],5,FALSE))</f>
        <v>0.72499999999999998</v>
      </c>
      <c r="V551" s="295">
        <f>+TbPrestamo[[#This Row],[TOTAL]]*TbPrestamo[[#This Row],[P.U. (1)]]</f>
        <v>2.9</v>
      </c>
      <c r="W551" s="84">
        <f>+VLOOKUP(TbPrestamo[[#This Row],[ITEM]],TbPiezas[],6,FALSE)</f>
        <v>19.059999999999999</v>
      </c>
      <c r="X551" s="296">
        <f>+TbPrestamo[[#This Row],[TOTAL]]*TbPrestamo[[#This Row],[P.U. (2)]]</f>
        <v>76.239999999999995</v>
      </c>
      <c r="Y551" s="84">
        <f>+VLOOKUP(TbPrestamo[[#This Row],[ITEM]],TbPiezas[],7,FALSE)</f>
        <v>0.95299999999999996</v>
      </c>
      <c r="Z551" s="296">
        <f>+TbPrestamo[[#This Row],[TOTAL]]*TbPrestamo[[#This Row],[P.U. (3)]]</f>
        <v>3.8119999999999998</v>
      </c>
    </row>
    <row r="552" spans="1:26" s="4" customFormat="1" x14ac:dyDescent="0.3">
      <c r="A552" s="2"/>
      <c r="B552" s="85"/>
      <c r="C552" s="71" t="s">
        <v>952</v>
      </c>
      <c r="D552" s="72" t="s">
        <v>953</v>
      </c>
      <c r="E552" s="73"/>
      <c r="F552" s="74"/>
      <c r="G552" s="2"/>
      <c r="H552" s="75" t="str">
        <f t="shared" si="16"/>
        <v>EV.10400</v>
      </c>
      <c r="I552" s="59" t="str">
        <f t="shared" si="17"/>
        <v>ok</v>
      </c>
      <c r="J552" s="77">
        <f>IFERROR(VLOOKUP($H552,TG[],3,FALSE),"NA")</f>
        <v>0</v>
      </c>
      <c r="K552" s="408" t="str">
        <f>IFERROR(VLOOKUP($H552,TF[],3,FALSE),"NA")</f>
        <v>NA</v>
      </c>
      <c r="L552" s="408" t="str">
        <f>IFERROR(VLOOKUP($H552,TT[],3,FALSE),"NA")</f>
        <v>NA</v>
      </c>
      <c r="M552" s="77" t="str">
        <f>IFERROR(VLOOKUP($H552,TES[],3,FALSE),"NA")</f>
        <v>NA</v>
      </c>
      <c r="N552" s="77" t="str">
        <f>IFERROR(VLOOKUP($H552,TEC[],3,FALSE),"NA")</f>
        <v>NA</v>
      </c>
      <c r="O552" s="77" t="str">
        <f>IFERROR(VLOOKUP($H552,TP[],3,FALSE),"NA")</f>
        <v>NA</v>
      </c>
      <c r="P552" s="77" t="str">
        <f>IFERROR(VLOOKUP($H552,TEN[],3,FALSE),"NA")</f>
        <v>NA</v>
      </c>
      <c r="Q552" s="77" t="str">
        <f>IFERROR(VLOOKUP($H552,TD[],3,FALSE),"NA")</f>
        <v>NA</v>
      </c>
      <c r="R552" s="77" t="str">
        <f>IFERROR(VLOOKUP($H552,TC[],3,FALSE),"NA")</f>
        <v>NA</v>
      </c>
      <c r="S552" s="408">
        <f>IFERROR(VLOOKUP($H552,TEV[],3,FALSE),"NA")</f>
        <v>0</v>
      </c>
      <c r="T552" s="78">
        <f>SUM(TbPrestamo[[#This Row],[GENERAL]:[ELEVADOR]])</f>
        <v>0</v>
      </c>
      <c r="U552" s="295">
        <f>IF(VLOOKUP(TbPrestamo[[#This Row],[ITEM]],TbPiezas[],5,FALSE)="NA",0,VLOOKUP(TbPrestamo[[#This Row],[ITEM]],TbPiezas[],5,FALSE))</f>
        <v>1</v>
      </c>
      <c r="V552" s="295">
        <f>+TbPrestamo[[#This Row],[TOTAL]]*TbPrestamo[[#This Row],[P.U. (1)]]</f>
        <v>0</v>
      </c>
      <c r="W552" s="84">
        <f>+VLOOKUP(TbPrestamo[[#This Row],[ITEM]],TbPiezas[],6,FALSE)</f>
        <v>190.58</v>
      </c>
      <c r="X552" s="296">
        <f>+TbPrestamo[[#This Row],[TOTAL]]*TbPrestamo[[#This Row],[P.U. (2)]]</f>
        <v>0</v>
      </c>
      <c r="Y552" s="84">
        <f>+VLOOKUP(TbPrestamo[[#This Row],[ITEM]],TbPiezas[],7,FALSE)</f>
        <v>9.5290000000000017</v>
      </c>
      <c r="Z552" s="296">
        <f>+TbPrestamo[[#This Row],[TOTAL]]*TbPrestamo[[#This Row],[P.U. (3)]]</f>
        <v>0</v>
      </c>
    </row>
    <row r="553" spans="1:26" s="4" customFormat="1" x14ac:dyDescent="0.3">
      <c r="A553" s="2"/>
      <c r="B553" s="85"/>
      <c r="C553" s="71" t="s">
        <v>954</v>
      </c>
      <c r="D553" s="72" t="s">
        <v>955</v>
      </c>
      <c r="E553" s="73"/>
      <c r="F553" s="74"/>
      <c r="G553" s="2"/>
      <c r="H553" s="75" t="str">
        <f t="shared" si="16"/>
        <v>EV.10500</v>
      </c>
      <c r="I553" s="59" t="str">
        <f t="shared" si="17"/>
        <v>ok</v>
      </c>
      <c r="J553" s="77">
        <f>IFERROR(VLOOKUP($H553,TG[],3,FALSE),"NA")</f>
        <v>0</v>
      </c>
      <c r="K553" s="408" t="str">
        <f>IFERROR(VLOOKUP($H553,TF[],3,FALSE),"NA")</f>
        <v>NA</v>
      </c>
      <c r="L553" s="408" t="str">
        <f>IFERROR(VLOOKUP($H553,TT[],3,FALSE),"NA")</f>
        <v>NA</v>
      </c>
      <c r="M553" s="77" t="str">
        <f>IFERROR(VLOOKUP($H553,TES[],3,FALSE),"NA")</f>
        <v>NA</v>
      </c>
      <c r="N553" s="77" t="str">
        <f>IFERROR(VLOOKUP($H553,TEC[],3,FALSE),"NA")</f>
        <v>NA</v>
      </c>
      <c r="O553" s="77" t="str">
        <f>IFERROR(VLOOKUP($H553,TP[],3,FALSE),"NA")</f>
        <v>NA</v>
      </c>
      <c r="P553" s="77" t="str">
        <f>IFERROR(VLOOKUP($H553,TEN[],3,FALSE),"NA")</f>
        <v>NA</v>
      </c>
      <c r="Q553" s="77" t="str">
        <f>IFERROR(VLOOKUP($H553,TD[],3,FALSE),"NA")</f>
        <v>NA</v>
      </c>
      <c r="R553" s="77" t="str">
        <f>IFERROR(VLOOKUP($H553,TC[],3,FALSE),"NA")</f>
        <v>NA</v>
      </c>
      <c r="S553" s="408">
        <f>IFERROR(VLOOKUP($H553,TEV[],3,FALSE),"NA")</f>
        <v>18</v>
      </c>
      <c r="T553" s="78">
        <f>SUM(TbPrestamo[[#This Row],[GENERAL]:[ELEVADOR]])</f>
        <v>18</v>
      </c>
      <c r="U553" s="295">
        <f>IF(VLOOKUP(TbPrestamo[[#This Row],[ITEM]],TbPiezas[],5,FALSE)="NA",0,VLOOKUP(TbPrestamo[[#This Row],[ITEM]],TbPiezas[],5,FALSE))</f>
        <v>0.3</v>
      </c>
      <c r="V553" s="295">
        <f>+TbPrestamo[[#This Row],[TOTAL]]*TbPrestamo[[#This Row],[P.U. (1)]]</f>
        <v>5.3999999999999995</v>
      </c>
      <c r="W553" s="84">
        <f>+VLOOKUP(TbPrestamo[[#This Row],[ITEM]],TbPiezas[],6,FALSE)</f>
        <v>190.58</v>
      </c>
      <c r="X553" s="296">
        <f>+TbPrestamo[[#This Row],[TOTAL]]*TbPrestamo[[#This Row],[P.U. (2)]]</f>
        <v>3430.44</v>
      </c>
      <c r="Y553" s="84">
        <f>+VLOOKUP(TbPrestamo[[#This Row],[ITEM]],TbPiezas[],7,FALSE)</f>
        <v>9.5290000000000017</v>
      </c>
      <c r="Z553" s="296">
        <f>+TbPrestamo[[#This Row],[TOTAL]]*TbPrestamo[[#This Row],[P.U. (3)]]</f>
        <v>171.52200000000002</v>
      </c>
    </row>
    <row r="554" spans="1:26" s="4" customFormat="1" x14ac:dyDescent="0.3">
      <c r="A554" s="2"/>
      <c r="B554" s="85">
        <v>483</v>
      </c>
      <c r="C554" s="71" t="s">
        <v>956</v>
      </c>
      <c r="D554" s="72" t="s">
        <v>957</v>
      </c>
      <c r="E554" s="73"/>
      <c r="F554" s="74">
        <f>+VLOOKUP(C554,TbPrestamo[],13,FALSE)</f>
        <v>2</v>
      </c>
      <c r="G554" s="2"/>
      <c r="H554" s="75" t="str">
        <f t="shared" si="16"/>
        <v>EV.10600</v>
      </c>
      <c r="I554" s="59" t="str">
        <f t="shared" si="17"/>
        <v>ok</v>
      </c>
      <c r="J554" s="77">
        <f>IFERROR(VLOOKUP($H554,TG[],3,FALSE),"NA")</f>
        <v>0</v>
      </c>
      <c r="K554" s="77" t="str">
        <f>IFERROR(VLOOKUP($H554,TF[],3,FALSE),"NA")</f>
        <v>NA</v>
      </c>
      <c r="L554" s="77" t="str">
        <f>IFERROR(VLOOKUP($H554,TT[],3,FALSE),"NA")</f>
        <v>NA</v>
      </c>
      <c r="M554" s="77" t="str">
        <f>IFERROR(VLOOKUP($H554,TES[],3,FALSE),"NA")</f>
        <v>NA</v>
      </c>
      <c r="N554" s="77" t="str">
        <f>IFERROR(VLOOKUP($H554,TEC[],3,FALSE),"NA")</f>
        <v>NA</v>
      </c>
      <c r="O554" s="77" t="str">
        <f>IFERROR(VLOOKUP($H554,TP[],3,FALSE),"NA")</f>
        <v>NA</v>
      </c>
      <c r="P554" s="77" t="str">
        <f>IFERROR(VLOOKUP($H554,TEN[],3,FALSE),"NA")</f>
        <v>NA</v>
      </c>
      <c r="Q554" s="77" t="str">
        <f>IFERROR(VLOOKUP($H554,TD[],3,FALSE),"NA")</f>
        <v>NA</v>
      </c>
      <c r="R554" s="77" t="str">
        <f>IFERROR(VLOOKUP($H554,TC[],3,FALSE),"NA")</f>
        <v>NA</v>
      </c>
      <c r="S554" s="77">
        <f>IFERROR(VLOOKUP($H554,TEV[],3,FALSE),"NA")</f>
        <v>2</v>
      </c>
      <c r="T554" s="79">
        <f>SUM(TbPrestamo[[#This Row],[GENERAL]:[ELEVADOR]])</f>
        <v>2</v>
      </c>
      <c r="U554" s="80">
        <f>IF(VLOOKUP(TbPrestamo[[#This Row],[ITEM]],TbPiezas[],5,FALSE)="NA",0,VLOOKUP(TbPrestamo[[#This Row],[ITEM]],TbPiezas[],5,FALSE))</f>
        <v>2.5</v>
      </c>
      <c r="V554" s="81">
        <f>+TbPrestamo[[#This Row],[TOTAL]]*TbPrestamo[[#This Row],[P.U. (1)]]</f>
        <v>5</v>
      </c>
      <c r="W554" s="82">
        <f>+VLOOKUP(TbPrestamo[[#This Row],[ITEM]],TbPiezas[],6,FALSE)</f>
        <v>158.69</v>
      </c>
      <c r="X554" s="83">
        <f>+TbPrestamo[[#This Row],[TOTAL]]*TbPrestamo[[#This Row],[P.U. (2)]]</f>
        <v>317.38</v>
      </c>
      <c r="Y554" s="82">
        <f>+VLOOKUP(TbPrestamo[[#This Row],[ITEM]],TbPiezas[],7,FALSE)</f>
        <v>7.9344999999999999</v>
      </c>
      <c r="Z554" s="84">
        <f>+TbPrestamo[[#This Row],[TOTAL]]*TbPrestamo[[#This Row],[P.U. (3)]]</f>
        <v>15.869</v>
      </c>
    </row>
    <row r="555" spans="1:26" s="4" customFormat="1" x14ac:dyDescent="0.3">
      <c r="A555" s="2"/>
      <c r="B555" s="85">
        <v>484</v>
      </c>
      <c r="C555" s="71" t="s">
        <v>958</v>
      </c>
      <c r="D555" s="72" t="s">
        <v>959</v>
      </c>
      <c r="E555" s="73"/>
      <c r="F555" s="74">
        <f>+VLOOKUP(C555,TbPrestamo[],13,FALSE)</f>
        <v>4</v>
      </c>
      <c r="G555" s="2"/>
      <c r="H555" s="75" t="str">
        <f t="shared" si="16"/>
        <v>EV.10700</v>
      </c>
      <c r="I555" s="59" t="str">
        <f t="shared" si="17"/>
        <v>ok</v>
      </c>
      <c r="J555" s="77">
        <f>IFERROR(VLOOKUP($H555,TG[],3,FALSE),"NA")</f>
        <v>0</v>
      </c>
      <c r="K555" s="77" t="str">
        <f>IFERROR(VLOOKUP($H555,TF[],3,FALSE),"NA")</f>
        <v>NA</v>
      </c>
      <c r="L555" s="77" t="str">
        <f>IFERROR(VLOOKUP($H555,TT[],3,FALSE),"NA")</f>
        <v>NA</v>
      </c>
      <c r="M555" s="77" t="str">
        <f>IFERROR(VLOOKUP($H555,TES[],3,FALSE),"NA")</f>
        <v>NA</v>
      </c>
      <c r="N555" s="77" t="str">
        <f>IFERROR(VLOOKUP($H555,TEC[],3,FALSE),"NA")</f>
        <v>NA</v>
      </c>
      <c r="O555" s="77" t="str">
        <f>IFERROR(VLOOKUP($H555,TP[],3,FALSE),"NA")</f>
        <v>NA</v>
      </c>
      <c r="P555" s="77" t="str">
        <f>IFERROR(VLOOKUP($H555,TEN[],3,FALSE),"NA")</f>
        <v>NA</v>
      </c>
      <c r="Q555" s="77" t="str">
        <f>IFERROR(VLOOKUP($H555,TD[],3,FALSE),"NA")</f>
        <v>NA</v>
      </c>
      <c r="R555" s="77" t="str">
        <f>IFERROR(VLOOKUP($H555,TC[],3,FALSE),"NA")</f>
        <v>NA</v>
      </c>
      <c r="S555" s="77">
        <f>IFERROR(VLOOKUP($H555,TEV[],3,FALSE),"NA")</f>
        <v>4</v>
      </c>
      <c r="T555" s="79">
        <f>SUM(TbPrestamo[[#This Row],[GENERAL]:[ELEVADOR]])</f>
        <v>4</v>
      </c>
      <c r="U555" s="80">
        <f>IF(VLOOKUP(TbPrestamo[[#This Row],[ITEM]],TbPiezas[],5,FALSE)="NA",0,VLOOKUP(TbPrestamo[[#This Row],[ITEM]],TbPiezas[],5,FALSE))</f>
        <v>0.5</v>
      </c>
      <c r="V555" s="81">
        <f>+TbPrestamo[[#This Row],[TOTAL]]*TbPrestamo[[#This Row],[P.U. (1)]]</f>
        <v>2</v>
      </c>
      <c r="W555" s="82">
        <f>+VLOOKUP(TbPrestamo[[#This Row],[ITEM]],TbPiezas[],6,FALSE)</f>
        <v>158.69</v>
      </c>
      <c r="X555" s="83">
        <f>+TbPrestamo[[#This Row],[TOTAL]]*TbPrestamo[[#This Row],[P.U. (2)]]</f>
        <v>634.76</v>
      </c>
      <c r="Y555" s="82">
        <f>+VLOOKUP(TbPrestamo[[#This Row],[ITEM]],TbPiezas[],7,FALSE)</f>
        <v>7.9344999999999999</v>
      </c>
      <c r="Z555" s="84">
        <f>+TbPrestamo[[#This Row],[TOTAL]]*TbPrestamo[[#This Row],[P.U. (3)]]</f>
        <v>31.738</v>
      </c>
    </row>
    <row r="556" spans="1:26" s="4" customFormat="1" x14ac:dyDescent="0.3">
      <c r="A556" s="2"/>
      <c r="B556" s="85">
        <v>485</v>
      </c>
      <c r="C556" s="71" t="s">
        <v>960</v>
      </c>
      <c r="D556" s="72" t="s">
        <v>961</v>
      </c>
      <c r="E556" s="73"/>
      <c r="F556" s="74">
        <f>+VLOOKUP(C556,TbPrestamo[],13,FALSE)</f>
        <v>0</v>
      </c>
      <c r="G556" s="2"/>
      <c r="H556" s="75" t="str">
        <f t="shared" si="16"/>
        <v>EV.10750</v>
      </c>
      <c r="I556" s="59" t="str">
        <f t="shared" si="17"/>
        <v>ok</v>
      </c>
      <c r="J556" s="77">
        <f>IFERROR(VLOOKUP($H556,TG[],3,FALSE),"NA")</f>
        <v>0</v>
      </c>
      <c r="K556" s="77" t="str">
        <f>IFERROR(VLOOKUP($H556,TF[],3,FALSE),"NA")</f>
        <v>NA</v>
      </c>
      <c r="L556" s="77" t="str">
        <f>IFERROR(VLOOKUP($H556,TT[],3,FALSE),"NA")</f>
        <v>NA</v>
      </c>
      <c r="M556" s="77" t="str">
        <f>IFERROR(VLOOKUP($H556,TES[],3,FALSE),"NA")</f>
        <v>NA</v>
      </c>
      <c r="N556" s="77" t="str">
        <f>IFERROR(VLOOKUP($H556,TEC[],3,FALSE),"NA")</f>
        <v>NA</v>
      </c>
      <c r="O556" s="77" t="str">
        <f>IFERROR(VLOOKUP($H556,TP[],3,FALSE),"NA")</f>
        <v>NA</v>
      </c>
      <c r="P556" s="77" t="str">
        <f>IFERROR(VLOOKUP($H556,TEN[],3,FALSE),"NA")</f>
        <v>NA</v>
      </c>
      <c r="Q556" s="77" t="str">
        <f>IFERROR(VLOOKUP($H556,TD[],3,FALSE),"NA")</f>
        <v>NA</v>
      </c>
      <c r="R556" s="77" t="str">
        <f>IFERROR(VLOOKUP($H556,TC[],3,FALSE),"NA")</f>
        <v>NA</v>
      </c>
      <c r="S556" s="77">
        <f>IFERROR(VLOOKUP($H556,TEV[],3,FALSE),"NA")</f>
        <v>0</v>
      </c>
      <c r="T556" s="79">
        <f>SUM(TbPrestamo[[#This Row],[GENERAL]:[ELEVADOR]])</f>
        <v>0</v>
      </c>
      <c r="U556" s="80">
        <f>IF(VLOOKUP(TbPrestamo[[#This Row],[ITEM]],TbPiezas[],5,FALSE)="NA",0,VLOOKUP(TbPrestamo[[#This Row],[ITEM]],TbPiezas[],5,FALSE))</f>
        <v>0.26200000000000001</v>
      </c>
      <c r="V556" s="81">
        <f>+TbPrestamo[[#This Row],[TOTAL]]*TbPrestamo[[#This Row],[P.U. (1)]]</f>
        <v>0</v>
      </c>
      <c r="W556" s="82">
        <f>+VLOOKUP(TbPrestamo[[#This Row],[ITEM]],TbPiezas[],6,FALSE)</f>
        <v>45.1</v>
      </c>
      <c r="X556" s="83">
        <f>+TbPrestamo[[#This Row],[TOTAL]]*TbPrestamo[[#This Row],[P.U. (2)]]</f>
        <v>0</v>
      </c>
      <c r="Y556" s="82">
        <f>+VLOOKUP(TbPrestamo[[#This Row],[ITEM]],TbPiezas[],7,FALSE)</f>
        <v>2.2550000000000003</v>
      </c>
      <c r="Z556" s="84">
        <f>+TbPrestamo[[#This Row],[TOTAL]]*TbPrestamo[[#This Row],[P.U. (3)]]</f>
        <v>0</v>
      </c>
    </row>
    <row r="557" spans="1:26" s="4" customFormat="1" x14ac:dyDescent="0.3">
      <c r="A557" s="2"/>
      <c r="B557" s="85">
        <v>486</v>
      </c>
      <c r="C557" s="71" t="s">
        <v>962</v>
      </c>
      <c r="D557" s="72" t="s">
        <v>963</v>
      </c>
      <c r="E557" s="73"/>
      <c r="F557" s="74">
        <f>+VLOOKUP(C557,TbPrestamo[],13,FALSE)</f>
        <v>0</v>
      </c>
      <c r="G557" s="2"/>
      <c r="H557" s="75" t="str">
        <f t="shared" si="16"/>
        <v>EV.10800</v>
      </c>
      <c r="I557" s="59" t="str">
        <f t="shared" si="17"/>
        <v>ok</v>
      </c>
      <c r="J557" s="77">
        <f>IFERROR(VLOOKUP($H557,TG[],3,FALSE),"NA")</f>
        <v>0</v>
      </c>
      <c r="K557" s="77" t="str">
        <f>IFERROR(VLOOKUP($H557,TF[],3,FALSE),"NA")</f>
        <v>NA</v>
      </c>
      <c r="L557" s="77" t="str">
        <f>IFERROR(VLOOKUP($H557,TT[],3,FALSE),"NA")</f>
        <v>NA</v>
      </c>
      <c r="M557" s="77" t="str">
        <f>IFERROR(VLOOKUP($H557,TES[],3,FALSE),"NA")</f>
        <v>NA</v>
      </c>
      <c r="N557" s="77" t="str">
        <f>IFERROR(VLOOKUP($H557,TEC[],3,FALSE),"NA")</f>
        <v>NA</v>
      </c>
      <c r="O557" s="77" t="str">
        <f>IFERROR(VLOOKUP($H557,TP[],3,FALSE),"NA")</f>
        <v>NA</v>
      </c>
      <c r="P557" s="77" t="str">
        <f>IFERROR(VLOOKUP($H557,TEN[],3,FALSE),"NA")</f>
        <v>NA</v>
      </c>
      <c r="Q557" s="77" t="str">
        <f>IFERROR(VLOOKUP($H557,TD[],3,FALSE),"NA")</f>
        <v>NA</v>
      </c>
      <c r="R557" s="77" t="str">
        <f>IFERROR(VLOOKUP($H557,TC[],3,FALSE),"NA")</f>
        <v>NA</v>
      </c>
      <c r="S557" s="77">
        <f>IFERROR(VLOOKUP($H557,TEV[],3,FALSE),"NA")</f>
        <v>0</v>
      </c>
      <c r="T557" s="79">
        <f>SUM(TbPrestamo[[#This Row],[GENERAL]:[ELEVADOR]])</f>
        <v>0</v>
      </c>
      <c r="U557" s="80">
        <f>IF(VLOOKUP(TbPrestamo[[#This Row],[ITEM]],TbPiezas[],5,FALSE)="NA",0,VLOOKUP(TbPrestamo[[#This Row],[ITEM]],TbPiezas[],5,FALSE))</f>
        <v>0.2</v>
      </c>
      <c r="V557" s="81">
        <f>+TbPrestamo[[#This Row],[TOTAL]]*TbPrestamo[[#This Row],[P.U. (1)]]</f>
        <v>0</v>
      </c>
      <c r="W557" s="82">
        <f>+VLOOKUP(TbPrestamo[[#This Row],[ITEM]],TbPiezas[],6,FALSE)</f>
        <v>45.1</v>
      </c>
      <c r="X557" s="83">
        <f>+TbPrestamo[[#This Row],[TOTAL]]*TbPrestamo[[#This Row],[P.U. (2)]]</f>
        <v>0</v>
      </c>
      <c r="Y557" s="82">
        <f>+VLOOKUP(TbPrestamo[[#This Row],[ITEM]],TbPiezas[],7,FALSE)</f>
        <v>2.2550000000000003</v>
      </c>
      <c r="Z557" s="84">
        <f>+TbPrestamo[[#This Row],[TOTAL]]*TbPrestamo[[#This Row],[P.U. (3)]]</f>
        <v>0</v>
      </c>
    </row>
    <row r="558" spans="1:26" s="4" customFormat="1" x14ac:dyDescent="0.3">
      <c r="A558" s="2"/>
      <c r="B558" s="85">
        <v>487</v>
      </c>
      <c r="C558" s="71" t="s">
        <v>964</v>
      </c>
      <c r="D558" s="72" t="s">
        <v>965</v>
      </c>
      <c r="E558" s="73"/>
      <c r="F558" s="74">
        <f>+VLOOKUP(C558,TbPrestamo[],13,FALSE)</f>
        <v>0</v>
      </c>
      <c r="G558" s="2"/>
      <c r="H558" s="75" t="str">
        <f t="shared" si="16"/>
        <v>EV.10900</v>
      </c>
      <c r="I558" s="59" t="str">
        <f t="shared" si="17"/>
        <v>ok</v>
      </c>
      <c r="J558" s="77">
        <f>IFERROR(VLOOKUP($H558,TG[],3,FALSE),"NA")</f>
        <v>0</v>
      </c>
      <c r="K558" s="77" t="str">
        <f>IFERROR(VLOOKUP($H558,TF[],3,FALSE),"NA")</f>
        <v>NA</v>
      </c>
      <c r="L558" s="77" t="str">
        <f>IFERROR(VLOOKUP($H558,TT[],3,FALSE),"NA")</f>
        <v>NA</v>
      </c>
      <c r="M558" s="77" t="str">
        <f>IFERROR(VLOOKUP($H558,TES[],3,FALSE),"NA")</f>
        <v>NA</v>
      </c>
      <c r="N558" s="77" t="str">
        <f>IFERROR(VLOOKUP($H558,TEC[],3,FALSE),"NA")</f>
        <v>NA</v>
      </c>
      <c r="O558" s="77" t="str">
        <f>IFERROR(VLOOKUP($H558,TP[],3,FALSE),"NA")</f>
        <v>NA</v>
      </c>
      <c r="P558" s="77" t="str">
        <f>IFERROR(VLOOKUP($H558,TEN[],3,FALSE),"NA")</f>
        <v>NA</v>
      </c>
      <c r="Q558" s="77" t="str">
        <f>IFERROR(VLOOKUP($H558,TD[],3,FALSE),"NA")</f>
        <v>NA</v>
      </c>
      <c r="R558" s="77" t="str">
        <f>IFERROR(VLOOKUP($H558,TC[],3,FALSE),"NA")</f>
        <v>NA</v>
      </c>
      <c r="S558" s="77">
        <f>IFERROR(VLOOKUP($H558,TEV[],3,FALSE),"NA")</f>
        <v>0</v>
      </c>
      <c r="T558" s="79">
        <f>SUM(TbPrestamo[[#This Row],[GENERAL]:[ELEVADOR]])</f>
        <v>0</v>
      </c>
      <c r="U558" s="80">
        <f>IF(VLOOKUP(TbPrestamo[[#This Row],[ITEM]],TbPiezas[],5,FALSE)="NA",0,VLOOKUP(TbPrestamo[[#This Row],[ITEM]],TbPiezas[],5,FALSE))</f>
        <v>0.2</v>
      </c>
      <c r="V558" s="81">
        <f>+TbPrestamo[[#This Row],[TOTAL]]*TbPrestamo[[#This Row],[P.U. (1)]]</f>
        <v>0</v>
      </c>
      <c r="W558" s="82">
        <f>+VLOOKUP(TbPrestamo[[#This Row],[ITEM]],TbPiezas[],6,FALSE)</f>
        <v>45.1</v>
      </c>
      <c r="X558" s="83">
        <f>+TbPrestamo[[#This Row],[TOTAL]]*TbPrestamo[[#This Row],[P.U. (2)]]</f>
        <v>0</v>
      </c>
      <c r="Y558" s="82">
        <f>+VLOOKUP(TbPrestamo[[#This Row],[ITEM]],TbPiezas[],7,FALSE)</f>
        <v>2.2550000000000003</v>
      </c>
      <c r="Z558" s="84">
        <f>+TbPrestamo[[#This Row],[TOTAL]]*TbPrestamo[[#This Row],[P.U. (3)]]</f>
        <v>0</v>
      </c>
    </row>
    <row r="559" spans="1:26" s="4" customFormat="1" x14ac:dyDescent="0.3">
      <c r="A559" s="2"/>
      <c r="B559" s="85">
        <v>488</v>
      </c>
      <c r="C559" s="71" t="s">
        <v>966</v>
      </c>
      <c r="D559" s="72" t="s">
        <v>967</v>
      </c>
      <c r="E559" s="73"/>
      <c r="F559" s="74">
        <f>+VLOOKUP(C559,TbPrestamo[],13,FALSE)</f>
        <v>0</v>
      </c>
      <c r="G559" s="2"/>
      <c r="H559" s="75" t="str">
        <f t="shared" si="16"/>
        <v>EV.10950</v>
      </c>
      <c r="I559" s="59" t="str">
        <f t="shared" si="17"/>
        <v>ok</v>
      </c>
      <c r="J559" s="77">
        <f>IFERROR(VLOOKUP($H559,TG[],3,FALSE),"NA")</f>
        <v>0</v>
      </c>
      <c r="K559" s="77" t="str">
        <f>IFERROR(VLOOKUP($H559,TF[],3,FALSE),"NA")</f>
        <v>NA</v>
      </c>
      <c r="L559" s="77" t="str">
        <f>IFERROR(VLOOKUP($H559,TT[],3,FALSE),"NA")</f>
        <v>NA</v>
      </c>
      <c r="M559" s="77" t="str">
        <f>IFERROR(VLOOKUP($H559,TES[],3,FALSE),"NA")</f>
        <v>NA</v>
      </c>
      <c r="N559" s="77" t="str">
        <f>IFERROR(VLOOKUP($H559,TEC[],3,FALSE),"NA")</f>
        <v>NA</v>
      </c>
      <c r="O559" s="77" t="str">
        <f>IFERROR(VLOOKUP($H559,TP[],3,FALSE),"NA")</f>
        <v>NA</v>
      </c>
      <c r="P559" s="77" t="str">
        <f>IFERROR(VLOOKUP($H559,TEN[],3,FALSE),"NA")</f>
        <v>NA</v>
      </c>
      <c r="Q559" s="77" t="str">
        <f>IFERROR(VLOOKUP($H559,TD[],3,FALSE),"NA")</f>
        <v>NA</v>
      </c>
      <c r="R559" s="77" t="str">
        <f>IFERROR(VLOOKUP($H559,TC[],3,FALSE),"NA")</f>
        <v>NA</v>
      </c>
      <c r="S559" s="77">
        <f>IFERROR(VLOOKUP($H559,TEV[],3,FALSE),"NA")</f>
        <v>0</v>
      </c>
      <c r="T559" s="79">
        <f>SUM(TbPrestamo[[#This Row],[GENERAL]:[ELEVADOR]])</f>
        <v>0</v>
      </c>
      <c r="U559" s="80">
        <f>IF(VLOOKUP(TbPrestamo[[#This Row],[ITEM]],TbPiezas[],5,FALSE)="NA",0,VLOOKUP(TbPrestamo[[#This Row],[ITEM]],TbPiezas[],5,FALSE))</f>
        <v>0.2</v>
      </c>
      <c r="V559" s="81">
        <f>+TbPrestamo[[#This Row],[TOTAL]]*TbPrestamo[[#This Row],[P.U. (1)]]</f>
        <v>0</v>
      </c>
      <c r="W559" s="82">
        <f>+VLOOKUP(TbPrestamo[[#This Row],[ITEM]],TbPiezas[],6,FALSE)</f>
        <v>45.1</v>
      </c>
      <c r="X559" s="83">
        <f>+TbPrestamo[[#This Row],[TOTAL]]*TbPrestamo[[#This Row],[P.U. (2)]]</f>
        <v>0</v>
      </c>
      <c r="Y559" s="82">
        <f>+VLOOKUP(TbPrestamo[[#This Row],[ITEM]],TbPiezas[],7,FALSE)</f>
        <v>2.2550000000000003</v>
      </c>
      <c r="Z559" s="84">
        <f>+TbPrestamo[[#This Row],[TOTAL]]*TbPrestamo[[#This Row],[P.U. (3)]]</f>
        <v>0</v>
      </c>
    </row>
    <row r="560" spans="1:26" s="4" customFormat="1" x14ac:dyDescent="0.3">
      <c r="A560" s="2"/>
      <c r="B560" s="85">
        <v>489</v>
      </c>
      <c r="C560" s="71" t="s">
        <v>968</v>
      </c>
      <c r="D560" s="72" t="s">
        <v>969</v>
      </c>
      <c r="E560" s="73"/>
      <c r="F560" s="74">
        <f>+VLOOKUP(C560,TbPrestamo[],13,FALSE)</f>
        <v>0</v>
      </c>
      <c r="G560" s="2"/>
      <c r="H560" s="75" t="str">
        <f t="shared" si="16"/>
        <v>MA.0100</v>
      </c>
      <c r="I560" s="59" t="str">
        <f t="shared" si="17"/>
        <v>ok</v>
      </c>
      <c r="J560" s="77">
        <f>IFERROR(VLOOKUP($H560,TG[],3,FALSE),"NA")</f>
        <v>0</v>
      </c>
      <c r="K560" s="77" t="str">
        <f>IFERROR(VLOOKUP($H560,TF[],3,FALSE),"NA")</f>
        <v>NA</v>
      </c>
      <c r="L560" s="77" t="str">
        <f>IFERROR(VLOOKUP($H560,TT[],3,FALSE),"NA")</f>
        <v>NA</v>
      </c>
      <c r="M560" s="77" t="str">
        <f>IFERROR(VLOOKUP($H560,TES[],3,FALSE),"NA")</f>
        <v>NA</v>
      </c>
      <c r="N560" s="77" t="str">
        <f>IFERROR(VLOOKUP($H560,TEC[],3,FALSE),"NA")</f>
        <v>NA</v>
      </c>
      <c r="O560" s="77" t="str">
        <f>IFERROR(VLOOKUP($H560,TP[],3,FALSE),"NA")</f>
        <v>NA</v>
      </c>
      <c r="P560" s="77" t="str">
        <f>IFERROR(VLOOKUP($H560,TEN[],3,FALSE),"NA")</f>
        <v>NA</v>
      </c>
      <c r="Q560" s="77" t="str">
        <f>IFERROR(VLOOKUP($H560,TD[],3,FALSE),"NA")</f>
        <v>NA</v>
      </c>
      <c r="R560" s="77" t="str">
        <f>IFERROR(VLOOKUP($H560,TC[],3,FALSE),"NA")</f>
        <v>NA</v>
      </c>
      <c r="S560" s="77" t="str">
        <f>IFERROR(VLOOKUP($H560,TEV[],3,FALSE),"NA")</f>
        <v>NA</v>
      </c>
      <c r="T560" s="79">
        <f>SUM(TbPrestamo[[#This Row],[GENERAL]:[ELEVADOR]])</f>
        <v>0</v>
      </c>
      <c r="U560" s="80">
        <f>IF(VLOOKUP(TbPrestamo[[#This Row],[ITEM]],TbPiezas[],5,FALSE)="NA",0,VLOOKUP(TbPrestamo[[#This Row],[ITEM]],TbPiezas[],5,FALSE))</f>
        <v>27.2</v>
      </c>
      <c r="V560" s="81">
        <f>+TbPrestamo[[#This Row],[TOTAL]]*TbPrestamo[[#This Row],[P.U. (1)]]</f>
        <v>0</v>
      </c>
      <c r="W560" s="82">
        <f>+VLOOKUP(TbPrestamo[[#This Row],[ITEM]],TbPiezas[],6,FALSE)</f>
        <v>127.05</v>
      </c>
      <c r="X560" s="83">
        <f>+TbPrestamo[[#This Row],[TOTAL]]*TbPrestamo[[#This Row],[P.U. (2)]]</f>
        <v>0</v>
      </c>
      <c r="Y560" s="82">
        <f>+VLOOKUP(TbPrestamo[[#This Row],[ITEM]],TbPiezas[],7,FALSE)</f>
        <v>6.3525</v>
      </c>
      <c r="Z560" s="84">
        <f>+TbPrestamo[[#This Row],[TOTAL]]*TbPrestamo[[#This Row],[P.U. (3)]]</f>
        <v>0</v>
      </c>
    </row>
    <row r="561" spans="1:26" s="4" customFormat="1" x14ac:dyDescent="0.3">
      <c r="A561" s="2"/>
      <c r="B561" s="85">
        <v>490</v>
      </c>
      <c r="C561" s="71" t="s">
        <v>970</v>
      </c>
      <c r="D561" s="72" t="s">
        <v>971</v>
      </c>
      <c r="E561" s="73"/>
      <c r="F561" s="74">
        <f>+VLOOKUP(C561,TbPrestamo[],13,FALSE)</f>
        <v>0</v>
      </c>
      <c r="G561" s="2"/>
      <c r="H561" s="75" t="str">
        <f t="shared" si="16"/>
        <v>MA.0200</v>
      </c>
      <c r="I561" s="59" t="str">
        <f t="shared" si="17"/>
        <v>ok</v>
      </c>
      <c r="J561" s="77">
        <f>IFERROR(VLOOKUP($H561,TG[],3,FALSE),"NA")</f>
        <v>0</v>
      </c>
      <c r="K561" s="77" t="str">
        <f>IFERROR(VLOOKUP($H561,TF[],3,FALSE),"NA")</f>
        <v>NA</v>
      </c>
      <c r="L561" s="77" t="str">
        <f>IFERROR(VLOOKUP($H561,TT[],3,FALSE),"NA")</f>
        <v>NA</v>
      </c>
      <c r="M561" s="77" t="str">
        <f>IFERROR(VLOOKUP($H561,TES[],3,FALSE),"NA")</f>
        <v>NA</v>
      </c>
      <c r="N561" s="77" t="str">
        <f>IFERROR(VLOOKUP($H561,TEC[],3,FALSE),"NA")</f>
        <v>NA</v>
      </c>
      <c r="O561" s="77" t="str">
        <f>IFERROR(VLOOKUP($H561,TP[],3,FALSE),"NA")</f>
        <v>NA</v>
      </c>
      <c r="P561" s="77" t="str">
        <f>IFERROR(VLOOKUP($H561,TEN[],3,FALSE),"NA")</f>
        <v>NA</v>
      </c>
      <c r="Q561" s="77" t="str">
        <f>IFERROR(VLOOKUP($H561,TD[],3,FALSE),"NA")</f>
        <v>NA</v>
      </c>
      <c r="R561" s="77" t="str">
        <f>IFERROR(VLOOKUP($H561,TC[],3,FALSE),"NA")</f>
        <v>NA</v>
      </c>
      <c r="S561" s="77" t="str">
        <f>IFERROR(VLOOKUP($H561,TEV[],3,FALSE),"NA")</f>
        <v>NA</v>
      </c>
      <c r="T561" s="79">
        <f>SUM(TbPrestamo[[#This Row],[GENERAL]:[ELEVADOR]])</f>
        <v>0</v>
      </c>
      <c r="U561" s="80">
        <f>IF(VLOOKUP(TbPrestamo[[#This Row],[ITEM]],TbPiezas[],5,FALSE)="NA",0,VLOOKUP(TbPrestamo[[#This Row],[ITEM]],TbPiezas[],5,FALSE))</f>
        <v>2.52</v>
      </c>
      <c r="V561" s="81">
        <f>+TbPrestamo[[#This Row],[TOTAL]]*TbPrestamo[[#This Row],[P.U. (1)]]</f>
        <v>0</v>
      </c>
      <c r="W561" s="82">
        <f>+VLOOKUP(TbPrestamo[[#This Row],[ITEM]],TbPiezas[],6,FALSE)</f>
        <v>12.71</v>
      </c>
      <c r="X561" s="83">
        <f>+TbPrestamo[[#This Row],[TOTAL]]*TbPrestamo[[#This Row],[P.U. (2)]]</f>
        <v>0</v>
      </c>
      <c r="Y561" s="82">
        <f>+VLOOKUP(TbPrestamo[[#This Row],[ITEM]],TbPiezas[],7,FALSE)</f>
        <v>0.63550000000000006</v>
      </c>
      <c r="Z561" s="84">
        <f>+TbPrestamo[[#This Row],[TOTAL]]*TbPrestamo[[#This Row],[P.U. (3)]]</f>
        <v>0</v>
      </c>
    </row>
    <row r="562" spans="1:26" s="4" customFormat="1" x14ac:dyDescent="0.3">
      <c r="A562" s="2"/>
      <c r="B562" s="85">
        <v>491</v>
      </c>
      <c r="C562" s="71" t="s">
        <v>972</v>
      </c>
      <c r="D562" s="72" t="s">
        <v>973</v>
      </c>
      <c r="E562" s="73"/>
      <c r="F562" s="74">
        <f>+VLOOKUP(C562,TbPrestamo[],13,FALSE)</f>
        <v>0</v>
      </c>
      <c r="G562" s="2"/>
      <c r="H562" s="75" t="str">
        <f t="shared" si="16"/>
        <v>MA.0250</v>
      </c>
      <c r="I562" s="59" t="str">
        <f t="shared" si="17"/>
        <v>ok</v>
      </c>
      <c r="J562" s="77">
        <f>IFERROR(VLOOKUP($H562,TG[],3,FALSE),"NA")</f>
        <v>0</v>
      </c>
      <c r="K562" s="77" t="str">
        <f>IFERROR(VLOOKUP($H562,TF[],3,FALSE),"NA")</f>
        <v>NA</v>
      </c>
      <c r="L562" s="77" t="str">
        <f>IFERROR(VLOOKUP($H562,TT[],3,FALSE),"NA")</f>
        <v>NA</v>
      </c>
      <c r="M562" s="77" t="str">
        <f>IFERROR(VLOOKUP($H562,TES[],3,FALSE),"NA")</f>
        <v>NA</v>
      </c>
      <c r="N562" s="77" t="str">
        <f>IFERROR(VLOOKUP($H562,TEC[],3,FALSE),"NA")</f>
        <v>NA</v>
      </c>
      <c r="O562" s="77" t="str">
        <f>IFERROR(VLOOKUP($H562,TP[],3,FALSE),"NA")</f>
        <v>NA</v>
      </c>
      <c r="P562" s="77" t="str">
        <f>IFERROR(VLOOKUP($H562,TEN[],3,FALSE),"NA")</f>
        <v>NA</v>
      </c>
      <c r="Q562" s="77" t="str">
        <f>IFERROR(VLOOKUP($H562,TD[],3,FALSE),"NA")</f>
        <v>NA</v>
      </c>
      <c r="R562" s="77" t="str">
        <f>IFERROR(VLOOKUP($H562,TC[],3,FALSE),"NA")</f>
        <v>NA</v>
      </c>
      <c r="S562" s="77" t="str">
        <f>IFERROR(VLOOKUP($H562,TEV[],3,FALSE),"NA")</f>
        <v>NA</v>
      </c>
      <c r="T562" s="79">
        <f>SUM(TbPrestamo[[#This Row],[GENERAL]:[ELEVADOR]])</f>
        <v>0</v>
      </c>
      <c r="U562" s="80">
        <f>IF(VLOOKUP(TbPrestamo[[#This Row],[ITEM]],TbPiezas[],5,FALSE)="NA",0,VLOOKUP(TbPrestamo[[#This Row],[ITEM]],TbPiezas[],5,FALSE))</f>
        <v>0.63600000000000001</v>
      </c>
      <c r="V562" s="81">
        <f>+TbPrestamo[[#This Row],[TOTAL]]*TbPrestamo[[#This Row],[P.U. (1)]]</f>
        <v>0</v>
      </c>
      <c r="W562" s="82">
        <f>+VLOOKUP(TbPrestamo[[#This Row],[ITEM]],TbPiezas[],6,FALSE)</f>
        <v>50.82</v>
      </c>
      <c r="X562" s="83">
        <f>+TbPrestamo[[#This Row],[TOTAL]]*TbPrestamo[[#This Row],[P.U. (2)]]</f>
        <v>0</v>
      </c>
      <c r="Y562" s="82">
        <f>+VLOOKUP(TbPrestamo[[#This Row],[ITEM]],TbPiezas[],7,FALSE)</f>
        <v>2.5410000000000004</v>
      </c>
      <c r="Z562" s="84">
        <f>+TbPrestamo[[#This Row],[TOTAL]]*TbPrestamo[[#This Row],[P.U. (3)]]</f>
        <v>0</v>
      </c>
    </row>
    <row r="563" spans="1:26" s="4" customFormat="1" x14ac:dyDescent="0.3">
      <c r="A563" s="2"/>
      <c r="B563" s="85">
        <v>492</v>
      </c>
      <c r="C563" s="71" t="s">
        <v>974</v>
      </c>
      <c r="D563" s="72" t="s">
        <v>975</v>
      </c>
      <c r="E563" s="73"/>
      <c r="F563" s="74">
        <f>+VLOOKUP(C563,TbPrestamo[],13,FALSE)</f>
        <v>0</v>
      </c>
      <c r="G563" s="2"/>
      <c r="H563" s="75" t="str">
        <f t="shared" si="16"/>
        <v>MA.0300</v>
      </c>
      <c r="I563" s="59" t="str">
        <f t="shared" si="17"/>
        <v>ok</v>
      </c>
      <c r="J563" s="77">
        <f>IFERROR(VLOOKUP($H563,TG[],3,FALSE),"NA")</f>
        <v>0</v>
      </c>
      <c r="K563" s="77" t="str">
        <f>IFERROR(VLOOKUP($H563,TF[],3,FALSE),"NA")</f>
        <v>NA</v>
      </c>
      <c r="L563" s="77" t="str">
        <f>IFERROR(VLOOKUP($H563,TT[],3,FALSE),"NA")</f>
        <v>NA</v>
      </c>
      <c r="M563" s="77" t="str">
        <f>IFERROR(VLOOKUP($H563,TES[],3,FALSE),"NA")</f>
        <v>NA</v>
      </c>
      <c r="N563" s="77" t="str">
        <f>IFERROR(VLOOKUP($H563,TEC[],3,FALSE),"NA")</f>
        <v>NA</v>
      </c>
      <c r="O563" s="77" t="str">
        <f>IFERROR(VLOOKUP($H563,TP[],3,FALSE),"NA")</f>
        <v>NA</v>
      </c>
      <c r="P563" s="77" t="str">
        <f>IFERROR(VLOOKUP($H563,TEN[],3,FALSE),"NA")</f>
        <v>NA</v>
      </c>
      <c r="Q563" s="77" t="str">
        <f>IFERROR(VLOOKUP($H563,TD[],3,FALSE),"NA")</f>
        <v>NA</v>
      </c>
      <c r="R563" s="77" t="str">
        <f>IFERROR(VLOOKUP($H563,TC[],3,FALSE),"NA")</f>
        <v>NA</v>
      </c>
      <c r="S563" s="77" t="str">
        <f>IFERROR(VLOOKUP($H563,TEV[],3,FALSE),"NA")</f>
        <v>NA</v>
      </c>
      <c r="T563" s="79">
        <f>SUM(TbPrestamo[[#This Row],[GENERAL]:[ELEVADOR]])</f>
        <v>0</v>
      </c>
      <c r="U563" s="80">
        <f>IF(VLOOKUP(TbPrestamo[[#This Row],[ITEM]],TbPiezas[],5,FALSE)="NA",0,VLOOKUP(TbPrestamo[[#This Row],[ITEM]],TbPiezas[],5,FALSE))</f>
        <v>70</v>
      </c>
      <c r="V563" s="81">
        <f>+TbPrestamo[[#This Row],[TOTAL]]*TbPrestamo[[#This Row],[P.U. (1)]]</f>
        <v>0</v>
      </c>
      <c r="W563" s="82">
        <f>+VLOOKUP(TbPrestamo[[#This Row],[ITEM]],TbPiezas[],6,FALSE)</f>
        <v>1079.93</v>
      </c>
      <c r="X563" s="83">
        <f>+TbPrestamo[[#This Row],[TOTAL]]*TbPrestamo[[#This Row],[P.U. (2)]]</f>
        <v>0</v>
      </c>
      <c r="Y563" s="82">
        <f>+VLOOKUP(TbPrestamo[[#This Row],[ITEM]],TbPiezas[],7,FALSE)</f>
        <v>53.996500000000005</v>
      </c>
      <c r="Z563" s="84">
        <f>+TbPrestamo[[#This Row],[TOTAL]]*TbPrestamo[[#This Row],[P.U. (3)]]</f>
        <v>0</v>
      </c>
    </row>
    <row r="564" spans="1:26" s="4" customFormat="1" x14ac:dyDescent="0.3">
      <c r="A564" s="2"/>
      <c r="B564" s="85">
        <v>493</v>
      </c>
      <c r="C564" s="71" t="s">
        <v>976</v>
      </c>
      <c r="D564" s="72" t="s">
        <v>977</v>
      </c>
      <c r="E564" s="73"/>
      <c r="F564" s="74">
        <f>+VLOOKUP(C564,TbPrestamo[],13,FALSE)</f>
        <v>0</v>
      </c>
      <c r="G564" s="2"/>
      <c r="H564" s="75" t="str">
        <f t="shared" si="16"/>
        <v>MA.0400</v>
      </c>
      <c r="I564" s="59" t="str">
        <f t="shared" si="17"/>
        <v>ok</v>
      </c>
      <c r="J564" s="77">
        <f>IFERROR(VLOOKUP($H564,TG[],3,FALSE),"NA")</f>
        <v>0</v>
      </c>
      <c r="K564" s="77" t="str">
        <f>IFERROR(VLOOKUP($H564,TF[],3,FALSE),"NA")</f>
        <v>NA</v>
      </c>
      <c r="L564" s="77" t="str">
        <f>IFERROR(VLOOKUP($H564,TT[],3,FALSE),"NA")</f>
        <v>NA</v>
      </c>
      <c r="M564" s="77" t="str">
        <f>IFERROR(VLOOKUP($H564,TES[],3,FALSE),"NA")</f>
        <v>NA</v>
      </c>
      <c r="N564" s="77" t="str">
        <f>IFERROR(VLOOKUP($H564,TEC[],3,FALSE),"NA")</f>
        <v>NA</v>
      </c>
      <c r="O564" s="77" t="str">
        <f>IFERROR(VLOOKUP($H564,TP[],3,FALSE),"NA")</f>
        <v>NA</v>
      </c>
      <c r="P564" s="77" t="str">
        <f>IFERROR(VLOOKUP($H564,TEN[],3,FALSE),"NA")</f>
        <v>NA</v>
      </c>
      <c r="Q564" s="77" t="str">
        <f>IFERROR(VLOOKUP($H564,TD[],3,FALSE),"NA")</f>
        <v>NA</v>
      </c>
      <c r="R564" s="77" t="str">
        <f>IFERROR(VLOOKUP($H564,TC[],3,FALSE),"NA")</f>
        <v>NA</v>
      </c>
      <c r="S564" s="77" t="str">
        <f>IFERROR(VLOOKUP($H564,TEV[],3,FALSE),"NA")</f>
        <v>NA</v>
      </c>
      <c r="T564" s="79">
        <f>SUM(TbPrestamo[[#This Row],[GENERAL]:[ELEVADOR]])</f>
        <v>0</v>
      </c>
      <c r="U564" s="80">
        <f>IF(VLOOKUP(TbPrestamo[[#This Row],[ITEM]],TbPiezas[],5,FALSE)="NA",0,VLOOKUP(TbPrestamo[[#This Row],[ITEM]],TbPiezas[],5,FALSE))</f>
        <v>65</v>
      </c>
      <c r="V564" s="81">
        <f>+TbPrestamo[[#This Row],[TOTAL]]*TbPrestamo[[#This Row],[P.U. (1)]]</f>
        <v>0</v>
      </c>
      <c r="W564" s="82">
        <f>+VLOOKUP(TbPrestamo[[#This Row],[ITEM]],TbPiezas[],6,FALSE)</f>
        <v>1715.18</v>
      </c>
      <c r="X564" s="83">
        <f>+TbPrestamo[[#This Row],[TOTAL]]*TbPrestamo[[#This Row],[P.U. (2)]]</f>
        <v>0</v>
      </c>
      <c r="Y564" s="82">
        <f>+VLOOKUP(TbPrestamo[[#This Row],[ITEM]],TbPiezas[],7,FALSE)</f>
        <v>85.759000000000015</v>
      </c>
      <c r="Z564" s="84">
        <f>+TbPrestamo[[#This Row],[TOTAL]]*TbPrestamo[[#This Row],[P.U. (3)]]</f>
        <v>0</v>
      </c>
    </row>
    <row r="565" spans="1:26" ht="7.5" customHeight="1" x14ac:dyDescent="0.3"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2"/>
      <c r="V565" s="2"/>
    </row>
    <row r="566" spans="1:26" ht="15" customHeight="1" x14ac:dyDescent="0.3">
      <c r="A566" s="2"/>
      <c r="G566" s="2"/>
      <c r="H566" s="2"/>
      <c r="I566" s="68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88" t="s">
        <v>1169</v>
      </c>
      <c r="V566" s="89" t="e">
        <f>SUM(V18:V565)</f>
        <v>#N/A</v>
      </c>
      <c r="W566" s="90" t="s">
        <v>1170</v>
      </c>
      <c r="X566" s="91" t="e">
        <f>SUM(X18:X565)</f>
        <v>#N/A</v>
      </c>
      <c r="Y566" s="92" t="s">
        <v>1170</v>
      </c>
      <c r="Z566" s="93" t="e">
        <f>SUM(Z18:Z565)</f>
        <v>#N/A</v>
      </c>
    </row>
    <row r="567" spans="1:26" x14ac:dyDescent="0.3">
      <c r="U567" s="447" t="s">
        <v>1171</v>
      </c>
      <c r="V567" s="448" t="e">
        <f>+V566/1000</f>
        <v>#N/A</v>
      </c>
      <c r="W567" s="94" t="s">
        <v>1172</v>
      </c>
      <c r="X567" s="449" t="e">
        <f>-X566*W568</f>
        <v>#N/A</v>
      </c>
      <c r="Y567" s="95" t="s">
        <v>1172</v>
      </c>
      <c r="Z567" s="450" t="e">
        <f>-Z566*Y568</f>
        <v>#N/A</v>
      </c>
    </row>
    <row r="568" spans="1:26" x14ac:dyDescent="0.3">
      <c r="U568" s="447"/>
      <c r="V568" s="448"/>
      <c r="W568" s="96"/>
      <c r="X568" s="449"/>
      <c r="Y568" s="97"/>
      <c r="Z568" s="450"/>
    </row>
    <row r="569" spans="1:26" ht="7.5" customHeight="1" x14ac:dyDescent="0.3">
      <c r="U569" s="2"/>
      <c r="V569" s="2"/>
    </row>
    <row r="570" spans="1:26" ht="15" customHeight="1" x14ac:dyDescent="0.3">
      <c r="U570" s="488" t="s">
        <v>1173</v>
      </c>
      <c r="V570" s="83">
        <v>0</v>
      </c>
      <c r="W570" s="98" t="s">
        <v>1170</v>
      </c>
      <c r="X570" s="83" t="e">
        <f>X566+X567</f>
        <v>#N/A</v>
      </c>
      <c r="Y570" s="82" t="s">
        <v>1170</v>
      </c>
      <c r="Z570" s="84" t="e">
        <f>Z566+Z567</f>
        <v>#N/A</v>
      </c>
    </row>
    <row r="571" spans="1:26" x14ac:dyDescent="0.3">
      <c r="U571" s="488"/>
      <c r="V571" s="83">
        <v>0</v>
      </c>
      <c r="W571" s="98" t="s">
        <v>1174</v>
      </c>
      <c r="X571" s="83" t="e">
        <f>0.18*X570</f>
        <v>#N/A</v>
      </c>
      <c r="Y571" s="82" t="s">
        <v>1174</v>
      </c>
      <c r="Z571" s="84" t="e">
        <f>0.18*Z570</f>
        <v>#N/A</v>
      </c>
    </row>
    <row r="572" spans="1:26" ht="7.5" customHeight="1" x14ac:dyDescent="0.3">
      <c r="U572" s="2"/>
      <c r="V572" s="2"/>
    </row>
    <row r="573" spans="1:26" x14ac:dyDescent="0.3">
      <c r="U573" s="2"/>
      <c r="V573" s="99"/>
      <c r="W573" s="100" t="s">
        <v>1162</v>
      </c>
      <c r="X573" s="101" t="e">
        <f>+X570+X571</f>
        <v>#N/A</v>
      </c>
      <c r="Y573" s="100" t="s">
        <v>1162</v>
      </c>
      <c r="Z573" s="102" t="e">
        <f>+Z570+Z571</f>
        <v>#N/A</v>
      </c>
    </row>
    <row r="574" spans="1:26" x14ac:dyDescent="0.3">
      <c r="D574" s="68"/>
    </row>
    <row r="575" spans="1:26" x14ac:dyDescent="0.3">
      <c r="D575" s="68"/>
    </row>
    <row r="576" spans="1:26" x14ac:dyDescent="0.3">
      <c r="D576" s="68"/>
    </row>
    <row r="577" spans="4:4" x14ac:dyDescent="0.3">
      <c r="D577" s="68"/>
    </row>
    <row r="578" spans="4:4" x14ac:dyDescent="0.3">
      <c r="D578" s="68"/>
    </row>
    <row r="579" spans="4:4" x14ac:dyDescent="0.3">
      <c r="D579" s="68"/>
    </row>
    <row r="580" spans="4:4" x14ac:dyDescent="0.3">
      <c r="D580" s="68"/>
    </row>
    <row r="581" spans="4:4" x14ac:dyDescent="0.3">
      <c r="D581" s="68"/>
    </row>
    <row r="582" spans="4:4" x14ac:dyDescent="0.3">
      <c r="D582" s="68"/>
    </row>
    <row r="583" spans="4:4" x14ac:dyDescent="0.3">
      <c r="D583" s="68"/>
    </row>
    <row r="584" spans="4:4" x14ac:dyDescent="0.3">
      <c r="D584" s="68"/>
    </row>
    <row r="585" spans="4:4" x14ac:dyDescent="0.3">
      <c r="D585" s="68"/>
    </row>
    <row r="586" spans="4:4" x14ac:dyDescent="0.3">
      <c r="D586" s="68"/>
    </row>
    <row r="587" spans="4:4" x14ac:dyDescent="0.3">
      <c r="D587" s="68"/>
    </row>
    <row r="588" spans="4:4" x14ac:dyDescent="0.3">
      <c r="D588" s="68"/>
    </row>
    <row r="589" spans="4:4" x14ac:dyDescent="0.3">
      <c r="D589" s="68"/>
    </row>
    <row r="590" spans="4:4" x14ac:dyDescent="0.3">
      <c r="D590" s="68"/>
    </row>
    <row r="591" spans="4:4" x14ac:dyDescent="0.3">
      <c r="D591" s="68"/>
    </row>
    <row r="592" spans="4:4" x14ac:dyDescent="0.3">
      <c r="D592" s="68"/>
    </row>
    <row r="593" spans="4:4" x14ac:dyDescent="0.3">
      <c r="D593" s="68"/>
    </row>
    <row r="594" spans="4:4" x14ac:dyDescent="0.3">
      <c r="D594" s="68"/>
    </row>
    <row r="595" spans="4:4" x14ac:dyDescent="0.3">
      <c r="D595" s="68"/>
    </row>
    <row r="596" spans="4:4" x14ac:dyDescent="0.3">
      <c r="D596" s="68"/>
    </row>
    <row r="597" spans="4:4" x14ac:dyDescent="0.3">
      <c r="D597" s="68"/>
    </row>
    <row r="598" spans="4:4" x14ac:dyDescent="0.3">
      <c r="D598" s="68"/>
    </row>
    <row r="599" spans="4:4" x14ac:dyDescent="0.3">
      <c r="D599" s="68"/>
    </row>
    <row r="600" spans="4:4" x14ac:dyDescent="0.3">
      <c r="D600" s="68"/>
    </row>
    <row r="601" spans="4:4" x14ac:dyDescent="0.3">
      <c r="D601" s="68"/>
    </row>
    <row r="602" spans="4:4" x14ac:dyDescent="0.3">
      <c r="D602" s="68"/>
    </row>
    <row r="603" spans="4:4" x14ac:dyDescent="0.3">
      <c r="D603" s="68"/>
    </row>
    <row r="604" spans="4:4" x14ac:dyDescent="0.3">
      <c r="D604" s="68"/>
    </row>
    <row r="605" spans="4:4" x14ac:dyDescent="0.3">
      <c r="D605" s="68"/>
    </row>
    <row r="606" spans="4:4" x14ac:dyDescent="0.3">
      <c r="D606" s="68"/>
    </row>
    <row r="607" spans="4:4" x14ac:dyDescent="0.3">
      <c r="D607" s="68"/>
    </row>
    <row r="608" spans="4:4" x14ac:dyDescent="0.3">
      <c r="D608" s="68"/>
    </row>
    <row r="609" spans="4:4" x14ac:dyDescent="0.3">
      <c r="D609" s="68"/>
    </row>
    <row r="610" spans="4:4" x14ac:dyDescent="0.3">
      <c r="D610" s="68"/>
    </row>
    <row r="614" spans="4:4" x14ac:dyDescent="0.3">
      <c r="D614" s="68"/>
    </row>
    <row r="615" spans="4:4" x14ac:dyDescent="0.3">
      <c r="D615" s="68"/>
    </row>
    <row r="616" spans="4:4" x14ac:dyDescent="0.3">
      <c r="D616" s="68"/>
    </row>
    <row r="617" spans="4:4" x14ac:dyDescent="0.3">
      <c r="D617" s="68"/>
    </row>
    <row r="618" spans="4:4" x14ac:dyDescent="0.3">
      <c r="D618" s="68"/>
    </row>
  </sheetData>
  <autoFilter ref="B17:F564" xr:uid="{3B1600FF-760F-408A-96A5-5EE50D4772E3}">
    <filterColumn colId="2" showButton="0"/>
  </autoFilter>
  <mergeCells count="23">
    <mergeCell ref="AX1:BF1"/>
    <mergeCell ref="C5:C7"/>
    <mergeCell ref="D7:D8"/>
    <mergeCell ref="C8:C10"/>
    <mergeCell ref="D9:D10"/>
    <mergeCell ref="B1:F1"/>
    <mergeCell ref="I1:S1"/>
    <mergeCell ref="U1:Y1"/>
    <mergeCell ref="AA1:AP1"/>
    <mergeCell ref="AR1:AV1"/>
    <mergeCell ref="E7:F7"/>
    <mergeCell ref="C11:C12"/>
    <mergeCell ref="D11:D12"/>
    <mergeCell ref="U570:U571"/>
    <mergeCell ref="C14:F14"/>
    <mergeCell ref="U16:V16"/>
    <mergeCell ref="W16:X16"/>
    <mergeCell ref="Y16:Z16"/>
    <mergeCell ref="D17:E17"/>
    <mergeCell ref="U567:U568"/>
    <mergeCell ref="V567:V568"/>
    <mergeCell ref="X567:X568"/>
    <mergeCell ref="Z567:Z568"/>
  </mergeCells>
  <conditionalFormatting sqref="K18:K564">
    <cfRule type="cellIs" dxfId="300" priority="21" operator="equal">
      <formula>"NA"</formula>
    </cfRule>
  </conditionalFormatting>
  <conditionalFormatting sqref="J18:J564">
    <cfRule type="cellIs" dxfId="299" priority="19" operator="equal">
      <formula>"NA"</formula>
    </cfRule>
  </conditionalFormatting>
  <conditionalFormatting sqref="J18:S564">
    <cfRule type="cellIs" dxfId="298" priority="17" operator="equal">
      <formula>"NA"</formula>
    </cfRule>
  </conditionalFormatting>
  <conditionalFormatting sqref="Q18:Q564">
    <cfRule type="cellIs" dxfId="297" priority="15" operator="equal">
      <formula>"NA"</formula>
    </cfRule>
  </conditionalFormatting>
  <conditionalFormatting sqref="R18:R564">
    <cfRule type="cellIs" dxfId="296" priority="13" operator="equal">
      <formula>"NA"</formula>
    </cfRule>
  </conditionalFormatting>
  <conditionalFormatting sqref="O18:P564">
    <cfRule type="cellIs" dxfId="295" priority="11" operator="equal">
      <formula>"NA"</formula>
    </cfRule>
  </conditionalFormatting>
  <conditionalFormatting sqref="S18:S564">
    <cfRule type="cellIs" dxfId="294" priority="9" operator="equal">
      <formula>"NA"</formula>
    </cfRule>
  </conditionalFormatting>
  <conditionalFormatting sqref="C15:F15">
    <cfRule type="containsText" dxfId="293" priority="5" operator="containsText" text="FALTAN LLENAR DATOS DE OBRA">
      <formula>NOT(ISERROR(SEARCH("FALTAN LLENAR DATOS DE OBRA",C15)))</formula>
    </cfRule>
  </conditionalFormatting>
  <conditionalFormatting sqref="D7:D8">
    <cfRule type="containsText" dxfId="292" priority="6" operator="containsText" text="PRE CONFIRMADO">
      <formula>NOT(ISERROR(SEARCH("PRE CONFIRMADO",D7)))</formula>
    </cfRule>
    <cfRule type="containsText" dxfId="291" priority="7" operator="containsText" text="CONFIRMADO">
      <formula>NOT(ISERROR(SEARCH("CONFIRMADO",D7)))</formula>
    </cfRule>
    <cfRule type="containsText" dxfId="290" priority="8" operator="containsText" text="POR CONFIRMAR">
      <formula>NOT(ISERROR(SEARCH("POR CONFIRMAR",D7)))</formula>
    </cfRule>
  </conditionalFormatting>
  <conditionalFormatting sqref="K14">
    <cfRule type="containsText" dxfId="289" priority="2" operator="containsText" text="MAL">
      <formula>NOT(ISERROR(SEARCH("MAL",K14)))</formula>
    </cfRule>
  </conditionalFormatting>
  <conditionalFormatting sqref="E7">
    <cfRule type="expression" dxfId="288" priority="1">
      <formula>$F$7="SI"</formula>
    </cfRule>
  </conditionalFormatting>
  <pageMargins left="0.23622047244094491" right="0.23622047244094491" top="0.74803149606299213" bottom="0.74803149606299213" header="0.31496062992125984" footer="0.31496062992125984"/>
  <pageSetup scale="95" orientation="portrait" r:id="rId1"/>
  <headerFooter>
    <oddHeader>&amp;C&amp;F - &amp;D - &amp;T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BtnImprimir">
          <controlPr defaultSize="0" autoLine="0" r:id="rId5">
            <anchor moveWithCells="1">
              <from>
                <xdr:col>10</xdr:col>
                <xdr:colOff>251460</xdr:colOff>
                <xdr:row>4</xdr:row>
                <xdr:rowOff>30480</xdr:rowOff>
              </from>
              <to>
                <xdr:col>10</xdr:col>
                <xdr:colOff>975360</xdr:colOff>
                <xdr:row>5</xdr:row>
                <xdr:rowOff>129540</xdr:rowOff>
              </to>
            </anchor>
          </controlPr>
        </control>
      </mc:Choice>
      <mc:Fallback>
        <control shapeId="7169" r:id="rId4" name="BtnImprimir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" operator="containsText" id="{4648CD67-F101-4B01-9241-EB635B25195F}">
            <xm:f>NOT(ISERROR(SEARCH(#N/A,K18)))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K18:K564</xm:sqref>
        </x14:conditionalFormatting>
        <x14:conditionalFormatting xmlns:xm="http://schemas.microsoft.com/office/excel/2006/main">
          <x14:cfRule type="containsText" priority="20" operator="containsText" id="{F70FC0C6-D801-43D1-B172-6D601D8772A3}">
            <xm:f>NOT(ISERROR(SEARCH(#N/A,J18)))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J18:J564</xm:sqref>
        </x14:conditionalFormatting>
        <x14:conditionalFormatting xmlns:xm="http://schemas.microsoft.com/office/excel/2006/main">
          <x14:cfRule type="containsText" priority="18" operator="containsText" id="{52FC3ED2-0338-4896-8CF6-62F290F186D4}">
            <xm:f>NOT(ISERROR(SEARCH(#N/A,J18)))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J18:S564</xm:sqref>
        </x14:conditionalFormatting>
        <x14:conditionalFormatting xmlns:xm="http://schemas.microsoft.com/office/excel/2006/main">
          <x14:cfRule type="containsText" priority="16" operator="containsText" id="{AAE7FC84-3B2F-413E-BE5A-CD7E600181DF}">
            <xm:f>NOT(ISERROR(SEARCH(#N/A,Q18)))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Q18:Q564</xm:sqref>
        </x14:conditionalFormatting>
        <x14:conditionalFormatting xmlns:xm="http://schemas.microsoft.com/office/excel/2006/main">
          <x14:cfRule type="containsText" priority="14" operator="containsText" id="{3F0CDD13-A70D-4109-B6D6-5E6FB0402D56}">
            <xm:f>NOT(ISERROR(SEARCH(#N/A,R18)))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R18:R564</xm:sqref>
        </x14:conditionalFormatting>
        <x14:conditionalFormatting xmlns:xm="http://schemas.microsoft.com/office/excel/2006/main">
          <x14:cfRule type="containsText" priority="12" operator="containsText" id="{056E61A6-03A4-4F4A-9810-E94E9E6B790B}">
            <xm:f>NOT(ISERROR(SEARCH(#N/A,O18)))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O18:P564</xm:sqref>
        </x14:conditionalFormatting>
        <x14:conditionalFormatting xmlns:xm="http://schemas.microsoft.com/office/excel/2006/main">
          <x14:cfRule type="containsText" priority="10" operator="containsText" id="{40EAABE5-A613-4E70-9F51-11EE943AE109}">
            <xm:f>NOT(ISERROR(SEARCH(#N/A,S18)))</xm:f>
            <xm:f>#N/A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S18:S564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ABE6E1-C1E5-4CA5-AE03-67CD198776E2}">
          <x14:formula1>
            <xm:f>Apoyo1Despiece!$C$4:$C$7</xm:f>
          </x14:formula1>
          <xm:sqref>F5:F6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DD6C1-15E5-4B85-9BAC-BDEDBAE22A9F}">
  <sheetPr codeName="Hoja18">
    <tabColor rgb="FFFFFF00"/>
  </sheetPr>
  <dimension ref="B1:R570"/>
  <sheetViews>
    <sheetView zoomScale="145" zoomScaleNormal="145" workbookViewId="0">
      <selection activeCell="C9" sqref="C9"/>
    </sheetView>
  </sheetViews>
  <sheetFormatPr baseColWidth="10" defaultColWidth="11.44140625" defaultRowHeight="14.4" outlineLevelCol="1" x14ac:dyDescent="0.3"/>
  <cols>
    <col min="1" max="1" width="1.6640625" style="2" customWidth="1"/>
    <col min="2" max="2" width="11.44140625" style="2"/>
    <col min="3" max="3" width="44" style="2" customWidth="1"/>
    <col min="4" max="4" width="1.6640625" style="2" hidden="1" customWidth="1" outlineLevel="1"/>
    <col min="5" max="6" width="17.109375" style="87" hidden="1" customWidth="1" outlineLevel="1"/>
    <col min="7" max="7" width="15.6640625" style="40" hidden="1" customWidth="1" outlineLevel="1"/>
    <col min="8" max="8" width="3.6640625" style="2" customWidth="1" collapsed="1"/>
    <col min="9" max="9" width="12.33203125" style="40" hidden="1" customWidth="1"/>
    <col min="10" max="10" width="6.88671875" style="40" hidden="1" customWidth="1"/>
    <col min="11" max="11" width="12.33203125" style="40" bestFit="1" customWidth="1"/>
    <col min="12" max="13" width="12.88671875" style="42" customWidth="1"/>
    <col min="14" max="14" width="13.5546875" style="43" customWidth="1"/>
    <col min="15" max="15" width="14.33203125" style="43" customWidth="1"/>
    <col min="16" max="16" width="13.6640625" style="43" customWidth="1"/>
    <col min="17" max="17" width="14.33203125" style="43" customWidth="1"/>
    <col min="18" max="16384" width="11.44140625" style="2"/>
  </cols>
  <sheetData>
    <row r="1" spans="2:18" ht="7.5" customHeight="1" x14ac:dyDescent="0.3">
      <c r="E1" s="4"/>
      <c r="F1" s="4"/>
      <c r="G1" s="2"/>
      <c r="I1" s="2"/>
      <c r="J1" s="2"/>
      <c r="K1" s="2"/>
    </row>
    <row r="2" spans="2:18" ht="15" customHeight="1" x14ac:dyDescent="0.3">
      <c r="B2" s="103" t="s">
        <v>1175</v>
      </c>
      <c r="C2" s="104"/>
      <c r="E2" s="42"/>
      <c r="F2" s="42"/>
      <c r="G2" s="42"/>
      <c r="I2" s="2"/>
      <c r="J2" s="2"/>
      <c r="K2" s="2"/>
    </row>
    <row r="3" spans="2:18" ht="7.5" customHeight="1" x14ac:dyDescent="0.3">
      <c r="E3" s="4"/>
      <c r="F3" s="4"/>
      <c r="G3" s="2"/>
      <c r="I3" s="2"/>
      <c r="J3" s="2"/>
      <c r="K3" s="2"/>
    </row>
    <row r="4" spans="2:18" s="68" customFormat="1" x14ac:dyDescent="0.3">
      <c r="B4" s="105"/>
      <c r="C4" s="105"/>
      <c r="E4" s="106" t="s">
        <v>1176</v>
      </c>
      <c r="F4" s="106" t="s">
        <v>1177</v>
      </c>
      <c r="G4" s="106" t="s">
        <v>1177</v>
      </c>
      <c r="H4" s="2"/>
      <c r="I4" s="2"/>
      <c r="J4" s="2"/>
      <c r="K4" s="318">
        <f>SUM(TG[TOTAL])</f>
        <v>21</v>
      </c>
      <c r="L4" s="454" t="s">
        <v>2</v>
      </c>
      <c r="M4" s="455"/>
      <c r="N4" s="456" t="s">
        <v>1158</v>
      </c>
      <c r="O4" s="457"/>
      <c r="P4" s="443" t="s">
        <v>1159</v>
      </c>
      <c r="Q4" s="490"/>
      <c r="R4" s="325"/>
    </row>
    <row r="5" spans="2:18" s="68" customFormat="1" x14ac:dyDescent="0.3">
      <c r="B5" s="109" t="s">
        <v>1</v>
      </c>
      <c r="C5" s="109" t="s">
        <v>0</v>
      </c>
      <c r="E5" s="110">
        <f>SUM(E6:E553)</f>
        <v>21</v>
      </c>
      <c r="F5" s="110">
        <f>SUM(F6:F553)</f>
        <v>0</v>
      </c>
      <c r="G5" s="110">
        <f>SUM(G6:G553)</f>
        <v>0</v>
      </c>
      <c r="I5" s="112" t="s">
        <v>1</v>
      </c>
      <c r="J5" s="112" t="s">
        <v>1161</v>
      </c>
      <c r="K5" s="336" t="s">
        <v>1162</v>
      </c>
      <c r="L5" s="319" t="s">
        <v>1163</v>
      </c>
      <c r="M5" s="320" t="s">
        <v>1164</v>
      </c>
      <c r="N5" s="321" t="s">
        <v>1165</v>
      </c>
      <c r="O5" s="322" t="s">
        <v>1166</v>
      </c>
      <c r="P5" s="323" t="s">
        <v>1167</v>
      </c>
      <c r="Q5" s="324" t="s">
        <v>1168</v>
      </c>
      <c r="R5" s="325"/>
    </row>
    <row r="6" spans="2:18" hidden="1" x14ac:dyDescent="0.3">
      <c r="B6" s="119" t="s">
        <v>3</v>
      </c>
      <c r="C6" s="119" t="s">
        <v>4</v>
      </c>
      <c r="E6" s="120"/>
      <c r="F6" s="120"/>
      <c r="G6" s="74"/>
      <c r="I6" s="76" t="str">
        <f t="shared" ref="I6:I69" si="0">+B6</f>
        <v>AM.0100</v>
      </c>
      <c r="J6" s="121" t="str">
        <f>+IF(B6=TG[[#This Row],[ITEM]],"ok","mal")</f>
        <v>ok</v>
      </c>
      <c r="K6" s="79">
        <f t="shared" ref="K6:K69" si="1">SUM(D6:H6)</f>
        <v>0</v>
      </c>
      <c r="L6" s="80">
        <f>IF(VLOOKUP(B6,TbPiezas[],5,0)="NA",0,VLOOKUP(B6,TbPiezas[],5,0))</f>
        <v>3.2999999999999972</v>
      </c>
      <c r="M6" s="81">
        <f>TG[[#This Row],[TOTAL]]*TG[[#This Row],[P.U. (1)]]</f>
        <v>0</v>
      </c>
      <c r="N6" s="82">
        <f>+VLOOKUP(B6,TbPiezas[],6,0)</f>
        <v>86.53</v>
      </c>
      <c r="O6" s="83">
        <f>TG[[#This Row],[TOTAL]]*TG[[#This Row],[P.U. (2)]]</f>
        <v>0</v>
      </c>
      <c r="P6" s="82">
        <f>+VLOOKUP(B6,TbPiezas[],7,0)</f>
        <v>4.3265000000000002</v>
      </c>
      <c r="Q6" s="170">
        <f>ROUND(TG[[#This Row],[TOTAL]]*TG[[#This Row],[P.U. (3)]],2)</f>
        <v>0</v>
      </c>
      <c r="R6" s="326"/>
    </row>
    <row r="7" spans="2:18" hidden="1" x14ac:dyDescent="0.3">
      <c r="B7" s="76" t="s">
        <v>5</v>
      </c>
      <c r="C7" s="76" t="s">
        <v>6</v>
      </c>
      <c r="E7" s="120"/>
      <c r="F7" s="120"/>
      <c r="G7" s="74"/>
      <c r="I7" s="76" t="str">
        <f t="shared" si="0"/>
        <v>AM.0200</v>
      </c>
      <c r="J7" s="76" t="str">
        <f>+IF(B7=TG[[#This Row],[ITEM]],"ok","mal")</f>
        <v>ok</v>
      </c>
      <c r="K7" s="79">
        <f t="shared" si="1"/>
        <v>0</v>
      </c>
      <c r="L7" s="80">
        <f>IF(VLOOKUP(B7,TbPiezas[],5,0)="NA",0,VLOOKUP(B7,TbPiezas[],5,0))</f>
        <v>5.9000000000000057</v>
      </c>
      <c r="M7" s="81">
        <f>TG[[#This Row],[TOTAL]]*TG[[#This Row],[P.U. (1)]]</f>
        <v>0</v>
      </c>
      <c r="N7" s="82">
        <f>+VLOOKUP(B7,TbPiezas[],6,0)</f>
        <v>371.46</v>
      </c>
      <c r="O7" s="83">
        <f>TG[[#This Row],[TOTAL]]*TG[[#This Row],[P.U. (2)]]</f>
        <v>0</v>
      </c>
      <c r="P7" s="82">
        <f>+VLOOKUP(B7,TbPiezas[],7,0)</f>
        <v>18.573</v>
      </c>
      <c r="Q7" s="170">
        <f>ROUND(TG[[#This Row],[TOTAL]]*TG[[#This Row],[P.U. (3)]],2)</f>
        <v>0</v>
      </c>
      <c r="R7" s="326"/>
    </row>
    <row r="8" spans="2:18" hidden="1" x14ac:dyDescent="0.3">
      <c r="B8" s="76" t="s">
        <v>7</v>
      </c>
      <c r="C8" s="76" t="s">
        <v>8</v>
      </c>
      <c r="E8" s="120"/>
      <c r="F8" s="120"/>
      <c r="G8" s="74"/>
      <c r="I8" s="76" t="str">
        <f t="shared" si="0"/>
        <v>AM.0300</v>
      </c>
      <c r="J8" s="121" t="str">
        <f>+IF(B8=TG[[#This Row],[ITEM]],"ok","mal")</f>
        <v>ok</v>
      </c>
      <c r="K8" s="79">
        <f t="shared" si="1"/>
        <v>0</v>
      </c>
      <c r="L8" s="80">
        <f>IF(VLOOKUP(B8,TbPiezas[],5,0)="NA",0,VLOOKUP(B8,TbPiezas[],5,0))</f>
        <v>1.8999999999999915</v>
      </c>
      <c r="M8" s="81">
        <f>TG[[#This Row],[TOTAL]]*TG[[#This Row],[P.U. (1)]]</f>
        <v>0</v>
      </c>
      <c r="N8" s="82">
        <f>+VLOOKUP(B8,TbPiezas[],6,0)</f>
        <v>78.02</v>
      </c>
      <c r="O8" s="83">
        <f>TG[[#This Row],[TOTAL]]*TG[[#This Row],[P.U. (2)]]</f>
        <v>0</v>
      </c>
      <c r="P8" s="82">
        <f>+VLOOKUP(B8,TbPiezas[],7,0)</f>
        <v>3.9009999999999998</v>
      </c>
      <c r="Q8" s="170">
        <f>ROUND(TG[[#This Row],[TOTAL]]*TG[[#This Row],[P.U. (3)]],2)</f>
        <v>0</v>
      </c>
      <c r="R8" s="326"/>
    </row>
    <row r="9" spans="2:18" x14ac:dyDescent="0.3">
      <c r="B9" s="76" t="s">
        <v>9</v>
      </c>
      <c r="C9" s="76" t="s">
        <v>10</v>
      </c>
      <c r="E9" s="120">
        <v>6</v>
      </c>
      <c r="F9" s="120"/>
      <c r="G9" s="74"/>
      <c r="I9" s="76" t="str">
        <f t="shared" si="0"/>
        <v>AM.0400</v>
      </c>
      <c r="J9" s="121" t="str">
        <f>+IF(B9=TG[[#This Row],[ITEM]],"ok","mal")</f>
        <v>ok</v>
      </c>
      <c r="K9" s="79">
        <f t="shared" si="1"/>
        <v>6</v>
      </c>
      <c r="L9" s="80">
        <f>IF(VLOOKUP(B9,TbPiezas[],5,0)="NA",0,VLOOKUP(B9,TbPiezas[],5,0))</f>
        <v>44.3</v>
      </c>
      <c r="M9" s="81">
        <f>TG[[#This Row],[TOTAL]]*TG[[#This Row],[P.U. (1)]]</f>
        <v>265.79999999999995</v>
      </c>
      <c r="N9" s="82">
        <f>+VLOOKUP(B9,TbPiezas[],6,0)</f>
        <v>870.28</v>
      </c>
      <c r="O9" s="83">
        <f>TG[[#This Row],[TOTAL]]*TG[[#This Row],[P.U. (2)]]</f>
        <v>5221.68</v>
      </c>
      <c r="P9" s="82">
        <f>+VLOOKUP(B9,TbPiezas[],7,0)</f>
        <v>43.514000000000003</v>
      </c>
      <c r="Q9" s="170">
        <f>ROUND(TG[[#This Row],[TOTAL]]*TG[[#This Row],[P.U. (3)]],2)</f>
        <v>261.08</v>
      </c>
      <c r="R9" s="326"/>
    </row>
    <row r="10" spans="2:18" hidden="1" x14ac:dyDescent="0.3">
      <c r="B10" s="76" t="s">
        <v>11</v>
      </c>
      <c r="C10" s="76" t="s">
        <v>12</v>
      </c>
      <c r="E10" s="120"/>
      <c r="F10" s="120"/>
      <c r="G10" s="74"/>
      <c r="I10" s="76" t="str">
        <f t="shared" si="0"/>
        <v>AM.0500</v>
      </c>
      <c r="J10" s="121" t="str">
        <f>+IF(B10=TG[[#This Row],[ITEM]],"ok","mal")</f>
        <v>ok</v>
      </c>
      <c r="K10" s="79">
        <f t="shared" si="1"/>
        <v>0</v>
      </c>
      <c r="L10" s="80">
        <f>IF(VLOOKUP(B10,TbPiezas[],5,0)="NA",0,VLOOKUP(B10,TbPiezas[],5,0))</f>
        <v>23.899999999999991</v>
      </c>
      <c r="M10" s="81">
        <f>TG[[#This Row],[TOTAL]]*TG[[#This Row],[P.U. (1)]]</f>
        <v>0</v>
      </c>
      <c r="N10" s="82">
        <f>+VLOOKUP(B10,TbPiezas[],6,0)</f>
        <v>485.52</v>
      </c>
      <c r="O10" s="83">
        <f>TG[[#This Row],[TOTAL]]*TG[[#This Row],[P.U. (2)]]</f>
        <v>0</v>
      </c>
      <c r="P10" s="82">
        <f>+VLOOKUP(B10,TbPiezas[],7,0)</f>
        <v>24.276</v>
      </c>
      <c r="Q10" s="170">
        <f>ROUND(TG[[#This Row],[TOTAL]]*TG[[#This Row],[P.U. (3)]],2)</f>
        <v>0</v>
      </c>
      <c r="R10" s="326"/>
    </row>
    <row r="11" spans="2:18" hidden="1" x14ac:dyDescent="0.3">
      <c r="B11" s="76" t="s">
        <v>13</v>
      </c>
      <c r="C11" s="76" t="s">
        <v>14</v>
      </c>
      <c r="E11" s="120"/>
      <c r="F11" s="120"/>
      <c r="G11" s="74"/>
      <c r="I11" s="76" t="str">
        <f t="shared" si="0"/>
        <v>AM.0600</v>
      </c>
      <c r="J11" s="121" t="str">
        <f>+IF(B11=TG[[#This Row],[ITEM]],"ok","mal")</f>
        <v>ok</v>
      </c>
      <c r="K11" s="79">
        <f t="shared" si="1"/>
        <v>0</v>
      </c>
      <c r="L11" s="80">
        <f>IF(VLOOKUP(B11,TbPiezas[],5,0)="NA",0,VLOOKUP(B11,TbPiezas[],5,0))</f>
        <v>11.700000000000003</v>
      </c>
      <c r="M11" s="81">
        <f>TG[[#This Row],[TOTAL]]*TG[[#This Row],[P.U. (1)]]</f>
        <v>0</v>
      </c>
      <c r="N11" s="82">
        <f>+VLOOKUP(B11,TbPiezas[],6,0)</f>
        <v>428.32</v>
      </c>
      <c r="O11" s="83">
        <f>TG[[#This Row],[TOTAL]]*TG[[#This Row],[P.U. (2)]]</f>
        <v>0</v>
      </c>
      <c r="P11" s="82">
        <f>+VLOOKUP(B11,TbPiezas[],7,0)</f>
        <v>21.416</v>
      </c>
      <c r="Q11" s="170">
        <f>ROUND(TG[[#This Row],[TOTAL]]*TG[[#This Row],[P.U. (3)]],2)</f>
        <v>0</v>
      </c>
      <c r="R11" s="326"/>
    </row>
    <row r="12" spans="2:18" hidden="1" x14ac:dyDescent="0.3">
      <c r="B12" s="76" t="s">
        <v>15</v>
      </c>
      <c r="C12" s="76" t="s">
        <v>16</v>
      </c>
      <c r="E12" s="120"/>
      <c r="F12" s="120"/>
      <c r="G12" s="74"/>
      <c r="I12" s="76" t="str">
        <f t="shared" si="0"/>
        <v>AM.0700</v>
      </c>
      <c r="J12" s="121" t="str">
        <f>+IF(B12=TG[[#This Row],[ITEM]],"ok","mal")</f>
        <v>ok</v>
      </c>
      <c r="K12" s="79">
        <f t="shared" si="1"/>
        <v>0</v>
      </c>
      <c r="L12" s="80">
        <f>IF(VLOOKUP(B12,TbPiezas[],5,0)="NA",0,VLOOKUP(B12,TbPiezas[],5,0))</f>
        <v>7</v>
      </c>
      <c r="M12" s="81">
        <f>TG[[#This Row],[TOTAL]]*TG[[#This Row],[P.U. (1)]]</f>
        <v>0</v>
      </c>
      <c r="N12" s="82">
        <f>+VLOOKUP(B12,TbPiezas[],6,0)</f>
        <v>261.63</v>
      </c>
      <c r="O12" s="83">
        <f>TG[[#This Row],[TOTAL]]*TG[[#This Row],[P.U. (2)]]</f>
        <v>0</v>
      </c>
      <c r="P12" s="82">
        <f>+VLOOKUP(B12,TbPiezas[],7,0)</f>
        <v>13.0815</v>
      </c>
      <c r="Q12" s="170">
        <f>ROUND(TG[[#This Row],[TOTAL]]*TG[[#This Row],[P.U. (3)]],2)</f>
        <v>0</v>
      </c>
      <c r="R12" s="326"/>
    </row>
    <row r="13" spans="2:18" hidden="1" x14ac:dyDescent="0.3">
      <c r="B13" s="76" t="s">
        <v>17</v>
      </c>
      <c r="C13" s="76" t="s">
        <v>18</v>
      </c>
      <c r="E13" s="120"/>
      <c r="F13" s="120"/>
      <c r="G13" s="74"/>
      <c r="I13" s="76" t="str">
        <f t="shared" si="0"/>
        <v>AM.0900</v>
      </c>
      <c r="J13" s="121" t="str">
        <f>+IF(B13=TG[[#This Row],[ITEM]],"ok","mal")</f>
        <v>ok</v>
      </c>
      <c r="K13" s="79">
        <f t="shared" si="1"/>
        <v>0</v>
      </c>
      <c r="L13" s="80">
        <f>IF(VLOOKUP(B13,TbPiezas[],5,0)="NA",0,VLOOKUP(B13,TbPiezas[],5,0))</f>
        <v>5.9</v>
      </c>
      <c r="M13" s="81">
        <f>TG[[#This Row],[TOTAL]]*TG[[#This Row],[P.U. (1)]]</f>
        <v>0</v>
      </c>
      <c r="N13" s="82">
        <f>+VLOOKUP(B13,TbPiezas[],6,0)</f>
        <v>212.52</v>
      </c>
      <c r="O13" s="83">
        <f>TG[[#This Row],[TOTAL]]*TG[[#This Row],[P.U. (2)]]</f>
        <v>0</v>
      </c>
      <c r="P13" s="82">
        <f>+VLOOKUP(B13,TbPiezas[],7,0)</f>
        <v>10.626000000000001</v>
      </c>
      <c r="Q13" s="170">
        <f>ROUND(TG[[#This Row],[TOTAL]]*TG[[#This Row],[P.U. (3)]],2)</f>
        <v>0</v>
      </c>
      <c r="R13" s="326"/>
    </row>
    <row r="14" spans="2:18" hidden="1" x14ac:dyDescent="0.3">
      <c r="B14" s="76" t="s">
        <v>19</v>
      </c>
      <c r="C14" s="76" t="s">
        <v>20</v>
      </c>
      <c r="E14" s="120"/>
      <c r="F14" s="120"/>
      <c r="G14" s="74"/>
      <c r="I14" s="76" t="str">
        <f t="shared" si="0"/>
        <v>AM.1000</v>
      </c>
      <c r="J14" s="121" t="str">
        <f>+IF(B14=TG[[#This Row],[ITEM]],"ok","mal")</f>
        <v>ok</v>
      </c>
      <c r="K14" s="79">
        <f t="shared" si="1"/>
        <v>0</v>
      </c>
      <c r="L14" s="80">
        <f>IF(VLOOKUP(B14,TbPiezas[],5,0)="NA",0,VLOOKUP(B14,TbPiezas[],5,0))</f>
        <v>2.9</v>
      </c>
      <c r="M14" s="81">
        <f>TG[[#This Row],[TOTAL]]*TG[[#This Row],[P.U. (1)]]</f>
        <v>0</v>
      </c>
      <c r="N14" s="82">
        <f>+VLOOKUP(B14,TbPiezas[],6,0)</f>
        <v>143.16999999999999</v>
      </c>
      <c r="O14" s="83">
        <f>TG[[#This Row],[TOTAL]]*TG[[#This Row],[P.U. (2)]]</f>
        <v>0</v>
      </c>
      <c r="P14" s="82">
        <f>+VLOOKUP(B14,TbPiezas[],7,0)</f>
        <v>7.1585000000000001</v>
      </c>
      <c r="Q14" s="170">
        <f>ROUND(TG[[#This Row],[TOTAL]]*TG[[#This Row],[P.U. (3)]],2)</f>
        <v>0</v>
      </c>
      <c r="R14" s="326"/>
    </row>
    <row r="15" spans="2:18" hidden="1" x14ac:dyDescent="0.3">
      <c r="B15" s="76" t="s">
        <v>21</v>
      </c>
      <c r="C15" s="76" t="s">
        <v>22</v>
      </c>
      <c r="E15" s="120"/>
      <c r="F15" s="120"/>
      <c r="G15" s="74"/>
      <c r="I15" s="76" t="str">
        <f t="shared" si="0"/>
        <v>AM.1100</v>
      </c>
      <c r="J15" s="121" t="str">
        <f>+IF(B15=TG[[#This Row],[ITEM]],"ok","mal")</f>
        <v>ok</v>
      </c>
      <c r="K15" s="79">
        <f t="shared" si="1"/>
        <v>0</v>
      </c>
      <c r="L15" s="80">
        <f>IF(VLOOKUP(B15,TbPiezas[],5,0)="NA",0,VLOOKUP(B15,TbPiezas[],5,0))</f>
        <v>1.5</v>
      </c>
      <c r="M15" s="81">
        <f>TG[[#This Row],[TOTAL]]*TG[[#This Row],[P.U. (1)]]</f>
        <v>0</v>
      </c>
      <c r="N15" s="82">
        <f>+VLOOKUP(B15,TbPiezas[],6,0)</f>
        <v>75.16</v>
      </c>
      <c r="O15" s="83">
        <f>TG[[#This Row],[TOTAL]]*TG[[#This Row],[P.U. (2)]]</f>
        <v>0</v>
      </c>
      <c r="P15" s="82">
        <f>+VLOOKUP(B15,TbPiezas[],7,0)</f>
        <v>3.758</v>
      </c>
      <c r="Q15" s="170">
        <f>ROUND(TG[[#This Row],[TOTAL]]*TG[[#This Row],[P.U. (3)]],2)</f>
        <v>0</v>
      </c>
      <c r="R15" s="326"/>
    </row>
    <row r="16" spans="2:18" hidden="1" x14ac:dyDescent="0.3">
      <c r="B16" s="76" t="s">
        <v>23</v>
      </c>
      <c r="C16" s="76" t="s">
        <v>24</v>
      </c>
      <c r="E16" s="120">
        <f>E11+E12+E13+E14+E15+E39+E40+E41+E107</f>
        <v>0</v>
      </c>
      <c r="F16" s="120">
        <f>F11+F12+F13+F14+F15+F39+F40+F41+F107</f>
        <v>0</v>
      </c>
      <c r="G16" s="120">
        <f>G11+G12+G13+G14+G15+G39+G40+G41+G107</f>
        <v>0</v>
      </c>
      <c r="I16" s="76" t="str">
        <f t="shared" si="0"/>
        <v>AM.1150</v>
      </c>
      <c r="J16" s="121" t="str">
        <f>+IF(B16=TG[[#This Row],[ITEM]],"ok","mal")</f>
        <v>ok</v>
      </c>
      <c r="K16" s="79">
        <f t="shared" si="1"/>
        <v>0</v>
      </c>
      <c r="L16" s="80">
        <f>IF(VLOOKUP(B16,TbPiezas[],5,0)="NA",0,VLOOKUP(B16,TbPiezas[],5,0))</f>
        <v>0.8</v>
      </c>
      <c r="M16" s="81">
        <f>TG[[#This Row],[TOTAL]]*TG[[#This Row],[P.U. (1)]]</f>
        <v>0</v>
      </c>
      <c r="N16" s="82">
        <f>+VLOOKUP(B16,TbPiezas[],6,0)</f>
        <v>76.23</v>
      </c>
      <c r="O16" s="83">
        <f>TG[[#This Row],[TOTAL]]*TG[[#This Row],[P.U. (2)]]</f>
        <v>0</v>
      </c>
      <c r="P16" s="82">
        <f>+VLOOKUP(B16,TbPiezas[],7,0)</f>
        <v>3.8115000000000006</v>
      </c>
      <c r="Q16" s="170">
        <f>ROUND(TG[[#This Row],[TOTAL]]*TG[[#This Row],[P.U. (3)]],2)</f>
        <v>0</v>
      </c>
      <c r="R16" s="326"/>
    </row>
    <row r="17" spans="2:18" hidden="1" x14ac:dyDescent="0.3">
      <c r="B17" s="76" t="s">
        <v>25</v>
      </c>
      <c r="C17" s="76" t="s">
        <v>26</v>
      </c>
      <c r="E17" s="120"/>
      <c r="F17" s="120"/>
      <c r="G17" s="74"/>
      <c r="I17" s="76" t="str">
        <f t="shared" si="0"/>
        <v>AM.1200</v>
      </c>
      <c r="J17" s="121" t="str">
        <f>+IF(B17=TG[[#This Row],[ITEM]],"ok","mal")</f>
        <v>ok</v>
      </c>
      <c r="K17" s="79">
        <f t="shared" si="1"/>
        <v>0</v>
      </c>
      <c r="L17" s="80">
        <f>IF(VLOOKUP(B17,TbPiezas[],5,0)="NA",0,VLOOKUP(B17,TbPiezas[],5,0))</f>
        <v>5.5</v>
      </c>
      <c r="M17" s="81">
        <f>TG[[#This Row],[TOTAL]]*TG[[#This Row],[P.U. (1)]]</f>
        <v>0</v>
      </c>
      <c r="N17" s="82">
        <f>+VLOOKUP(B17,TbPiezas[],6,0)</f>
        <v>133.75</v>
      </c>
      <c r="O17" s="83">
        <f>TG[[#This Row],[TOTAL]]*TG[[#This Row],[P.U. (2)]]</f>
        <v>0</v>
      </c>
      <c r="P17" s="82">
        <f>+VLOOKUP(B17,TbPiezas[],7,0)</f>
        <v>6.6875</v>
      </c>
      <c r="Q17" s="170">
        <f>ROUND(TG[[#This Row],[TOTAL]]*TG[[#This Row],[P.U. (3)]],2)</f>
        <v>0</v>
      </c>
      <c r="R17" s="326"/>
    </row>
    <row r="18" spans="2:18" hidden="1" x14ac:dyDescent="0.3">
      <c r="B18" s="76" t="s">
        <v>27</v>
      </c>
      <c r="C18" s="76" t="s">
        <v>28</v>
      </c>
      <c r="E18" s="120"/>
      <c r="F18" s="120"/>
      <c r="G18" s="74"/>
      <c r="I18" s="76" t="str">
        <f t="shared" si="0"/>
        <v>AM.1300</v>
      </c>
      <c r="J18" s="121" t="str">
        <f>+IF(B18=TG[[#This Row],[ITEM]],"ok","mal")</f>
        <v>ok</v>
      </c>
      <c r="K18" s="79">
        <f t="shared" si="1"/>
        <v>0</v>
      </c>
      <c r="L18" s="80">
        <f>IF(VLOOKUP(B18,TbPiezas[],5,0)="NA",0,VLOOKUP(B18,TbPiezas[],5,0))</f>
        <v>11.200000000000003</v>
      </c>
      <c r="M18" s="81">
        <f>TG[[#This Row],[TOTAL]]*TG[[#This Row],[P.U. (1)]]</f>
        <v>0</v>
      </c>
      <c r="N18" s="82">
        <f>+VLOOKUP(B18,TbPiezas[],6,0)</f>
        <v>238.1</v>
      </c>
      <c r="O18" s="83">
        <f>TG[[#This Row],[TOTAL]]*TG[[#This Row],[P.U. (2)]]</f>
        <v>0</v>
      </c>
      <c r="P18" s="82">
        <f>+VLOOKUP(B18,TbPiezas[],7,0)</f>
        <v>11.905000000000001</v>
      </c>
      <c r="Q18" s="170">
        <f>ROUND(TG[[#This Row],[TOTAL]]*TG[[#This Row],[P.U. (3)]],2)</f>
        <v>0</v>
      </c>
      <c r="R18" s="326"/>
    </row>
    <row r="19" spans="2:18" hidden="1" x14ac:dyDescent="0.3">
      <c r="B19" s="76" t="s">
        <v>29</v>
      </c>
      <c r="C19" s="76" t="s">
        <v>30</v>
      </c>
      <c r="E19" s="120"/>
      <c r="F19" s="120"/>
      <c r="G19" s="74"/>
      <c r="I19" s="76" t="str">
        <f t="shared" si="0"/>
        <v>AM.1400</v>
      </c>
      <c r="J19" s="121" t="str">
        <f>+IF(B19=TG[[#This Row],[ITEM]],"ok","mal")</f>
        <v>ok</v>
      </c>
      <c r="K19" s="79">
        <f t="shared" si="1"/>
        <v>0</v>
      </c>
      <c r="L19" s="80">
        <f>IF(VLOOKUP(B19,TbPiezas[],5,0)="NA",0,VLOOKUP(B19,TbPiezas[],5,0))</f>
        <v>10</v>
      </c>
      <c r="M19" s="81">
        <f>TG[[#This Row],[TOTAL]]*TG[[#This Row],[P.U. (1)]]</f>
        <v>0</v>
      </c>
      <c r="N19" s="82">
        <f>+VLOOKUP(B19,TbPiezas[],6,0)</f>
        <v>226.89</v>
      </c>
      <c r="O19" s="83">
        <f>TG[[#This Row],[TOTAL]]*TG[[#This Row],[P.U. (2)]]</f>
        <v>0</v>
      </c>
      <c r="P19" s="82">
        <f>+VLOOKUP(B19,TbPiezas[],7,0)</f>
        <v>11.3445</v>
      </c>
      <c r="Q19" s="170">
        <f>ROUND(TG[[#This Row],[TOTAL]]*TG[[#This Row],[P.U. (3)]],2)</f>
        <v>0</v>
      </c>
      <c r="R19" s="326"/>
    </row>
    <row r="20" spans="2:18" hidden="1" x14ac:dyDescent="0.3">
      <c r="B20" s="76" t="s">
        <v>31</v>
      </c>
      <c r="C20" s="76" t="s">
        <v>32</v>
      </c>
      <c r="E20" s="120"/>
      <c r="F20" s="120"/>
      <c r="G20" s="74"/>
      <c r="I20" s="76" t="str">
        <f t="shared" si="0"/>
        <v>AM.1500</v>
      </c>
      <c r="J20" s="121" t="str">
        <f>+IF(B20=TG[[#This Row],[ITEM]],"ok","mal")</f>
        <v>ok</v>
      </c>
      <c r="K20" s="79">
        <f t="shared" si="1"/>
        <v>0</v>
      </c>
      <c r="L20" s="80">
        <f>IF(VLOOKUP(B20,TbPiezas[],5,0)="NA",0,VLOOKUP(B20,TbPiezas[],5,0))</f>
        <v>6.2000000000000028</v>
      </c>
      <c r="M20" s="81">
        <f>TG[[#This Row],[TOTAL]]*TG[[#This Row],[P.U. (1)]]</f>
        <v>0</v>
      </c>
      <c r="N20" s="82">
        <f>+VLOOKUP(B20,TbPiezas[],6,0)</f>
        <v>225.13</v>
      </c>
      <c r="O20" s="83">
        <f>TG[[#This Row],[TOTAL]]*TG[[#This Row],[P.U. (2)]]</f>
        <v>0</v>
      </c>
      <c r="P20" s="82">
        <f>+VLOOKUP(B20,TbPiezas[],7,0)</f>
        <v>11.256500000000001</v>
      </c>
      <c r="Q20" s="170">
        <f>ROUND(TG[[#This Row],[TOTAL]]*TG[[#This Row],[P.U. (3)]],2)</f>
        <v>0</v>
      </c>
      <c r="R20" s="326"/>
    </row>
    <row r="21" spans="2:18" hidden="1" x14ac:dyDescent="0.3">
      <c r="B21" s="76" t="s">
        <v>33</v>
      </c>
      <c r="C21" s="76" t="s">
        <v>34</v>
      </c>
      <c r="E21" s="120"/>
      <c r="F21" s="120"/>
      <c r="G21" s="74"/>
      <c r="I21" s="76" t="str">
        <f t="shared" si="0"/>
        <v>AM.1600</v>
      </c>
      <c r="J21" s="121" t="str">
        <f>+IF(B21=TG[[#This Row],[ITEM]],"ok","mal")</f>
        <v>ok</v>
      </c>
      <c r="K21" s="79">
        <f t="shared" si="1"/>
        <v>0</v>
      </c>
      <c r="L21" s="80">
        <f>IF(VLOOKUP(B21,TbPiezas[],5,0)="NA",0,VLOOKUP(B21,TbPiezas[],5,0))</f>
        <v>4.0999999999999943</v>
      </c>
      <c r="M21" s="81">
        <f>TG[[#This Row],[TOTAL]]*TG[[#This Row],[P.U. (1)]]</f>
        <v>0</v>
      </c>
      <c r="N21" s="82">
        <f>+VLOOKUP(B21,TbPiezas[],6,0)</f>
        <v>204.03</v>
      </c>
      <c r="O21" s="83">
        <f>TG[[#This Row],[TOTAL]]*TG[[#This Row],[P.U. (2)]]</f>
        <v>0</v>
      </c>
      <c r="P21" s="82">
        <f>+VLOOKUP(B21,TbPiezas[],7,0)</f>
        <v>10.201500000000001</v>
      </c>
      <c r="Q21" s="170">
        <f>ROUND(TG[[#This Row],[TOTAL]]*TG[[#This Row],[P.U. (3)]],2)</f>
        <v>0</v>
      </c>
      <c r="R21" s="326"/>
    </row>
    <row r="22" spans="2:18" hidden="1" x14ac:dyDescent="0.3">
      <c r="B22" s="76" t="s">
        <v>35</v>
      </c>
      <c r="C22" s="76" t="s">
        <v>36</v>
      </c>
      <c r="E22" s="120"/>
      <c r="F22" s="120"/>
      <c r="G22" s="74"/>
      <c r="I22" s="76" t="str">
        <f t="shared" si="0"/>
        <v>AM.1700</v>
      </c>
      <c r="J22" s="121" t="str">
        <f>+IF(B22=TG[[#This Row],[ITEM]],"ok","mal")</f>
        <v>ok</v>
      </c>
      <c r="K22" s="79">
        <f t="shared" si="1"/>
        <v>0</v>
      </c>
      <c r="L22" s="80">
        <f>IF(VLOOKUP(B22,TbPiezas[],5,0)="NA",0,VLOOKUP(B22,TbPiezas[],5,0))</f>
        <v>3.2999999999999972</v>
      </c>
      <c r="M22" s="81">
        <f>TG[[#This Row],[TOTAL]]*TG[[#This Row],[P.U. (1)]]</f>
        <v>0</v>
      </c>
      <c r="N22" s="82">
        <f>+VLOOKUP(B22,TbPiezas[],6,0)</f>
        <v>204.03</v>
      </c>
      <c r="O22" s="83">
        <f>TG[[#This Row],[TOTAL]]*TG[[#This Row],[P.U. (2)]]</f>
        <v>0</v>
      </c>
      <c r="P22" s="82">
        <f>+VLOOKUP(B22,TbPiezas[],7,0)</f>
        <v>10.201500000000001</v>
      </c>
      <c r="Q22" s="170">
        <f>ROUND(TG[[#This Row],[TOTAL]]*TG[[#This Row],[P.U. (3)]],2)</f>
        <v>0</v>
      </c>
      <c r="R22" s="326"/>
    </row>
    <row r="23" spans="2:18" hidden="1" x14ac:dyDescent="0.3">
      <c r="B23" s="76" t="s">
        <v>37</v>
      </c>
      <c r="C23" s="76" t="s">
        <v>38</v>
      </c>
      <c r="E23" s="120"/>
      <c r="F23" s="120"/>
      <c r="G23" s="74"/>
      <c r="I23" s="76" t="str">
        <f t="shared" si="0"/>
        <v>AM.1800</v>
      </c>
      <c r="J23" s="121" t="str">
        <f>+IF(B23=TG[[#This Row],[ITEM]],"ok","mal")</f>
        <v>ok</v>
      </c>
      <c r="K23" s="79">
        <f t="shared" si="1"/>
        <v>0</v>
      </c>
      <c r="L23" s="80">
        <f>IF(VLOOKUP(B23,TbPiezas[],5,0)="NA",0,VLOOKUP(B23,TbPiezas[],5,0))</f>
        <v>2.3999999999999915</v>
      </c>
      <c r="M23" s="81">
        <f>TG[[#This Row],[TOTAL]]*TG[[#This Row],[P.U. (1)]]</f>
        <v>0</v>
      </c>
      <c r="N23" s="82">
        <f>+VLOOKUP(B23,TbPiezas[],6,0)</f>
        <v>158.74</v>
      </c>
      <c r="O23" s="83">
        <f>TG[[#This Row],[TOTAL]]*TG[[#This Row],[P.U. (2)]]</f>
        <v>0</v>
      </c>
      <c r="P23" s="82">
        <f>+VLOOKUP(B23,TbPiezas[],7,0)</f>
        <v>7.9370000000000012</v>
      </c>
      <c r="Q23" s="170">
        <f>ROUND(TG[[#This Row],[TOTAL]]*TG[[#This Row],[P.U. (3)]],2)</f>
        <v>0</v>
      </c>
      <c r="R23" s="326"/>
    </row>
    <row r="24" spans="2:18" hidden="1" x14ac:dyDescent="0.3">
      <c r="B24" s="76" t="s">
        <v>39</v>
      </c>
      <c r="C24" s="76" t="s">
        <v>40</v>
      </c>
      <c r="E24" s="120"/>
      <c r="F24" s="120"/>
      <c r="G24" s="74"/>
      <c r="I24" s="76" t="str">
        <f t="shared" si="0"/>
        <v>AM.1900</v>
      </c>
      <c r="J24" s="121" t="str">
        <f>+IF(B24=TG[[#This Row],[ITEM]],"ok","mal")</f>
        <v>ok</v>
      </c>
      <c r="K24" s="79">
        <f t="shared" si="1"/>
        <v>0</v>
      </c>
      <c r="L24" s="80">
        <f>IF(VLOOKUP(B24,TbPiezas[],5,0)="NA",0,VLOOKUP(B24,TbPiezas[],5,0))</f>
        <v>4.5999999999999943</v>
      </c>
      <c r="M24" s="81">
        <f>TG[[#This Row],[TOTAL]]*TG[[#This Row],[P.U. (1)]]</f>
        <v>0</v>
      </c>
      <c r="N24" s="82">
        <f>+VLOOKUP(B24,TbPiezas[],6,0)</f>
        <v>158.74</v>
      </c>
      <c r="O24" s="83">
        <f>TG[[#This Row],[TOTAL]]*TG[[#This Row],[P.U. (2)]]</f>
        <v>0</v>
      </c>
      <c r="P24" s="82">
        <f>+VLOOKUP(B24,TbPiezas[],7,0)</f>
        <v>7.9370000000000012</v>
      </c>
      <c r="Q24" s="170">
        <f>ROUND(TG[[#This Row],[TOTAL]]*TG[[#This Row],[P.U. (3)]],2)</f>
        <v>0</v>
      </c>
      <c r="R24" s="326"/>
    </row>
    <row r="25" spans="2:18" hidden="1" x14ac:dyDescent="0.3">
      <c r="B25" s="76" t="s">
        <v>41</v>
      </c>
      <c r="C25" s="76" t="s">
        <v>42</v>
      </c>
      <c r="E25" s="120"/>
      <c r="F25" s="120"/>
      <c r="G25" s="74"/>
      <c r="I25" s="76" t="str">
        <f t="shared" si="0"/>
        <v>AM.2000</v>
      </c>
      <c r="J25" s="121" t="str">
        <f>+IF(B25=TG[[#This Row],[ITEM]],"ok","mal")</f>
        <v>ok</v>
      </c>
      <c r="K25" s="79">
        <f t="shared" si="1"/>
        <v>0</v>
      </c>
      <c r="L25" s="80">
        <f>IF(VLOOKUP(B25,TbPiezas[],5,0)="NA",0,VLOOKUP(B25,TbPiezas[],5,0))</f>
        <v>3.7999999999999972</v>
      </c>
      <c r="M25" s="81">
        <f>TG[[#This Row],[TOTAL]]*TG[[#This Row],[P.U. (1)]]</f>
        <v>0</v>
      </c>
      <c r="N25" s="82">
        <f>+VLOOKUP(B25,TbPiezas[],6,0)</f>
        <v>132.06</v>
      </c>
      <c r="O25" s="83">
        <f>TG[[#This Row],[TOTAL]]*TG[[#This Row],[P.U. (2)]]</f>
        <v>0</v>
      </c>
      <c r="P25" s="82">
        <f>+VLOOKUP(B25,TbPiezas[],7,0)</f>
        <v>6.6030000000000006</v>
      </c>
      <c r="Q25" s="170">
        <f>ROUND(TG[[#This Row],[TOTAL]]*TG[[#This Row],[P.U. (3)]],2)</f>
        <v>0</v>
      </c>
      <c r="R25" s="326"/>
    </row>
    <row r="26" spans="2:18" hidden="1" x14ac:dyDescent="0.3">
      <c r="B26" s="76" t="s">
        <v>43</v>
      </c>
      <c r="C26" s="76" t="s">
        <v>44</v>
      </c>
      <c r="E26" s="120"/>
      <c r="F26" s="120"/>
      <c r="G26" s="74"/>
      <c r="I26" s="76" t="str">
        <f t="shared" si="0"/>
        <v>AM.2020</v>
      </c>
      <c r="J26" s="121" t="str">
        <f>+IF(B26=TG[[#This Row],[ITEM]],"ok","mal")</f>
        <v>ok</v>
      </c>
      <c r="K26" s="79">
        <f t="shared" si="1"/>
        <v>0</v>
      </c>
      <c r="L26" s="80">
        <f>IF(VLOOKUP(B26,TbPiezas[],5,0)="NA",0,VLOOKUP(B26,TbPiezas[],5,0))</f>
        <v>1.9</v>
      </c>
      <c r="M26" s="81">
        <f>TG[[#This Row],[TOTAL]]*TG[[#This Row],[P.U. (1)]]</f>
        <v>0</v>
      </c>
      <c r="N26" s="82">
        <f>+VLOOKUP(B26,TbPiezas[],6,0)</f>
        <v>59.5</v>
      </c>
      <c r="O26" s="83">
        <f>TG[[#This Row],[TOTAL]]*TG[[#This Row],[P.U. (2)]]</f>
        <v>0</v>
      </c>
      <c r="P26" s="82">
        <f>+VLOOKUP(B26,TbPiezas[],7,0)</f>
        <v>2.9750000000000001</v>
      </c>
      <c r="Q26" s="170">
        <f>ROUND(TG[[#This Row],[TOTAL]]*TG[[#This Row],[P.U. (3)]],2)</f>
        <v>0</v>
      </c>
      <c r="R26" s="326"/>
    </row>
    <row r="27" spans="2:18" hidden="1" x14ac:dyDescent="0.3">
      <c r="B27" s="76" t="s">
        <v>45</v>
      </c>
      <c r="C27" s="76" t="s">
        <v>46</v>
      </c>
      <c r="E27" s="120"/>
      <c r="F27" s="120"/>
      <c r="G27" s="74"/>
      <c r="I27" s="76" t="str">
        <f t="shared" si="0"/>
        <v>AM.2050</v>
      </c>
      <c r="J27" s="121" t="str">
        <f>+IF(B27=TG[[#This Row],[ITEM]],"ok","mal")</f>
        <v>ok</v>
      </c>
      <c r="K27" s="79">
        <f t="shared" si="1"/>
        <v>0</v>
      </c>
      <c r="L27" s="80">
        <f>IF(VLOOKUP(B27,TbPiezas[],5,0)="NA",0,VLOOKUP(B27,TbPiezas[],5,0))</f>
        <v>1.9</v>
      </c>
      <c r="M27" s="81">
        <f>TG[[#This Row],[TOTAL]]*TG[[#This Row],[P.U. (1)]]</f>
        <v>0</v>
      </c>
      <c r="N27" s="82">
        <f>+VLOOKUP(B27,TbPiezas[],6,0)</f>
        <v>59.5</v>
      </c>
      <c r="O27" s="83">
        <f>TG[[#This Row],[TOTAL]]*TG[[#This Row],[P.U. (2)]]</f>
        <v>0</v>
      </c>
      <c r="P27" s="82">
        <f>+VLOOKUP(B27,TbPiezas[],7,0)</f>
        <v>2.9750000000000001</v>
      </c>
      <c r="Q27" s="170">
        <f>ROUND(TG[[#This Row],[TOTAL]]*TG[[#This Row],[P.U. (3)]],2)</f>
        <v>0</v>
      </c>
      <c r="R27" s="326"/>
    </row>
    <row r="28" spans="2:18" hidden="1" x14ac:dyDescent="0.3">
      <c r="B28" s="76" t="s">
        <v>47</v>
      </c>
      <c r="C28" s="76" t="s">
        <v>48</v>
      </c>
      <c r="E28" s="120"/>
      <c r="F28" s="120"/>
      <c r="G28" s="74"/>
      <c r="I28" s="76" t="str">
        <f t="shared" si="0"/>
        <v>AM.2100</v>
      </c>
      <c r="J28" s="121" t="str">
        <f>+IF(B28=TG[[#This Row],[ITEM]],"ok","mal")</f>
        <v>ok</v>
      </c>
      <c r="K28" s="79">
        <f t="shared" si="1"/>
        <v>0</v>
      </c>
      <c r="L28" s="80">
        <f>IF(VLOOKUP(B28,TbPiezas[],5,0)="NA",0,VLOOKUP(B28,TbPiezas[],5,0))</f>
        <v>19.399999999999991</v>
      </c>
      <c r="M28" s="81">
        <f>TG[[#This Row],[TOTAL]]*TG[[#This Row],[P.U. (1)]]</f>
        <v>0</v>
      </c>
      <c r="N28" s="82">
        <f>+VLOOKUP(B28,TbPiezas[],6,0)</f>
        <v>324.89</v>
      </c>
      <c r="O28" s="83">
        <f>TG[[#This Row],[TOTAL]]*TG[[#This Row],[P.U. (2)]]</f>
        <v>0</v>
      </c>
      <c r="P28" s="82">
        <f>+VLOOKUP(B28,TbPiezas[],7,0)</f>
        <v>16.244499999999999</v>
      </c>
      <c r="Q28" s="170">
        <f>ROUND(TG[[#This Row],[TOTAL]]*TG[[#This Row],[P.U. (3)]],2)</f>
        <v>0</v>
      </c>
      <c r="R28" s="326"/>
    </row>
    <row r="29" spans="2:18" hidden="1" x14ac:dyDescent="0.3">
      <c r="B29" s="76" t="s">
        <v>49</v>
      </c>
      <c r="C29" s="76" t="s">
        <v>50</v>
      </c>
      <c r="E29" s="120"/>
      <c r="F29" s="120"/>
      <c r="G29" s="74"/>
      <c r="I29" s="76" t="str">
        <f t="shared" si="0"/>
        <v>AM.2200</v>
      </c>
      <c r="J29" s="121" t="str">
        <f>+IF(B29=TG[[#This Row],[ITEM]],"ok","mal")</f>
        <v>ok</v>
      </c>
      <c r="K29" s="79">
        <f t="shared" si="1"/>
        <v>0</v>
      </c>
      <c r="L29" s="80">
        <f>IF(VLOOKUP(B29,TbPiezas[],5,0)="NA",0,VLOOKUP(B29,TbPiezas[],5,0))</f>
        <v>14.399999999999991</v>
      </c>
      <c r="M29" s="81">
        <f>TG[[#This Row],[TOTAL]]*TG[[#This Row],[P.U. (1)]]</f>
        <v>0</v>
      </c>
      <c r="N29" s="82">
        <f>+VLOOKUP(B29,TbPiezas[],6,0)</f>
        <v>268.19</v>
      </c>
      <c r="O29" s="83">
        <f>TG[[#This Row],[TOTAL]]*TG[[#This Row],[P.U. (2)]]</f>
        <v>0</v>
      </c>
      <c r="P29" s="82">
        <f>+VLOOKUP(B29,TbPiezas[],7,0)</f>
        <v>13.409500000000001</v>
      </c>
      <c r="Q29" s="170">
        <f>ROUND(TG[[#This Row],[TOTAL]]*TG[[#This Row],[P.U. (3)]],2)</f>
        <v>0</v>
      </c>
      <c r="R29" s="326"/>
    </row>
    <row r="30" spans="2:18" hidden="1" x14ac:dyDescent="0.3">
      <c r="B30" s="76" t="s">
        <v>51</v>
      </c>
      <c r="C30" s="76" t="s">
        <v>52</v>
      </c>
      <c r="E30" s="120"/>
      <c r="F30" s="120"/>
      <c r="G30" s="74"/>
      <c r="I30" s="76" t="str">
        <f t="shared" si="0"/>
        <v>AM.2250</v>
      </c>
      <c r="J30" s="121" t="str">
        <f>+IF(B30=TG[[#This Row],[ITEM]],"ok","mal")</f>
        <v>ok</v>
      </c>
      <c r="K30" s="79">
        <f t="shared" si="1"/>
        <v>0</v>
      </c>
      <c r="L30" s="80">
        <f>IF(VLOOKUP(B30,TbPiezas[],5,0)="NA",0,VLOOKUP(B30,TbPiezas[],5,0))</f>
        <v>14.4</v>
      </c>
      <c r="M30" s="81">
        <f>TG[[#This Row],[TOTAL]]*TG[[#This Row],[P.U. (1)]]</f>
        <v>0</v>
      </c>
      <c r="N30" s="82">
        <f>+VLOOKUP(B30,TbPiezas[],6,0)</f>
        <v>268.19</v>
      </c>
      <c r="O30" s="83">
        <f>TG[[#This Row],[TOTAL]]*TG[[#This Row],[P.U. (2)]]</f>
        <v>0</v>
      </c>
      <c r="P30" s="82">
        <f>+VLOOKUP(B30,TbPiezas[],7,0)</f>
        <v>13.409500000000001</v>
      </c>
      <c r="Q30" s="170">
        <f>ROUND(TG[[#This Row],[TOTAL]]*TG[[#This Row],[P.U. (3)]],2)</f>
        <v>0</v>
      </c>
      <c r="R30" s="326"/>
    </row>
    <row r="31" spans="2:18" hidden="1" x14ac:dyDescent="0.3">
      <c r="B31" s="76" t="s">
        <v>53</v>
      </c>
      <c r="C31" s="76" t="s">
        <v>54</v>
      </c>
      <c r="E31" s="120"/>
      <c r="F31" s="120"/>
      <c r="G31" s="74"/>
      <c r="I31" s="76" t="str">
        <f t="shared" si="0"/>
        <v>AM.2300</v>
      </c>
      <c r="J31" s="121" t="str">
        <f>+IF(B31=TG[[#This Row],[ITEM]],"ok","mal")</f>
        <v>ok</v>
      </c>
      <c r="K31" s="79">
        <f t="shared" si="1"/>
        <v>0</v>
      </c>
      <c r="L31" s="80">
        <f>IF(VLOOKUP(B31,TbPiezas[],5,0)="NA",0,VLOOKUP(B31,TbPiezas[],5,0))</f>
        <v>75.599999999999994</v>
      </c>
      <c r="M31" s="81">
        <f>TG[[#This Row],[TOTAL]]*TG[[#This Row],[P.U. (1)]]</f>
        <v>0</v>
      </c>
      <c r="N31" s="82">
        <f>+VLOOKUP(B31,TbPiezas[],6,0)</f>
        <v>1621.32</v>
      </c>
      <c r="O31" s="83">
        <f>TG[[#This Row],[TOTAL]]*TG[[#This Row],[P.U. (2)]]</f>
        <v>0</v>
      </c>
      <c r="P31" s="82">
        <f>+VLOOKUP(B31,TbPiezas[],7,0)</f>
        <v>81.066000000000003</v>
      </c>
      <c r="Q31" s="170">
        <f>ROUND(TG[[#This Row],[TOTAL]]*TG[[#This Row],[P.U. (3)]],2)</f>
        <v>0</v>
      </c>
      <c r="R31" s="326"/>
    </row>
    <row r="32" spans="2:18" hidden="1" x14ac:dyDescent="0.3">
      <c r="B32" s="76" t="s">
        <v>55</v>
      </c>
      <c r="C32" s="76" t="s">
        <v>56</v>
      </c>
      <c r="E32" s="120"/>
      <c r="F32" s="120"/>
      <c r="G32" s="74"/>
      <c r="I32" s="76" t="str">
        <f t="shared" si="0"/>
        <v>AM.2400</v>
      </c>
      <c r="J32" s="121" t="str">
        <f>+IF(B32=TG[[#This Row],[ITEM]],"ok","mal")</f>
        <v>ok</v>
      </c>
      <c r="K32" s="79">
        <f t="shared" si="1"/>
        <v>0</v>
      </c>
      <c r="L32" s="80">
        <f>IF(VLOOKUP(B32,TbPiezas[],5,0)="NA",0,VLOOKUP(B32,TbPiezas[],5,0))</f>
        <v>63</v>
      </c>
      <c r="M32" s="81">
        <f>TG[[#This Row],[TOTAL]]*TG[[#This Row],[P.U. (1)]]</f>
        <v>0</v>
      </c>
      <c r="N32" s="82">
        <f>+VLOOKUP(B32,TbPiezas[],6,0)</f>
        <v>1351.1</v>
      </c>
      <c r="O32" s="83">
        <f>TG[[#This Row],[TOTAL]]*TG[[#This Row],[P.U. (2)]]</f>
        <v>0</v>
      </c>
      <c r="P32" s="82">
        <f>+VLOOKUP(B32,TbPiezas[],7,0)</f>
        <v>67.554999999999993</v>
      </c>
      <c r="Q32" s="170">
        <f>ROUND(TG[[#This Row],[TOTAL]]*TG[[#This Row],[P.U. (3)]],2)</f>
        <v>0</v>
      </c>
      <c r="R32" s="326"/>
    </row>
    <row r="33" spans="2:18" hidden="1" x14ac:dyDescent="0.3">
      <c r="B33" s="76" t="s">
        <v>57</v>
      </c>
      <c r="C33" s="76" t="s">
        <v>58</v>
      </c>
      <c r="E33" s="120"/>
      <c r="F33" s="120"/>
      <c r="G33" s="74"/>
      <c r="I33" s="76" t="str">
        <f t="shared" si="0"/>
        <v>AM.2500</v>
      </c>
      <c r="J33" s="121" t="str">
        <f>+IF(B33=TG[[#This Row],[ITEM]],"ok","mal")</f>
        <v>ok</v>
      </c>
      <c r="K33" s="79">
        <f t="shared" si="1"/>
        <v>0</v>
      </c>
      <c r="L33" s="80">
        <f>IF(VLOOKUP(B33,TbPiezas[],5,0)="NA",0,VLOOKUP(B33,TbPiezas[],5,0))</f>
        <v>54.6</v>
      </c>
      <c r="M33" s="81">
        <f>TG[[#This Row],[TOTAL]]*TG[[#This Row],[P.U. (1)]]</f>
        <v>0</v>
      </c>
      <c r="N33" s="82">
        <f>+VLOOKUP(B33,TbPiezas[],6,0)</f>
        <v>1170.95</v>
      </c>
      <c r="O33" s="83">
        <f>TG[[#This Row],[TOTAL]]*TG[[#This Row],[P.U. (2)]]</f>
        <v>0</v>
      </c>
      <c r="P33" s="82">
        <f>+VLOOKUP(B33,TbPiezas[],7,0)</f>
        <v>58.547500000000007</v>
      </c>
      <c r="Q33" s="170">
        <f>ROUND(TG[[#This Row],[TOTAL]]*TG[[#This Row],[P.U. (3)]],2)</f>
        <v>0</v>
      </c>
      <c r="R33" s="326"/>
    </row>
    <row r="34" spans="2:18" hidden="1" x14ac:dyDescent="0.3">
      <c r="B34" s="76" t="s">
        <v>59</v>
      </c>
      <c r="C34" s="76" t="s">
        <v>60</v>
      </c>
      <c r="E34" s="120"/>
      <c r="F34" s="120"/>
      <c r="G34" s="74"/>
      <c r="I34" s="76" t="str">
        <f t="shared" si="0"/>
        <v>AM.2600</v>
      </c>
      <c r="J34" s="121" t="str">
        <f>+IF(B34=TG[[#This Row],[ITEM]],"ok","mal")</f>
        <v>ok</v>
      </c>
      <c r="K34" s="79">
        <f t="shared" si="1"/>
        <v>0</v>
      </c>
      <c r="L34" s="80">
        <f>IF(VLOOKUP(B34,TbPiezas[],5,0)="NA",0,VLOOKUP(B34,TbPiezas[],5,0))</f>
        <v>30.399999999999991</v>
      </c>
      <c r="M34" s="81">
        <f>TG[[#This Row],[TOTAL]]*TG[[#This Row],[P.U. (1)]]</f>
        <v>0</v>
      </c>
      <c r="N34" s="82">
        <f>+VLOOKUP(B34,TbPiezas[],6,0)</f>
        <v>720.59</v>
      </c>
      <c r="O34" s="83">
        <f>TG[[#This Row],[TOTAL]]*TG[[#This Row],[P.U. (2)]]</f>
        <v>0</v>
      </c>
      <c r="P34" s="82">
        <f>+VLOOKUP(B34,TbPiezas[],7,0)</f>
        <v>36.029500000000006</v>
      </c>
      <c r="Q34" s="170">
        <f>ROUND(TG[[#This Row],[TOTAL]]*TG[[#This Row],[P.U. (3)]],2)</f>
        <v>0</v>
      </c>
      <c r="R34" s="326"/>
    </row>
    <row r="35" spans="2:18" hidden="1" x14ac:dyDescent="0.3">
      <c r="B35" s="76" t="s">
        <v>61</v>
      </c>
      <c r="C35" s="76" t="s">
        <v>62</v>
      </c>
      <c r="E35" s="120"/>
      <c r="F35" s="120"/>
      <c r="G35" s="74"/>
      <c r="I35" s="76" t="str">
        <f t="shared" si="0"/>
        <v>AM.2700</v>
      </c>
      <c r="J35" s="121" t="str">
        <f>+IF(B35=TG[[#This Row],[ITEM]],"ok","mal")</f>
        <v>ok</v>
      </c>
      <c r="K35" s="79">
        <f t="shared" si="1"/>
        <v>0</v>
      </c>
      <c r="L35" s="80">
        <f>IF(VLOOKUP(B35,TbPiezas[],5,0)="NA",0,VLOOKUP(B35,TbPiezas[],5,0))</f>
        <v>12.5</v>
      </c>
      <c r="M35" s="81">
        <f>TG[[#This Row],[TOTAL]]*TG[[#This Row],[P.U. (1)]]</f>
        <v>0</v>
      </c>
      <c r="N35" s="82">
        <f>+VLOOKUP(B35,TbPiezas[],6,0)</f>
        <v>810.02</v>
      </c>
      <c r="O35" s="83">
        <f>TG[[#This Row],[TOTAL]]*TG[[#This Row],[P.U. (2)]]</f>
        <v>0</v>
      </c>
      <c r="P35" s="82">
        <f>+VLOOKUP(B35,TbPiezas[],7,0)</f>
        <v>40.501000000000005</v>
      </c>
      <c r="Q35" s="170">
        <f>ROUND(TG[[#This Row],[TOTAL]]*TG[[#This Row],[P.U. (3)]],2)</f>
        <v>0</v>
      </c>
      <c r="R35" s="326"/>
    </row>
    <row r="36" spans="2:18" hidden="1" x14ac:dyDescent="0.3">
      <c r="B36" s="76" t="s">
        <v>63</v>
      </c>
      <c r="C36" s="76" t="s">
        <v>64</v>
      </c>
      <c r="E36" s="120"/>
      <c r="F36" s="120"/>
      <c r="G36" s="74"/>
      <c r="I36" s="76" t="str">
        <f t="shared" si="0"/>
        <v>AM.2800</v>
      </c>
      <c r="J36" s="121" t="str">
        <f>+IF(B36=TG[[#This Row],[ITEM]],"ok","mal")</f>
        <v>ok</v>
      </c>
      <c r="K36" s="79">
        <f t="shared" si="1"/>
        <v>0</v>
      </c>
      <c r="L36" s="80">
        <f>IF(VLOOKUP(B36,TbPiezas[],5,0)="NA",0,VLOOKUP(B36,TbPiezas[],5,0))</f>
        <v>11.799999999999997</v>
      </c>
      <c r="M36" s="81">
        <f>TG[[#This Row],[TOTAL]]*TG[[#This Row],[P.U. (1)]]</f>
        <v>0</v>
      </c>
      <c r="N36" s="82">
        <f>+VLOOKUP(B36,TbPiezas[],6,0)</f>
        <v>276.36</v>
      </c>
      <c r="O36" s="83">
        <f>TG[[#This Row],[TOTAL]]*TG[[#This Row],[P.U. (2)]]</f>
        <v>0</v>
      </c>
      <c r="P36" s="82">
        <f>+VLOOKUP(B36,TbPiezas[],7,0)</f>
        <v>13.818000000000001</v>
      </c>
      <c r="Q36" s="170">
        <f>ROUND(TG[[#This Row],[TOTAL]]*TG[[#This Row],[P.U. (3)]],2)</f>
        <v>0</v>
      </c>
      <c r="R36" s="326"/>
    </row>
    <row r="37" spans="2:18" hidden="1" x14ac:dyDescent="0.3">
      <c r="B37" s="76" t="s">
        <v>65</v>
      </c>
      <c r="C37" s="76" t="s">
        <v>66</v>
      </c>
      <c r="E37" s="120"/>
      <c r="F37" s="120"/>
      <c r="G37" s="74"/>
      <c r="I37" s="76" t="str">
        <f t="shared" si="0"/>
        <v>AM.2900</v>
      </c>
      <c r="J37" s="121" t="str">
        <f>+IF(B37=TG[[#This Row],[ITEM]],"ok","mal")</f>
        <v>ok</v>
      </c>
      <c r="K37" s="79">
        <f t="shared" si="1"/>
        <v>0</v>
      </c>
      <c r="L37" s="80">
        <f>IF(VLOOKUP(B37,TbPiezas[],5,0)="NA",0,VLOOKUP(B37,TbPiezas[],5,0))</f>
        <v>7.7999999999999972</v>
      </c>
      <c r="M37" s="81">
        <f>TG[[#This Row],[TOTAL]]*TG[[#This Row],[P.U. (1)]]</f>
        <v>0</v>
      </c>
      <c r="N37" s="82">
        <f>+VLOOKUP(B37,TbPiezas[],6,0)</f>
        <v>255.03</v>
      </c>
      <c r="O37" s="83">
        <f>TG[[#This Row],[TOTAL]]*TG[[#This Row],[P.U. (2)]]</f>
        <v>0</v>
      </c>
      <c r="P37" s="82">
        <f>+VLOOKUP(B37,TbPiezas[],7,0)</f>
        <v>12.7515</v>
      </c>
      <c r="Q37" s="170">
        <f>ROUND(TG[[#This Row],[TOTAL]]*TG[[#This Row],[P.U. (3)]],2)</f>
        <v>0</v>
      </c>
      <c r="R37" s="326"/>
    </row>
    <row r="38" spans="2:18" hidden="1" x14ac:dyDescent="0.3">
      <c r="B38" s="76" t="s">
        <v>67</v>
      </c>
      <c r="C38" s="76" t="s">
        <v>68</v>
      </c>
      <c r="E38" s="120"/>
      <c r="F38" s="120"/>
      <c r="G38" s="74"/>
      <c r="I38" s="76" t="str">
        <f t="shared" si="0"/>
        <v>AM.3000</v>
      </c>
      <c r="J38" s="121" t="str">
        <f>+IF(B38=TG[[#This Row],[ITEM]],"ok","mal")</f>
        <v>ok</v>
      </c>
      <c r="K38" s="79">
        <f t="shared" si="1"/>
        <v>0</v>
      </c>
      <c r="L38" s="80">
        <f>IF(VLOOKUP(B38,TbPiezas[],5,0)="NA",0,VLOOKUP(B38,TbPiezas[],5,0))</f>
        <v>0.5</v>
      </c>
      <c r="M38" s="81">
        <f>TG[[#This Row],[TOTAL]]*TG[[#This Row],[P.U. (1)]]</f>
        <v>0</v>
      </c>
      <c r="N38" s="82">
        <f>+VLOOKUP(B38,TbPiezas[],6,0)</f>
        <v>105.43</v>
      </c>
      <c r="O38" s="83">
        <f>TG[[#This Row],[TOTAL]]*TG[[#This Row],[P.U. (2)]]</f>
        <v>0</v>
      </c>
      <c r="P38" s="82">
        <f>+VLOOKUP(B38,TbPiezas[],7,0)</f>
        <v>5.2715000000000005</v>
      </c>
      <c r="Q38" s="170">
        <f>ROUND(TG[[#This Row],[TOTAL]]*TG[[#This Row],[P.U. (3)]],2)</f>
        <v>0</v>
      </c>
      <c r="R38" s="326"/>
    </row>
    <row r="39" spans="2:18" hidden="1" x14ac:dyDescent="0.3">
      <c r="B39" s="76" t="s">
        <v>69</v>
      </c>
      <c r="C39" s="76" t="s">
        <v>70</v>
      </c>
      <c r="E39" s="120"/>
      <c r="F39" s="120"/>
      <c r="G39" s="74"/>
      <c r="I39" s="76" t="str">
        <f t="shared" si="0"/>
        <v>AM.3100</v>
      </c>
      <c r="J39" s="121" t="str">
        <f>+IF(B39=TG[[#This Row],[ITEM]],"ok","mal")</f>
        <v>ok</v>
      </c>
      <c r="K39" s="79">
        <f t="shared" si="1"/>
        <v>0</v>
      </c>
      <c r="L39" s="80">
        <f>IF(VLOOKUP(B39,TbPiezas[],5,0)="NA",0,VLOOKUP(B39,TbPiezas[],5,0))</f>
        <v>10.91</v>
      </c>
      <c r="M39" s="81">
        <f>TG[[#This Row],[TOTAL]]*TG[[#This Row],[P.U. (1)]]</f>
        <v>0</v>
      </c>
      <c r="N39" s="82">
        <f>+VLOOKUP(B39,TbPiezas[],6,0)</f>
        <v>808.35</v>
      </c>
      <c r="O39" s="83">
        <f>TG[[#This Row],[TOTAL]]*TG[[#This Row],[P.U. (2)]]</f>
        <v>0</v>
      </c>
      <c r="P39" s="82">
        <f>+VLOOKUP(B39,TbPiezas[],7,0)</f>
        <v>40.417500000000004</v>
      </c>
      <c r="Q39" s="170">
        <f>ROUND(TG[[#This Row],[TOTAL]]*TG[[#This Row],[P.U. (3)]],2)</f>
        <v>0</v>
      </c>
      <c r="R39" s="326"/>
    </row>
    <row r="40" spans="2:18" hidden="1" x14ac:dyDescent="0.3">
      <c r="B40" s="76" t="s">
        <v>71</v>
      </c>
      <c r="C40" s="76" t="s">
        <v>72</v>
      </c>
      <c r="E40" s="120"/>
      <c r="F40" s="120"/>
      <c r="G40" s="74"/>
      <c r="I40" s="76" t="str">
        <f t="shared" si="0"/>
        <v>AM.3200</v>
      </c>
      <c r="J40" s="121" t="str">
        <f>+IF(B40=TG[[#This Row],[ITEM]],"ok","mal")</f>
        <v>ok</v>
      </c>
      <c r="K40" s="79">
        <f t="shared" si="1"/>
        <v>0</v>
      </c>
      <c r="L40" s="80">
        <f>IF(VLOOKUP(B40,TbPiezas[],5,0)="NA",0,VLOOKUP(B40,TbPiezas[],5,0))</f>
        <v>4.2999999999999972</v>
      </c>
      <c r="M40" s="81">
        <f>TG[[#This Row],[TOTAL]]*TG[[#This Row],[P.U. (1)]]</f>
        <v>0</v>
      </c>
      <c r="N40" s="82">
        <f>+VLOOKUP(B40,TbPiezas[],6,0)</f>
        <v>519.13</v>
      </c>
      <c r="O40" s="83">
        <f>TG[[#This Row],[TOTAL]]*TG[[#This Row],[P.U. (2)]]</f>
        <v>0</v>
      </c>
      <c r="P40" s="82">
        <f>+VLOOKUP(B40,TbPiezas[],7,0)</f>
        <v>25.956500000000002</v>
      </c>
      <c r="Q40" s="170">
        <f>ROUND(TG[[#This Row],[TOTAL]]*TG[[#This Row],[P.U. (3)]],2)</f>
        <v>0</v>
      </c>
      <c r="R40" s="326"/>
    </row>
    <row r="41" spans="2:18" hidden="1" x14ac:dyDescent="0.3">
      <c r="B41" s="76" t="s">
        <v>73</v>
      </c>
      <c r="C41" s="76" t="s">
        <v>74</v>
      </c>
      <c r="E41" s="120"/>
      <c r="F41" s="120"/>
      <c r="G41" s="74"/>
      <c r="I41" s="76" t="str">
        <f t="shared" si="0"/>
        <v>AM.3300</v>
      </c>
      <c r="J41" s="121" t="str">
        <f>+IF(B41=TG[[#This Row],[ITEM]],"ok","mal")</f>
        <v>ok</v>
      </c>
      <c r="K41" s="79">
        <f t="shared" si="1"/>
        <v>0</v>
      </c>
      <c r="L41" s="80">
        <f>IF(VLOOKUP(B41,TbPiezas[],5,0)="NA",0,VLOOKUP(B41,TbPiezas[],5,0))</f>
        <v>3.2999999999999972</v>
      </c>
      <c r="M41" s="81">
        <f>TG[[#This Row],[TOTAL]]*TG[[#This Row],[P.U. (1)]]</f>
        <v>0</v>
      </c>
      <c r="N41" s="82">
        <f>+VLOOKUP(B41,TbPiezas[],6,0)</f>
        <v>259.56</v>
      </c>
      <c r="O41" s="83">
        <f>TG[[#This Row],[TOTAL]]*TG[[#This Row],[P.U. (2)]]</f>
        <v>0</v>
      </c>
      <c r="P41" s="82">
        <f>+VLOOKUP(B41,TbPiezas[],7,0)</f>
        <v>12.978000000000002</v>
      </c>
      <c r="Q41" s="170">
        <f>ROUND(TG[[#This Row],[TOTAL]]*TG[[#This Row],[P.U. (3)]],2)</f>
        <v>0</v>
      </c>
      <c r="R41" s="326"/>
    </row>
    <row r="42" spans="2:18" hidden="1" x14ac:dyDescent="0.3">
      <c r="B42" s="76" t="s">
        <v>75</v>
      </c>
      <c r="C42" s="76" t="s">
        <v>76</v>
      </c>
      <c r="E42" s="120"/>
      <c r="F42" s="120"/>
      <c r="G42" s="74"/>
      <c r="I42" s="76" t="str">
        <f t="shared" si="0"/>
        <v>AM.3400</v>
      </c>
      <c r="J42" s="121" t="str">
        <f>+IF(B42=TG[[#This Row],[ITEM]],"ok","mal")</f>
        <v>ok</v>
      </c>
      <c r="K42" s="79">
        <f t="shared" si="1"/>
        <v>0</v>
      </c>
      <c r="L42" s="80">
        <f>IF(VLOOKUP(B42,TbPiezas[],5,0)="NA",0,VLOOKUP(B42,TbPiezas[],5,0))</f>
        <v>5</v>
      </c>
      <c r="M42" s="81">
        <f>TG[[#This Row],[TOTAL]]*TG[[#This Row],[P.U. (1)]]</f>
        <v>0</v>
      </c>
      <c r="N42" s="82">
        <f>+VLOOKUP(B42,TbPiezas[],6,0)</f>
        <v>139.11000000000001</v>
      </c>
      <c r="O42" s="83">
        <f>TG[[#This Row],[TOTAL]]*TG[[#This Row],[P.U. (2)]]</f>
        <v>0</v>
      </c>
      <c r="P42" s="82">
        <f>+VLOOKUP(B42,TbPiezas[],7,0)</f>
        <v>6.9555000000000007</v>
      </c>
      <c r="Q42" s="170">
        <f>ROUND(TG[[#This Row],[TOTAL]]*TG[[#This Row],[P.U. (3)]],2)</f>
        <v>0</v>
      </c>
      <c r="R42" s="326"/>
    </row>
    <row r="43" spans="2:18" hidden="1" x14ac:dyDescent="0.3">
      <c r="B43" s="76" t="s">
        <v>77</v>
      </c>
      <c r="C43" s="76" t="s">
        <v>78</v>
      </c>
      <c r="E43" s="120"/>
      <c r="F43" s="120"/>
      <c r="G43" s="74"/>
      <c r="I43" s="76" t="str">
        <f t="shared" si="0"/>
        <v>AM.3500</v>
      </c>
      <c r="J43" s="121" t="str">
        <f>+IF(B43=TG[[#This Row],[ITEM]],"ok","mal")</f>
        <v>ok</v>
      </c>
      <c r="K43" s="79">
        <f t="shared" si="1"/>
        <v>0</v>
      </c>
      <c r="L43" s="80">
        <f>IF(VLOOKUP(B43,TbPiezas[],5,0)="NA",0,VLOOKUP(B43,TbPiezas[],5,0))</f>
        <v>3.5</v>
      </c>
      <c r="M43" s="81">
        <f>TG[[#This Row],[TOTAL]]*TG[[#This Row],[P.U. (1)]]</f>
        <v>0</v>
      </c>
      <c r="N43" s="82">
        <f>+VLOOKUP(B43,TbPiezas[],6,0)</f>
        <v>136.57</v>
      </c>
      <c r="O43" s="83">
        <f>TG[[#This Row],[TOTAL]]*TG[[#This Row],[P.U. (2)]]</f>
        <v>0</v>
      </c>
      <c r="P43" s="82">
        <f>+VLOOKUP(B43,TbPiezas[],7,0)</f>
        <v>6.8285</v>
      </c>
      <c r="Q43" s="170">
        <f>ROUND(TG[[#This Row],[TOTAL]]*TG[[#This Row],[P.U. (3)]],2)</f>
        <v>0</v>
      </c>
      <c r="R43" s="326"/>
    </row>
    <row r="44" spans="2:18" hidden="1" x14ac:dyDescent="0.3">
      <c r="B44" s="76" t="s">
        <v>79</v>
      </c>
      <c r="C44" s="76" t="s">
        <v>80</v>
      </c>
      <c r="E44" s="120"/>
      <c r="F44" s="120"/>
      <c r="G44" s="74"/>
      <c r="I44" s="76" t="str">
        <f t="shared" si="0"/>
        <v>AM.3600</v>
      </c>
      <c r="J44" s="121" t="str">
        <f>+IF(B44=TG[[#This Row],[ITEM]],"ok","mal")</f>
        <v>ok</v>
      </c>
      <c r="K44" s="79">
        <f t="shared" si="1"/>
        <v>0</v>
      </c>
      <c r="L44" s="80">
        <f>IF(VLOOKUP(B44,TbPiezas[],5,0)="NA",0,VLOOKUP(B44,TbPiezas[],5,0))</f>
        <v>2.5999999999999943</v>
      </c>
      <c r="M44" s="81">
        <f>TG[[#This Row],[TOTAL]]*TG[[#This Row],[P.U. (1)]]</f>
        <v>0</v>
      </c>
      <c r="N44" s="82">
        <f>+VLOOKUP(B44,TbPiezas[],6,0)</f>
        <v>128.38</v>
      </c>
      <c r="O44" s="83">
        <f>TG[[#This Row],[TOTAL]]*TG[[#This Row],[P.U. (2)]]</f>
        <v>0</v>
      </c>
      <c r="P44" s="82">
        <f>+VLOOKUP(B44,TbPiezas[],7,0)</f>
        <v>6.4190000000000005</v>
      </c>
      <c r="Q44" s="170">
        <f>ROUND(TG[[#This Row],[TOTAL]]*TG[[#This Row],[P.U. (3)]],2)</f>
        <v>0</v>
      </c>
      <c r="R44" s="326"/>
    </row>
    <row r="45" spans="2:18" hidden="1" x14ac:dyDescent="0.3">
      <c r="B45" s="76" t="s">
        <v>81</v>
      </c>
      <c r="C45" s="76" t="s">
        <v>82</v>
      </c>
      <c r="E45" s="120"/>
      <c r="F45" s="120"/>
      <c r="G45" s="74"/>
      <c r="I45" s="76" t="str">
        <f t="shared" si="0"/>
        <v>AM.3700</v>
      </c>
      <c r="J45" s="121" t="str">
        <f>+IF(B45=TG[[#This Row],[ITEM]],"ok","mal")</f>
        <v>ok</v>
      </c>
      <c r="K45" s="79">
        <f t="shared" si="1"/>
        <v>0</v>
      </c>
      <c r="L45" s="80">
        <f>IF(VLOOKUP(B45,TbPiezas[],5,0)="NA",0,VLOOKUP(B45,TbPiezas[],5,0))</f>
        <v>1.4000000000000057</v>
      </c>
      <c r="M45" s="81">
        <f>TG[[#This Row],[TOTAL]]*TG[[#This Row],[P.U. (1)]]</f>
        <v>0</v>
      </c>
      <c r="N45" s="82">
        <f>+VLOOKUP(B45,TbPiezas[],6,0)</f>
        <v>109.33</v>
      </c>
      <c r="O45" s="83">
        <f>TG[[#This Row],[TOTAL]]*TG[[#This Row],[P.U. (2)]]</f>
        <v>0</v>
      </c>
      <c r="P45" s="82">
        <f>+VLOOKUP(B45,TbPiezas[],7,0)</f>
        <v>5.4664999999999999</v>
      </c>
      <c r="Q45" s="170">
        <f>ROUND(TG[[#This Row],[TOTAL]]*TG[[#This Row],[P.U. (3)]],2)</f>
        <v>0</v>
      </c>
      <c r="R45" s="326"/>
    </row>
    <row r="46" spans="2:18" hidden="1" x14ac:dyDescent="0.3">
      <c r="B46" s="76" t="s">
        <v>83</v>
      </c>
      <c r="C46" s="76" t="s">
        <v>84</v>
      </c>
      <c r="E46" s="120"/>
      <c r="F46" s="120"/>
      <c r="G46" s="74"/>
      <c r="I46" s="76" t="str">
        <f t="shared" si="0"/>
        <v>AM.3800</v>
      </c>
      <c r="J46" s="121" t="str">
        <f>+IF(B46=TG[[#This Row],[ITEM]],"ok","mal")</f>
        <v>ok</v>
      </c>
      <c r="K46" s="79">
        <f t="shared" si="1"/>
        <v>0</v>
      </c>
      <c r="L46" s="80">
        <f>IF(VLOOKUP(B46,TbPiezas[],5,0)="NA",0,VLOOKUP(B46,TbPiezas[],5,0))</f>
        <v>0.79999999999999716</v>
      </c>
      <c r="M46" s="81">
        <f>TG[[#This Row],[TOTAL]]*TG[[#This Row],[P.U. (1)]]</f>
        <v>0</v>
      </c>
      <c r="N46" s="82">
        <f>+VLOOKUP(B46,TbPiezas[],6,0)</f>
        <v>91.83</v>
      </c>
      <c r="O46" s="83">
        <f>TG[[#This Row],[TOTAL]]*TG[[#This Row],[P.U. (2)]]</f>
        <v>0</v>
      </c>
      <c r="P46" s="82">
        <f>+VLOOKUP(B46,TbPiezas[],7,0)</f>
        <v>4.5914999999999999</v>
      </c>
      <c r="Q46" s="170">
        <f>ROUND(TG[[#This Row],[TOTAL]]*TG[[#This Row],[P.U. (3)]],2)</f>
        <v>0</v>
      </c>
      <c r="R46" s="326"/>
    </row>
    <row r="47" spans="2:18" hidden="1" x14ac:dyDescent="0.3">
      <c r="B47" s="76" t="s">
        <v>85</v>
      </c>
      <c r="C47" s="76" t="s">
        <v>86</v>
      </c>
      <c r="E47" s="120"/>
      <c r="F47" s="120"/>
      <c r="G47" s="74"/>
      <c r="I47" s="76" t="str">
        <f t="shared" si="0"/>
        <v>AM.3900</v>
      </c>
      <c r="J47" s="121" t="str">
        <f>+IF(B47=TG[[#This Row],[ITEM]],"ok","mal")</f>
        <v>ok</v>
      </c>
      <c r="K47" s="79">
        <f t="shared" si="1"/>
        <v>0</v>
      </c>
      <c r="L47" s="80">
        <f>IF(VLOOKUP(B47,TbPiezas[],5,0)="NA",0,VLOOKUP(B47,TbPiezas[],5,0))</f>
        <v>7.5</v>
      </c>
      <c r="M47" s="81">
        <f>TG[[#This Row],[TOTAL]]*TG[[#This Row],[P.U. (1)]]</f>
        <v>0</v>
      </c>
      <c r="N47" s="82">
        <f>+VLOOKUP(B47,TbPiezas[],6,0)</f>
        <v>139.11000000000001</v>
      </c>
      <c r="O47" s="83">
        <f>TG[[#This Row],[TOTAL]]*TG[[#This Row],[P.U. (2)]]</f>
        <v>0</v>
      </c>
      <c r="P47" s="82">
        <f>+VLOOKUP(B47,TbPiezas[],7,0)</f>
        <v>6.9555000000000007</v>
      </c>
      <c r="Q47" s="170">
        <f>ROUND(TG[[#This Row],[TOTAL]]*TG[[#This Row],[P.U. (3)]],2)</f>
        <v>0</v>
      </c>
      <c r="R47" s="326"/>
    </row>
    <row r="48" spans="2:18" hidden="1" x14ac:dyDescent="0.3">
      <c r="B48" s="76" t="s">
        <v>87</v>
      </c>
      <c r="C48" s="76" t="s">
        <v>88</v>
      </c>
      <c r="E48" s="120"/>
      <c r="F48" s="120"/>
      <c r="G48" s="74"/>
      <c r="I48" s="76" t="str">
        <f t="shared" si="0"/>
        <v>AM.4000</v>
      </c>
      <c r="J48" s="121" t="str">
        <f>+IF(B48=TG[[#This Row],[ITEM]],"ok","mal")</f>
        <v>ok</v>
      </c>
      <c r="K48" s="79">
        <f t="shared" si="1"/>
        <v>0</v>
      </c>
      <c r="L48" s="80">
        <f>IF(VLOOKUP(B48,TbPiezas[],5,0)="NA",0,VLOOKUP(B48,TbPiezas[],5,0))</f>
        <v>5.7999999999999972</v>
      </c>
      <c r="M48" s="81">
        <f>TG[[#This Row],[TOTAL]]*TG[[#This Row],[P.U. (1)]]</f>
        <v>0</v>
      </c>
      <c r="N48" s="82">
        <f>+VLOOKUP(B48,TbPiezas[],6,0)</f>
        <v>136.57</v>
      </c>
      <c r="O48" s="83">
        <f>TG[[#This Row],[TOTAL]]*TG[[#This Row],[P.U. (2)]]</f>
        <v>0</v>
      </c>
      <c r="P48" s="82">
        <f>+VLOOKUP(B48,TbPiezas[],7,0)</f>
        <v>6.8285</v>
      </c>
      <c r="Q48" s="170">
        <f>ROUND(TG[[#This Row],[TOTAL]]*TG[[#This Row],[P.U. (3)]],2)</f>
        <v>0</v>
      </c>
      <c r="R48" s="326"/>
    </row>
    <row r="49" spans="2:18" hidden="1" x14ac:dyDescent="0.3">
      <c r="B49" s="76" t="s">
        <v>89</v>
      </c>
      <c r="C49" s="76" t="s">
        <v>90</v>
      </c>
      <c r="E49" s="120"/>
      <c r="F49" s="120"/>
      <c r="G49" s="74"/>
      <c r="I49" s="76" t="str">
        <f t="shared" si="0"/>
        <v>AM.4100</v>
      </c>
      <c r="J49" s="121" t="str">
        <f>+IF(B49=TG[[#This Row],[ITEM]],"ok","mal")</f>
        <v>ok</v>
      </c>
      <c r="K49" s="79">
        <f t="shared" si="1"/>
        <v>0</v>
      </c>
      <c r="L49" s="80">
        <f>IF(VLOOKUP(B49,TbPiezas[],5,0)="NA",0,VLOOKUP(B49,TbPiezas[],5,0))</f>
        <v>4.7999999999999972</v>
      </c>
      <c r="M49" s="81">
        <f>TG[[#This Row],[TOTAL]]*TG[[#This Row],[P.U. (1)]]</f>
        <v>0</v>
      </c>
      <c r="N49" s="82">
        <f>+VLOOKUP(B49,TbPiezas[],6,0)</f>
        <v>128.38</v>
      </c>
      <c r="O49" s="83">
        <f>TG[[#This Row],[TOTAL]]*TG[[#This Row],[P.U. (2)]]</f>
        <v>0</v>
      </c>
      <c r="P49" s="82">
        <f>+VLOOKUP(B49,TbPiezas[],7,0)</f>
        <v>6.4190000000000005</v>
      </c>
      <c r="Q49" s="170">
        <f>ROUND(TG[[#This Row],[TOTAL]]*TG[[#This Row],[P.U. (3)]],2)</f>
        <v>0</v>
      </c>
      <c r="R49" s="326"/>
    </row>
    <row r="50" spans="2:18" hidden="1" x14ac:dyDescent="0.3">
      <c r="B50" s="76" t="s">
        <v>91</v>
      </c>
      <c r="C50" s="76" t="s">
        <v>92</v>
      </c>
      <c r="E50" s="120"/>
      <c r="F50" s="120"/>
      <c r="G50" s="74"/>
      <c r="I50" s="76" t="str">
        <f t="shared" si="0"/>
        <v>AM.4200</v>
      </c>
      <c r="J50" s="121" t="str">
        <f>+IF(B50=TG[[#This Row],[ITEM]],"ok","mal")</f>
        <v>ok</v>
      </c>
      <c r="K50" s="79">
        <f t="shared" si="1"/>
        <v>0</v>
      </c>
      <c r="L50" s="80">
        <f>IF(VLOOKUP(B50,TbPiezas[],5,0)="NA",0,VLOOKUP(B50,TbPiezas[],5,0))</f>
        <v>2.7000000000000028</v>
      </c>
      <c r="M50" s="81">
        <f>TG[[#This Row],[TOTAL]]*TG[[#This Row],[P.U. (1)]]</f>
        <v>0</v>
      </c>
      <c r="N50" s="82">
        <f>+VLOOKUP(B50,TbPiezas[],6,0)</f>
        <v>124.8</v>
      </c>
      <c r="O50" s="83">
        <f>TG[[#This Row],[TOTAL]]*TG[[#This Row],[P.U. (2)]]</f>
        <v>0</v>
      </c>
      <c r="P50" s="82">
        <f>+VLOOKUP(B50,TbPiezas[],7,0)</f>
        <v>6.24</v>
      </c>
      <c r="Q50" s="170">
        <f>ROUND(TG[[#This Row],[TOTAL]]*TG[[#This Row],[P.U. (3)]],2)</f>
        <v>0</v>
      </c>
      <c r="R50" s="326"/>
    </row>
    <row r="51" spans="2:18" hidden="1" x14ac:dyDescent="0.3">
      <c r="B51" s="76" t="s">
        <v>93</v>
      </c>
      <c r="C51" s="76" t="s">
        <v>94</v>
      </c>
      <c r="E51" s="120"/>
      <c r="F51" s="120"/>
      <c r="G51" s="74"/>
      <c r="I51" s="76" t="str">
        <f t="shared" si="0"/>
        <v>AM.4300</v>
      </c>
      <c r="J51" s="121" t="str">
        <f>+IF(B51=TG[[#This Row],[ITEM]],"ok","mal")</f>
        <v>ok</v>
      </c>
      <c r="K51" s="79">
        <f t="shared" si="1"/>
        <v>0</v>
      </c>
      <c r="L51" s="80">
        <f>IF(VLOOKUP(B51,TbPiezas[],5,0)="NA",0,VLOOKUP(B51,TbPiezas[],5,0))</f>
        <v>1.2999999999999972</v>
      </c>
      <c r="M51" s="81">
        <f>TG[[#This Row],[TOTAL]]*TG[[#This Row],[P.U. (1)]]</f>
        <v>0</v>
      </c>
      <c r="N51" s="82">
        <f>+VLOOKUP(B51,TbPiezas[],6,0)</f>
        <v>109.33</v>
      </c>
      <c r="O51" s="83">
        <f>TG[[#This Row],[TOTAL]]*TG[[#This Row],[P.U. (2)]]</f>
        <v>0</v>
      </c>
      <c r="P51" s="82">
        <f>+VLOOKUP(B51,TbPiezas[],7,0)</f>
        <v>5.4664999999999999</v>
      </c>
      <c r="Q51" s="170">
        <f>ROUND(TG[[#This Row],[TOTAL]]*TG[[#This Row],[P.U. (3)]],2)</f>
        <v>0</v>
      </c>
      <c r="R51" s="326"/>
    </row>
    <row r="52" spans="2:18" hidden="1" x14ac:dyDescent="0.3">
      <c r="B52" s="76" t="s">
        <v>95</v>
      </c>
      <c r="C52" s="76" t="s">
        <v>96</v>
      </c>
      <c r="E52" s="120"/>
      <c r="F52" s="120"/>
      <c r="G52" s="74"/>
      <c r="I52" s="76" t="str">
        <f t="shared" si="0"/>
        <v>AM.4400</v>
      </c>
      <c r="J52" s="121" t="str">
        <f>+IF(B52=TG[[#This Row],[ITEM]],"ok","mal")</f>
        <v>ok</v>
      </c>
      <c r="K52" s="79">
        <f t="shared" si="1"/>
        <v>0</v>
      </c>
      <c r="L52" s="80">
        <f>IF(VLOOKUP(B52,TbPiezas[],5,0)="NA",0,VLOOKUP(B52,TbPiezas[],5,0))</f>
        <v>2.0999999999999943</v>
      </c>
      <c r="M52" s="81">
        <f>TG[[#This Row],[TOTAL]]*TG[[#This Row],[P.U. (1)]]</f>
        <v>0</v>
      </c>
      <c r="N52" s="82">
        <f>+VLOOKUP(B52,TbPiezas[],6,0)</f>
        <v>91.83</v>
      </c>
      <c r="O52" s="83">
        <f>TG[[#This Row],[TOTAL]]*TG[[#This Row],[P.U. (2)]]</f>
        <v>0</v>
      </c>
      <c r="P52" s="82">
        <f>+VLOOKUP(B52,TbPiezas[],7,0)</f>
        <v>4.5914999999999999</v>
      </c>
      <c r="Q52" s="170">
        <f>ROUND(TG[[#This Row],[TOTAL]]*TG[[#This Row],[P.U. (3)]],2)</f>
        <v>0</v>
      </c>
      <c r="R52" s="326"/>
    </row>
    <row r="53" spans="2:18" hidden="1" x14ac:dyDescent="0.3">
      <c r="B53" s="76" t="s">
        <v>97</v>
      </c>
      <c r="C53" s="76" t="s">
        <v>98</v>
      </c>
      <c r="E53" s="120"/>
      <c r="F53" s="120"/>
      <c r="G53" s="74"/>
      <c r="I53" s="76" t="str">
        <f t="shared" si="0"/>
        <v>AM.4500</v>
      </c>
      <c r="J53" s="121" t="str">
        <f>+IF(B53=TG[[#This Row],[ITEM]],"ok","mal")</f>
        <v>ok</v>
      </c>
      <c r="K53" s="79">
        <f t="shared" si="1"/>
        <v>0</v>
      </c>
      <c r="L53" s="80">
        <f>IF(VLOOKUP(B53,TbPiezas[],5,0)="NA",0,VLOOKUP(B53,TbPiezas[],5,0))</f>
        <v>10.5</v>
      </c>
      <c r="M53" s="81">
        <f>TG[[#This Row],[TOTAL]]*TG[[#This Row],[P.U. (1)]]</f>
        <v>0</v>
      </c>
      <c r="N53" s="82">
        <f>+VLOOKUP(B53,TbPiezas[],6,0)</f>
        <v>139.11000000000001</v>
      </c>
      <c r="O53" s="83">
        <f>TG[[#This Row],[TOTAL]]*TG[[#This Row],[P.U. (2)]]</f>
        <v>0</v>
      </c>
      <c r="P53" s="82">
        <f>+VLOOKUP(B53,TbPiezas[],7,0)</f>
        <v>6.9555000000000007</v>
      </c>
      <c r="Q53" s="170">
        <f>ROUND(TG[[#This Row],[TOTAL]]*TG[[#This Row],[P.U. (3)]],2)</f>
        <v>0</v>
      </c>
      <c r="R53" s="326"/>
    </row>
    <row r="54" spans="2:18" hidden="1" x14ac:dyDescent="0.3">
      <c r="B54" s="76" t="s">
        <v>99</v>
      </c>
      <c r="C54" s="76" t="s">
        <v>100</v>
      </c>
      <c r="E54" s="120"/>
      <c r="F54" s="120"/>
      <c r="G54" s="74"/>
      <c r="I54" s="76" t="str">
        <f t="shared" si="0"/>
        <v>AM.4600</v>
      </c>
      <c r="J54" s="121" t="str">
        <f>+IF(B54=TG[[#This Row],[ITEM]],"ok","mal")</f>
        <v>ok</v>
      </c>
      <c r="K54" s="79">
        <f t="shared" si="1"/>
        <v>0</v>
      </c>
      <c r="L54" s="80">
        <f>IF(VLOOKUP(B54,TbPiezas[],5,0)="NA",0,VLOOKUP(B54,TbPiezas[],5,0))</f>
        <v>8.7999999999999972</v>
      </c>
      <c r="M54" s="81">
        <f>TG[[#This Row],[TOTAL]]*TG[[#This Row],[P.U. (1)]]</f>
        <v>0</v>
      </c>
      <c r="N54" s="82">
        <f>+VLOOKUP(B54,TbPiezas[],6,0)</f>
        <v>136.57</v>
      </c>
      <c r="O54" s="83">
        <f>TG[[#This Row],[TOTAL]]*TG[[#This Row],[P.U. (2)]]</f>
        <v>0</v>
      </c>
      <c r="P54" s="82">
        <f>+VLOOKUP(B54,TbPiezas[],7,0)</f>
        <v>6.8285</v>
      </c>
      <c r="Q54" s="170">
        <f>ROUND(TG[[#This Row],[TOTAL]]*TG[[#This Row],[P.U. (3)]],2)</f>
        <v>0</v>
      </c>
      <c r="R54" s="326"/>
    </row>
    <row r="55" spans="2:18" hidden="1" x14ac:dyDescent="0.3">
      <c r="B55" s="76" t="s">
        <v>101</v>
      </c>
      <c r="C55" s="76" t="s">
        <v>102</v>
      </c>
      <c r="E55" s="120"/>
      <c r="F55" s="120"/>
      <c r="G55" s="74"/>
      <c r="I55" s="76" t="str">
        <f t="shared" si="0"/>
        <v>AM.4700</v>
      </c>
      <c r="J55" s="121" t="str">
        <f>+IF(B55=TG[[#This Row],[ITEM]],"ok","mal")</f>
        <v>ok</v>
      </c>
      <c r="K55" s="79">
        <f t="shared" si="1"/>
        <v>0</v>
      </c>
      <c r="L55" s="80">
        <f>IF(VLOOKUP(B55,TbPiezas[],5,0)="NA",0,VLOOKUP(B55,TbPiezas[],5,0))</f>
        <v>5</v>
      </c>
      <c r="M55" s="81">
        <f>TG[[#This Row],[TOTAL]]*TG[[#This Row],[P.U. (1)]]</f>
        <v>0</v>
      </c>
      <c r="N55" s="82">
        <f>+VLOOKUP(B55,TbPiezas[],6,0)</f>
        <v>128.38</v>
      </c>
      <c r="O55" s="83">
        <f>TG[[#This Row],[TOTAL]]*TG[[#This Row],[P.U. (2)]]</f>
        <v>0</v>
      </c>
      <c r="P55" s="82">
        <f>+VLOOKUP(B55,TbPiezas[],7,0)</f>
        <v>6.4190000000000005</v>
      </c>
      <c r="Q55" s="170">
        <f>ROUND(TG[[#This Row],[TOTAL]]*TG[[#This Row],[P.U. (3)]],2)</f>
        <v>0</v>
      </c>
      <c r="R55" s="326"/>
    </row>
    <row r="56" spans="2:18" hidden="1" x14ac:dyDescent="0.3">
      <c r="B56" s="76" t="s">
        <v>103</v>
      </c>
      <c r="C56" s="76" t="s">
        <v>104</v>
      </c>
      <c r="E56" s="120"/>
      <c r="F56" s="120"/>
      <c r="G56" s="74"/>
      <c r="I56" s="76" t="str">
        <f t="shared" si="0"/>
        <v>AM.4800</v>
      </c>
      <c r="J56" s="121" t="str">
        <f>+IF(B56=TG[[#This Row],[ITEM]],"ok","mal")</f>
        <v>ok</v>
      </c>
      <c r="K56" s="79">
        <f t="shared" si="1"/>
        <v>0</v>
      </c>
      <c r="L56" s="80">
        <f>IF(VLOOKUP(B56,TbPiezas[],5,0)="NA",0,VLOOKUP(B56,TbPiezas[],5,0))</f>
        <v>3.3999999999999915</v>
      </c>
      <c r="M56" s="81">
        <f>TG[[#This Row],[TOTAL]]*TG[[#This Row],[P.U. (1)]]</f>
        <v>0</v>
      </c>
      <c r="N56" s="82">
        <f>+VLOOKUP(B56,TbPiezas[],6,0)</f>
        <v>124.8</v>
      </c>
      <c r="O56" s="83">
        <f>TG[[#This Row],[TOTAL]]*TG[[#This Row],[P.U. (2)]]</f>
        <v>0</v>
      </c>
      <c r="P56" s="82">
        <f>+VLOOKUP(B56,TbPiezas[],7,0)</f>
        <v>6.24</v>
      </c>
      <c r="Q56" s="170">
        <f>ROUND(TG[[#This Row],[TOTAL]]*TG[[#This Row],[P.U. (3)]],2)</f>
        <v>0</v>
      </c>
      <c r="R56" s="326"/>
    </row>
    <row r="57" spans="2:18" hidden="1" x14ac:dyDescent="0.3">
      <c r="B57" s="76" t="s">
        <v>105</v>
      </c>
      <c r="C57" s="76" t="s">
        <v>106</v>
      </c>
      <c r="E57" s="120"/>
      <c r="F57" s="120"/>
      <c r="G57" s="74"/>
      <c r="I57" s="76" t="str">
        <f t="shared" si="0"/>
        <v>AM.4900</v>
      </c>
      <c r="J57" s="121" t="str">
        <f>+IF(B57=TG[[#This Row],[ITEM]],"ok","mal")</f>
        <v>ok</v>
      </c>
      <c r="K57" s="79">
        <f t="shared" si="1"/>
        <v>0</v>
      </c>
      <c r="L57" s="80">
        <f>IF(VLOOKUP(B57,TbPiezas[],5,0)="NA",0,VLOOKUP(B57,TbPiezas[],5,0))</f>
        <v>4.0999999999999943</v>
      </c>
      <c r="M57" s="81">
        <f>TG[[#This Row],[TOTAL]]*TG[[#This Row],[P.U. (1)]]</f>
        <v>0</v>
      </c>
      <c r="N57" s="82">
        <f>+VLOOKUP(B57,TbPiezas[],6,0)</f>
        <v>109.33</v>
      </c>
      <c r="O57" s="83">
        <f>TG[[#This Row],[TOTAL]]*TG[[#This Row],[P.U. (2)]]</f>
        <v>0</v>
      </c>
      <c r="P57" s="82">
        <f>+VLOOKUP(B57,TbPiezas[],7,0)</f>
        <v>5.4664999999999999</v>
      </c>
      <c r="Q57" s="170">
        <f>ROUND(TG[[#This Row],[TOTAL]]*TG[[#This Row],[P.U. (3)]],2)</f>
        <v>0</v>
      </c>
      <c r="R57" s="326"/>
    </row>
    <row r="58" spans="2:18" hidden="1" x14ac:dyDescent="0.3">
      <c r="B58" s="76" t="s">
        <v>107</v>
      </c>
      <c r="C58" s="76" t="s">
        <v>108</v>
      </c>
      <c r="E58" s="120"/>
      <c r="F58" s="120"/>
      <c r="G58" s="74"/>
      <c r="I58" s="76" t="str">
        <f t="shared" si="0"/>
        <v>AM.5000</v>
      </c>
      <c r="J58" s="121" t="str">
        <f>+IF(B58=TG[[#This Row],[ITEM]],"ok","mal")</f>
        <v>ok</v>
      </c>
      <c r="K58" s="79">
        <f t="shared" si="1"/>
        <v>0</v>
      </c>
      <c r="L58" s="80">
        <f>IF(VLOOKUP(B58,TbPiezas[],5,0)="NA",0,VLOOKUP(B58,TbPiezas[],5,0))</f>
        <v>0.5</v>
      </c>
      <c r="M58" s="81">
        <f>TG[[#This Row],[TOTAL]]*TG[[#This Row],[P.U. (1)]]</f>
        <v>0</v>
      </c>
      <c r="N58" s="82">
        <f>+VLOOKUP(B58,TbPiezas[],6,0)</f>
        <v>91.83</v>
      </c>
      <c r="O58" s="83">
        <f>TG[[#This Row],[TOTAL]]*TG[[#This Row],[P.U. (2)]]</f>
        <v>0</v>
      </c>
      <c r="P58" s="82">
        <f>+VLOOKUP(B58,TbPiezas[],7,0)</f>
        <v>4.5914999999999999</v>
      </c>
      <c r="Q58" s="170">
        <f>ROUND(TG[[#This Row],[TOTAL]]*TG[[#This Row],[P.U. (3)]],2)</f>
        <v>0</v>
      </c>
      <c r="R58" s="326"/>
    </row>
    <row r="59" spans="2:18" hidden="1" x14ac:dyDescent="0.3">
      <c r="B59" s="76" t="s">
        <v>109</v>
      </c>
      <c r="C59" s="76" t="s">
        <v>110</v>
      </c>
      <c r="E59" s="120"/>
      <c r="F59" s="120"/>
      <c r="G59" s="74"/>
      <c r="I59" s="76" t="str">
        <f t="shared" si="0"/>
        <v>AM.5100</v>
      </c>
      <c r="J59" s="121" t="str">
        <f>+IF(B59=TG[[#This Row],[ITEM]],"ok","mal")</f>
        <v>ok</v>
      </c>
      <c r="K59" s="79">
        <f t="shared" si="1"/>
        <v>0</v>
      </c>
      <c r="L59" s="80">
        <f>IF(VLOOKUP(B59,TbPiezas[],5,0)="NA",0,VLOOKUP(B59,TbPiezas[],5,0))</f>
        <v>11.299999999999997</v>
      </c>
      <c r="M59" s="81">
        <f>TG[[#This Row],[TOTAL]]*TG[[#This Row],[P.U. (1)]]</f>
        <v>0</v>
      </c>
      <c r="N59" s="82">
        <f>+VLOOKUP(B59,TbPiezas[],6,0)</f>
        <v>316.13</v>
      </c>
      <c r="O59" s="83">
        <f>TG[[#This Row],[TOTAL]]*TG[[#This Row],[P.U. (2)]]</f>
        <v>0</v>
      </c>
      <c r="P59" s="82">
        <f>+VLOOKUP(B59,TbPiezas[],7,0)</f>
        <v>15.8065</v>
      </c>
      <c r="Q59" s="170">
        <f>ROUND(TG[[#This Row],[TOTAL]]*TG[[#This Row],[P.U. (3)]],2)</f>
        <v>0</v>
      </c>
      <c r="R59" s="326"/>
    </row>
    <row r="60" spans="2:18" hidden="1" x14ac:dyDescent="0.3">
      <c r="B60" s="76" t="s">
        <v>111</v>
      </c>
      <c r="C60" s="76" t="s">
        <v>112</v>
      </c>
      <c r="E60" s="120"/>
      <c r="F60" s="120"/>
      <c r="G60" s="74"/>
      <c r="I60" s="76" t="str">
        <f t="shared" si="0"/>
        <v>AM.5200</v>
      </c>
      <c r="J60" s="121" t="str">
        <f>+IF(B60=TG[[#This Row],[ITEM]],"ok","mal")</f>
        <v>ok</v>
      </c>
      <c r="K60" s="79">
        <f t="shared" si="1"/>
        <v>0</v>
      </c>
      <c r="L60" s="80">
        <f>IF(VLOOKUP(B60,TbPiezas[],5,0)="NA",0,VLOOKUP(B60,TbPiezas[],5,0))</f>
        <v>10.899999999999991</v>
      </c>
      <c r="M60" s="81">
        <f>TG[[#This Row],[TOTAL]]*TG[[#This Row],[P.U. (1)]]</f>
        <v>0</v>
      </c>
      <c r="N60" s="82">
        <f>+VLOOKUP(B60,TbPiezas[],6,0)</f>
        <v>302.58</v>
      </c>
      <c r="O60" s="83">
        <f>TG[[#This Row],[TOTAL]]*TG[[#This Row],[P.U. (2)]]</f>
        <v>0</v>
      </c>
      <c r="P60" s="82">
        <f>+VLOOKUP(B60,TbPiezas[],7,0)</f>
        <v>15.129</v>
      </c>
      <c r="Q60" s="170">
        <f>ROUND(TG[[#This Row],[TOTAL]]*TG[[#This Row],[P.U. (3)]],2)</f>
        <v>0</v>
      </c>
      <c r="R60" s="326"/>
    </row>
    <row r="61" spans="2:18" hidden="1" x14ac:dyDescent="0.3">
      <c r="B61" s="76" t="s">
        <v>113</v>
      </c>
      <c r="C61" s="76" t="s">
        <v>114</v>
      </c>
      <c r="E61" s="120"/>
      <c r="F61" s="120"/>
      <c r="G61" s="74"/>
      <c r="I61" s="76" t="str">
        <f t="shared" si="0"/>
        <v>AM.5300</v>
      </c>
      <c r="J61" s="121" t="str">
        <f>+IF(B61=TG[[#This Row],[ITEM]],"ok","mal")</f>
        <v>ok</v>
      </c>
      <c r="K61" s="79">
        <f t="shared" si="1"/>
        <v>0</v>
      </c>
      <c r="L61" s="80">
        <f>IF(VLOOKUP(B61,TbPiezas[],5,0)="NA",0,VLOOKUP(B61,TbPiezas[],5,0))</f>
        <v>7.5</v>
      </c>
      <c r="M61" s="81">
        <f>TG[[#This Row],[TOTAL]]*TG[[#This Row],[P.U. (1)]]</f>
        <v>0</v>
      </c>
      <c r="N61" s="82">
        <f>+VLOOKUP(B61,TbPiezas[],6,0)</f>
        <v>291.14</v>
      </c>
      <c r="O61" s="83">
        <f>TG[[#This Row],[TOTAL]]*TG[[#This Row],[P.U. (2)]]</f>
        <v>0</v>
      </c>
      <c r="P61" s="82">
        <f>+VLOOKUP(B61,TbPiezas[],7,0)</f>
        <v>14.557</v>
      </c>
      <c r="Q61" s="170">
        <f>ROUND(TG[[#This Row],[TOTAL]]*TG[[#This Row],[P.U. (3)]],2)</f>
        <v>0</v>
      </c>
      <c r="R61" s="326"/>
    </row>
    <row r="62" spans="2:18" hidden="1" x14ac:dyDescent="0.3">
      <c r="B62" s="76" t="s">
        <v>115</v>
      </c>
      <c r="C62" s="76" t="s">
        <v>116</v>
      </c>
      <c r="E62" s="120"/>
      <c r="F62" s="120"/>
      <c r="G62" s="74"/>
      <c r="I62" s="76" t="str">
        <f t="shared" si="0"/>
        <v>AM.5400</v>
      </c>
      <c r="J62" s="121" t="str">
        <f>+IF(B62=TG[[#This Row],[ITEM]],"ok","mal")</f>
        <v>ok</v>
      </c>
      <c r="K62" s="79">
        <f t="shared" si="1"/>
        <v>0</v>
      </c>
      <c r="L62" s="80">
        <f>IF(VLOOKUP(B62,TbPiezas[],5,0)="NA",0,VLOOKUP(B62,TbPiezas[],5,0))</f>
        <v>6.5999999999999943</v>
      </c>
      <c r="M62" s="81">
        <f>TG[[#This Row],[TOTAL]]*TG[[#This Row],[P.U. (1)]]</f>
        <v>0</v>
      </c>
      <c r="N62" s="82">
        <f>+VLOOKUP(B62,TbPiezas[],6,0)</f>
        <v>280.58999999999997</v>
      </c>
      <c r="O62" s="83">
        <f>TG[[#This Row],[TOTAL]]*TG[[#This Row],[P.U. (2)]]</f>
        <v>0</v>
      </c>
      <c r="P62" s="82">
        <f>+VLOOKUP(B62,TbPiezas[],7,0)</f>
        <v>14.029499999999999</v>
      </c>
      <c r="Q62" s="170">
        <f>ROUND(TG[[#This Row],[TOTAL]]*TG[[#This Row],[P.U. (3)]],2)</f>
        <v>0</v>
      </c>
      <c r="R62" s="326"/>
    </row>
    <row r="63" spans="2:18" hidden="1" x14ac:dyDescent="0.3">
      <c r="B63" s="76" t="s">
        <v>117</v>
      </c>
      <c r="C63" s="76" t="s">
        <v>118</v>
      </c>
      <c r="E63" s="120"/>
      <c r="F63" s="120"/>
      <c r="G63" s="74"/>
      <c r="I63" s="76" t="str">
        <f t="shared" si="0"/>
        <v>AM.5500</v>
      </c>
      <c r="J63" s="121" t="str">
        <f>+IF(B63=TG[[#This Row],[ITEM]],"ok","mal")</f>
        <v>ok</v>
      </c>
      <c r="K63" s="79">
        <f t="shared" si="1"/>
        <v>0</v>
      </c>
      <c r="L63" s="80">
        <f>IF(VLOOKUP(B63,TbPiezas[],5,0)="NA",0,VLOOKUP(B63,TbPiezas[],5,0))</f>
        <v>6</v>
      </c>
      <c r="M63" s="81">
        <f>TG[[#This Row],[TOTAL]]*TG[[#This Row],[P.U. (1)]]</f>
        <v>0</v>
      </c>
      <c r="N63" s="82">
        <f>+VLOOKUP(B63,TbPiezas[],6,0)</f>
        <v>280.58999999999997</v>
      </c>
      <c r="O63" s="83">
        <f>TG[[#This Row],[TOTAL]]*TG[[#This Row],[P.U. (2)]]</f>
        <v>0</v>
      </c>
      <c r="P63" s="82">
        <f>+VLOOKUP(B63,TbPiezas[],7,0)</f>
        <v>14.029499999999999</v>
      </c>
      <c r="Q63" s="170">
        <f>ROUND(TG[[#This Row],[TOTAL]]*TG[[#This Row],[P.U. (3)]],2)</f>
        <v>0</v>
      </c>
      <c r="R63" s="326"/>
    </row>
    <row r="64" spans="2:18" hidden="1" x14ac:dyDescent="0.3">
      <c r="B64" s="76" t="s">
        <v>119</v>
      </c>
      <c r="C64" s="76" t="s">
        <v>120</v>
      </c>
      <c r="E64" s="120"/>
      <c r="F64" s="120"/>
      <c r="G64" s="74"/>
      <c r="I64" s="76" t="str">
        <f t="shared" si="0"/>
        <v>AM.5600</v>
      </c>
      <c r="J64" s="121" t="str">
        <f>+IF(B64=TG[[#This Row],[ITEM]],"ok","mal")</f>
        <v>ok</v>
      </c>
      <c r="K64" s="79">
        <f t="shared" si="1"/>
        <v>0</v>
      </c>
      <c r="L64" s="80">
        <f>IF(VLOOKUP(B64,TbPiezas[],5,0)="NA",0,VLOOKUP(B64,TbPiezas[],5,0))</f>
        <v>4.2000000000000028</v>
      </c>
      <c r="M64" s="81">
        <f>TG[[#This Row],[TOTAL]]*TG[[#This Row],[P.U. (1)]]</f>
        <v>0</v>
      </c>
      <c r="N64" s="82">
        <f>+VLOOKUP(B64,TbPiezas[],6,0)</f>
        <v>266.81</v>
      </c>
      <c r="O64" s="83">
        <f>TG[[#This Row],[TOTAL]]*TG[[#This Row],[P.U. (2)]]</f>
        <v>0</v>
      </c>
      <c r="P64" s="82">
        <f>+VLOOKUP(B64,TbPiezas[],7,0)</f>
        <v>13.3405</v>
      </c>
      <c r="Q64" s="170">
        <f>ROUND(TG[[#This Row],[TOTAL]]*TG[[#This Row],[P.U. (3)]],2)</f>
        <v>0</v>
      </c>
      <c r="R64" s="326"/>
    </row>
    <row r="65" spans="2:18" hidden="1" x14ac:dyDescent="0.3">
      <c r="B65" s="76" t="s">
        <v>121</v>
      </c>
      <c r="C65" s="76" t="s">
        <v>122</v>
      </c>
      <c r="E65" s="120"/>
      <c r="F65" s="120"/>
      <c r="G65" s="74"/>
      <c r="I65" s="76" t="str">
        <f t="shared" si="0"/>
        <v>AM.5700</v>
      </c>
      <c r="J65" s="121" t="str">
        <f>+IF(B65=TG[[#This Row],[ITEM]],"ok","mal")</f>
        <v>ok</v>
      </c>
      <c r="K65" s="79">
        <f t="shared" si="1"/>
        <v>0</v>
      </c>
      <c r="L65" s="80">
        <f>IF(VLOOKUP(B65,TbPiezas[],5,0)="NA",0,VLOOKUP(B65,TbPiezas[],5,0))</f>
        <v>10.700000000000003</v>
      </c>
      <c r="M65" s="81">
        <f>TG[[#This Row],[TOTAL]]*TG[[#This Row],[P.U. (1)]]</f>
        <v>0</v>
      </c>
      <c r="N65" s="82">
        <f>+VLOOKUP(B65,TbPiezas[],6,0)</f>
        <v>316.13</v>
      </c>
      <c r="O65" s="83">
        <f>TG[[#This Row],[TOTAL]]*TG[[#This Row],[P.U. (2)]]</f>
        <v>0</v>
      </c>
      <c r="P65" s="82">
        <f>+VLOOKUP(B65,TbPiezas[],7,0)</f>
        <v>15.8065</v>
      </c>
      <c r="Q65" s="170">
        <f>ROUND(TG[[#This Row],[TOTAL]]*TG[[#This Row],[P.U. (3)]],2)</f>
        <v>0</v>
      </c>
      <c r="R65" s="326"/>
    </row>
    <row r="66" spans="2:18" hidden="1" x14ac:dyDescent="0.3">
      <c r="B66" s="76" t="s">
        <v>123</v>
      </c>
      <c r="C66" s="76" t="s">
        <v>124</v>
      </c>
      <c r="E66" s="120"/>
      <c r="F66" s="120"/>
      <c r="G66" s="74"/>
      <c r="I66" s="76" t="str">
        <f t="shared" si="0"/>
        <v>AM.5800</v>
      </c>
      <c r="J66" s="121" t="str">
        <f>+IF(B66=TG[[#This Row],[ITEM]],"ok","mal")</f>
        <v>ok</v>
      </c>
      <c r="K66" s="79">
        <f t="shared" si="1"/>
        <v>0</v>
      </c>
      <c r="L66" s="80">
        <f>IF(VLOOKUP(B66,TbPiezas[],5,0)="NA",0,VLOOKUP(B66,TbPiezas[],5,0))</f>
        <v>9.2000000000000028</v>
      </c>
      <c r="M66" s="81">
        <f>TG[[#This Row],[TOTAL]]*TG[[#This Row],[P.U. (1)]]</f>
        <v>0</v>
      </c>
      <c r="N66" s="82">
        <f>+VLOOKUP(B66,TbPiezas[],6,0)</f>
        <v>302.58</v>
      </c>
      <c r="O66" s="83">
        <f>TG[[#This Row],[TOTAL]]*TG[[#This Row],[P.U. (2)]]</f>
        <v>0</v>
      </c>
      <c r="P66" s="82">
        <f>+VLOOKUP(B66,TbPiezas[],7,0)</f>
        <v>15.129</v>
      </c>
      <c r="Q66" s="170">
        <f>ROUND(TG[[#This Row],[TOTAL]]*TG[[#This Row],[P.U. (3)]],2)</f>
        <v>0</v>
      </c>
      <c r="R66" s="326"/>
    </row>
    <row r="67" spans="2:18" hidden="1" x14ac:dyDescent="0.3">
      <c r="B67" s="76" t="s">
        <v>125</v>
      </c>
      <c r="C67" s="76" t="s">
        <v>126</v>
      </c>
      <c r="E67" s="120"/>
      <c r="F67" s="120"/>
      <c r="G67" s="74"/>
      <c r="I67" s="76" t="str">
        <f t="shared" si="0"/>
        <v>AM.5900</v>
      </c>
      <c r="J67" s="121" t="str">
        <f>+IF(B67=TG[[#This Row],[ITEM]],"ok","mal")</f>
        <v>ok</v>
      </c>
      <c r="K67" s="79">
        <f t="shared" si="1"/>
        <v>0</v>
      </c>
      <c r="L67" s="80">
        <f>IF(VLOOKUP(B67,TbPiezas[],5,0)="NA",0,VLOOKUP(B67,TbPiezas[],5,0))</f>
        <v>5.9000000000000057</v>
      </c>
      <c r="M67" s="81">
        <f>TG[[#This Row],[TOTAL]]*TG[[#This Row],[P.U. (1)]]</f>
        <v>0</v>
      </c>
      <c r="N67" s="82">
        <f>+VLOOKUP(B67,TbPiezas[],6,0)</f>
        <v>280.58999999999997</v>
      </c>
      <c r="O67" s="83">
        <f>TG[[#This Row],[TOTAL]]*TG[[#This Row],[P.U. (2)]]</f>
        <v>0</v>
      </c>
      <c r="P67" s="82">
        <f>+VLOOKUP(B67,TbPiezas[],7,0)</f>
        <v>14.029499999999999</v>
      </c>
      <c r="Q67" s="170">
        <f>ROUND(TG[[#This Row],[TOTAL]]*TG[[#This Row],[P.U. (3)]],2)</f>
        <v>0</v>
      </c>
      <c r="R67" s="326"/>
    </row>
    <row r="68" spans="2:18" hidden="1" x14ac:dyDescent="0.3">
      <c r="B68" s="76" t="s">
        <v>127</v>
      </c>
      <c r="C68" s="76" t="s">
        <v>128</v>
      </c>
      <c r="E68" s="120"/>
      <c r="F68" s="120"/>
      <c r="G68" s="74"/>
      <c r="I68" s="76" t="str">
        <f t="shared" si="0"/>
        <v>AM.5910</v>
      </c>
      <c r="J68" s="121" t="str">
        <f>+IF(B68=TG[[#This Row],[ITEM]],"ok","mal")</f>
        <v>ok</v>
      </c>
      <c r="K68" s="79">
        <f t="shared" si="1"/>
        <v>0</v>
      </c>
      <c r="L68" s="80">
        <f>IF(VLOOKUP(B68,TbPiezas[],5,0)="NA",0,VLOOKUP(B68,TbPiezas[],5,0))</f>
        <v>5.9</v>
      </c>
      <c r="M68" s="81">
        <f>TG[[#This Row],[TOTAL]]*TG[[#This Row],[P.U. (1)]]</f>
        <v>0</v>
      </c>
      <c r="N68" s="82">
        <f>+VLOOKUP(B68,TbPiezas[],6,0)</f>
        <v>280.58999999999997</v>
      </c>
      <c r="O68" s="83">
        <f>TG[[#This Row],[TOTAL]]*TG[[#This Row],[P.U. (2)]]</f>
        <v>0</v>
      </c>
      <c r="P68" s="82">
        <f>+VLOOKUP(B68,TbPiezas[],7,0)</f>
        <v>14.029499999999999</v>
      </c>
      <c r="Q68" s="170">
        <f>ROUND(TG[[#This Row],[TOTAL]]*TG[[#This Row],[P.U. (3)]],2)</f>
        <v>0</v>
      </c>
      <c r="R68" s="326"/>
    </row>
    <row r="69" spans="2:18" hidden="1" x14ac:dyDescent="0.3">
      <c r="B69" s="76" t="s">
        <v>129</v>
      </c>
      <c r="C69" s="76" t="s">
        <v>130</v>
      </c>
      <c r="E69" s="120"/>
      <c r="F69" s="120"/>
      <c r="G69" s="74"/>
      <c r="I69" s="76" t="str">
        <f t="shared" si="0"/>
        <v>AM.6000</v>
      </c>
      <c r="J69" s="121" t="str">
        <f>+IF(B69=TG[[#This Row],[ITEM]],"ok","mal")</f>
        <v>ok</v>
      </c>
      <c r="K69" s="79">
        <f t="shared" si="1"/>
        <v>0</v>
      </c>
      <c r="L69" s="80">
        <f>IF(VLOOKUP(B69,TbPiezas[],5,0)="NA",0,VLOOKUP(B69,TbPiezas[],5,0))</f>
        <v>18.599999999999994</v>
      </c>
      <c r="M69" s="81">
        <f>TG[[#This Row],[TOTAL]]*TG[[#This Row],[P.U. (1)]]</f>
        <v>0</v>
      </c>
      <c r="N69" s="82">
        <f>+VLOOKUP(B69,TbPiezas[],6,0)</f>
        <v>654.70000000000005</v>
      </c>
      <c r="O69" s="83">
        <f>TG[[#This Row],[TOTAL]]*TG[[#This Row],[P.U. (2)]]</f>
        <v>0</v>
      </c>
      <c r="P69" s="82">
        <f>+VLOOKUP(B69,TbPiezas[],7,0)</f>
        <v>32.735000000000007</v>
      </c>
      <c r="Q69" s="170">
        <f>ROUND(TG[[#This Row],[TOTAL]]*TG[[#This Row],[P.U. (3)]],2)</f>
        <v>0</v>
      </c>
      <c r="R69" s="326"/>
    </row>
    <row r="70" spans="2:18" hidden="1" x14ac:dyDescent="0.3">
      <c r="B70" s="76" t="s">
        <v>131</v>
      </c>
      <c r="C70" s="76" t="s">
        <v>132</v>
      </c>
      <c r="E70" s="120"/>
      <c r="F70" s="120"/>
      <c r="G70" s="74"/>
      <c r="I70" s="76" t="str">
        <f t="shared" ref="I70:I133" si="2">+B70</f>
        <v>AM.6100</v>
      </c>
      <c r="J70" s="121" t="str">
        <f>+IF(B70=TG[[#This Row],[ITEM]],"ok","mal")</f>
        <v>ok</v>
      </c>
      <c r="K70" s="79">
        <f t="shared" ref="K70:K133" si="3">SUM(D70:H70)</f>
        <v>0</v>
      </c>
      <c r="L70" s="80">
        <f>IF(VLOOKUP(B70,TbPiezas[],5,0)="NA",0,VLOOKUP(B70,TbPiezas[],5,0))</f>
        <v>15.2</v>
      </c>
      <c r="M70" s="81">
        <f>TG[[#This Row],[TOTAL]]*TG[[#This Row],[P.U. (1)]]</f>
        <v>0</v>
      </c>
      <c r="N70" s="82">
        <f>+VLOOKUP(B70,TbPiezas[],6,0)</f>
        <v>575.04</v>
      </c>
      <c r="O70" s="83">
        <f>TG[[#This Row],[TOTAL]]*TG[[#This Row],[P.U. (2)]]</f>
        <v>0</v>
      </c>
      <c r="P70" s="82">
        <f>+VLOOKUP(B70,TbPiezas[],7,0)</f>
        <v>28.751999999999999</v>
      </c>
      <c r="Q70" s="170">
        <f>ROUND(TG[[#This Row],[TOTAL]]*TG[[#This Row],[P.U. (3)]],2)</f>
        <v>0</v>
      </c>
      <c r="R70" s="326"/>
    </row>
    <row r="71" spans="2:18" hidden="1" x14ac:dyDescent="0.3">
      <c r="B71" s="76" t="s">
        <v>133</v>
      </c>
      <c r="C71" s="76" t="s">
        <v>134</v>
      </c>
      <c r="E71" s="120"/>
      <c r="F71" s="120"/>
      <c r="G71" s="74"/>
      <c r="I71" s="76" t="str">
        <f t="shared" si="2"/>
        <v>AM.6200</v>
      </c>
      <c r="J71" s="121" t="str">
        <f>+IF(B71=TG[[#This Row],[ITEM]],"ok","mal")</f>
        <v>ok</v>
      </c>
      <c r="K71" s="79">
        <f t="shared" si="3"/>
        <v>0</v>
      </c>
      <c r="L71" s="80">
        <f>IF(VLOOKUP(B71,TbPiezas[],5,0)="NA",0,VLOOKUP(B71,TbPiezas[],5,0))</f>
        <v>11.799999999999997</v>
      </c>
      <c r="M71" s="81">
        <f>TG[[#This Row],[TOTAL]]*TG[[#This Row],[P.U. (1)]]</f>
        <v>0</v>
      </c>
      <c r="N71" s="82">
        <f>+VLOOKUP(B71,TbPiezas[],6,0)</f>
        <v>496.07</v>
      </c>
      <c r="O71" s="83">
        <f>TG[[#This Row],[TOTAL]]*TG[[#This Row],[P.U. (2)]]</f>
        <v>0</v>
      </c>
      <c r="P71" s="82">
        <f>+VLOOKUP(B71,TbPiezas[],7,0)</f>
        <v>24.8035</v>
      </c>
      <c r="Q71" s="170">
        <f>ROUND(TG[[#This Row],[TOTAL]]*TG[[#This Row],[P.U. (3)]],2)</f>
        <v>0</v>
      </c>
      <c r="R71" s="326"/>
    </row>
    <row r="72" spans="2:18" hidden="1" x14ac:dyDescent="0.3">
      <c r="B72" s="76" t="s">
        <v>135</v>
      </c>
      <c r="C72" s="76" t="s">
        <v>136</v>
      </c>
      <c r="E72" s="120"/>
      <c r="F72" s="120"/>
      <c r="G72" s="74"/>
      <c r="I72" s="76" t="str">
        <f t="shared" si="2"/>
        <v>AM.6300</v>
      </c>
      <c r="J72" s="121" t="str">
        <f>+IF(B72=TG[[#This Row],[ITEM]],"ok","mal")</f>
        <v>ok</v>
      </c>
      <c r="K72" s="79">
        <f t="shared" si="3"/>
        <v>0</v>
      </c>
      <c r="L72" s="80">
        <f>IF(VLOOKUP(B72,TbPiezas[],5,0)="NA",0,VLOOKUP(B72,TbPiezas[],5,0))</f>
        <v>9.8999999999999915</v>
      </c>
      <c r="M72" s="81">
        <f>TG[[#This Row],[TOTAL]]*TG[[#This Row],[P.U. (1)]]</f>
        <v>0</v>
      </c>
      <c r="N72" s="82">
        <f>+VLOOKUP(B72,TbPiezas[],6,0)</f>
        <v>484.34</v>
      </c>
      <c r="O72" s="83">
        <f>TG[[#This Row],[TOTAL]]*TG[[#This Row],[P.U. (2)]]</f>
        <v>0</v>
      </c>
      <c r="P72" s="82">
        <f>+VLOOKUP(B72,TbPiezas[],7,0)</f>
        <v>24.216999999999999</v>
      </c>
      <c r="Q72" s="170">
        <f>ROUND(TG[[#This Row],[TOTAL]]*TG[[#This Row],[P.U. (3)]],2)</f>
        <v>0</v>
      </c>
      <c r="R72" s="326"/>
    </row>
    <row r="73" spans="2:18" hidden="1" x14ac:dyDescent="0.3">
      <c r="B73" s="76" t="s">
        <v>137</v>
      </c>
      <c r="C73" s="76" t="s">
        <v>138</v>
      </c>
      <c r="E73" s="120"/>
      <c r="F73" s="120"/>
      <c r="G73" s="74"/>
      <c r="I73" s="76" t="str">
        <f t="shared" si="2"/>
        <v>AM.6400</v>
      </c>
      <c r="J73" s="121" t="str">
        <f>+IF(B73=TG[[#This Row],[ITEM]],"ok","mal")</f>
        <v>ok</v>
      </c>
      <c r="K73" s="79">
        <f t="shared" si="3"/>
        <v>0</v>
      </c>
      <c r="L73" s="80">
        <f>IF(VLOOKUP(B73,TbPiezas[],5,0)="NA",0,VLOOKUP(B73,TbPiezas[],5,0))</f>
        <v>5.7999999999999972</v>
      </c>
      <c r="M73" s="81">
        <f>TG[[#This Row],[TOTAL]]*TG[[#This Row],[P.U. (1)]]</f>
        <v>0</v>
      </c>
      <c r="N73" s="82">
        <f>+VLOOKUP(B73,TbPiezas[],6,0)</f>
        <v>452.11</v>
      </c>
      <c r="O73" s="83">
        <f>TG[[#This Row],[TOTAL]]*TG[[#This Row],[P.U. (2)]]</f>
        <v>0</v>
      </c>
      <c r="P73" s="82">
        <f>+VLOOKUP(B73,TbPiezas[],7,0)</f>
        <v>22.605500000000003</v>
      </c>
      <c r="Q73" s="170">
        <f>ROUND(TG[[#This Row],[TOTAL]]*TG[[#This Row],[P.U. (3)]],2)</f>
        <v>0</v>
      </c>
      <c r="R73" s="326"/>
    </row>
    <row r="74" spans="2:18" hidden="1" x14ac:dyDescent="0.3">
      <c r="B74" s="76" t="s">
        <v>139</v>
      </c>
      <c r="C74" s="76" t="s">
        <v>140</v>
      </c>
      <c r="E74" s="120"/>
      <c r="F74" s="120"/>
      <c r="G74" s="74"/>
      <c r="I74" s="76" t="str">
        <f t="shared" si="2"/>
        <v>AM.6500</v>
      </c>
      <c r="J74" s="121" t="str">
        <f>+IF(B74=TG[[#This Row],[ITEM]],"ok","mal")</f>
        <v>ok</v>
      </c>
      <c r="K74" s="79">
        <f t="shared" si="3"/>
        <v>0</v>
      </c>
      <c r="L74" s="80">
        <f>IF(VLOOKUP(B74,TbPiezas[],5,0)="NA",0,VLOOKUP(B74,TbPiezas[],5,0))</f>
        <v>5.0999999999999943</v>
      </c>
      <c r="M74" s="81">
        <f>TG[[#This Row],[TOTAL]]*TG[[#This Row],[P.U. (1)]]</f>
        <v>0</v>
      </c>
      <c r="N74" s="82">
        <f>+VLOOKUP(B74,TbPiezas[],6,0)</f>
        <v>408.3</v>
      </c>
      <c r="O74" s="83">
        <f>TG[[#This Row],[TOTAL]]*TG[[#This Row],[P.U. (2)]]</f>
        <v>0</v>
      </c>
      <c r="P74" s="82">
        <f>+VLOOKUP(B74,TbPiezas[],7,0)</f>
        <v>20.415000000000003</v>
      </c>
      <c r="Q74" s="170">
        <f>ROUND(TG[[#This Row],[TOTAL]]*TG[[#This Row],[P.U. (3)]],2)</f>
        <v>0</v>
      </c>
      <c r="R74" s="326"/>
    </row>
    <row r="75" spans="2:18" hidden="1" x14ac:dyDescent="0.3">
      <c r="B75" s="76" t="s">
        <v>141</v>
      </c>
      <c r="C75" s="76" t="s">
        <v>142</v>
      </c>
      <c r="E75" s="120"/>
      <c r="F75" s="120"/>
      <c r="G75" s="74"/>
      <c r="I75" s="76" t="str">
        <f t="shared" si="2"/>
        <v>AM.6600</v>
      </c>
      <c r="J75" s="121" t="str">
        <f>+IF(B75=TG[[#This Row],[ITEM]],"ok","mal")</f>
        <v>ok</v>
      </c>
      <c r="K75" s="79">
        <f t="shared" si="3"/>
        <v>0</v>
      </c>
      <c r="L75" s="80">
        <f>IF(VLOOKUP(B75,TbPiezas[],5,0)="NA",0,VLOOKUP(B75,TbPiezas[],5,0))</f>
        <v>24</v>
      </c>
      <c r="M75" s="81">
        <f>TG[[#This Row],[TOTAL]]*TG[[#This Row],[P.U. (1)]]</f>
        <v>0</v>
      </c>
      <c r="N75" s="82">
        <f>+VLOOKUP(B75,TbPiezas[],6,0)</f>
        <v>654.70000000000005</v>
      </c>
      <c r="O75" s="83">
        <f>TG[[#This Row],[TOTAL]]*TG[[#This Row],[P.U. (2)]]</f>
        <v>0</v>
      </c>
      <c r="P75" s="82">
        <f>+VLOOKUP(B75,TbPiezas[],7,0)</f>
        <v>32.735000000000007</v>
      </c>
      <c r="Q75" s="170">
        <f>ROUND(TG[[#This Row],[TOTAL]]*TG[[#This Row],[P.U. (3)]],2)</f>
        <v>0</v>
      </c>
      <c r="R75" s="326"/>
    </row>
    <row r="76" spans="2:18" hidden="1" x14ac:dyDescent="0.3">
      <c r="B76" s="76" t="s">
        <v>143</v>
      </c>
      <c r="C76" s="76" t="s">
        <v>144</v>
      </c>
      <c r="E76" s="120"/>
      <c r="F76" s="120"/>
      <c r="G76" s="74"/>
      <c r="I76" s="76" t="str">
        <f t="shared" si="2"/>
        <v>AM.6700</v>
      </c>
      <c r="J76" s="121" t="str">
        <f>+IF(B76=TG[[#This Row],[ITEM]],"ok","mal")</f>
        <v>ok</v>
      </c>
      <c r="K76" s="79">
        <f t="shared" si="3"/>
        <v>0</v>
      </c>
      <c r="L76" s="80">
        <f>IF(VLOOKUP(B76,TbPiezas[],5,0)="NA",0,VLOOKUP(B76,TbPiezas[],5,0))</f>
        <v>19.700000000000003</v>
      </c>
      <c r="M76" s="81">
        <f>TG[[#This Row],[TOTAL]]*TG[[#This Row],[P.U. (1)]]</f>
        <v>0</v>
      </c>
      <c r="N76" s="82">
        <f>+VLOOKUP(B76,TbPiezas[],6,0)</f>
        <v>575.04</v>
      </c>
      <c r="O76" s="83">
        <f>TG[[#This Row],[TOTAL]]*TG[[#This Row],[P.U. (2)]]</f>
        <v>0</v>
      </c>
      <c r="P76" s="82">
        <f>+VLOOKUP(B76,TbPiezas[],7,0)</f>
        <v>28.751999999999999</v>
      </c>
      <c r="Q76" s="170">
        <f>ROUND(TG[[#This Row],[TOTAL]]*TG[[#This Row],[P.U. (3)]],2)</f>
        <v>0</v>
      </c>
      <c r="R76" s="326"/>
    </row>
    <row r="77" spans="2:18" hidden="1" x14ac:dyDescent="0.3">
      <c r="B77" s="76" t="s">
        <v>145</v>
      </c>
      <c r="C77" s="76" t="s">
        <v>146</v>
      </c>
      <c r="E77" s="120"/>
      <c r="F77" s="120"/>
      <c r="G77" s="74"/>
      <c r="I77" s="76" t="str">
        <f t="shared" si="2"/>
        <v>AM.6800</v>
      </c>
      <c r="J77" s="121" t="str">
        <f>+IF(B77=TG[[#This Row],[ITEM]],"ok","mal")</f>
        <v>ok</v>
      </c>
      <c r="K77" s="79">
        <f t="shared" si="3"/>
        <v>0</v>
      </c>
      <c r="L77" s="80">
        <f>IF(VLOOKUP(B77,TbPiezas[],5,0)="NA",0,VLOOKUP(B77,TbPiezas[],5,0))</f>
        <v>17.700000000000003</v>
      </c>
      <c r="M77" s="81">
        <f>TG[[#This Row],[TOTAL]]*TG[[#This Row],[P.U. (1)]]</f>
        <v>0</v>
      </c>
      <c r="N77" s="82">
        <f>+VLOOKUP(B77,TbPiezas[],6,0)</f>
        <v>496.07</v>
      </c>
      <c r="O77" s="83">
        <f>TG[[#This Row],[TOTAL]]*TG[[#This Row],[P.U. (2)]]</f>
        <v>0</v>
      </c>
      <c r="P77" s="82">
        <f>+VLOOKUP(B77,TbPiezas[],7,0)</f>
        <v>24.8035</v>
      </c>
      <c r="Q77" s="170">
        <f>ROUND(TG[[#This Row],[TOTAL]]*TG[[#This Row],[P.U. (3)]],2)</f>
        <v>0</v>
      </c>
      <c r="R77" s="326"/>
    </row>
    <row r="78" spans="2:18" hidden="1" x14ac:dyDescent="0.3">
      <c r="B78" s="76" t="s">
        <v>147</v>
      </c>
      <c r="C78" s="76" t="s">
        <v>148</v>
      </c>
      <c r="E78" s="120"/>
      <c r="F78" s="120"/>
      <c r="G78" s="74"/>
      <c r="I78" s="76" t="str">
        <f t="shared" si="2"/>
        <v>AM.6900</v>
      </c>
      <c r="J78" s="121" t="str">
        <f>+IF(B78=TG[[#This Row],[ITEM]],"ok","mal")</f>
        <v>ok</v>
      </c>
      <c r="K78" s="79">
        <f t="shared" si="3"/>
        <v>0</v>
      </c>
      <c r="L78" s="80">
        <f>IF(VLOOKUP(B78,TbPiezas[],5,0)="NA",0,VLOOKUP(B78,TbPiezas[],5,0))</f>
        <v>12.200000000000003</v>
      </c>
      <c r="M78" s="81">
        <f>TG[[#This Row],[TOTAL]]*TG[[#This Row],[P.U. (1)]]</f>
        <v>0</v>
      </c>
      <c r="N78" s="82">
        <f>+VLOOKUP(B78,TbPiezas[],6,0)</f>
        <v>484.34</v>
      </c>
      <c r="O78" s="83">
        <f>TG[[#This Row],[TOTAL]]*TG[[#This Row],[P.U. (2)]]</f>
        <v>0</v>
      </c>
      <c r="P78" s="82">
        <f>+VLOOKUP(B78,TbPiezas[],7,0)</f>
        <v>24.216999999999999</v>
      </c>
      <c r="Q78" s="170">
        <f>ROUND(TG[[#This Row],[TOTAL]]*TG[[#This Row],[P.U. (3)]],2)</f>
        <v>0</v>
      </c>
      <c r="R78" s="326"/>
    </row>
    <row r="79" spans="2:18" hidden="1" x14ac:dyDescent="0.3">
      <c r="B79" s="76" t="s">
        <v>149</v>
      </c>
      <c r="C79" s="76" t="s">
        <v>150</v>
      </c>
      <c r="E79" s="120"/>
      <c r="F79" s="120"/>
      <c r="G79" s="74"/>
      <c r="I79" s="76" t="str">
        <f t="shared" si="2"/>
        <v>AM.7000</v>
      </c>
      <c r="J79" s="121" t="str">
        <f>+IF(B79=TG[[#This Row],[ITEM]],"ok","mal")</f>
        <v>ok</v>
      </c>
      <c r="K79" s="79">
        <f t="shared" si="3"/>
        <v>0</v>
      </c>
      <c r="L79" s="80">
        <f>IF(VLOOKUP(B79,TbPiezas[],5,0)="NA",0,VLOOKUP(B79,TbPiezas[],5,0))</f>
        <v>10.399999999999991</v>
      </c>
      <c r="M79" s="81">
        <f>TG[[#This Row],[TOTAL]]*TG[[#This Row],[P.U. (1)]]</f>
        <v>0</v>
      </c>
      <c r="N79" s="82">
        <f>+VLOOKUP(B79,TbPiezas[],6,0)</f>
        <v>452.11</v>
      </c>
      <c r="O79" s="83">
        <f>TG[[#This Row],[TOTAL]]*TG[[#This Row],[P.U. (2)]]</f>
        <v>0</v>
      </c>
      <c r="P79" s="82">
        <f>+VLOOKUP(B79,TbPiezas[],7,0)</f>
        <v>22.605500000000003</v>
      </c>
      <c r="Q79" s="170">
        <f>ROUND(TG[[#This Row],[TOTAL]]*TG[[#This Row],[P.U. (3)]],2)</f>
        <v>0</v>
      </c>
      <c r="R79" s="326"/>
    </row>
    <row r="80" spans="2:18" hidden="1" x14ac:dyDescent="0.3">
      <c r="B80" s="76" t="s">
        <v>151</v>
      </c>
      <c r="C80" s="76" t="s">
        <v>152</v>
      </c>
      <c r="E80" s="120"/>
      <c r="F80" s="120"/>
      <c r="G80" s="74"/>
      <c r="I80" s="76" t="str">
        <f t="shared" si="2"/>
        <v>AM.7100</v>
      </c>
      <c r="J80" s="121" t="str">
        <f>+IF(B80=TG[[#This Row],[ITEM]],"ok","mal")</f>
        <v>ok</v>
      </c>
      <c r="K80" s="79">
        <f t="shared" si="3"/>
        <v>0</v>
      </c>
      <c r="L80" s="80">
        <f>IF(VLOOKUP(B80,TbPiezas[],5,0)="NA",0,VLOOKUP(B80,TbPiezas[],5,0))</f>
        <v>7.9000000000000057</v>
      </c>
      <c r="M80" s="81">
        <f>TG[[#This Row],[TOTAL]]*TG[[#This Row],[P.U. (1)]]</f>
        <v>0</v>
      </c>
      <c r="N80" s="82">
        <f>+VLOOKUP(B80,TbPiezas[],6,0)</f>
        <v>408.3</v>
      </c>
      <c r="O80" s="83">
        <f>TG[[#This Row],[TOTAL]]*TG[[#This Row],[P.U. (2)]]</f>
        <v>0</v>
      </c>
      <c r="P80" s="82">
        <f>+VLOOKUP(B80,TbPiezas[],7,0)</f>
        <v>20.415000000000003</v>
      </c>
      <c r="Q80" s="170">
        <f>ROUND(TG[[#This Row],[TOTAL]]*TG[[#This Row],[P.U. (3)]],2)</f>
        <v>0</v>
      </c>
      <c r="R80" s="326"/>
    </row>
    <row r="81" spans="2:18" hidden="1" x14ac:dyDescent="0.3">
      <c r="B81" s="76" t="s">
        <v>153</v>
      </c>
      <c r="C81" s="76" t="s">
        <v>154</v>
      </c>
      <c r="E81" s="120"/>
      <c r="F81" s="120"/>
      <c r="G81" s="74"/>
      <c r="I81" s="76" t="str">
        <f t="shared" si="2"/>
        <v>AM.7200</v>
      </c>
      <c r="J81" s="121" t="str">
        <f>+IF(B81=TG[[#This Row],[ITEM]],"ok","mal")</f>
        <v>ok</v>
      </c>
      <c r="K81" s="79">
        <f t="shared" si="3"/>
        <v>0</v>
      </c>
      <c r="L81" s="80">
        <f>IF(VLOOKUP(B81,TbPiezas[],5,0)="NA",0,VLOOKUP(B81,TbPiezas[],5,0))</f>
        <v>17.799999999999997</v>
      </c>
      <c r="M81" s="81">
        <f>TG[[#This Row],[TOTAL]]*TG[[#This Row],[P.U. (1)]]</f>
        <v>0</v>
      </c>
      <c r="N81" s="82">
        <f>+VLOOKUP(B81,TbPiezas[],6,0)</f>
        <v>654.70000000000005</v>
      </c>
      <c r="O81" s="83">
        <f>TG[[#This Row],[TOTAL]]*TG[[#This Row],[P.U. (2)]]</f>
        <v>0</v>
      </c>
      <c r="P81" s="82">
        <f>+VLOOKUP(B81,TbPiezas[],7,0)</f>
        <v>32.735000000000007</v>
      </c>
      <c r="Q81" s="170">
        <f>ROUND(TG[[#This Row],[TOTAL]]*TG[[#This Row],[P.U. (3)]],2)</f>
        <v>0</v>
      </c>
      <c r="R81" s="326"/>
    </row>
    <row r="82" spans="2:18" hidden="1" x14ac:dyDescent="0.3">
      <c r="B82" s="76" t="s">
        <v>155</v>
      </c>
      <c r="C82" s="76" t="s">
        <v>156</v>
      </c>
      <c r="E82" s="120"/>
      <c r="F82" s="120"/>
      <c r="G82" s="74"/>
      <c r="I82" s="76" t="str">
        <f t="shared" si="2"/>
        <v>AM.7300</v>
      </c>
      <c r="J82" s="121" t="str">
        <f>+IF(B82=TG[[#This Row],[ITEM]],"ok","mal")</f>
        <v>ok</v>
      </c>
      <c r="K82" s="79">
        <f t="shared" si="3"/>
        <v>0</v>
      </c>
      <c r="L82" s="80">
        <f>IF(VLOOKUP(B82,TbPiezas[],5,0)="NA",0,VLOOKUP(B82,TbPiezas[],5,0))</f>
        <v>14.599999999999994</v>
      </c>
      <c r="M82" s="81">
        <f>TG[[#This Row],[TOTAL]]*TG[[#This Row],[P.U. (1)]]</f>
        <v>0</v>
      </c>
      <c r="N82" s="82">
        <f>+VLOOKUP(B82,TbPiezas[],6,0)</f>
        <v>575.04</v>
      </c>
      <c r="O82" s="83">
        <f>TG[[#This Row],[TOTAL]]*TG[[#This Row],[P.U. (2)]]</f>
        <v>0</v>
      </c>
      <c r="P82" s="82">
        <f>+VLOOKUP(B82,TbPiezas[],7,0)</f>
        <v>28.751999999999999</v>
      </c>
      <c r="Q82" s="170">
        <f>ROUND(TG[[#This Row],[TOTAL]]*TG[[#This Row],[P.U. (3)]],2)</f>
        <v>0</v>
      </c>
      <c r="R82" s="326"/>
    </row>
    <row r="83" spans="2:18" hidden="1" x14ac:dyDescent="0.3">
      <c r="B83" s="76" t="s">
        <v>157</v>
      </c>
      <c r="C83" s="76" t="s">
        <v>158</v>
      </c>
      <c r="E83" s="120"/>
      <c r="F83" s="120"/>
      <c r="G83" s="74"/>
      <c r="I83" s="76" t="str">
        <f t="shared" si="2"/>
        <v>AM.7400</v>
      </c>
      <c r="J83" s="121" t="str">
        <f>+IF(B83=TG[[#This Row],[ITEM]],"ok","mal")</f>
        <v>ok</v>
      </c>
      <c r="K83" s="79">
        <f t="shared" si="3"/>
        <v>0</v>
      </c>
      <c r="L83" s="80">
        <f>IF(VLOOKUP(B83,TbPiezas[],5,0)="NA",0,VLOOKUP(B83,TbPiezas[],5,0))</f>
        <v>12.299999999999997</v>
      </c>
      <c r="M83" s="81">
        <f>TG[[#This Row],[TOTAL]]*TG[[#This Row],[P.U. (1)]]</f>
        <v>0</v>
      </c>
      <c r="N83" s="82">
        <f>+VLOOKUP(B83,TbPiezas[],6,0)</f>
        <v>496.07</v>
      </c>
      <c r="O83" s="83">
        <f>TG[[#This Row],[TOTAL]]*TG[[#This Row],[P.U. (2)]]</f>
        <v>0</v>
      </c>
      <c r="P83" s="82">
        <f>+VLOOKUP(B83,TbPiezas[],7,0)</f>
        <v>24.8035</v>
      </c>
      <c r="Q83" s="170">
        <f>ROUND(TG[[#This Row],[TOTAL]]*TG[[#This Row],[P.U. (3)]],2)</f>
        <v>0</v>
      </c>
      <c r="R83" s="326"/>
    </row>
    <row r="84" spans="2:18" hidden="1" x14ac:dyDescent="0.3">
      <c r="B84" s="76" t="s">
        <v>159</v>
      </c>
      <c r="C84" s="76" t="s">
        <v>160</v>
      </c>
      <c r="E84" s="120"/>
      <c r="F84" s="120"/>
      <c r="G84" s="74"/>
      <c r="I84" s="76" t="str">
        <f t="shared" si="2"/>
        <v>AM.7410</v>
      </c>
      <c r="J84" s="121" t="str">
        <f>+IF(B84=TG[[#This Row],[ITEM]],"ok","mal")</f>
        <v>ok</v>
      </c>
      <c r="K84" s="79">
        <f t="shared" si="3"/>
        <v>0</v>
      </c>
      <c r="L84" s="80">
        <f>IF(VLOOKUP(B84,TbPiezas[],5,0)="NA",0,VLOOKUP(B84,TbPiezas[],5,0))</f>
        <v>9.0500000000000007</v>
      </c>
      <c r="M84" s="81">
        <f>TG[[#This Row],[TOTAL]]*TG[[#This Row],[P.U. (1)]]</f>
        <v>0</v>
      </c>
      <c r="N84" s="82">
        <f>+VLOOKUP(B84,TbPiezas[],6,0)</f>
        <v>484.34</v>
      </c>
      <c r="O84" s="83">
        <f>TG[[#This Row],[TOTAL]]*TG[[#This Row],[P.U. (2)]]</f>
        <v>0</v>
      </c>
      <c r="P84" s="82">
        <f>+VLOOKUP(B84,TbPiezas[],7,0)</f>
        <v>24.216999999999999</v>
      </c>
      <c r="Q84" s="170">
        <f>ROUND(TG[[#This Row],[TOTAL]]*TG[[#This Row],[P.U. (3)]],2)</f>
        <v>0</v>
      </c>
      <c r="R84" s="326"/>
    </row>
    <row r="85" spans="2:18" hidden="1" x14ac:dyDescent="0.3">
      <c r="B85" s="76" t="s">
        <v>161</v>
      </c>
      <c r="C85" s="76" t="s">
        <v>162</v>
      </c>
      <c r="E85" s="120"/>
      <c r="F85" s="120"/>
      <c r="G85" s="74"/>
      <c r="I85" s="76" t="str">
        <f t="shared" si="2"/>
        <v>AM.7420</v>
      </c>
      <c r="J85" s="121" t="str">
        <f>+IF(B85=TG[[#This Row],[ITEM]],"ok","mal")</f>
        <v>ok</v>
      </c>
      <c r="K85" s="79">
        <f t="shared" si="3"/>
        <v>0</v>
      </c>
      <c r="L85" s="80">
        <f>IF(VLOOKUP(B85,TbPiezas[],5,0)="NA",0,VLOOKUP(B85,TbPiezas[],5,0))</f>
        <v>7.71</v>
      </c>
      <c r="M85" s="81">
        <f>TG[[#This Row],[TOTAL]]*TG[[#This Row],[P.U. (1)]]</f>
        <v>0</v>
      </c>
      <c r="N85" s="82">
        <f>+VLOOKUP(B85,TbPiezas[],6,0)</f>
        <v>452.11</v>
      </c>
      <c r="O85" s="83">
        <f>TG[[#This Row],[TOTAL]]*TG[[#This Row],[P.U. (2)]]</f>
        <v>0</v>
      </c>
      <c r="P85" s="82">
        <f>+VLOOKUP(B85,TbPiezas[],7,0)</f>
        <v>22.605500000000003</v>
      </c>
      <c r="Q85" s="170">
        <f>ROUND(TG[[#This Row],[TOTAL]]*TG[[#This Row],[P.U. (3)]],2)</f>
        <v>0</v>
      </c>
      <c r="R85" s="326"/>
    </row>
    <row r="86" spans="2:18" hidden="1" x14ac:dyDescent="0.3">
      <c r="B86" s="76" t="s">
        <v>163</v>
      </c>
      <c r="C86" s="76" t="s">
        <v>164</v>
      </c>
      <c r="E86" s="120"/>
      <c r="F86" s="120"/>
      <c r="G86" s="74"/>
      <c r="I86" s="76" t="str">
        <f t="shared" si="2"/>
        <v>AM.7430</v>
      </c>
      <c r="J86" s="121" t="str">
        <f>+IF(B86=TG[[#This Row],[ITEM]],"ok","mal")</f>
        <v>ok</v>
      </c>
      <c r="K86" s="79">
        <f t="shared" si="3"/>
        <v>0</v>
      </c>
      <c r="L86" s="80">
        <f>IF(VLOOKUP(B86,TbPiezas[],5,0)="NA",0,VLOOKUP(B86,TbPiezas[],5,0))</f>
        <v>4.3</v>
      </c>
      <c r="M86" s="81">
        <f>TG[[#This Row],[TOTAL]]*TG[[#This Row],[P.U. (1)]]</f>
        <v>0</v>
      </c>
      <c r="N86" s="82">
        <f>+VLOOKUP(B86,TbPiezas[],6,0)</f>
        <v>452.11</v>
      </c>
      <c r="O86" s="83">
        <f>TG[[#This Row],[TOTAL]]*TG[[#This Row],[P.U. (2)]]</f>
        <v>0</v>
      </c>
      <c r="P86" s="82">
        <f>+VLOOKUP(B86,TbPiezas[],7,0)</f>
        <v>22.605500000000003</v>
      </c>
      <c r="Q86" s="170">
        <f>ROUND(TG[[#This Row],[TOTAL]]*TG[[#This Row],[P.U. (3)]],2)</f>
        <v>0</v>
      </c>
      <c r="R86" s="326"/>
    </row>
    <row r="87" spans="2:18" hidden="1" x14ac:dyDescent="0.3">
      <c r="B87" s="76" t="s">
        <v>165</v>
      </c>
      <c r="C87" s="76" t="s">
        <v>166</v>
      </c>
      <c r="E87" s="120"/>
      <c r="F87" s="120"/>
      <c r="G87" s="74"/>
      <c r="I87" s="76" t="str">
        <f t="shared" si="2"/>
        <v>AM.7440</v>
      </c>
      <c r="J87" s="121" t="str">
        <f>+IF(B87=TG[[#This Row],[ITEM]],"ok","mal")</f>
        <v>ok</v>
      </c>
      <c r="K87" s="79">
        <f t="shared" si="3"/>
        <v>0</v>
      </c>
      <c r="L87" s="80">
        <f>IF(VLOOKUP(B87,TbPiezas[],5,0)="NA",0,VLOOKUP(B87,TbPiezas[],5,0))</f>
        <v>5.86</v>
      </c>
      <c r="M87" s="81">
        <f>TG[[#This Row],[TOTAL]]*TG[[#This Row],[P.U. (1)]]</f>
        <v>0</v>
      </c>
      <c r="N87" s="82">
        <f>+VLOOKUP(B87,TbPiezas[],6,0)</f>
        <v>408.3</v>
      </c>
      <c r="O87" s="83">
        <f>TG[[#This Row],[TOTAL]]*TG[[#This Row],[P.U. (2)]]</f>
        <v>0</v>
      </c>
      <c r="P87" s="82">
        <f>+VLOOKUP(B87,TbPiezas[],7,0)</f>
        <v>20.415000000000003</v>
      </c>
      <c r="Q87" s="170">
        <f>ROUND(TG[[#This Row],[TOTAL]]*TG[[#This Row],[P.U. (3)]],2)</f>
        <v>0</v>
      </c>
      <c r="R87" s="326"/>
    </row>
    <row r="88" spans="2:18" hidden="1" x14ac:dyDescent="0.3">
      <c r="B88" s="76" t="s">
        <v>167</v>
      </c>
      <c r="C88" s="76" t="s">
        <v>168</v>
      </c>
      <c r="E88" s="120"/>
      <c r="F88" s="120"/>
      <c r="G88" s="74"/>
      <c r="I88" s="76" t="str">
        <f t="shared" si="2"/>
        <v>AM.7450</v>
      </c>
      <c r="J88" s="121" t="str">
        <f>+IF(B88=TG[[#This Row],[ITEM]],"ok","mal")</f>
        <v>ok</v>
      </c>
      <c r="K88" s="79">
        <f t="shared" si="3"/>
        <v>0</v>
      </c>
      <c r="L88" s="80">
        <f>IF(VLOOKUP(B88,TbPiezas[],5,0)="NA",0,VLOOKUP(B88,TbPiezas[],5,0))</f>
        <v>43.499999999999986</v>
      </c>
      <c r="M88" s="81">
        <f>TG[[#This Row],[TOTAL]]*TG[[#This Row],[P.U. (1)]]</f>
        <v>0</v>
      </c>
      <c r="N88" s="82">
        <f>+VLOOKUP(B88,TbPiezas[],6,0)</f>
        <v>2658.2</v>
      </c>
      <c r="O88" s="83">
        <f>TG[[#This Row],[TOTAL]]*TG[[#This Row],[P.U. (2)]]</f>
        <v>0</v>
      </c>
      <c r="P88" s="82">
        <f>+VLOOKUP(B88,TbPiezas[],7,0)</f>
        <v>132.91</v>
      </c>
      <c r="Q88" s="170">
        <f>ROUND(TG[[#This Row],[TOTAL]]*TG[[#This Row],[P.U. (3)]],2)</f>
        <v>0</v>
      </c>
      <c r="R88" s="326"/>
    </row>
    <row r="89" spans="2:18" hidden="1" x14ac:dyDescent="0.3">
      <c r="B89" s="76" t="s">
        <v>169</v>
      </c>
      <c r="C89" s="76" t="s">
        <v>170</v>
      </c>
      <c r="E89" s="120"/>
      <c r="F89" s="120"/>
      <c r="G89" s="74"/>
      <c r="I89" s="76" t="str">
        <f t="shared" si="2"/>
        <v>AM.7451</v>
      </c>
      <c r="J89" s="121" t="str">
        <f>+IF(B89=TG[[#This Row],[ITEM]],"ok","mal")</f>
        <v>ok</v>
      </c>
      <c r="K89" s="79">
        <f t="shared" si="3"/>
        <v>0</v>
      </c>
      <c r="L89" s="80">
        <f>IF(VLOOKUP(B89,TbPiezas[],5,0)="NA",0,VLOOKUP(B89,TbPiezas[],5,0))</f>
        <v>36.599999999999994</v>
      </c>
      <c r="M89" s="81">
        <f>TG[[#This Row],[TOTAL]]*TG[[#This Row],[P.U. (1)]]</f>
        <v>0</v>
      </c>
      <c r="N89" s="82">
        <f>+VLOOKUP(B89,TbPiezas[],6,0)</f>
        <v>2658.2</v>
      </c>
      <c r="O89" s="83">
        <f>TG[[#This Row],[TOTAL]]*TG[[#This Row],[P.U. (2)]]</f>
        <v>0</v>
      </c>
      <c r="P89" s="82">
        <f>+VLOOKUP(B89,TbPiezas[],7,0)</f>
        <v>132.91</v>
      </c>
      <c r="Q89" s="170">
        <f>ROUND(TG[[#This Row],[TOTAL]]*TG[[#This Row],[P.U. (3)]],2)</f>
        <v>0</v>
      </c>
      <c r="R89" s="326"/>
    </row>
    <row r="90" spans="2:18" hidden="1" x14ac:dyDescent="0.3">
      <c r="B90" s="76" t="s">
        <v>171</v>
      </c>
      <c r="C90" s="76" t="s">
        <v>172</v>
      </c>
      <c r="E90" s="120"/>
      <c r="F90" s="120"/>
      <c r="G90" s="74"/>
      <c r="I90" s="76" t="str">
        <f t="shared" si="2"/>
        <v>AM.7452</v>
      </c>
      <c r="J90" s="121" t="str">
        <f>+IF(B90=TG[[#This Row],[ITEM]],"ok","mal")</f>
        <v>ok</v>
      </c>
      <c r="K90" s="79">
        <f t="shared" si="3"/>
        <v>0</v>
      </c>
      <c r="L90" s="80">
        <f>IF(VLOOKUP(B90,TbPiezas[],5,0)="NA",0,VLOOKUP(B90,TbPiezas[],5,0))</f>
        <v>31.099999999999994</v>
      </c>
      <c r="M90" s="81">
        <f>TG[[#This Row],[TOTAL]]*TG[[#This Row],[P.U. (1)]]</f>
        <v>0</v>
      </c>
      <c r="N90" s="82">
        <f>+VLOOKUP(B90,TbPiezas[],6,0)</f>
        <v>2658.2</v>
      </c>
      <c r="O90" s="83">
        <f>TG[[#This Row],[TOTAL]]*TG[[#This Row],[P.U. (2)]]</f>
        <v>0</v>
      </c>
      <c r="P90" s="82">
        <f>+VLOOKUP(B90,TbPiezas[],7,0)</f>
        <v>132.91</v>
      </c>
      <c r="Q90" s="170">
        <f>ROUND(TG[[#This Row],[TOTAL]]*TG[[#This Row],[P.U. (3)]],2)</f>
        <v>0</v>
      </c>
      <c r="R90" s="326"/>
    </row>
    <row r="91" spans="2:18" hidden="1" x14ac:dyDescent="0.3">
      <c r="B91" s="76" t="s">
        <v>173</v>
      </c>
      <c r="C91" s="76" t="s">
        <v>174</v>
      </c>
      <c r="E91" s="120"/>
      <c r="F91" s="120"/>
      <c r="G91" s="74"/>
      <c r="I91" s="76" t="str">
        <f t="shared" si="2"/>
        <v>AM.7453</v>
      </c>
      <c r="J91" s="121" t="str">
        <f>+IF(B91=TG[[#This Row],[ITEM]],"ok","mal")</f>
        <v>ok</v>
      </c>
      <c r="K91" s="79">
        <f t="shared" si="3"/>
        <v>0</v>
      </c>
      <c r="L91" s="80">
        <f>IF(VLOOKUP(B91,TbPiezas[],5,0)="NA",0,VLOOKUP(B91,TbPiezas[],5,0))</f>
        <v>27</v>
      </c>
      <c r="M91" s="81">
        <f>TG[[#This Row],[TOTAL]]*TG[[#This Row],[P.U. (1)]]</f>
        <v>0</v>
      </c>
      <c r="N91" s="82">
        <f>+VLOOKUP(B91,TbPiezas[],6,0)</f>
        <v>2658.2</v>
      </c>
      <c r="O91" s="83">
        <f>TG[[#This Row],[TOTAL]]*TG[[#This Row],[P.U. (2)]]</f>
        <v>0</v>
      </c>
      <c r="P91" s="82">
        <f>+VLOOKUP(B91,TbPiezas[],7,0)</f>
        <v>132.91</v>
      </c>
      <c r="Q91" s="170">
        <f>ROUND(TG[[#This Row],[TOTAL]]*TG[[#This Row],[P.U. (3)]],2)</f>
        <v>0</v>
      </c>
      <c r="R91" s="326"/>
    </row>
    <row r="92" spans="2:18" hidden="1" x14ac:dyDescent="0.3">
      <c r="B92" s="76" t="s">
        <v>175</v>
      </c>
      <c r="C92" s="76" t="s">
        <v>176</v>
      </c>
      <c r="E92" s="120"/>
      <c r="F92" s="120"/>
      <c r="G92" s="74"/>
      <c r="I92" s="76" t="str">
        <f t="shared" si="2"/>
        <v>AM.7500</v>
      </c>
      <c r="J92" s="121" t="str">
        <f>+IF(B92=TG[[#This Row],[ITEM]],"ok","mal")</f>
        <v>ok</v>
      </c>
      <c r="K92" s="79">
        <f t="shared" si="3"/>
        <v>0</v>
      </c>
      <c r="L92" s="80">
        <f>IF(VLOOKUP(B92,TbPiezas[],5,0)="NA",0,VLOOKUP(B92,TbPiezas[],5,0))</f>
        <v>30.399999999999991</v>
      </c>
      <c r="M92" s="81">
        <f>TG[[#This Row],[TOTAL]]*TG[[#This Row],[P.U. (1)]]</f>
        <v>0</v>
      </c>
      <c r="N92" s="82">
        <f>+VLOOKUP(B92,TbPiezas[],6,0)</f>
        <v>2101.1799999999998</v>
      </c>
      <c r="O92" s="83">
        <f>TG[[#This Row],[TOTAL]]*TG[[#This Row],[P.U. (2)]]</f>
        <v>0</v>
      </c>
      <c r="P92" s="82">
        <f>+VLOOKUP(B92,TbPiezas[],7,0)</f>
        <v>105.059</v>
      </c>
      <c r="Q92" s="170">
        <f>ROUND(TG[[#This Row],[TOTAL]]*TG[[#This Row],[P.U. (3)]],2)</f>
        <v>0</v>
      </c>
      <c r="R92" s="326"/>
    </row>
    <row r="93" spans="2:18" hidden="1" x14ac:dyDescent="0.3">
      <c r="B93" s="76" t="s">
        <v>177</v>
      </c>
      <c r="C93" s="76" t="s">
        <v>178</v>
      </c>
      <c r="E93" s="120"/>
      <c r="F93" s="120"/>
      <c r="G93" s="74"/>
      <c r="I93" s="76" t="str">
        <f t="shared" si="2"/>
        <v>AM.7600</v>
      </c>
      <c r="J93" s="121" t="str">
        <f>+IF(B93=TG[[#This Row],[ITEM]],"ok","mal")</f>
        <v>ok</v>
      </c>
      <c r="K93" s="79">
        <f t="shared" si="3"/>
        <v>0</v>
      </c>
      <c r="L93" s="80">
        <f>IF(VLOOKUP(B93,TbPiezas[],5,0)="NA",0,VLOOKUP(B93,TbPiezas[],5,0))</f>
        <v>23.5</v>
      </c>
      <c r="M93" s="81">
        <f>TG[[#This Row],[TOTAL]]*TG[[#This Row],[P.U. (1)]]</f>
        <v>0</v>
      </c>
      <c r="N93" s="82">
        <f>+VLOOKUP(B93,TbPiezas[],6,0)</f>
        <v>2101.1799999999998</v>
      </c>
      <c r="O93" s="83">
        <f>TG[[#This Row],[TOTAL]]*TG[[#This Row],[P.U. (2)]]</f>
        <v>0</v>
      </c>
      <c r="P93" s="82">
        <f>+VLOOKUP(B93,TbPiezas[],7,0)</f>
        <v>105.059</v>
      </c>
      <c r="Q93" s="170">
        <f>ROUND(TG[[#This Row],[TOTAL]]*TG[[#This Row],[P.U. (3)]],2)</f>
        <v>0</v>
      </c>
      <c r="R93" s="326"/>
    </row>
    <row r="94" spans="2:18" hidden="1" x14ac:dyDescent="0.3">
      <c r="B94" s="76" t="s">
        <v>179</v>
      </c>
      <c r="C94" s="76" t="s">
        <v>180</v>
      </c>
      <c r="E94" s="120"/>
      <c r="F94" s="120"/>
      <c r="G94" s="74"/>
      <c r="I94" s="76" t="str">
        <f t="shared" si="2"/>
        <v>AM.7700</v>
      </c>
      <c r="J94" s="121" t="str">
        <f>+IF(B94=TG[[#This Row],[ITEM]],"ok","mal")</f>
        <v>ok</v>
      </c>
      <c r="K94" s="79">
        <f t="shared" si="3"/>
        <v>0</v>
      </c>
      <c r="L94" s="80">
        <f>IF(VLOOKUP(B94,TbPiezas[],5,0)="NA",0,VLOOKUP(B94,TbPiezas[],5,0))</f>
        <v>18</v>
      </c>
      <c r="M94" s="81">
        <f>TG[[#This Row],[TOTAL]]*TG[[#This Row],[P.U. (1)]]</f>
        <v>0</v>
      </c>
      <c r="N94" s="82">
        <f>+VLOOKUP(B94,TbPiezas[],6,0)</f>
        <v>2101.1799999999998</v>
      </c>
      <c r="O94" s="83">
        <f>TG[[#This Row],[TOTAL]]*TG[[#This Row],[P.U. (2)]]</f>
        <v>0</v>
      </c>
      <c r="P94" s="82">
        <f>+VLOOKUP(B94,TbPiezas[],7,0)</f>
        <v>105.059</v>
      </c>
      <c r="Q94" s="170">
        <f>ROUND(TG[[#This Row],[TOTAL]]*TG[[#This Row],[P.U. (3)]],2)</f>
        <v>0</v>
      </c>
      <c r="R94" s="326"/>
    </row>
    <row r="95" spans="2:18" hidden="1" x14ac:dyDescent="0.3">
      <c r="B95" s="76" t="s">
        <v>181</v>
      </c>
      <c r="C95" s="76" t="s">
        <v>182</v>
      </c>
      <c r="E95" s="120"/>
      <c r="F95" s="120"/>
      <c r="G95" s="74"/>
      <c r="I95" s="76" t="str">
        <f t="shared" si="2"/>
        <v>AM.7800</v>
      </c>
      <c r="J95" s="121" t="str">
        <f>+IF(B95=TG[[#This Row],[ITEM]],"ok","mal")</f>
        <v>ok</v>
      </c>
      <c r="K95" s="79">
        <f t="shared" si="3"/>
        <v>0</v>
      </c>
      <c r="L95" s="80">
        <f>IF(VLOOKUP(B95,TbPiezas[],5,0)="NA",0,VLOOKUP(B95,TbPiezas[],5,0))</f>
        <v>13.099999999999994</v>
      </c>
      <c r="M95" s="81">
        <f>TG[[#This Row],[TOTAL]]*TG[[#This Row],[P.U. (1)]]</f>
        <v>0</v>
      </c>
      <c r="N95" s="82">
        <f>+VLOOKUP(B95,TbPiezas[],6,0)</f>
        <v>557.03</v>
      </c>
      <c r="O95" s="83">
        <f>TG[[#This Row],[TOTAL]]*TG[[#This Row],[P.U. (2)]]</f>
        <v>0</v>
      </c>
      <c r="P95" s="82">
        <f>+VLOOKUP(B95,TbPiezas[],7,0)</f>
        <v>27.851500000000001</v>
      </c>
      <c r="Q95" s="170">
        <f>ROUND(TG[[#This Row],[TOTAL]]*TG[[#This Row],[P.U. (3)]],2)</f>
        <v>0</v>
      </c>
      <c r="R95" s="326"/>
    </row>
    <row r="96" spans="2:18" hidden="1" x14ac:dyDescent="0.3">
      <c r="B96" s="76" t="s">
        <v>183</v>
      </c>
      <c r="C96" s="76" t="s">
        <v>184</v>
      </c>
      <c r="E96" s="120"/>
      <c r="F96" s="120"/>
      <c r="G96" s="74"/>
      <c r="I96" s="76" t="str">
        <f t="shared" si="2"/>
        <v>AM.7900</v>
      </c>
      <c r="J96" s="121" t="str">
        <f>+IF(B96=TG[[#This Row],[ITEM]],"ok","mal")</f>
        <v>ok</v>
      </c>
      <c r="K96" s="79">
        <f t="shared" si="3"/>
        <v>0</v>
      </c>
      <c r="L96" s="80">
        <f>IF(VLOOKUP(B96,TbPiezas[],5,0)="NA",0,VLOOKUP(B96,TbPiezas[],5,0))</f>
        <v>38.799999999999997</v>
      </c>
      <c r="M96" s="81">
        <f>TG[[#This Row],[TOTAL]]*TG[[#This Row],[P.U. (1)]]</f>
        <v>0</v>
      </c>
      <c r="N96" s="82">
        <f>+VLOOKUP(B96,TbPiezas[],6,0)</f>
        <v>2101.1799999999998</v>
      </c>
      <c r="O96" s="83">
        <f>TG[[#This Row],[TOTAL]]*TG[[#This Row],[P.U. (2)]]</f>
        <v>0</v>
      </c>
      <c r="P96" s="82">
        <f>+VLOOKUP(B96,TbPiezas[],7,0)</f>
        <v>105.059</v>
      </c>
      <c r="Q96" s="170">
        <f>ROUND(TG[[#This Row],[TOTAL]]*TG[[#This Row],[P.U. (3)]],2)</f>
        <v>0</v>
      </c>
      <c r="R96" s="326"/>
    </row>
    <row r="97" spans="2:18" hidden="1" x14ac:dyDescent="0.3">
      <c r="B97" s="76" t="s">
        <v>185</v>
      </c>
      <c r="C97" s="76" t="s">
        <v>186</v>
      </c>
      <c r="E97" s="120"/>
      <c r="F97" s="120"/>
      <c r="G97" s="74"/>
      <c r="I97" s="76" t="str">
        <f t="shared" si="2"/>
        <v>AM.8000</v>
      </c>
      <c r="J97" s="121" t="str">
        <f>+IF(B97=TG[[#This Row],[ITEM]],"ok","mal")</f>
        <v>ok</v>
      </c>
      <c r="K97" s="79">
        <f t="shared" si="3"/>
        <v>0</v>
      </c>
      <c r="L97" s="80">
        <f>IF(VLOOKUP(B97,TbPiezas[],5,0)="NA",0,VLOOKUP(B97,TbPiezas[],5,0))</f>
        <v>29.599999999999994</v>
      </c>
      <c r="M97" s="81">
        <f>TG[[#This Row],[TOTAL]]*TG[[#This Row],[P.U. (1)]]</f>
        <v>0</v>
      </c>
      <c r="N97" s="82">
        <f>+VLOOKUP(B97,TbPiezas[],6,0)</f>
        <v>2101.1799999999998</v>
      </c>
      <c r="O97" s="83">
        <f>TG[[#This Row],[TOTAL]]*TG[[#This Row],[P.U. (2)]]</f>
        <v>0</v>
      </c>
      <c r="P97" s="82">
        <f>+VLOOKUP(B97,TbPiezas[],7,0)</f>
        <v>105.059</v>
      </c>
      <c r="Q97" s="170">
        <f>ROUND(TG[[#This Row],[TOTAL]]*TG[[#This Row],[P.U. (3)]],2)</f>
        <v>0</v>
      </c>
      <c r="R97" s="326"/>
    </row>
    <row r="98" spans="2:18" hidden="1" x14ac:dyDescent="0.3">
      <c r="B98" s="76" t="s">
        <v>187</v>
      </c>
      <c r="C98" s="76" t="s">
        <v>188</v>
      </c>
      <c r="E98" s="120"/>
      <c r="F98" s="120"/>
      <c r="G98" s="74"/>
      <c r="I98" s="76" t="str">
        <f t="shared" si="2"/>
        <v>AM.8100</v>
      </c>
      <c r="J98" s="121" t="str">
        <f>+IF(B98=TG[[#This Row],[ITEM]],"ok","mal")</f>
        <v>ok</v>
      </c>
      <c r="K98" s="79">
        <f t="shared" si="3"/>
        <v>0</v>
      </c>
      <c r="L98" s="80">
        <f>IF(VLOOKUP(B98,TbPiezas[],5,0)="NA",0,VLOOKUP(B98,TbPiezas[],5,0))</f>
        <v>19.899999999999991</v>
      </c>
      <c r="M98" s="81">
        <f>TG[[#This Row],[TOTAL]]*TG[[#This Row],[P.U. (1)]]</f>
        <v>0</v>
      </c>
      <c r="N98" s="82">
        <f>+VLOOKUP(B98,TbPiezas[],6,0)</f>
        <v>1236.3399999999999</v>
      </c>
      <c r="O98" s="83">
        <f>TG[[#This Row],[TOTAL]]*TG[[#This Row],[P.U. (2)]]</f>
        <v>0</v>
      </c>
      <c r="P98" s="82">
        <f>+VLOOKUP(B98,TbPiezas[],7,0)</f>
        <v>61.817</v>
      </c>
      <c r="Q98" s="170">
        <f>ROUND(TG[[#This Row],[TOTAL]]*TG[[#This Row],[P.U. (3)]],2)</f>
        <v>0</v>
      </c>
      <c r="R98" s="326"/>
    </row>
    <row r="99" spans="2:18" hidden="1" x14ac:dyDescent="0.3">
      <c r="B99" s="76" t="s">
        <v>189</v>
      </c>
      <c r="C99" s="76" t="s">
        <v>190</v>
      </c>
      <c r="E99" s="120"/>
      <c r="F99" s="120"/>
      <c r="G99" s="74"/>
      <c r="I99" s="76" t="str">
        <f t="shared" si="2"/>
        <v>AM.8200</v>
      </c>
      <c r="J99" s="121" t="str">
        <f>+IF(B99=TG[[#This Row],[ITEM]],"ok","mal")</f>
        <v>ok</v>
      </c>
      <c r="K99" s="79">
        <f t="shared" si="3"/>
        <v>0</v>
      </c>
      <c r="L99" s="80">
        <f>IF(VLOOKUP(B99,TbPiezas[],5,0)="NA",0,VLOOKUP(B99,TbPiezas[],5,0))</f>
        <v>9.2999999999999972</v>
      </c>
      <c r="M99" s="81">
        <f>TG[[#This Row],[TOTAL]]*TG[[#This Row],[P.U. (1)]]</f>
        <v>0</v>
      </c>
      <c r="N99" s="82">
        <f>+VLOOKUP(B99,TbPiezas[],6,0)</f>
        <v>677.95</v>
      </c>
      <c r="O99" s="83">
        <f>TG[[#This Row],[TOTAL]]*TG[[#This Row],[P.U. (2)]]</f>
        <v>0</v>
      </c>
      <c r="P99" s="82">
        <f>+VLOOKUP(B99,TbPiezas[],7,0)</f>
        <v>33.897500000000001</v>
      </c>
      <c r="Q99" s="170">
        <f>ROUND(TG[[#This Row],[TOTAL]]*TG[[#This Row],[P.U. (3)]],2)</f>
        <v>0</v>
      </c>
      <c r="R99" s="326"/>
    </row>
    <row r="100" spans="2:18" hidden="1" x14ac:dyDescent="0.3">
      <c r="B100" s="76" t="s">
        <v>191</v>
      </c>
      <c r="C100" s="76" t="s">
        <v>192</v>
      </c>
      <c r="E100" s="120"/>
      <c r="F100" s="120"/>
      <c r="G100" s="74"/>
      <c r="I100" s="76" t="str">
        <f t="shared" si="2"/>
        <v>AM.8300</v>
      </c>
      <c r="J100" s="121" t="str">
        <f>+IF(B100=TG[[#This Row],[ITEM]],"ok","mal")</f>
        <v>ok</v>
      </c>
      <c r="K100" s="79">
        <f t="shared" si="3"/>
        <v>0</v>
      </c>
      <c r="L100" s="80">
        <f>IF(VLOOKUP(B100,TbPiezas[],5,0)="NA",0,VLOOKUP(B100,TbPiezas[],5,0))</f>
        <v>6.0999999999999943</v>
      </c>
      <c r="M100" s="81">
        <f>TG[[#This Row],[TOTAL]]*TG[[#This Row],[P.U. (1)]]</f>
        <v>0</v>
      </c>
      <c r="N100" s="82">
        <f>+VLOOKUP(B100,TbPiezas[],6,0)</f>
        <v>372.73</v>
      </c>
      <c r="O100" s="83">
        <f>TG[[#This Row],[TOTAL]]*TG[[#This Row],[P.U. (2)]]</f>
        <v>0</v>
      </c>
      <c r="P100" s="82">
        <f>+VLOOKUP(B100,TbPiezas[],7,0)</f>
        <v>18.636500000000002</v>
      </c>
      <c r="Q100" s="170">
        <f>ROUND(TG[[#This Row],[TOTAL]]*TG[[#This Row],[P.U. (3)]],2)</f>
        <v>0</v>
      </c>
      <c r="R100" s="326"/>
    </row>
    <row r="101" spans="2:18" hidden="1" x14ac:dyDescent="0.3">
      <c r="B101" s="76" t="s">
        <v>193</v>
      </c>
      <c r="C101" s="76" t="s">
        <v>194</v>
      </c>
      <c r="E101" s="120"/>
      <c r="F101" s="120"/>
      <c r="G101" s="74"/>
      <c r="I101" s="76" t="str">
        <f t="shared" si="2"/>
        <v>AM.8400</v>
      </c>
      <c r="J101" s="121" t="str">
        <f>+IF(B101=TG[[#This Row],[ITEM]],"ok","mal")</f>
        <v>ok</v>
      </c>
      <c r="K101" s="79">
        <f t="shared" si="3"/>
        <v>0</v>
      </c>
      <c r="L101" s="80">
        <f>IF(VLOOKUP(B101,TbPiezas[],5,0)="NA",0,VLOOKUP(B101,TbPiezas[],5,0))</f>
        <v>1.2000000000000028</v>
      </c>
      <c r="M101" s="81">
        <f>TG[[#This Row],[TOTAL]]*TG[[#This Row],[P.U. (1)]]</f>
        <v>0</v>
      </c>
      <c r="N101" s="82">
        <f>+VLOOKUP(B101,TbPiezas[],6,0)</f>
        <v>90.1</v>
      </c>
      <c r="O101" s="83">
        <f>TG[[#This Row],[TOTAL]]*TG[[#This Row],[P.U. (2)]]</f>
        <v>0</v>
      </c>
      <c r="P101" s="82">
        <f>+VLOOKUP(B101,TbPiezas[],7,0)</f>
        <v>4.5049999999999999</v>
      </c>
      <c r="Q101" s="170">
        <f>ROUND(TG[[#This Row],[TOTAL]]*TG[[#This Row],[P.U. (3)]],2)</f>
        <v>0</v>
      </c>
      <c r="R101" s="326"/>
    </row>
    <row r="102" spans="2:18" hidden="1" x14ac:dyDescent="0.3">
      <c r="B102" s="76" t="s">
        <v>195</v>
      </c>
      <c r="C102" s="76" t="s">
        <v>196</v>
      </c>
      <c r="E102" s="120"/>
      <c r="F102" s="120"/>
      <c r="G102" s="74"/>
      <c r="I102" s="76" t="str">
        <f t="shared" si="2"/>
        <v>AM.8500</v>
      </c>
      <c r="J102" s="121" t="str">
        <f>+IF(B102=TG[[#This Row],[ITEM]],"ok","mal")</f>
        <v>ok</v>
      </c>
      <c r="K102" s="79">
        <f t="shared" si="3"/>
        <v>0</v>
      </c>
      <c r="L102" s="80">
        <f>IF(VLOOKUP(B102,TbPiezas[],5,0)="NA",0,VLOOKUP(B102,TbPiezas[],5,0))</f>
        <v>1.2000000000000028</v>
      </c>
      <c r="M102" s="81">
        <f>TG[[#This Row],[TOTAL]]*TG[[#This Row],[P.U. (1)]]</f>
        <v>0</v>
      </c>
      <c r="N102" s="82">
        <f>+VLOOKUP(B102,TbPiezas[],6,0)</f>
        <v>118.69</v>
      </c>
      <c r="O102" s="83">
        <f>TG[[#This Row],[TOTAL]]*TG[[#This Row],[P.U. (2)]]</f>
        <v>0</v>
      </c>
      <c r="P102" s="82">
        <f>+VLOOKUP(B102,TbPiezas[],7,0)</f>
        <v>5.9344999999999999</v>
      </c>
      <c r="Q102" s="170">
        <f>ROUND(TG[[#This Row],[TOTAL]]*TG[[#This Row],[P.U. (3)]],2)</f>
        <v>0</v>
      </c>
      <c r="R102" s="326"/>
    </row>
    <row r="103" spans="2:18" hidden="1" x14ac:dyDescent="0.3">
      <c r="B103" s="76" t="s">
        <v>197</v>
      </c>
      <c r="C103" s="76" t="s">
        <v>198</v>
      </c>
      <c r="E103" s="120"/>
      <c r="F103" s="120"/>
      <c r="G103" s="74"/>
      <c r="I103" s="76" t="str">
        <f t="shared" si="2"/>
        <v>AM.8600</v>
      </c>
      <c r="J103" s="121" t="str">
        <f>+IF(B103=TG[[#This Row],[ITEM]],"ok","mal")</f>
        <v>ok</v>
      </c>
      <c r="K103" s="79">
        <f t="shared" si="3"/>
        <v>0</v>
      </c>
      <c r="L103" s="80">
        <f>IF(VLOOKUP(B103,TbPiezas[],5,0)="NA",0,VLOOKUP(B103,TbPiezas[],5,0))</f>
        <v>1.7000000000000028</v>
      </c>
      <c r="M103" s="81">
        <f>TG[[#This Row],[TOTAL]]*TG[[#This Row],[P.U. (1)]]</f>
        <v>0</v>
      </c>
      <c r="N103" s="82">
        <f>+VLOOKUP(B103,TbPiezas[],6,0)</f>
        <v>59.23</v>
      </c>
      <c r="O103" s="83">
        <f>TG[[#This Row],[TOTAL]]*TG[[#This Row],[P.U. (2)]]</f>
        <v>0</v>
      </c>
      <c r="P103" s="82">
        <f>+VLOOKUP(B103,TbPiezas[],7,0)</f>
        <v>2.9615</v>
      </c>
      <c r="Q103" s="170">
        <f>ROUND(TG[[#This Row],[TOTAL]]*TG[[#This Row],[P.U. (3)]],2)</f>
        <v>0</v>
      </c>
      <c r="R103" s="326"/>
    </row>
    <row r="104" spans="2:18" x14ac:dyDescent="0.3">
      <c r="B104" s="76" t="s">
        <v>199</v>
      </c>
      <c r="C104" s="76" t="s">
        <v>200</v>
      </c>
      <c r="E104" s="120">
        <v>3</v>
      </c>
      <c r="F104" s="120"/>
      <c r="G104" s="74"/>
      <c r="I104" s="76" t="str">
        <f t="shared" si="2"/>
        <v>AM.8700</v>
      </c>
      <c r="J104" s="121" t="str">
        <f>+IF(B104=TG[[#This Row],[ITEM]],"ok","mal")</f>
        <v>ok</v>
      </c>
      <c r="K104" s="79">
        <f t="shared" si="3"/>
        <v>3</v>
      </c>
      <c r="L104" s="80">
        <f>IF(VLOOKUP(B104,TbPiezas[],5,0)="NA",0,VLOOKUP(B104,TbPiezas[],5,0))</f>
        <v>5.7999999999999972</v>
      </c>
      <c r="M104" s="81">
        <f>TG[[#This Row],[TOTAL]]*TG[[#This Row],[P.U. (1)]]</f>
        <v>17.399999999999991</v>
      </c>
      <c r="N104" s="82">
        <f>+VLOOKUP(B104,TbPiezas[],6,0)</f>
        <v>304.92</v>
      </c>
      <c r="O104" s="83">
        <f>TG[[#This Row],[TOTAL]]*TG[[#This Row],[P.U. (2)]]</f>
        <v>914.76</v>
      </c>
      <c r="P104" s="82">
        <f>+VLOOKUP(B104,TbPiezas[],7,0)</f>
        <v>15.246000000000002</v>
      </c>
      <c r="Q104" s="170">
        <f>ROUND(TG[[#This Row],[TOTAL]]*TG[[#This Row],[P.U. (3)]],2)</f>
        <v>45.74</v>
      </c>
      <c r="R104" s="326"/>
    </row>
    <row r="105" spans="2:18" hidden="1" x14ac:dyDescent="0.3">
      <c r="B105" s="76" t="s">
        <v>201</v>
      </c>
      <c r="C105" s="76" t="s">
        <v>202</v>
      </c>
      <c r="E105" s="120"/>
      <c r="F105" s="120"/>
      <c r="G105" s="74"/>
      <c r="I105" s="76" t="str">
        <f t="shared" si="2"/>
        <v>AM.8800</v>
      </c>
      <c r="J105" s="121" t="str">
        <f>+IF(B105=TG[[#This Row],[ITEM]],"ok","mal")</f>
        <v>ok</v>
      </c>
      <c r="K105" s="79">
        <f t="shared" si="3"/>
        <v>0</v>
      </c>
      <c r="L105" s="80">
        <f>IF(VLOOKUP(B105,TbPiezas[],5,0)="NA",0,VLOOKUP(B105,TbPiezas[],5,0))</f>
        <v>0.4</v>
      </c>
      <c r="M105" s="81">
        <f>TG[[#This Row],[TOTAL]]*TG[[#This Row],[P.U. (1)]]</f>
        <v>0</v>
      </c>
      <c r="N105" s="82">
        <f>+VLOOKUP(B105,TbPiezas[],6,0)</f>
        <v>44.75</v>
      </c>
      <c r="O105" s="83">
        <f>TG[[#This Row],[TOTAL]]*TG[[#This Row],[P.U. (2)]]</f>
        <v>0</v>
      </c>
      <c r="P105" s="82">
        <f>+VLOOKUP(B105,TbPiezas[],7,0)</f>
        <v>2.2375000000000003</v>
      </c>
      <c r="Q105" s="170">
        <f>ROUND(TG[[#This Row],[TOTAL]]*TG[[#This Row],[P.U. (3)]],2)</f>
        <v>0</v>
      </c>
      <c r="R105" s="326"/>
    </row>
    <row r="106" spans="2:18" hidden="1" x14ac:dyDescent="0.3">
      <c r="B106" s="76" t="s">
        <v>203</v>
      </c>
      <c r="C106" s="76" t="s">
        <v>204</v>
      </c>
      <c r="E106" s="120"/>
      <c r="F106" s="120"/>
      <c r="G106" s="74"/>
      <c r="I106" s="76" t="str">
        <f t="shared" si="2"/>
        <v>AM.8900</v>
      </c>
      <c r="J106" s="121" t="str">
        <f>+IF(B106=TG[[#This Row],[ITEM]],"ok","mal")</f>
        <v>ok</v>
      </c>
      <c r="K106" s="79">
        <f t="shared" si="3"/>
        <v>0</v>
      </c>
      <c r="L106" s="80">
        <f>IF(VLOOKUP(B106,TbPiezas[],5,0)="NA",0,VLOOKUP(B106,TbPiezas[],5,0))</f>
        <v>0.5</v>
      </c>
      <c r="M106" s="81">
        <f>TG[[#This Row],[TOTAL]]*TG[[#This Row],[P.U. (1)]]</f>
        <v>0</v>
      </c>
      <c r="N106" s="82">
        <f>+VLOOKUP(B106,TbPiezas[],6,0)</f>
        <v>44.75</v>
      </c>
      <c r="O106" s="83">
        <f>TG[[#This Row],[TOTAL]]*TG[[#This Row],[P.U. (2)]]</f>
        <v>0</v>
      </c>
      <c r="P106" s="82">
        <f>+VLOOKUP(B106,TbPiezas[],7,0)</f>
        <v>2.2375000000000003</v>
      </c>
      <c r="Q106" s="170">
        <f>ROUND(TG[[#This Row],[TOTAL]]*TG[[#This Row],[P.U. (3)]],2)</f>
        <v>0</v>
      </c>
      <c r="R106" s="326"/>
    </row>
    <row r="107" spans="2:18" hidden="1" x14ac:dyDescent="0.3">
      <c r="B107" s="76" t="s">
        <v>205</v>
      </c>
      <c r="C107" s="76" t="s">
        <v>206</v>
      </c>
      <c r="E107" s="120"/>
      <c r="F107" s="120"/>
      <c r="G107" s="74"/>
      <c r="I107" s="76" t="str">
        <f t="shared" si="2"/>
        <v>AM.9000</v>
      </c>
      <c r="J107" s="121" t="str">
        <f>+IF(B107=TG[[#This Row],[ITEM]],"ok","mal")</f>
        <v>ok</v>
      </c>
      <c r="K107" s="79">
        <f t="shared" si="3"/>
        <v>0</v>
      </c>
      <c r="L107" s="80">
        <f>IF(VLOOKUP(B107,TbPiezas[],5,0)="NA",0,VLOOKUP(B107,TbPiezas[],5,0))</f>
        <v>1.7999999999999972</v>
      </c>
      <c r="M107" s="81">
        <f>TG[[#This Row],[TOTAL]]*TG[[#This Row],[P.U. (1)]]</f>
        <v>0</v>
      </c>
      <c r="N107" s="82">
        <f>+VLOOKUP(B107,TbPiezas[],6,0)</f>
        <v>112.93</v>
      </c>
      <c r="O107" s="83">
        <f>TG[[#This Row],[TOTAL]]*TG[[#This Row],[P.U. (2)]]</f>
        <v>0</v>
      </c>
      <c r="P107" s="82">
        <f>+VLOOKUP(B107,TbPiezas[],7,0)</f>
        <v>5.6465000000000005</v>
      </c>
      <c r="Q107" s="170">
        <f>ROUND(TG[[#This Row],[TOTAL]]*TG[[#This Row],[P.U. (3)]],2)</f>
        <v>0</v>
      </c>
      <c r="R107" s="326"/>
    </row>
    <row r="108" spans="2:18" hidden="1" x14ac:dyDescent="0.3">
      <c r="B108" s="76" t="s">
        <v>207</v>
      </c>
      <c r="C108" s="76" t="s">
        <v>208</v>
      </c>
      <c r="E108" s="120"/>
      <c r="F108" s="120"/>
      <c r="G108" s="74"/>
      <c r="I108" s="76" t="str">
        <f t="shared" si="2"/>
        <v>AM.9100</v>
      </c>
      <c r="J108" s="121" t="str">
        <f>+IF(B108=TG[[#This Row],[ITEM]],"ok","mal")</f>
        <v>ok</v>
      </c>
      <c r="K108" s="79">
        <f t="shared" si="3"/>
        <v>0</v>
      </c>
      <c r="L108" s="80">
        <f>IF(VLOOKUP(B108,TbPiezas[],5,0)="NA",0,VLOOKUP(B108,TbPiezas[],5,0))</f>
        <v>3.8</v>
      </c>
      <c r="M108" s="81">
        <f>TG[[#This Row],[TOTAL]]*TG[[#This Row],[P.U. (1)]]</f>
        <v>0</v>
      </c>
      <c r="N108" s="82">
        <f>+VLOOKUP(B108,TbPiezas[],6,0)</f>
        <v>173.65</v>
      </c>
      <c r="O108" s="83">
        <f>TG[[#This Row],[TOTAL]]*TG[[#This Row],[P.U. (2)]]</f>
        <v>0</v>
      </c>
      <c r="P108" s="82">
        <f>+VLOOKUP(B108,TbPiezas[],7,0)</f>
        <v>8.682500000000001</v>
      </c>
      <c r="Q108" s="170">
        <f>ROUND(TG[[#This Row],[TOTAL]]*TG[[#This Row],[P.U. (3)]],2)</f>
        <v>0</v>
      </c>
      <c r="R108" s="326"/>
    </row>
    <row r="109" spans="2:18" hidden="1" x14ac:dyDescent="0.3">
      <c r="B109" s="76" t="s">
        <v>209</v>
      </c>
      <c r="C109" s="76" t="s">
        <v>210</v>
      </c>
      <c r="E109" s="120"/>
      <c r="F109" s="120"/>
      <c r="G109" s="74"/>
      <c r="I109" s="76" t="str">
        <f t="shared" si="2"/>
        <v>AM.9200</v>
      </c>
      <c r="J109" s="121" t="str">
        <f>+IF(B109=TG[[#This Row],[ITEM]],"ok","mal")</f>
        <v>ok</v>
      </c>
      <c r="K109" s="79">
        <f t="shared" si="3"/>
        <v>0</v>
      </c>
      <c r="L109" s="80">
        <f>IF(VLOOKUP(B109,TbPiezas[],5,0)="NA",0,VLOOKUP(B109,TbPiezas[],5,0))</f>
        <v>9.9999999999994316E-2</v>
      </c>
      <c r="M109" s="81">
        <f>TG[[#This Row],[TOTAL]]*TG[[#This Row],[P.U. (1)]]</f>
        <v>0</v>
      </c>
      <c r="N109" s="82">
        <f>+VLOOKUP(B109,TbPiezas[],6,0)</f>
        <v>9.91</v>
      </c>
      <c r="O109" s="83">
        <f>TG[[#This Row],[TOTAL]]*TG[[#This Row],[P.U. (2)]]</f>
        <v>0</v>
      </c>
      <c r="P109" s="82">
        <f>+VLOOKUP(B109,TbPiezas[],7,0)</f>
        <v>0.49550000000000005</v>
      </c>
      <c r="Q109" s="170">
        <f>ROUND(TG[[#This Row],[TOTAL]]*TG[[#This Row],[P.U. (3)]],2)</f>
        <v>0</v>
      </c>
      <c r="R109" s="326"/>
    </row>
    <row r="110" spans="2:18" hidden="1" x14ac:dyDescent="0.3">
      <c r="B110" s="76" t="s">
        <v>211</v>
      </c>
      <c r="C110" s="76" t="s">
        <v>212</v>
      </c>
      <c r="E110" s="120"/>
      <c r="F110" s="120"/>
      <c r="G110" s="74"/>
      <c r="I110" s="76" t="str">
        <f t="shared" si="2"/>
        <v>AM.9300</v>
      </c>
      <c r="J110" s="121" t="str">
        <f>+IF(B110=TG[[#This Row],[ITEM]],"ok","mal")</f>
        <v>ok</v>
      </c>
      <c r="K110" s="79">
        <f t="shared" si="3"/>
        <v>0</v>
      </c>
      <c r="L110" s="80">
        <f>IF(VLOOKUP(B110,TbPiezas[],5,0)="NA",0,VLOOKUP(B110,TbPiezas[],5,0))</f>
        <v>9.9999999999994316E-2</v>
      </c>
      <c r="M110" s="81">
        <f>TG[[#This Row],[TOTAL]]*TG[[#This Row],[P.U. (1)]]</f>
        <v>0</v>
      </c>
      <c r="N110" s="82">
        <f>+VLOOKUP(B110,TbPiezas[],6,0)</f>
        <v>9.91</v>
      </c>
      <c r="O110" s="83">
        <f>TG[[#This Row],[TOTAL]]*TG[[#This Row],[P.U. (2)]]</f>
        <v>0</v>
      </c>
      <c r="P110" s="82">
        <f>+VLOOKUP(B110,TbPiezas[],7,0)</f>
        <v>0.49550000000000005</v>
      </c>
      <c r="Q110" s="170">
        <f>ROUND(TG[[#This Row],[TOTAL]]*TG[[#This Row],[P.U. (3)]],2)</f>
        <v>0</v>
      </c>
      <c r="R110" s="326"/>
    </row>
    <row r="111" spans="2:18" hidden="1" x14ac:dyDescent="0.3">
      <c r="B111" s="76" t="s">
        <v>213</v>
      </c>
      <c r="C111" s="76" t="s">
        <v>214</v>
      </c>
      <c r="E111" s="120"/>
      <c r="F111" s="120"/>
      <c r="G111" s="74"/>
      <c r="I111" s="76" t="str">
        <f t="shared" si="2"/>
        <v>AM.9400</v>
      </c>
      <c r="J111" s="121" t="str">
        <f>+IF(B111=TG[[#This Row],[ITEM]],"ok","mal")</f>
        <v>ok</v>
      </c>
      <c r="K111" s="79">
        <f t="shared" si="3"/>
        <v>0</v>
      </c>
      <c r="L111" s="80">
        <f>IF(VLOOKUP(B111,TbPiezas[],5,0)="NA",0,VLOOKUP(B111,TbPiezas[],5,0))</f>
        <v>9.9999999999994316E-2</v>
      </c>
      <c r="M111" s="81">
        <f>TG[[#This Row],[TOTAL]]*TG[[#This Row],[P.U. (1)]]</f>
        <v>0</v>
      </c>
      <c r="N111" s="82">
        <f>+VLOOKUP(B111,TbPiezas[],6,0)</f>
        <v>9.91</v>
      </c>
      <c r="O111" s="83">
        <f>TG[[#This Row],[TOTAL]]*TG[[#This Row],[P.U. (2)]]</f>
        <v>0</v>
      </c>
      <c r="P111" s="82">
        <f>+VLOOKUP(B111,TbPiezas[],7,0)</f>
        <v>0.49550000000000005</v>
      </c>
      <c r="Q111" s="170">
        <f>ROUND(TG[[#This Row],[TOTAL]]*TG[[#This Row],[P.U. (3)]],2)</f>
        <v>0</v>
      </c>
      <c r="R111" s="326"/>
    </row>
    <row r="112" spans="2:18" hidden="1" x14ac:dyDescent="0.3">
      <c r="B112" s="76" t="s">
        <v>215</v>
      </c>
      <c r="C112" s="76" t="s">
        <v>216</v>
      </c>
      <c r="E112" s="120"/>
      <c r="F112" s="120"/>
      <c r="G112" s="74"/>
      <c r="I112" s="76" t="str">
        <f t="shared" si="2"/>
        <v>EA.0100</v>
      </c>
      <c r="J112" s="121" t="str">
        <f>+IF(B112=TG[[#This Row],[ITEM]],"ok","mal")</f>
        <v>ok</v>
      </c>
      <c r="K112" s="79">
        <f t="shared" si="3"/>
        <v>0</v>
      </c>
      <c r="L112" s="80">
        <f>IF(VLOOKUP(B112,TbPiezas[],5,0)="NA",0,VLOOKUP(B112,TbPiezas[],5,0))</f>
        <v>38.200000000000003</v>
      </c>
      <c r="M112" s="81">
        <f>TG[[#This Row],[TOTAL]]*TG[[#This Row],[P.U. (1)]]</f>
        <v>0</v>
      </c>
      <c r="N112" s="82">
        <f>+VLOOKUP(B112,TbPiezas[],6,0)</f>
        <v>2188.16</v>
      </c>
      <c r="O112" s="83">
        <f>TG[[#This Row],[TOTAL]]*TG[[#This Row],[P.U. (2)]]</f>
        <v>0</v>
      </c>
      <c r="P112" s="82">
        <f>+VLOOKUP(B112,TbPiezas[],7,0)</f>
        <v>109.408</v>
      </c>
      <c r="Q112" s="170">
        <f>ROUND(TG[[#This Row],[TOTAL]]*TG[[#This Row],[P.U. (3)]],2)</f>
        <v>0</v>
      </c>
      <c r="R112" s="326"/>
    </row>
    <row r="113" spans="2:18" hidden="1" x14ac:dyDescent="0.3">
      <c r="B113" s="76" t="s">
        <v>217</v>
      </c>
      <c r="C113" s="76" t="s">
        <v>218</v>
      </c>
      <c r="E113" s="120"/>
      <c r="F113" s="120"/>
      <c r="G113" s="74"/>
      <c r="I113" s="76" t="str">
        <f t="shared" si="2"/>
        <v>EA.0200</v>
      </c>
      <c r="J113" s="121" t="str">
        <f>+IF(B113=TG[[#This Row],[ITEM]],"ok","mal")</f>
        <v>ok</v>
      </c>
      <c r="K113" s="79">
        <f t="shared" si="3"/>
        <v>0</v>
      </c>
      <c r="L113" s="80">
        <f>IF(VLOOKUP(B113,TbPiezas[],5,0)="NA",0,VLOOKUP(B113,TbPiezas[],5,0))</f>
        <v>13.099999999999994</v>
      </c>
      <c r="M113" s="81">
        <f>TG[[#This Row],[TOTAL]]*TG[[#This Row],[P.U. (1)]]</f>
        <v>0</v>
      </c>
      <c r="N113" s="82">
        <f>+VLOOKUP(B113,TbPiezas[],6,0)</f>
        <v>285.07</v>
      </c>
      <c r="O113" s="83">
        <f>TG[[#This Row],[TOTAL]]*TG[[#This Row],[P.U. (2)]]</f>
        <v>0</v>
      </c>
      <c r="P113" s="82">
        <f>+VLOOKUP(B113,TbPiezas[],7,0)</f>
        <v>14.253500000000001</v>
      </c>
      <c r="Q113" s="170">
        <f>ROUND(TG[[#This Row],[TOTAL]]*TG[[#This Row],[P.U. (3)]],2)</f>
        <v>0</v>
      </c>
      <c r="R113" s="326"/>
    </row>
    <row r="114" spans="2:18" hidden="1" x14ac:dyDescent="0.3">
      <c r="B114" s="76" t="s">
        <v>219</v>
      </c>
      <c r="C114" s="76" t="s">
        <v>220</v>
      </c>
      <c r="E114" s="120"/>
      <c r="F114" s="120"/>
      <c r="G114" s="74"/>
      <c r="I114" s="76" t="str">
        <f t="shared" si="2"/>
        <v>EA.0300</v>
      </c>
      <c r="J114" s="121" t="str">
        <f>+IF(B114=TG[[#This Row],[ITEM]],"ok","mal")</f>
        <v>ok</v>
      </c>
      <c r="K114" s="79">
        <f t="shared" si="3"/>
        <v>0</v>
      </c>
      <c r="L114" s="80">
        <f>IF(VLOOKUP(B114,TbPiezas[],5,0)="NA",0,VLOOKUP(B114,TbPiezas[],5,0))</f>
        <v>12.700000000000003</v>
      </c>
      <c r="M114" s="81">
        <f>TG[[#This Row],[TOTAL]]*TG[[#This Row],[P.U. (1)]]</f>
        <v>0</v>
      </c>
      <c r="N114" s="82">
        <f>+VLOOKUP(B114,TbPiezas[],6,0)</f>
        <v>285.07</v>
      </c>
      <c r="O114" s="83">
        <f>TG[[#This Row],[TOTAL]]*TG[[#This Row],[P.U. (2)]]</f>
        <v>0</v>
      </c>
      <c r="P114" s="82">
        <f>+VLOOKUP(B114,TbPiezas[],7,0)</f>
        <v>14.253500000000001</v>
      </c>
      <c r="Q114" s="170">
        <f>ROUND(TG[[#This Row],[TOTAL]]*TG[[#This Row],[P.U. (3)]],2)</f>
        <v>0</v>
      </c>
      <c r="R114" s="326"/>
    </row>
    <row r="115" spans="2:18" hidden="1" x14ac:dyDescent="0.3">
      <c r="B115" s="76" t="s">
        <v>221</v>
      </c>
      <c r="C115" s="76" t="s">
        <v>222</v>
      </c>
      <c r="E115" s="120"/>
      <c r="F115" s="120"/>
      <c r="G115" s="74"/>
      <c r="I115" s="76" t="str">
        <f t="shared" si="2"/>
        <v>EA.0400</v>
      </c>
      <c r="J115" s="121" t="str">
        <f>+IF(B115=TG[[#This Row],[ITEM]],"ok","mal")</f>
        <v>ok</v>
      </c>
      <c r="K115" s="79">
        <f t="shared" si="3"/>
        <v>0</v>
      </c>
      <c r="L115" s="80">
        <f>IF(VLOOKUP(B115,TbPiezas[],5,0)="NA",0,VLOOKUP(B115,TbPiezas[],5,0))</f>
        <v>46.5</v>
      </c>
      <c r="M115" s="81">
        <f>TG[[#This Row],[TOTAL]]*TG[[#This Row],[P.U. (1)]]</f>
        <v>0</v>
      </c>
      <c r="N115" s="82">
        <f>+VLOOKUP(B115,TbPiezas[],6,0)</f>
        <v>2188.16</v>
      </c>
      <c r="O115" s="83">
        <f>TG[[#This Row],[TOTAL]]*TG[[#This Row],[P.U. (2)]]</f>
        <v>0</v>
      </c>
      <c r="P115" s="82">
        <f>+VLOOKUP(B115,TbPiezas[],7,0)</f>
        <v>109.408</v>
      </c>
      <c r="Q115" s="170">
        <f>ROUND(TG[[#This Row],[TOTAL]]*TG[[#This Row],[P.U. (3)]],2)</f>
        <v>0</v>
      </c>
      <c r="R115" s="326"/>
    </row>
    <row r="116" spans="2:18" hidden="1" x14ac:dyDescent="0.3">
      <c r="B116" s="76" t="s">
        <v>223</v>
      </c>
      <c r="C116" s="76" t="s">
        <v>224</v>
      </c>
      <c r="E116" s="120"/>
      <c r="F116" s="120"/>
      <c r="G116" s="74"/>
      <c r="I116" s="76" t="str">
        <f t="shared" si="2"/>
        <v>EA.0500</v>
      </c>
      <c r="J116" s="121" t="str">
        <f>+IF(B116=TG[[#This Row],[ITEM]],"ok","mal")</f>
        <v>ok</v>
      </c>
      <c r="K116" s="79">
        <f t="shared" si="3"/>
        <v>0</v>
      </c>
      <c r="L116" s="80">
        <f>IF(VLOOKUP(B116,TbPiezas[],5,0)="NA",0,VLOOKUP(B116,TbPiezas[],5,0))</f>
        <v>6.5999999999999943</v>
      </c>
      <c r="M116" s="81">
        <f>TG[[#This Row],[TOTAL]]*TG[[#This Row],[P.U. (1)]]</f>
        <v>0</v>
      </c>
      <c r="N116" s="82">
        <f>+VLOOKUP(B116,TbPiezas[],6,0)</f>
        <v>285.07</v>
      </c>
      <c r="O116" s="83">
        <f>TG[[#This Row],[TOTAL]]*TG[[#This Row],[P.U. (2)]]</f>
        <v>0</v>
      </c>
      <c r="P116" s="82">
        <f>+VLOOKUP(B116,TbPiezas[],7,0)</f>
        <v>14.253500000000001</v>
      </c>
      <c r="Q116" s="170">
        <f>ROUND(TG[[#This Row],[TOTAL]]*TG[[#This Row],[P.U. (3)]],2)</f>
        <v>0</v>
      </c>
      <c r="R116" s="326"/>
    </row>
    <row r="117" spans="2:18" hidden="1" x14ac:dyDescent="0.3">
      <c r="B117" s="76" t="s">
        <v>225</v>
      </c>
      <c r="C117" s="76" t="s">
        <v>226</v>
      </c>
      <c r="E117" s="120"/>
      <c r="F117" s="120"/>
      <c r="G117" s="74"/>
      <c r="I117" s="76" t="str">
        <f t="shared" si="2"/>
        <v>EA.0600</v>
      </c>
      <c r="J117" s="121" t="str">
        <f>+IF(B117=TG[[#This Row],[ITEM]],"ok","mal")</f>
        <v>ok</v>
      </c>
      <c r="K117" s="79">
        <f t="shared" si="3"/>
        <v>0</v>
      </c>
      <c r="L117" s="80">
        <f>IF(VLOOKUP(B117,TbPiezas[],5,0)="NA",0,VLOOKUP(B117,TbPiezas[],5,0))</f>
        <v>68.600000000000009</v>
      </c>
      <c r="M117" s="81">
        <f>TG[[#This Row],[TOTAL]]*TG[[#This Row],[P.U. (1)]]</f>
        <v>0</v>
      </c>
      <c r="N117" s="82">
        <f>+VLOOKUP(B117,TbPiezas[],6,0)</f>
        <v>2188.16</v>
      </c>
      <c r="O117" s="83">
        <f>TG[[#This Row],[TOTAL]]*TG[[#This Row],[P.U. (2)]]</f>
        <v>0</v>
      </c>
      <c r="P117" s="82">
        <f>+VLOOKUP(B117,TbPiezas[],7,0)</f>
        <v>109.408</v>
      </c>
      <c r="Q117" s="170">
        <f>ROUND(TG[[#This Row],[TOTAL]]*TG[[#This Row],[P.U. (3)]],2)</f>
        <v>0</v>
      </c>
      <c r="R117" s="326"/>
    </row>
    <row r="118" spans="2:18" hidden="1" x14ac:dyDescent="0.3">
      <c r="B118" s="76" t="s">
        <v>227</v>
      </c>
      <c r="C118" s="76" t="s">
        <v>228</v>
      </c>
      <c r="E118" s="120"/>
      <c r="F118" s="120"/>
      <c r="G118" s="74"/>
      <c r="I118" s="76" t="str">
        <f t="shared" si="2"/>
        <v>EA.0700</v>
      </c>
      <c r="J118" s="121" t="str">
        <f>+IF(B118=TG[[#This Row],[ITEM]],"ok","mal")</f>
        <v>ok</v>
      </c>
      <c r="K118" s="79">
        <f t="shared" si="3"/>
        <v>0</v>
      </c>
      <c r="L118" s="80">
        <f>IF(VLOOKUP(B118,TbPiezas[],5,0)="NA",0,VLOOKUP(B118,TbPiezas[],5,0))</f>
        <v>61.8</v>
      </c>
      <c r="M118" s="81">
        <f>TG[[#This Row],[TOTAL]]*TG[[#This Row],[P.U. (1)]]</f>
        <v>0</v>
      </c>
      <c r="N118" s="82">
        <f>+VLOOKUP(B118,TbPiezas[],6,0)</f>
        <v>2188.16</v>
      </c>
      <c r="O118" s="83">
        <f>TG[[#This Row],[TOTAL]]*TG[[#This Row],[P.U. (2)]]</f>
        <v>0</v>
      </c>
      <c r="P118" s="82">
        <f>+VLOOKUP(B118,TbPiezas[],7,0)</f>
        <v>109.408</v>
      </c>
      <c r="Q118" s="170">
        <f>ROUND(TG[[#This Row],[TOTAL]]*TG[[#This Row],[P.U. (3)]],2)</f>
        <v>0</v>
      </c>
      <c r="R118" s="326"/>
    </row>
    <row r="119" spans="2:18" hidden="1" x14ac:dyDescent="0.3">
      <c r="B119" s="76" t="s">
        <v>229</v>
      </c>
      <c r="C119" s="76" t="s">
        <v>230</v>
      </c>
      <c r="E119" s="120"/>
      <c r="F119" s="120"/>
      <c r="G119" s="74"/>
      <c r="I119" s="76" t="str">
        <f t="shared" si="2"/>
        <v>EA.0800</v>
      </c>
      <c r="J119" s="121" t="str">
        <f>+IF(B119=TG[[#This Row],[ITEM]],"ok","mal")</f>
        <v>ok</v>
      </c>
      <c r="K119" s="79">
        <f t="shared" si="3"/>
        <v>0</v>
      </c>
      <c r="L119" s="80">
        <f>IF(VLOOKUP(B119,TbPiezas[],5,0)="NA",0,VLOOKUP(B119,TbPiezas[],5,0))</f>
        <v>7.2999999999999972</v>
      </c>
      <c r="M119" s="81">
        <f>TG[[#This Row],[TOTAL]]*TG[[#This Row],[P.U. (1)]]</f>
        <v>0</v>
      </c>
      <c r="N119" s="82">
        <f>+VLOOKUP(B119,TbPiezas[],6,0)</f>
        <v>285.07</v>
      </c>
      <c r="O119" s="83">
        <f>TG[[#This Row],[TOTAL]]*TG[[#This Row],[P.U. (2)]]</f>
        <v>0</v>
      </c>
      <c r="P119" s="82">
        <f>+VLOOKUP(B119,TbPiezas[],7,0)</f>
        <v>14.253500000000001</v>
      </c>
      <c r="Q119" s="170">
        <f>ROUND(TG[[#This Row],[TOTAL]]*TG[[#This Row],[P.U. (3)]],2)</f>
        <v>0</v>
      </c>
      <c r="R119" s="326"/>
    </row>
    <row r="120" spans="2:18" hidden="1" x14ac:dyDescent="0.3">
      <c r="B120" s="76" t="s">
        <v>231</v>
      </c>
      <c r="C120" s="76" t="s">
        <v>232</v>
      </c>
      <c r="E120" s="120"/>
      <c r="F120" s="120"/>
      <c r="G120" s="74"/>
      <c r="I120" s="76" t="str">
        <f t="shared" si="2"/>
        <v>EA.0900</v>
      </c>
      <c r="J120" s="121" t="str">
        <f>+IF(B120=TG[[#This Row],[ITEM]],"ok","mal")</f>
        <v>ok</v>
      </c>
      <c r="K120" s="79">
        <f t="shared" si="3"/>
        <v>0</v>
      </c>
      <c r="L120" s="80">
        <f>IF(VLOOKUP(B120,TbPiezas[],5,0)="NA",0,VLOOKUP(B120,TbPiezas[],5,0))</f>
        <v>4.8999999999999915</v>
      </c>
      <c r="M120" s="81">
        <f>TG[[#This Row],[TOTAL]]*TG[[#This Row],[P.U. (1)]]</f>
        <v>0</v>
      </c>
      <c r="N120" s="82">
        <f>+VLOOKUP(B120,TbPiezas[],6,0)</f>
        <v>285.07</v>
      </c>
      <c r="O120" s="83">
        <f>TG[[#This Row],[TOTAL]]*TG[[#This Row],[P.U. (2)]]</f>
        <v>0</v>
      </c>
      <c r="P120" s="82">
        <f>+VLOOKUP(B120,TbPiezas[],7,0)</f>
        <v>14.253500000000001</v>
      </c>
      <c r="Q120" s="170">
        <f>ROUND(TG[[#This Row],[TOTAL]]*TG[[#This Row],[P.U. (3)]],2)</f>
        <v>0</v>
      </c>
      <c r="R120" s="326"/>
    </row>
    <row r="121" spans="2:18" hidden="1" x14ac:dyDescent="0.3">
      <c r="B121" s="76" t="s">
        <v>233</v>
      </c>
      <c r="C121" s="76" t="s">
        <v>234</v>
      </c>
      <c r="E121" s="120"/>
      <c r="F121" s="120"/>
      <c r="G121" s="74"/>
      <c r="I121" s="76" t="str">
        <f t="shared" si="2"/>
        <v>EA.1000</v>
      </c>
      <c r="J121" s="121" t="str">
        <f>+IF(B121=TG[[#This Row],[ITEM]],"ok","mal")</f>
        <v>ok</v>
      </c>
      <c r="K121" s="79">
        <f t="shared" si="3"/>
        <v>0</v>
      </c>
      <c r="L121" s="80">
        <f>IF(VLOOKUP(B121,TbPiezas[],5,0)="NA",0,VLOOKUP(B121,TbPiezas[],5,0))</f>
        <v>2.5</v>
      </c>
      <c r="M121" s="81">
        <f>TG[[#This Row],[TOTAL]]*TG[[#This Row],[P.U. (1)]]</f>
        <v>0</v>
      </c>
      <c r="N121" s="82">
        <f>+VLOOKUP(B121,TbPiezas[],6,0)</f>
        <v>208.2</v>
      </c>
      <c r="O121" s="83">
        <f>TG[[#This Row],[TOTAL]]*TG[[#This Row],[P.U. (2)]]</f>
        <v>0</v>
      </c>
      <c r="P121" s="82">
        <f>+VLOOKUP(B121,TbPiezas[],7,0)</f>
        <v>10.41</v>
      </c>
      <c r="Q121" s="170">
        <f>ROUND(TG[[#This Row],[TOTAL]]*TG[[#This Row],[P.U. (3)]],2)</f>
        <v>0</v>
      </c>
      <c r="R121" s="326"/>
    </row>
    <row r="122" spans="2:18" hidden="1" x14ac:dyDescent="0.3">
      <c r="B122" s="76" t="s">
        <v>235</v>
      </c>
      <c r="C122" s="76" t="s">
        <v>236</v>
      </c>
      <c r="E122" s="120"/>
      <c r="F122" s="120"/>
      <c r="G122" s="74"/>
      <c r="I122" s="76" t="str">
        <f t="shared" si="2"/>
        <v>EA.1100</v>
      </c>
      <c r="J122" s="121" t="str">
        <f>+IF(B122=TG[[#This Row],[ITEM]],"ok","mal")</f>
        <v>ok</v>
      </c>
      <c r="K122" s="79">
        <f t="shared" si="3"/>
        <v>0</v>
      </c>
      <c r="L122" s="80">
        <f>IF(VLOOKUP(B122,TbPiezas[],5,0)="NA",0,VLOOKUP(B122,TbPiezas[],5,0))</f>
        <v>3.7999999999999972</v>
      </c>
      <c r="M122" s="81">
        <f>TG[[#This Row],[TOTAL]]*TG[[#This Row],[P.U. (1)]]</f>
        <v>0</v>
      </c>
      <c r="N122" s="82">
        <f>+VLOOKUP(B122,TbPiezas[],6,0)</f>
        <v>208.2</v>
      </c>
      <c r="O122" s="83">
        <f>TG[[#This Row],[TOTAL]]*TG[[#This Row],[P.U. (2)]]</f>
        <v>0</v>
      </c>
      <c r="P122" s="82">
        <f>+VLOOKUP(B122,TbPiezas[],7,0)</f>
        <v>10.41</v>
      </c>
      <c r="Q122" s="170">
        <f>ROUND(TG[[#This Row],[TOTAL]]*TG[[#This Row],[P.U. (3)]],2)</f>
        <v>0</v>
      </c>
      <c r="R122" s="326"/>
    </row>
    <row r="123" spans="2:18" hidden="1" x14ac:dyDescent="0.3">
      <c r="B123" s="76" t="s">
        <v>237</v>
      </c>
      <c r="C123" s="76" t="s">
        <v>238</v>
      </c>
      <c r="E123" s="120"/>
      <c r="F123" s="120"/>
      <c r="G123" s="74"/>
      <c r="I123" s="76" t="str">
        <f t="shared" si="2"/>
        <v>EA.1200</v>
      </c>
      <c r="J123" s="121" t="str">
        <f>+IF(B123=TG[[#This Row],[ITEM]],"ok","mal")</f>
        <v>ok</v>
      </c>
      <c r="K123" s="79">
        <f t="shared" si="3"/>
        <v>0</v>
      </c>
      <c r="L123" s="80">
        <f>IF(VLOOKUP(B123,TbPiezas[],5,0)="NA",0,VLOOKUP(B123,TbPiezas[],5,0))</f>
        <v>1.7999999999999972</v>
      </c>
      <c r="M123" s="81">
        <f>TG[[#This Row],[TOTAL]]*TG[[#This Row],[P.U. (1)]]</f>
        <v>0</v>
      </c>
      <c r="N123" s="82">
        <f>+VLOOKUP(B123,TbPiezas[],6,0)</f>
        <v>208.2</v>
      </c>
      <c r="O123" s="83">
        <f>TG[[#This Row],[TOTAL]]*TG[[#This Row],[P.U. (2)]]</f>
        <v>0</v>
      </c>
      <c r="P123" s="82">
        <f>+VLOOKUP(B123,TbPiezas[],7,0)</f>
        <v>10.41</v>
      </c>
      <c r="Q123" s="170">
        <f>ROUND(TG[[#This Row],[TOTAL]]*TG[[#This Row],[P.U. (3)]],2)</f>
        <v>0</v>
      </c>
      <c r="R123" s="326"/>
    </row>
    <row r="124" spans="2:18" hidden="1" x14ac:dyDescent="0.3">
      <c r="B124" s="76" t="s">
        <v>239</v>
      </c>
      <c r="C124" s="76" t="s">
        <v>240</v>
      </c>
      <c r="E124" s="120"/>
      <c r="F124" s="120"/>
      <c r="G124" s="74"/>
      <c r="I124" s="76" t="str">
        <f t="shared" si="2"/>
        <v>EA.1300</v>
      </c>
      <c r="J124" s="121" t="str">
        <f>+IF(B124=TG[[#This Row],[ITEM]],"ok","mal")</f>
        <v>ok</v>
      </c>
      <c r="K124" s="79">
        <f t="shared" si="3"/>
        <v>0</v>
      </c>
      <c r="L124" s="80">
        <f>IF(VLOOKUP(B124,TbPiezas[],5,0)="NA",0,VLOOKUP(B124,TbPiezas[],5,0))</f>
        <v>3.2000000000000028</v>
      </c>
      <c r="M124" s="81">
        <f>TG[[#This Row],[TOTAL]]*TG[[#This Row],[P.U. (1)]]</f>
        <v>0</v>
      </c>
      <c r="N124" s="82">
        <f>+VLOOKUP(B124,TbPiezas[],6,0)</f>
        <v>208.2</v>
      </c>
      <c r="O124" s="83">
        <f>TG[[#This Row],[TOTAL]]*TG[[#This Row],[P.U. (2)]]</f>
        <v>0</v>
      </c>
      <c r="P124" s="82">
        <f>+VLOOKUP(B124,TbPiezas[],7,0)</f>
        <v>10.41</v>
      </c>
      <c r="Q124" s="170">
        <f>ROUND(TG[[#This Row],[TOTAL]]*TG[[#This Row],[P.U. (3)]],2)</f>
        <v>0</v>
      </c>
      <c r="R124" s="326"/>
    </row>
    <row r="125" spans="2:18" hidden="1" x14ac:dyDescent="0.3">
      <c r="B125" s="76" t="s">
        <v>241</v>
      </c>
      <c r="C125" s="76" t="s">
        <v>242</v>
      </c>
      <c r="E125" s="120"/>
      <c r="F125" s="120"/>
      <c r="G125" s="74"/>
      <c r="I125" s="76" t="str">
        <f t="shared" si="2"/>
        <v>EA.1400</v>
      </c>
      <c r="J125" s="121" t="str">
        <f>+IF(B125=TG[[#This Row],[ITEM]],"ok","mal")</f>
        <v>ok</v>
      </c>
      <c r="K125" s="79">
        <f t="shared" si="3"/>
        <v>0</v>
      </c>
      <c r="L125" s="80">
        <f>IF(VLOOKUP(B125,TbPiezas[],5,0)="NA",0,VLOOKUP(B125,TbPiezas[],5,0))</f>
        <v>56.499999999999986</v>
      </c>
      <c r="M125" s="81">
        <f>TG[[#This Row],[TOTAL]]*TG[[#This Row],[P.U. (1)]]</f>
        <v>0</v>
      </c>
      <c r="N125" s="82">
        <f>+VLOOKUP(B125,TbPiezas[],6,0)</f>
        <v>2297.56</v>
      </c>
      <c r="O125" s="83">
        <f>TG[[#This Row],[TOTAL]]*TG[[#This Row],[P.U. (2)]]</f>
        <v>0</v>
      </c>
      <c r="P125" s="82">
        <f>+VLOOKUP(B125,TbPiezas[],7,0)</f>
        <v>114.878</v>
      </c>
      <c r="Q125" s="170">
        <f>ROUND(TG[[#This Row],[TOTAL]]*TG[[#This Row],[P.U. (3)]],2)</f>
        <v>0</v>
      </c>
      <c r="R125" s="326"/>
    </row>
    <row r="126" spans="2:18" hidden="1" x14ac:dyDescent="0.3">
      <c r="B126" s="76" t="s">
        <v>243</v>
      </c>
      <c r="C126" s="76" t="s">
        <v>244</v>
      </c>
      <c r="E126" s="120"/>
      <c r="F126" s="120"/>
      <c r="G126" s="74"/>
      <c r="I126" s="76" t="str">
        <f t="shared" si="2"/>
        <v>EA.1500</v>
      </c>
      <c r="J126" s="121" t="str">
        <f>+IF(B126=TG[[#This Row],[ITEM]],"ok","mal")</f>
        <v>ok</v>
      </c>
      <c r="K126" s="79">
        <f t="shared" si="3"/>
        <v>0</v>
      </c>
      <c r="L126" s="80">
        <f>IF(VLOOKUP(B126,TbPiezas[],5,0)="NA",0,VLOOKUP(B126,TbPiezas[],5,0))</f>
        <v>7.5</v>
      </c>
      <c r="M126" s="81">
        <f>TG[[#This Row],[TOTAL]]*TG[[#This Row],[P.U. (1)]]</f>
        <v>0</v>
      </c>
      <c r="N126" s="82">
        <f>+VLOOKUP(B126,TbPiezas[],6,0)</f>
        <v>299.33</v>
      </c>
      <c r="O126" s="83">
        <f>TG[[#This Row],[TOTAL]]*TG[[#This Row],[P.U. (2)]]</f>
        <v>0</v>
      </c>
      <c r="P126" s="82">
        <f>+VLOOKUP(B126,TbPiezas[],7,0)</f>
        <v>14.9665</v>
      </c>
      <c r="Q126" s="170">
        <f>ROUND(TG[[#This Row],[TOTAL]]*TG[[#This Row],[P.U. (3)]],2)</f>
        <v>0</v>
      </c>
      <c r="R126" s="326"/>
    </row>
    <row r="127" spans="2:18" hidden="1" x14ac:dyDescent="0.3">
      <c r="B127" s="76" t="s">
        <v>245</v>
      </c>
      <c r="C127" s="76" t="s">
        <v>246</v>
      </c>
      <c r="E127" s="120"/>
      <c r="F127" s="120"/>
      <c r="G127" s="74"/>
      <c r="I127" s="76" t="str">
        <f t="shared" si="2"/>
        <v>EA.1600</v>
      </c>
      <c r="J127" s="121" t="str">
        <f>+IF(B127=TG[[#This Row],[ITEM]],"ok","mal")</f>
        <v>ok</v>
      </c>
      <c r="K127" s="79">
        <f t="shared" si="3"/>
        <v>0</v>
      </c>
      <c r="L127" s="80">
        <f>IF(VLOOKUP(B127,TbPiezas[],5,0)="NA",0,VLOOKUP(B127,TbPiezas[],5,0))</f>
        <v>14.700000000000003</v>
      </c>
      <c r="M127" s="81">
        <f>TG[[#This Row],[TOTAL]]*TG[[#This Row],[P.U. (1)]]</f>
        <v>0</v>
      </c>
      <c r="N127" s="82">
        <f>+VLOOKUP(B127,TbPiezas[],6,0)</f>
        <v>864.58</v>
      </c>
      <c r="O127" s="83">
        <f>TG[[#This Row],[TOTAL]]*TG[[#This Row],[P.U. (2)]]</f>
        <v>0</v>
      </c>
      <c r="P127" s="82">
        <f>+VLOOKUP(B127,TbPiezas[],7,0)</f>
        <v>43.229000000000006</v>
      </c>
      <c r="Q127" s="170">
        <f>ROUND(TG[[#This Row],[TOTAL]]*TG[[#This Row],[P.U. (3)]],2)</f>
        <v>0</v>
      </c>
      <c r="R127" s="326"/>
    </row>
    <row r="128" spans="2:18" hidden="1" x14ac:dyDescent="0.3">
      <c r="B128" s="76" t="s">
        <v>247</v>
      </c>
      <c r="C128" s="76" t="s">
        <v>248</v>
      </c>
      <c r="E128" s="120"/>
      <c r="F128" s="120"/>
      <c r="G128" s="74"/>
      <c r="I128" s="76" t="str">
        <f t="shared" si="2"/>
        <v>EA.1650</v>
      </c>
      <c r="J128" s="121" t="str">
        <f>+IF(B128=TG[[#This Row],[ITEM]],"ok","mal")</f>
        <v>ok</v>
      </c>
      <c r="K128" s="79">
        <f t="shared" si="3"/>
        <v>0</v>
      </c>
      <c r="L128" s="80">
        <f>IF(VLOOKUP(B128,TbPiezas[],5,0)="NA",0,VLOOKUP(B128,TbPiezas[],5,0))</f>
        <v>8.6</v>
      </c>
      <c r="M128" s="81">
        <f>TG[[#This Row],[TOTAL]]*TG[[#This Row],[P.U. (1)]]</f>
        <v>0</v>
      </c>
      <c r="N128" s="82">
        <f>+VLOOKUP(B128,TbPiezas[],6,0)</f>
        <v>446.77</v>
      </c>
      <c r="O128" s="83">
        <f>TG[[#This Row],[TOTAL]]*TG[[#This Row],[P.U. (2)]]</f>
        <v>0</v>
      </c>
      <c r="P128" s="82">
        <f>+VLOOKUP(B128,TbPiezas[],7,0)</f>
        <v>22.3385</v>
      </c>
      <c r="Q128" s="170">
        <f>ROUND(TG[[#This Row],[TOTAL]]*TG[[#This Row],[P.U. (3)]],2)</f>
        <v>0</v>
      </c>
      <c r="R128" s="326"/>
    </row>
    <row r="129" spans="2:18" hidden="1" x14ac:dyDescent="0.3">
      <c r="B129" s="76" t="s">
        <v>249</v>
      </c>
      <c r="C129" s="76" t="s">
        <v>250</v>
      </c>
      <c r="E129" s="120"/>
      <c r="F129" s="120"/>
      <c r="G129" s="74"/>
      <c r="I129" s="76" t="str">
        <f t="shared" si="2"/>
        <v>EA.1700</v>
      </c>
      <c r="J129" s="121" t="str">
        <f>+IF(B129=TG[[#This Row],[ITEM]],"ok","mal")</f>
        <v>ok</v>
      </c>
      <c r="K129" s="79">
        <f t="shared" si="3"/>
        <v>0</v>
      </c>
      <c r="L129" s="80">
        <f>IF(VLOOKUP(B129,TbPiezas[],5,0)="NA",0,VLOOKUP(B129,TbPiezas[],5,0))</f>
        <v>14.700000000000003</v>
      </c>
      <c r="M129" s="81">
        <f>TG[[#This Row],[TOTAL]]*TG[[#This Row],[P.U. (1)]]</f>
        <v>0</v>
      </c>
      <c r="N129" s="82">
        <f>+VLOOKUP(B129,TbPiezas[],6,0)</f>
        <v>864.58</v>
      </c>
      <c r="O129" s="83">
        <f>TG[[#This Row],[TOTAL]]*TG[[#This Row],[P.U. (2)]]</f>
        <v>0</v>
      </c>
      <c r="P129" s="82">
        <f>+VLOOKUP(B129,TbPiezas[],7,0)</f>
        <v>43.229000000000006</v>
      </c>
      <c r="Q129" s="170">
        <f>ROUND(TG[[#This Row],[TOTAL]]*TG[[#This Row],[P.U. (3)]],2)</f>
        <v>0</v>
      </c>
      <c r="R129" s="326"/>
    </row>
    <row r="130" spans="2:18" hidden="1" x14ac:dyDescent="0.3">
      <c r="B130" s="76" t="s">
        <v>251</v>
      </c>
      <c r="C130" s="76" t="s">
        <v>252</v>
      </c>
      <c r="E130" s="120"/>
      <c r="F130" s="120"/>
      <c r="G130" s="74"/>
      <c r="I130" s="76" t="str">
        <f t="shared" si="2"/>
        <v>EA.1750</v>
      </c>
      <c r="J130" s="121" t="str">
        <f>+IF(B130=TG[[#This Row],[ITEM]],"ok","mal")</f>
        <v>ok</v>
      </c>
      <c r="K130" s="79">
        <f t="shared" si="3"/>
        <v>0</v>
      </c>
      <c r="L130" s="80">
        <f>IF(VLOOKUP(B130,TbPiezas[],5,0)="NA",0,VLOOKUP(B130,TbPiezas[],5,0))</f>
        <v>8.6</v>
      </c>
      <c r="M130" s="81">
        <f>TG[[#This Row],[TOTAL]]*TG[[#This Row],[P.U. (1)]]</f>
        <v>0</v>
      </c>
      <c r="N130" s="82">
        <f>+VLOOKUP(B130,TbPiezas[],6,0)</f>
        <v>446.77</v>
      </c>
      <c r="O130" s="83">
        <f>TG[[#This Row],[TOTAL]]*TG[[#This Row],[P.U. (2)]]</f>
        <v>0</v>
      </c>
      <c r="P130" s="82">
        <f>+VLOOKUP(B130,TbPiezas[],7,0)</f>
        <v>22.3385</v>
      </c>
      <c r="Q130" s="170">
        <f>ROUND(TG[[#This Row],[TOTAL]]*TG[[#This Row],[P.U. (3)]],2)</f>
        <v>0</v>
      </c>
      <c r="R130" s="326"/>
    </row>
    <row r="131" spans="2:18" hidden="1" x14ac:dyDescent="0.3">
      <c r="B131" s="76" t="s">
        <v>253</v>
      </c>
      <c r="C131" s="76" t="s">
        <v>254</v>
      </c>
      <c r="E131" s="120"/>
      <c r="F131" s="120"/>
      <c r="G131" s="74"/>
      <c r="I131" s="76" t="str">
        <f t="shared" si="2"/>
        <v>EA.1800</v>
      </c>
      <c r="J131" s="121" t="str">
        <f>+IF(B131=TG[[#This Row],[ITEM]],"ok","mal")</f>
        <v>ok</v>
      </c>
      <c r="K131" s="79">
        <f t="shared" si="3"/>
        <v>0</v>
      </c>
      <c r="L131" s="80">
        <f>IF(VLOOKUP(B131,TbPiezas[],5,0)="NA",0,VLOOKUP(B131,TbPiezas[],5,0))</f>
        <v>3.3999999999999915</v>
      </c>
      <c r="M131" s="81">
        <f>TG[[#This Row],[TOTAL]]*TG[[#This Row],[P.U. (1)]]</f>
        <v>0</v>
      </c>
      <c r="N131" s="82">
        <f>+VLOOKUP(B131,TbPiezas[],6,0)</f>
        <v>241.71</v>
      </c>
      <c r="O131" s="83">
        <f>TG[[#This Row],[TOTAL]]*TG[[#This Row],[P.U. (2)]]</f>
        <v>0</v>
      </c>
      <c r="P131" s="82">
        <f>+VLOOKUP(B131,TbPiezas[],7,0)</f>
        <v>12.085500000000001</v>
      </c>
      <c r="Q131" s="170">
        <f>ROUND(TG[[#This Row],[TOTAL]]*TG[[#This Row],[P.U. (3)]],2)</f>
        <v>0</v>
      </c>
      <c r="R131" s="326"/>
    </row>
    <row r="132" spans="2:18" hidden="1" x14ac:dyDescent="0.3">
      <c r="B132" s="76" t="s">
        <v>255</v>
      </c>
      <c r="C132" s="76" t="s">
        <v>256</v>
      </c>
      <c r="E132" s="120"/>
      <c r="F132" s="120"/>
      <c r="G132" s="74"/>
      <c r="I132" s="76" t="str">
        <f t="shared" si="2"/>
        <v>EA.1850</v>
      </c>
      <c r="J132" s="121" t="str">
        <f>+IF(B132=TG[[#This Row],[ITEM]],"ok","mal")</f>
        <v>ok</v>
      </c>
      <c r="K132" s="79">
        <f t="shared" si="3"/>
        <v>0</v>
      </c>
      <c r="L132" s="80">
        <f>IF(VLOOKUP(B132,TbPiezas[],5,0)="NA",0,VLOOKUP(B132,TbPiezas[],5,0))</f>
        <v>4</v>
      </c>
      <c r="M132" s="81">
        <f>TG[[#This Row],[TOTAL]]*TG[[#This Row],[P.U. (1)]]</f>
        <v>0</v>
      </c>
      <c r="N132" s="82">
        <f>+VLOOKUP(B132,TbPiezas[],6,0)</f>
        <v>110</v>
      </c>
      <c r="O132" s="83">
        <f>TG[[#This Row],[TOTAL]]*TG[[#This Row],[P.U. (2)]]</f>
        <v>0</v>
      </c>
      <c r="P132" s="82">
        <f>+VLOOKUP(B132,TbPiezas[],7,0)</f>
        <v>5.5</v>
      </c>
      <c r="Q132" s="170">
        <f>ROUND(TG[[#This Row],[TOTAL]]*TG[[#This Row],[P.U. (3)]],2)</f>
        <v>0</v>
      </c>
      <c r="R132" s="326"/>
    </row>
    <row r="133" spans="2:18" hidden="1" x14ac:dyDescent="0.3">
      <c r="B133" s="76" t="s">
        <v>257</v>
      </c>
      <c r="C133" s="76" t="s">
        <v>258</v>
      </c>
      <c r="E133" s="120"/>
      <c r="F133" s="120"/>
      <c r="G133" s="74"/>
      <c r="I133" s="76" t="str">
        <f t="shared" si="2"/>
        <v>EA.1900</v>
      </c>
      <c r="J133" s="121" t="str">
        <f>+IF(B133=TG[[#This Row],[ITEM]],"ok","mal")</f>
        <v>ok</v>
      </c>
      <c r="K133" s="79">
        <f t="shared" si="3"/>
        <v>0</v>
      </c>
      <c r="L133" s="80">
        <f>IF(VLOOKUP(B133,TbPiezas[],5,0)="NA",0,VLOOKUP(B133,TbPiezas[],5,0))</f>
        <v>10.200000000000003</v>
      </c>
      <c r="M133" s="81">
        <f>TG[[#This Row],[TOTAL]]*TG[[#This Row],[P.U. (1)]]</f>
        <v>0</v>
      </c>
      <c r="N133" s="82">
        <f>+VLOOKUP(B133,TbPiezas[],6,0)</f>
        <v>864.58</v>
      </c>
      <c r="O133" s="83">
        <f>TG[[#This Row],[TOTAL]]*TG[[#This Row],[P.U. (2)]]</f>
        <v>0</v>
      </c>
      <c r="P133" s="82">
        <f>+VLOOKUP(B133,TbPiezas[],7,0)</f>
        <v>43.229000000000006</v>
      </c>
      <c r="Q133" s="170">
        <f>ROUND(TG[[#This Row],[TOTAL]]*TG[[#This Row],[P.U. (3)]],2)</f>
        <v>0</v>
      </c>
      <c r="R133" s="326"/>
    </row>
    <row r="134" spans="2:18" hidden="1" x14ac:dyDescent="0.3">
      <c r="B134" s="76" t="s">
        <v>259</v>
      </c>
      <c r="C134" s="76" t="s">
        <v>260</v>
      </c>
      <c r="E134" s="120"/>
      <c r="F134" s="120"/>
      <c r="G134" s="74"/>
      <c r="I134" s="76" t="str">
        <f t="shared" ref="I134:I197" si="4">+B134</f>
        <v>EA.1950</v>
      </c>
      <c r="J134" s="121" t="str">
        <f>+IF(B134=TG[[#This Row],[ITEM]],"ok","mal")</f>
        <v>ok</v>
      </c>
      <c r="K134" s="79">
        <f t="shared" ref="K134:K198" si="5">SUM(D134:H134)</f>
        <v>0</v>
      </c>
      <c r="L134" s="80">
        <f>IF(VLOOKUP(B134,TbPiezas[],5,0)="NA",0,VLOOKUP(B134,TbPiezas[],5,0))</f>
        <v>6.3</v>
      </c>
      <c r="M134" s="81">
        <f>TG[[#This Row],[TOTAL]]*TG[[#This Row],[P.U. (1)]]</f>
        <v>0</v>
      </c>
      <c r="N134" s="82">
        <f>+VLOOKUP(B134,TbPiezas[],6,0)</f>
        <v>446.77</v>
      </c>
      <c r="O134" s="83">
        <f>TG[[#This Row],[TOTAL]]*TG[[#This Row],[P.U. (2)]]</f>
        <v>0</v>
      </c>
      <c r="P134" s="82">
        <f>+VLOOKUP(B134,TbPiezas[],7,0)</f>
        <v>22.3385</v>
      </c>
      <c r="Q134" s="170">
        <f>ROUND(TG[[#This Row],[TOTAL]]*TG[[#This Row],[P.U. (3)]],2)</f>
        <v>0</v>
      </c>
      <c r="R134" s="326"/>
    </row>
    <row r="135" spans="2:18" hidden="1" x14ac:dyDescent="0.3">
      <c r="B135" s="76" t="s">
        <v>261</v>
      </c>
      <c r="C135" s="76" t="s">
        <v>262</v>
      </c>
      <c r="E135" s="120"/>
      <c r="F135" s="120"/>
      <c r="G135" s="74"/>
      <c r="I135" s="76" t="str">
        <f t="shared" si="4"/>
        <v>EA.2000</v>
      </c>
      <c r="J135" s="121" t="str">
        <f>+IF(B135=TG[[#This Row],[ITEM]],"ok","mal")</f>
        <v>ok</v>
      </c>
      <c r="K135" s="79">
        <f t="shared" si="5"/>
        <v>0</v>
      </c>
      <c r="L135" s="80">
        <f>IF(VLOOKUP(B135,TbPiezas[],5,0)="NA",0,VLOOKUP(B135,TbPiezas[],5,0))</f>
        <v>9.9999999999994316E-2</v>
      </c>
      <c r="M135" s="81">
        <f>TG[[#This Row],[TOTAL]]*TG[[#This Row],[P.U. (1)]]</f>
        <v>0</v>
      </c>
      <c r="N135" s="82">
        <f>+VLOOKUP(B135,TbPiezas[],6,0)</f>
        <v>10.16</v>
      </c>
      <c r="O135" s="83">
        <f>TG[[#This Row],[TOTAL]]*TG[[#This Row],[P.U. (2)]]</f>
        <v>0</v>
      </c>
      <c r="P135" s="82">
        <f>+VLOOKUP(B135,TbPiezas[],7,0)</f>
        <v>0.50800000000000001</v>
      </c>
      <c r="Q135" s="170">
        <f>ROUND(TG[[#This Row],[TOTAL]]*TG[[#This Row],[P.U. (3)]],2)</f>
        <v>0</v>
      </c>
      <c r="R135" s="326"/>
    </row>
    <row r="136" spans="2:18" x14ac:dyDescent="0.3">
      <c r="B136" s="76" t="s">
        <v>263</v>
      </c>
      <c r="C136" s="76" t="s">
        <v>264</v>
      </c>
      <c r="E136" s="120">
        <v>6</v>
      </c>
      <c r="F136" s="120"/>
      <c r="G136" s="74"/>
      <c r="I136" s="76" t="str">
        <f t="shared" si="4"/>
        <v>EC.0100</v>
      </c>
      <c r="J136" s="121" t="str">
        <f>+IF(B136=TG[[#This Row],[ITEM]],"ok","mal")</f>
        <v>ok</v>
      </c>
      <c r="K136" s="79">
        <f t="shared" si="5"/>
        <v>6</v>
      </c>
      <c r="L136" s="80">
        <f>IF(VLOOKUP(B136,TbPiezas[],5,0)="NA",0,VLOOKUP(B136,TbPiezas[],5,0))</f>
        <v>32.799999999999997</v>
      </c>
      <c r="M136" s="81">
        <f>TG[[#This Row],[TOTAL]]*TG[[#This Row],[P.U. (1)]]</f>
        <v>196.79999999999998</v>
      </c>
      <c r="N136" s="82">
        <f>+VLOOKUP(B136,TbPiezas[],6,0)</f>
        <v>1969.28</v>
      </c>
      <c r="O136" s="83">
        <f>TG[[#This Row],[TOTAL]]*TG[[#This Row],[P.U. (2)]]</f>
        <v>11815.68</v>
      </c>
      <c r="P136" s="82">
        <f>+VLOOKUP(B136,TbPiezas[],7,0)</f>
        <v>70</v>
      </c>
      <c r="Q136" s="170">
        <f>ROUND(TG[[#This Row],[TOTAL]]*TG[[#This Row],[P.U. (3)]],2)</f>
        <v>420</v>
      </c>
      <c r="R136" s="326"/>
    </row>
    <row r="137" spans="2:18" hidden="1" x14ac:dyDescent="0.3">
      <c r="B137" s="76" t="s">
        <v>265</v>
      </c>
      <c r="C137" s="76" t="s">
        <v>266</v>
      </c>
      <c r="E137" s="120"/>
      <c r="F137" s="120"/>
      <c r="G137" s="74"/>
      <c r="I137" s="76" t="str">
        <f t="shared" si="4"/>
        <v>EC.0200</v>
      </c>
      <c r="J137" s="121" t="str">
        <f>+IF(B137=TG[[#This Row],[ITEM]],"ok","mal")</f>
        <v>ok</v>
      </c>
      <c r="K137" s="79">
        <f t="shared" si="5"/>
        <v>0</v>
      </c>
      <c r="L137" s="80">
        <f>IF(VLOOKUP(B137,TbPiezas[],5,0)="NA",0,VLOOKUP(B137,TbPiezas[],5,0))</f>
        <v>10.7</v>
      </c>
      <c r="M137" s="81">
        <f>TG[[#This Row],[TOTAL]]*TG[[#This Row],[P.U. (1)]]</f>
        <v>0</v>
      </c>
      <c r="N137" s="82">
        <f>+VLOOKUP(B137,TbPiezas[],6,0)</f>
        <v>457.38</v>
      </c>
      <c r="O137" s="83">
        <f>TG[[#This Row],[TOTAL]]*TG[[#This Row],[P.U. (2)]]</f>
        <v>0</v>
      </c>
      <c r="P137" s="82">
        <f>+VLOOKUP(B137,TbPiezas[],7,0)</f>
        <v>25</v>
      </c>
      <c r="Q137" s="170">
        <f>ROUND(TG[[#This Row],[TOTAL]]*TG[[#This Row],[P.U. (3)]],2)</f>
        <v>0</v>
      </c>
      <c r="R137" s="326"/>
    </row>
    <row r="138" spans="2:18" x14ac:dyDescent="0.3">
      <c r="B138" s="76" t="s">
        <v>267</v>
      </c>
      <c r="C138" s="76" t="s">
        <v>268</v>
      </c>
      <c r="E138" s="120">
        <v>6</v>
      </c>
      <c r="F138" s="120"/>
      <c r="G138" s="74"/>
      <c r="I138" s="76" t="str">
        <f t="shared" si="4"/>
        <v>EC.0300</v>
      </c>
      <c r="J138" s="121" t="str">
        <f>+IF(B138=TG[[#This Row],[ITEM]],"ok","mal")</f>
        <v>ok</v>
      </c>
      <c r="K138" s="79">
        <f t="shared" si="5"/>
        <v>6</v>
      </c>
      <c r="L138" s="80">
        <f>IF(VLOOKUP(B138,TbPiezas[],5,0)="NA",0,VLOOKUP(B138,TbPiezas[],5,0))</f>
        <v>13.9</v>
      </c>
      <c r="M138" s="81">
        <f>TG[[#This Row],[TOTAL]]*TG[[#This Row],[P.U. (1)]]</f>
        <v>83.4</v>
      </c>
      <c r="N138" s="82">
        <f>+VLOOKUP(B138,TbPiezas[],6,0)</f>
        <v>457.38</v>
      </c>
      <c r="O138" s="83">
        <f>TG[[#This Row],[TOTAL]]*TG[[#This Row],[P.U. (2)]]</f>
        <v>2744.2799999999997</v>
      </c>
      <c r="P138" s="82">
        <f>+VLOOKUP(B138,TbPiezas[],7,0)</f>
        <v>25</v>
      </c>
      <c r="Q138" s="170">
        <f>ROUND(TG[[#This Row],[TOTAL]]*TG[[#This Row],[P.U. (3)]],2)</f>
        <v>150</v>
      </c>
      <c r="R138" s="326"/>
    </row>
    <row r="139" spans="2:18" hidden="1" x14ac:dyDescent="0.3">
      <c r="B139" s="76" t="s">
        <v>269</v>
      </c>
      <c r="C139" s="76" t="s">
        <v>270</v>
      </c>
      <c r="E139" s="120"/>
      <c r="F139" s="120"/>
      <c r="G139" s="74"/>
      <c r="I139" s="76" t="str">
        <f t="shared" si="4"/>
        <v>EC.0400</v>
      </c>
      <c r="J139" s="121" t="str">
        <f>+IF(B139=TG[[#This Row],[ITEM]],"ok","mal")</f>
        <v>ok</v>
      </c>
      <c r="K139" s="79">
        <f t="shared" si="5"/>
        <v>0</v>
      </c>
      <c r="L139" s="80">
        <f>IF(VLOOKUP(B139,TbPiezas[],5,0)="NA",0,VLOOKUP(B139,TbPiezas[],5,0))</f>
        <v>20.700000000000003</v>
      </c>
      <c r="M139" s="81">
        <f>TG[[#This Row],[TOTAL]]*TG[[#This Row],[P.U. (1)]]</f>
        <v>0</v>
      </c>
      <c r="N139" s="82">
        <f>+VLOOKUP(B139,TbPiezas[],6,0)</f>
        <v>635.25</v>
      </c>
      <c r="O139" s="83">
        <f>TG[[#This Row],[TOTAL]]*TG[[#This Row],[P.U. (2)]]</f>
        <v>0</v>
      </c>
      <c r="P139" s="82">
        <f>+VLOOKUP(B139,TbPiezas[],7,0)</f>
        <v>25</v>
      </c>
      <c r="Q139" s="170">
        <f>ROUND(TG[[#This Row],[TOTAL]]*TG[[#This Row],[P.U. (3)]],2)</f>
        <v>0</v>
      </c>
      <c r="R139" s="326"/>
    </row>
    <row r="140" spans="2:18" hidden="1" x14ac:dyDescent="0.3">
      <c r="B140" s="76" t="s">
        <v>271</v>
      </c>
      <c r="C140" s="76" t="s">
        <v>272</v>
      </c>
      <c r="E140" s="120"/>
      <c r="F140" s="120"/>
      <c r="G140" s="74"/>
      <c r="I140" s="76" t="str">
        <f t="shared" si="4"/>
        <v>EC.0500</v>
      </c>
      <c r="J140" s="121" t="str">
        <f>+IF(B140=TG[[#This Row],[ITEM]],"ok","mal")</f>
        <v>ok</v>
      </c>
      <c r="K140" s="79">
        <f t="shared" si="5"/>
        <v>0</v>
      </c>
      <c r="L140" s="80">
        <f>IF(VLOOKUP(B140,TbPiezas[],5,0)="NA",0,VLOOKUP(B140,TbPiezas[],5,0))</f>
        <v>7.5</v>
      </c>
      <c r="M140" s="81">
        <f>TG[[#This Row],[TOTAL]]*TG[[#This Row],[P.U. (1)]]</f>
        <v>0</v>
      </c>
      <c r="N140" s="82">
        <f>+VLOOKUP(B140,TbPiezas[],6,0)</f>
        <v>670.32</v>
      </c>
      <c r="O140" s="83">
        <f>TG[[#This Row],[TOTAL]]*TG[[#This Row],[P.U. (2)]]</f>
        <v>0</v>
      </c>
      <c r="P140" s="82">
        <f>+VLOOKUP(B140,TbPiezas[],7,0)</f>
        <v>25</v>
      </c>
      <c r="Q140" s="170">
        <f>ROUND(TG[[#This Row],[TOTAL]]*TG[[#This Row],[P.U. (3)]],2)</f>
        <v>0</v>
      </c>
      <c r="R140" s="326"/>
    </row>
    <row r="141" spans="2:18" hidden="1" x14ac:dyDescent="0.3">
      <c r="B141" s="76" t="s">
        <v>273</v>
      </c>
      <c r="C141" s="76" t="s">
        <v>274</v>
      </c>
      <c r="E141" s="120"/>
      <c r="F141" s="120"/>
      <c r="G141" s="74"/>
      <c r="I141" s="76" t="str">
        <f t="shared" si="4"/>
        <v>EC.0600</v>
      </c>
      <c r="J141" s="121" t="str">
        <f>+IF(B141=TG[[#This Row],[ITEM]],"ok","mal")</f>
        <v>ok</v>
      </c>
      <c r="K141" s="79">
        <f t="shared" si="5"/>
        <v>0</v>
      </c>
      <c r="L141" s="80">
        <f>IF(VLOOKUP(B141,TbPiezas[],5,0)="NA",0,VLOOKUP(B141,TbPiezas[],5,0))</f>
        <v>203</v>
      </c>
      <c r="M141" s="81">
        <f>TG[[#This Row],[TOTAL]]*TG[[#This Row],[P.U. (1)]]</f>
        <v>0</v>
      </c>
      <c r="N141" s="82">
        <f>+VLOOKUP(B141,TbPiezas[],6,0)</f>
        <v>6098.4</v>
      </c>
      <c r="O141" s="83">
        <f>TG[[#This Row],[TOTAL]]*TG[[#This Row],[P.U. (2)]]</f>
        <v>0</v>
      </c>
      <c r="P141" s="82">
        <f>+VLOOKUP(B141,TbPiezas[],7,0)</f>
        <v>304.92</v>
      </c>
      <c r="Q141" s="170">
        <f>ROUND(TG[[#This Row],[TOTAL]]*TG[[#This Row],[P.U. (3)]],2)</f>
        <v>0</v>
      </c>
      <c r="R141" s="326"/>
    </row>
    <row r="142" spans="2:18" hidden="1" x14ac:dyDescent="0.3">
      <c r="B142" s="76" t="s">
        <v>275</v>
      </c>
      <c r="C142" s="76" t="s">
        <v>276</v>
      </c>
      <c r="E142" s="120"/>
      <c r="F142" s="120"/>
      <c r="G142" s="74"/>
      <c r="I142" s="76" t="str">
        <f t="shared" si="4"/>
        <v>EC.0700</v>
      </c>
      <c r="J142" s="121" t="str">
        <f>+IF(B142=TG[[#This Row],[ITEM]],"ok","mal")</f>
        <v>ok</v>
      </c>
      <c r="K142" s="79">
        <f t="shared" si="5"/>
        <v>0</v>
      </c>
      <c r="L142" s="80">
        <f>IF(VLOOKUP(B142,TbPiezas[],5,0)="NA",0,VLOOKUP(B142,TbPiezas[],5,0))</f>
        <v>290</v>
      </c>
      <c r="M142" s="81">
        <f>TG[[#This Row],[TOTAL]]*TG[[#This Row],[P.U. (1)]]</f>
        <v>0</v>
      </c>
      <c r="N142" s="82">
        <f>+VLOOKUP(B142,TbPiezas[],6,0)</f>
        <v>8639.4</v>
      </c>
      <c r="O142" s="83">
        <f>TG[[#This Row],[TOTAL]]*TG[[#This Row],[P.U. (2)]]</f>
        <v>0</v>
      </c>
      <c r="P142" s="82">
        <f>+VLOOKUP(B142,TbPiezas[],7,0)</f>
        <v>431.97</v>
      </c>
      <c r="Q142" s="170">
        <f>ROUND(TG[[#This Row],[TOTAL]]*TG[[#This Row],[P.U. (3)]],2)</f>
        <v>0</v>
      </c>
      <c r="R142" s="326"/>
    </row>
    <row r="143" spans="2:18" hidden="1" x14ac:dyDescent="0.3">
      <c r="B143" s="76" t="s">
        <v>277</v>
      </c>
      <c r="C143" s="76" t="s">
        <v>278</v>
      </c>
      <c r="E143" s="120"/>
      <c r="F143" s="120"/>
      <c r="G143" s="74"/>
      <c r="I143" s="76" t="str">
        <f t="shared" si="4"/>
        <v>EC.0710</v>
      </c>
      <c r="J143" s="121" t="str">
        <f>+IF(B143=TG[[#This Row],[ITEM]],"ok","mal")</f>
        <v>ok</v>
      </c>
      <c r="K143" s="79">
        <f t="shared" si="5"/>
        <v>0</v>
      </c>
      <c r="L143" s="80">
        <f>IF(VLOOKUP(B143,TbPiezas[],5,0)="NA",0,VLOOKUP(B143,TbPiezas[],5,0))</f>
        <v>13.1</v>
      </c>
      <c r="M143" s="81">
        <f>TG[[#This Row],[TOTAL]]*TG[[#This Row],[P.U. (1)]]</f>
        <v>0</v>
      </c>
      <c r="N143" s="82">
        <f>+VLOOKUP(B143,TbPiezas[],6,0)</f>
        <v>825.83</v>
      </c>
      <c r="O143" s="83">
        <f>TG[[#This Row],[TOTAL]]*TG[[#This Row],[P.U. (2)]]</f>
        <v>0</v>
      </c>
      <c r="P143" s="82">
        <f>+VLOOKUP(B143,TbPiezas[],7,0)</f>
        <v>41.291500000000006</v>
      </c>
      <c r="Q143" s="170">
        <f>ROUND(TG[[#This Row],[TOTAL]]*TG[[#This Row],[P.U. (3)]],2)</f>
        <v>0</v>
      </c>
      <c r="R143" s="326"/>
    </row>
    <row r="144" spans="2:18" hidden="1" x14ac:dyDescent="0.3">
      <c r="B144" s="76" t="s">
        <v>279</v>
      </c>
      <c r="C144" s="76" t="s">
        <v>280</v>
      </c>
      <c r="E144" s="120"/>
      <c r="F144" s="120"/>
      <c r="G144" s="74"/>
      <c r="I144" s="76" t="str">
        <f t="shared" si="4"/>
        <v>EC.0711</v>
      </c>
      <c r="J144" s="121" t="str">
        <f>+IF(B144=TG[[#This Row],[ITEM]],"ok","mal")</f>
        <v>ok</v>
      </c>
      <c r="K144" s="79">
        <f t="shared" si="5"/>
        <v>0</v>
      </c>
      <c r="L144" s="80">
        <f>IF(VLOOKUP(B144,TbPiezas[],5,0)="NA",0,VLOOKUP(B144,TbPiezas[],5,0))</f>
        <v>12.2</v>
      </c>
      <c r="M144" s="81">
        <f>TG[[#This Row],[TOTAL]]*TG[[#This Row],[P.U. (1)]]</f>
        <v>0</v>
      </c>
      <c r="N144" s="82">
        <f>+VLOOKUP(B144,TbPiezas[],6,0)</f>
        <v>974.64</v>
      </c>
      <c r="O144" s="83">
        <f>TG[[#This Row],[TOTAL]]*TG[[#This Row],[P.U. (2)]]</f>
        <v>0</v>
      </c>
      <c r="P144" s="82">
        <f>+VLOOKUP(B144,TbPiezas[],7,0)</f>
        <v>48.731999999999999</v>
      </c>
      <c r="Q144" s="170">
        <f>ROUND(TG[[#This Row],[TOTAL]]*TG[[#This Row],[P.U. (3)]],2)</f>
        <v>0</v>
      </c>
      <c r="R144" s="326"/>
    </row>
    <row r="145" spans="2:18" hidden="1" x14ac:dyDescent="0.3">
      <c r="B145" s="76" t="s">
        <v>281</v>
      </c>
      <c r="C145" s="76" t="s">
        <v>282</v>
      </c>
      <c r="E145" s="120"/>
      <c r="F145" s="120"/>
      <c r="G145" s="74"/>
      <c r="I145" s="76" t="str">
        <f t="shared" si="4"/>
        <v>EC.0712</v>
      </c>
      <c r="J145" s="121" t="str">
        <f>+IF(B145=TG[[#This Row],[ITEM]],"ok","mal")</f>
        <v>ok</v>
      </c>
      <c r="K145" s="79">
        <f t="shared" si="5"/>
        <v>0</v>
      </c>
      <c r="L145" s="80">
        <f>IF(VLOOKUP(B145,TbPiezas[],5,0)="NA",0,VLOOKUP(B145,TbPiezas[],5,0))</f>
        <v>12.2</v>
      </c>
      <c r="M145" s="81">
        <f>TG[[#This Row],[TOTAL]]*TG[[#This Row],[P.U. (1)]]</f>
        <v>0</v>
      </c>
      <c r="N145" s="82">
        <f>+VLOOKUP(B145,TbPiezas[],6,0)</f>
        <v>974.64</v>
      </c>
      <c r="O145" s="83">
        <f>TG[[#This Row],[TOTAL]]*TG[[#This Row],[P.U. (2)]]</f>
        <v>0</v>
      </c>
      <c r="P145" s="82">
        <f>+VLOOKUP(B145,TbPiezas[],7,0)</f>
        <v>48.731999999999999</v>
      </c>
      <c r="Q145" s="170">
        <f>ROUND(TG[[#This Row],[TOTAL]]*TG[[#This Row],[P.U. (3)]],2)</f>
        <v>0</v>
      </c>
      <c r="R145" s="326"/>
    </row>
    <row r="146" spans="2:18" hidden="1" x14ac:dyDescent="0.3">
      <c r="B146" s="76" t="s">
        <v>283</v>
      </c>
      <c r="C146" s="76" t="s">
        <v>284</v>
      </c>
      <c r="E146" s="120"/>
      <c r="F146" s="120"/>
      <c r="G146" s="74"/>
      <c r="I146" s="76" t="str">
        <f t="shared" si="4"/>
        <v>EC.0713</v>
      </c>
      <c r="J146" s="121" t="str">
        <f>+IF(B146=TG[[#This Row],[ITEM]],"ok","mal")</f>
        <v>ok</v>
      </c>
      <c r="K146" s="79">
        <f t="shared" si="5"/>
        <v>0</v>
      </c>
      <c r="L146" s="80">
        <f>IF(VLOOKUP(B146,TbPiezas[],5,0)="NA",0,VLOOKUP(B146,TbPiezas[],5,0))</f>
        <v>12</v>
      </c>
      <c r="M146" s="81">
        <f>TG[[#This Row],[TOTAL]]*TG[[#This Row],[P.U. (1)]]</f>
        <v>0</v>
      </c>
      <c r="N146" s="82">
        <f>+VLOOKUP(B146,TbPiezas[],6,0)</f>
        <v>947.63</v>
      </c>
      <c r="O146" s="83">
        <f>TG[[#This Row],[TOTAL]]*TG[[#This Row],[P.U. (2)]]</f>
        <v>0</v>
      </c>
      <c r="P146" s="82">
        <f>+VLOOKUP(B146,TbPiezas[],7,0)</f>
        <v>47.381500000000003</v>
      </c>
      <c r="Q146" s="170">
        <f>ROUND(TG[[#This Row],[TOTAL]]*TG[[#This Row],[P.U. (3)]],2)</f>
        <v>0</v>
      </c>
      <c r="R146" s="326"/>
    </row>
    <row r="147" spans="2:18" hidden="1" x14ac:dyDescent="0.3">
      <c r="B147" s="76" t="s">
        <v>285</v>
      </c>
      <c r="C147" s="76" t="s">
        <v>286</v>
      </c>
      <c r="E147" s="120"/>
      <c r="F147" s="120"/>
      <c r="G147" s="74"/>
      <c r="I147" s="76" t="str">
        <f t="shared" si="4"/>
        <v>EC.0714</v>
      </c>
      <c r="J147" s="121" t="str">
        <f>+IF(B147=TG[[#This Row],[ITEM]],"ok","mal")</f>
        <v>ok</v>
      </c>
      <c r="K147" s="79">
        <f t="shared" si="5"/>
        <v>0</v>
      </c>
      <c r="L147" s="80">
        <f>IF(VLOOKUP(B147,TbPiezas[],5,0)="NA",0,VLOOKUP(B147,TbPiezas[],5,0))</f>
        <v>13.1</v>
      </c>
      <c r="M147" s="81">
        <f>TG[[#This Row],[TOTAL]]*TG[[#This Row],[P.U. (1)]]</f>
        <v>0</v>
      </c>
      <c r="N147" s="82">
        <f>+VLOOKUP(B147,TbPiezas[],6,0)</f>
        <v>1114.8599999999999</v>
      </c>
      <c r="O147" s="83">
        <f>TG[[#This Row],[TOTAL]]*TG[[#This Row],[P.U. (2)]]</f>
        <v>0</v>
      </c>
      <c r="P147" s="82">
        <f>+VLOOKUP(B147,TbPiezas[],7,0)</f>
        <v>55.742999999999995</v>
      </c>
      <c r="Q147" s="170">
        <f>ROUND(TG[[#This Row],[TOTAL]]*TG[[#This Row],[P.U. (3)]],2)</f>
        <v>0</v>
      </c>
      <c r="R147" s="326"/>
    </row>
    <row r="148" spans="2:18" hidden="1" x14ac:dyDescent="0.3">
      <c r="B148" s="76" t="s">
        <v>287</v>
      </c>
      <c r="C148" s="76" t="s">
        <v>288</v>
      </c>
      <c r="E148" s="120"/>
      <c r="F148" s="120"/>
      <c r="G148" s="74"/>
      <c r="I148" s="76" t="str">
        <f t="shared" si="4"/>
        <v>EC.0720</v>
      </c>
      <c r="J148" s="121" t="str">
        <f>+IF(B148=TG[[#This Row],[ITEM]],"ok","mal")</f>
        <v>ok</v>
      </c>
      <c r="K148" s="79">
        <f t="shared" si="5"/>
        <v>0</v>
      </c>
      <c r="L148" s="80">
        <f>IF(VLOOKUP(B148,TbPiezas[],5,0)="NA",0,VLOOKUP(B148,TbPiezas[],5,0))</f>
        <v>3.4</v>
      </c>
      <c r="M148" s="81">
        <f>TG[[#This Row],[TOTAL]]*TG[[#This Row],[P.U. (1)]]</f>
        <v>0</v>
      </c>
      <c r="N148" s="82">
        <f>+VLOOKUP(B148,TbPiezas[],6,0)</f>
        <v>228.69</v>
      </c>
      <c r="O148" s="83">
        <f>TG[[#This Row],[TOTAL]]*TG[[#This Row],[P.U. (2)]]</f>
        <v>0</v>
      </c>
      <c r="P148" s="82">
        <f>+VLOOKUP(B148,TbPiezas[],7,0)</f>
        <v>11.4345</v>
      </c>
      <c r="Q148" s="170">
        <f>ROUND(TG[[#This Row],[TOTAL]]*TG[[#This Row],[P.U. (3)]],2)</f>
        <v>0</v>
      </c>
      <c r="R148" s="326"/>
    </row>
    <row r="149" spans="2:18" hidden="1" x14ac:dyDescent="0.3">
      <c r="B149" s="76" t="s">
        <v>289</v>
      </c>
      <c r="C149" s="76" t="s">
        <v>290</v>
      </c>
      <c r="E149" s="120"/>
      <c r="F149" s="120"/>
      <c r="G149" s="74"/>
      <c r="I149" s="76" t="str">
        <f t="shared" si="4"/>
        <v>EC.0730</v>
      </c>
      <c r="J149" s="121" t="str">
        <f>+IF(B149=TG[[#This Row],[ITEM]],"ok","mal")</f>
        <v>ok</v>
      </c>
      <c r="K149" s="79">
        <f t="shared" si="5"/>
        <v>0</v>
      </c>
      <c r="L149" s="80">
        <f>IF(VLOOKUP(B149,TbPiezas[],5,0)="NA",0,VLOOKUP(B149,TbPiezas[],5,0))</f>
        <v>0.15</v>
      </c>
      <c r="M149" s="81">
        <f>TG[[#This Row],[TOTAL]]*TG[[#This Row],[P.U. (1)]]</f>
        <v>0</v>
      </c>
      <c r="N149" s="82">
        <f>+VLOOKUP(B149,TbPiezas[],6,0)</f>
        <v>19.059999999999999</v>
      </c>
      <c r="O149" s="83">
        <f>TG[[#This Row],[TOTAL]]*TG[[#This Row],[P.U. (2)]]</f>
        <v>0</v>
      </c>
      <c r="P149" s="82">
        <f>+VLOOKUP(B149,TbPiezas[],7,0)</f>
        <v>0.95299999999999996</v>
      </c>
      <c r="Q149" s="170">
        <f>ROUND(TG[[#This Row],[TOTAL]]*TG[[#This Row],[P.U. (3)]],2)</f>
        <v>0</v>
      </c>
      <c r="R149" s="326"/>
    </row>
    <row r="150" spans="2:18" hidden="1" x14ac:dyDescent="0.3">
      <c r="B150" s="76" t="s">
        <v>291</v>
      </c>
      <c r="C150" s="76" t="s">
        <v>292</v>
      </c>
      <c r="E150" s="120"/>
      <c r="F150" s="120"/>
      <c r="G150" s="74"/>
      <c r="I150" s="76" t="str">
        <f t="shared" si="4"/>
        <v>EC.0800</v>
      </c>
      <c r="J150" s="121" t="str">
        <f>+IF(B150=TG[[#This Row],[ITEM]],"ok","mal")</f>
        <v>ok</v>
      </c>
      <c r="K150" s="79">
        <f t="shared" si="5"/>
        <v>0</v>
      </c>
      <c r="L150" s="80">
        <f>IF(VLOOKUP(B150,TbPiezas[],5,0)="NA",0,VLOOKUP(B150,TbPiezas[],5,0))</f>
        <v>2.9000000000000057</v>
      </c>
      <c r="M150" s="81">
        <f>TG[[#This Row],[TOTAL]]*TG[[#This Row],[P.U. (1)]]</f>
        <v>0</v>
      </c>
      <c r="N150" s="82">
        <f>+VLOOKUP(B150,TbPiezas[],6,0)</f>
        <v>190.58</v>
      </c>
      <c r="O150" s="83">
        <f>TG[[#This Row],[TOTAL]]*TG[[#This Row],[P.U. (2)]]</f>
        <v>0</v>
      </c>
      <c r="P150" s="82">
        <f>+VLOOKUP(B150,TbPiezas[],7,0)</f>
        <v>9.5290000000000017</v>
      </c>
      <c r="Q150" s="170">
        <f>ROUND(TG[[#This Row],[TOTAL]]*TG[[#This Row],[P.U. (3)]],2)</f>
        <v>0</v>
      </c>
      <c r="R150" s="326"/>
    </row>
    <row r="151" spans="2:18" hidden="1" x14ac:dyDescent="0.3">
      <c r="B151" s="76" t="s">
        <v>293</v>
      </c>
      <c r="C151" s="76" t="s">
        <v>294</v>
      </c>
      <c r="E151" s="120"/>
      <c r="F151" s="120"/>
      <c r="G151" s="74"/>
      <c r="I151" s="76" t="str">
        <f t="shared" si="4"/>
        <v>EC.0900</v>
      </c>
      <c r="J151" s="121" t="str">
        <f>+IF(B151=TG[[#This Row],[ITEM]],"ok","mal")</f>
        <v>ok</v>
      </c>
      <c r="K151" s="79">
        <f t="shared" si="5"/>
        <v>0</v>
      </c>
      <c r="L151" s="80">
        <f>IF(VLOOKUP(B151,TbPiezas[],5,0)="NA",0,VLOOKUP(B151,TbPiezas[],5,0))</f>
        <v>170</v>
      </c>
      <c r="M151" s="81">
        <f>TG[[#This Row],[TOTAL]]*TG[[#This Row],[P.U. (1)]]</f>
        <v>0</v>
      </c>
      <c r="N151" s="82">
        <f>+VLOOKUP(B151,TbPiezas[],6,0)</f>
        <v>8639.4</v>
      </c>
      <c r="O151" s="83">
        <f>TG[[#This Row],[TOTAL]]*TG[[#This Row],[P.U. (2)]]</f>
        <v>0</v>
      </c>
      <c r="P151" s="82">
        <f>+VLOOKUP(B151,TbPiezas[],7,0)</f>
        <v>431.97</v>
      </c>
      <c r="Q151" s="170">
        <f>ROUND(TG[[#This Row],[TOTAL]]*TG[[#This Row],[P.U. (3)]],2)</f>
        <v>0</v>
      </c>
      <c r="R151" s="326"/>
    </row>
    <row r="152" spans="2:18" hidden="1" x14ac:dyDescent="0.3">
      <c r="B152" s="76" t="s">
        <v>295</v>
      </c>
      <c r="C152" s="76" t="s">
        <v>296</v>
      </c>
      <c r="E152" s="120"/>
      <c r="F152" s="120"/>
      <c r="G152" s="74"/>
      <c r="I152" s="76" t="str">
        <f t="shared" si="4"/>
        <v>AA.0100</v>
      </c>
      <c r="J152" s="121" t="str">
        <f>+IF(B152=TG[[#This Row],[ITEM]],"ok","mal")</f>
        <v>ok</v>
      </c>
      <c r="K152" s="79">
        <f t="shared" si="5"/>
        <v>0</v>
      </c>
      <c r="L152" s="80">
        <f>IF(VLOOKUP(B152,TbPiezas[],5,0)="NA",0,VLOOKUP(B152,TbPiezas[],5,0))</f>
        <v>6.5</v>
      </c>
      <c r="M152" s="81">
        <f>TG[[#This Row],[TOTAL]]*TG[[#This Row],[P.U. (1)]]</f>
        <v>0</v>
      </c>
      <c r="N152" s="82">
        <f>+VLOOKUP(B152,TbPiezas[],6,0)</f>
        <v>76.23</v>
      </c>
      <c r="O152" s="83">
        <f>TG[[#This Row],[TOTAL]]*TG[[#This Row],[P.U. (2)]]</f>
        <v>0</v>
      </c>
      <c r="P152" s="82">
        <f>+VLOOKUP(B152,TbPiezas[],7,0)</f>
        <v>3.8115000000000006</v>
      </c>
      <c r="Q152" s="170">
        <f>ROUND(TG[[#This Row],[TOTAL]]*TG[[#This Row],[P.U. (3)]],2)</f>
        <v>0</v>
      </c>
      <c r="R152" s="326"/>
    </row>
    <row r="153" spans="2:18" hidden="1" x14ac:dyDescent="0.3">
      <c r="B153" s="76" t="s">
        <v>297</v>
      </c>
      <c r="C153" s="76" t="s">
        <v>298</v>
      </c>
      <c r="E153" s="120"/>
      <c r="F153" s="120"/>
      <c r="G153" s="77"/>
      <c r="I153" s="76" t="str">
        <f t="shared" si="4"/>
        <v>AA.0200</v>
      </c>
      <c r="J153" s="121" t="str">
        <f>+IF(B153=TG[[#This Row],[ITEM]],"ok","mal")</f>
        <v>ok</v>
      </c>
      <c r="K153" s="79">
        <f t="shared" si="5"/>
        <v>0</v>
      </c>
      <c r="L153" s="80">
        <f>IF(VLOOKUP(B153,TbPiezas[],5,0)="NA",0,VLOOKUP(B153,TbPiezas[],5,0))</f>
        <v>14.5</v>
      </c>
      <c r="M153" s="81">
        <f>TG[[#This Row],[TOTAL]]*TG[[#This Row],[P.U. (1)]]</f>
        <v>0</v>
      </c>
      <c r="N153" s="82">
        <f>+VLOOKUP(B153,TbPiezas[],6,0)</f>
        <v>241.4</v>
      </c>
      <c r="O153" s="83">
        <f>TG[[#This Row],[TOTAL]]*TG[[#This Row],[P.U. (2)]]</f>
        <v>0</v>
      </c>
      <c r="P153" s="82">
        <f>+VLOOKUP(B153,TbPiezas[],7,0)</f>
        <v>12.07</v>
      </c>
      <c r="Q153" s="170">
        <f>ROUND(TG[[#This Row],[TOTAL]]*TG[[#This Row],[P.U. (3)]],2)</f>
        <v>0</v>
      </c>
      <c r="R153" s="326"/>
    </row>
    <row r="154" spans="2:18" hidden="1" x14ac:dyDescent="0.3">
      <c r="B154" s="172" t="s">
        <v>299</v>
      </c>
      <c r="C154" s="172" t="s">
        <v>300</v>
      </c>
      <c r="E154" s="338"/>
      <c r="F154" s="338"/>
      <c r="G154" s="173"/>
      <c r="I154" s="76" t="str">
        <f t="shared" si="4"/>
        <v>CON.0100</v>
      </c>
      <c r="J154" s="339" t="str">
        <f>+IF(B154=TG[[#This Row],[ITEM]],"ok","mal")</f>
        <v>ok</v>
      </c>
      <c r="K154" s="143">
        <f t="shared" si="5"/>
        <v>0</v>
      </c>
      <c r="L154" s="144">
        <f>IF(VLOOKUP(B154,TbPiezas[],5,0)="NA",0,VLOOKUP(B154,TbPiezas[],5,0))</f>
        <v>0.15000000000000568</v>
      </c>
      <c r="M154" s="145">
        <f>TG[[#This Row],[TOTAL]]*TG[[#This Row],[P.U. (1)]]</f>
        <v>0</v>
      </c>
      <c r="N154" s="146">
        <f>+VLOOKUP(B154,TbPiezas[],6,0)</f>
        <v>0</v>
      </c>
      <c r="O154" s="147">
        <f>TG[[#This Row],[TOTAL]]*TG[[#This Row],[P.U. (2)]]</f>
        <v>0</v>
      </c>
      <c r="P154" s="146">
        <f>+VLOOKUP(B154,TbPiezas[],7,0)</f>
        <v>0</v>
      </c>
      <c r="Q154" s="176">
        <f>ROUND(TG[[#This Row],[TOTAL]]*TG[[#This Row],[P.U. (3)]],2)</f>
        <v>0</v>
      </c>
      <c r="R154" s="326"/>
    </row>
    <row r="155" spans="2:18" hidden="1" x14ac:dyDescent="0.3">
      <c r="B155" s="172" t="s">
        <v>301</v>
      </c>
      <c r="C155" s="172" t="s">
        <v>302</v>
      </c>
      <c r="E155" s="338"/>
      <c r="F155" s="338"/>
      <c r="G155" s="173"/>
      <c r="I155" s="76" t="str">
        <f t="shared" si="4"/>
        <v>CON.0200</v>
      </c>
      <c r="J155" s="339" t="str">
        <f>+IF(B155=TG[[#This Row],[ITEM]],"ok","mal")</f>
        <v>ok</v>
      </c>
      <c r="K155" s="143">
        <f t="shared" si="5"/>
        <v>0</v>
      </c>
      <c r="L155" s="144">
        <f>IF(VLOOKUP(B155,TbPiezas[],5,0)="NA",0,VLOOKUP(B155,TbPiezas[],5,0))</f>
        <v>0.25</v>
      </c>
      <c r="M155" s="145">
        <f>TG[[#This Row],[TOTAL]]*TG[[#This Row],[P.U. (1)]]</f>
        <v>0</v>
      </c>
      <c r="N155" s="146">
        <f>+VLOOKUP(B155,TbPiezas[],6,0)</f>
        <v>0</v>
      </c>
      <c r="O155" s="147">
        <f>TG[[#This Row],[TOTAL]]*TG[[#This Row],[P.U. (2)]]</f>
        <v>0</v>
      </c>
      <c r="P155" s="146">
        <f>+VLOOKUP(B155,TbPiezas[],7,0)</f>
        <v>0</v>
      </c>
      <c r="Q155" s="176">
        <f>ROUND(TG[[#This Row],[TOTAL]]*TG[[#This Row],[P.U. (3)]],2)</f>
        <v>0</v>
      </c>
      <c r="R155" s="326"/>
    </row>
    <row r="156" spans="2:18" hidden="1" x14ac:dyDescent="0.3">
      <c r="B156" s="76" t="s">
        <v>303</v>
      </c>
      <c r="C156" s="76" t="s">
        <v>304</v>
      </c>
      <c r="E156" s="120"/>
      <c r="F156" s="120"/>
      <c r="G156" s="77"/>
      <c r="I156" s="76" t="str">
        <f t="shared" si="4"/>
        <v>CON.0300</v>
      </c>
      <c r="J156" s="121" t="str">
        <f>+IF(B156=TG[[#This Row],[ITEM]],"ok","mal")</f>
        <v>ok</v>
      </c>
      <c r="K156" s="246">
        <f t="shared" si="5"/>
        <v>0</v>
      </c>
      <c r="L156" s="80">
        <f>IF(VLOOKUP(B156,TbPiezas[],5,0)="NA",0,VLOOKUP(B156,TbPiezas[],5,0))</f>
        <v>0.1</v>
      </c>
      <c r="M156" s="81">
        <f>TG[[#This Row],[TOTAL]]*TG[[#This Row],[P.U. (1)]]</f>
        <v>0</v>
      </c>
      <c r="N156" s="247">
        <f>+VLOOKUP(B156,TbPiezas[],6,0)</f>
        <v>10.16</v>
      </c>
      <c r="O156" s="248">
        <f>TG[[#This Row],[TOTAL]]*TG[[#This Row],[P.U. (2)]]</f>
        <v>0</v>
      </c>
      <c r="P156" s="247">
        <f>+VLOOKUP(B156,TbPiezas[],7,0)</f>
        <v>0.50800000000000001</v>
      </c>
      <c r="Q156" s="337">
        <f>ROUND(TG[[#This Row],[TOTAL]]*TG[[#This Row],[P.U. (3)]],2)</f>
        <v>0</v>
      </c>
      <c r="R156" s="326"/>
    </row>
    <row r="157" spans="2:18" hidden="1" x14ac:dyDescent="0.3">
      <c r="B157" s="76" t="s">
        <v>305</v>
      </c>
      <c r="C157" s="76" t="s">
        <v>306</v>
      </c>
      <c r="E157" s="120"/>
      <c r="F157" s="120"/>
      <c r="G157" s="77"/>
      <c r="I157" s="76" t="str">
        <f t="shared" si="4"/>
        <v>CON.0400</v>
      </c>
      <c r="J157" s="121" t="str">
        <f>+IF(B157=TG[[#This Row],[ITEM]],"ok","mal")</f>
        <v>ok</v>
      </c>
      <c r="K157" s="246">
        <f t="shared" si="5"/>
        <v>0</v>
      </c>
      <c r="L157" s="80">
        <f>IF(VLOOKUP(B157,TbPiezas[],5,0)="NA",0,VLOOKUP(B157,TbPiezas[],5,0))</f>
        <v>0.1</v>
      </c>
      <c r="M157" s="81">
        <f>TG[[#This Row],[TOTAL]]*TG[[#This Row],[P.U. (1)]]</f>
        <v>0</v>
      </c>
      <c r="N157" s="247">
        <f>+VLOOKUP(B157,TbPiezas[],6,0)</f>
        <v>10.16</v>
      </c>
      <c r="O157" s="248">
        <f>TG[[#This Row],[TOTAL]]*TG[[#This Row],[P.U. (2)]]</f>
        <v>0</v>
      </c>
      <c r="P157" s="247">
        <f>+VLOOKUP(B157,TbPiezas[],7,0)</f>
        <v>0.50800000000000001</v>
      </c>
      <c r="Q157" s="337">
        <f>ROUND(TG[[#This Row],[TOTAL]]*TG[[#This Row],[P.U. (3)]],2)</f>
        <v>0</v>
      </c>
      <c r="R157" s="326"/>
    </row>
    <row r="158" spans="2:18" hidden="1" x14ac:dyDescent="0.3">
      <c r="B158" s="76" t="s">
        <v>307</v>
      </c>
      <c r="C158" s="76" t="s">
        <v>308</v>
      </c>
      <c r="E158" s="120"/>
      <c r="F158" s="120"/>
      <c r="G158" s="77"/>
      <c r="I158" s="76" t="str">
        <f t="shared" si="4"/>
        <v>CON.0500</v>
      </c>
      <c r="J158" s="121" t="str">
        <f>+IF(B158=TG[[#This Row],[ITEM]],"ok","mal")</f>
        <v>ok</v>
      </c>
      <c r="K158" s="246">
        <f t="shared" si="5"/>
        <v>0</v>
      </c>
      <c r="L158" s="80">
        <f>IF(VLOOKUP(B158,TbPiezas[],5,0)="NA",0,VLOOKUP(B158,TbPiezas[],5,0))</f>
        <v>1</v>
      </c>
      <c r="M158" s="81">
        <f>TG[[#This Row],[TOTAL]]*TG[[#This Row],[P.U. (1)]]</f>
        <v>0</v>
      </c>
      <c r="N158" s="247">
        <f>+VLOOKUP(B158,TbPiezas[],6,0)</f>
        <v>82.58</v>
      </c>
      <c r="O158" s="248">
        <f>TG[[#This Row],[TOTAL]]*TG[[#This Row],[P.U. (2)]]</f>
        <v>0</v>
      </c>
      <c r="P158" s="247">
        <f>+VLOOKUP(B158,TbPiezas[],7,0)</f>
        <v>4.1290000000000004</v>
      </c>
      <c r="Q158" s="337">
        <f>ROUND(TG[[#This Row],[TOTAL]]*TG[[#This Row],[P.U. (3)]],2)</f>
        <v>0</v>
      </c>
      <c r="R158" s="326"/>
    </row>
    <row r="159" spans="2:18" hidden="1" x14ac:dyDescent="0.3">
      <c r="B159" s="76" t="s">
        <v>309</v>
      </c>
      <c r="C159" s="76" t="s">
        <v>310</v>
      </c>
      <c r="E159" s="120"/>
      <c r="F159" s="120"/>
      <c r="G159" s="77"/>
      <c r="I159" s="76" t="str">
        <f t="shared" si="4"/>
        <v>CON.0600</v>
      </c>
      <c r="J159" s="121" t="str">
        <f>+IF(B159=TG[[#This Row],[ITEM]],"ok","mal")</f>
        <v>ok</v>
      </c>
      <c r="K159" s="79">
        <f t="shared" si="5"/>
        <v>0</v>
      </c>
      <c r="L159" s="80">
        <f>IF(VLOOKUP(B159,TbPiezas[],5,0)="NA",0,VLOOKUP(B159,TbPiezas[],5,0))</f>
        <v>0.8</v>
      </c>
      <c r="M159" s="81">
        <f>TG[[#This Row],[TOTAL]]*TG[[#This Row],[P.U. (1)]]</f>
        <v>0</v>
      </c>
      <c r="N159" s="82">
        <f>+VLOOKUP(B159,TbPiezas[],6,0)</f>
        <v>69.88</v>
      </c>
      <c r="O159" s="83">
        <f>TG[[#This Row],[TOTAL]]*TG[[#This Row],[P.U. (2)]]</f>
        <v>0</v>
      </c>
      <c r="P159" s="82">
        <f>+VLOOKUP(B159,TbPiezas[],7,0)</f>
        <v>3.4939999999999998</v>
      </c>
      <c r="Q159" s="170">
        <f>ROUND(TG[[#This Row],[TOTAL]]*TG[[#This Row],[P.U. (3)]],2)</f>
        <v>0</v>
      </c>
      <c r="R159" s="326"/>
    </row>
    <row r="160" spans="2:18" hidden="1" x14ac:dyDescent="0.3">
      <c r="B160" s="76" t="s">
        <v>311</v>
      </c>
      <c r="C160" s="76" t="s">
        <v>312</v>
      </c>
      <c r="E160" s="120"/>
      <c r="F160" s="120"/>
      <c r="G160" s="77"/>
      <c r="I160" s="76" t="str">
        <f t="shared" si="4"/>
        <v>CON.0700</v>
      </c>
      <c r="J160" s="121" t="str">
        <f>+IF(B160=TG[[#This Row],[ITEM]],"ok","mal")</f>
        <v>ok</v>
      </c>
      <c r="K160" s="79">
        <f t="shared" si="5"/>
        <v>0</v>
      </c>
      <c r="L160" s="80">
        <f>IF(VLOOKUP(B160,TbPiezas[],5,0)="NA",0,VLOOKUP(B160,TbPiezas[],5,0))</f>
        <v>0.6</v>
      </c>
      <c r="M160" s="81">
        <f>TG[[#This Row],[TOTAL]]*TG[[#This Row],[P.U. (1)]]</f>
        <v>0</v>
      </c>
      <c r="N160" s="82">
        <f>+VLOOKUP(B160,TbPiezas[],6,0)</f>
        <v>57.17</v>
      </c>
      <c r="O160" s="83">
        <f>TG[[#This Row],[TOTAL]]*TG[[#This Row],[P.U. (2)]]</f>
        <v>0</v>
      </c>
      <c r="P160" s="82">
        <f>+VLOOKUP(B160,TbPiezas[],7,0)</f>
        <v>2.8585000000000003</v>
      </c>
      <c r="Q160" s="170">
        <f>ROUND(TG[[#This Row],[TOTAL]]*TG[[#This Row],[P.U. (3)]],2)</f>
        <v>0</v>
      </c>
      <c r="R160" s="326"/>
    </row>
    <row r="161" spans="2:18" hidden="1" x14ac:dyDescent="0.3">
      <c r="B161" s="76" t="s">
        <v>313</v>
      </c>
      <c r="C161" s="76" t="s">
        <v>314</v>
      </c>
      <c r="E161" s="120"/>
      <c r="F161" s="120"/>
      <c r="G161" s="77"/>
      <c r="I161" s="76" t="str">
        <f t="shared" si="4"/>
        <v>PU.0100</v>
      </c>
      <c r="J161" s="121" t="str">
        <f>+IF(B161=TG[[#This Row],[ITEM]],"ok","mal")</f>
        <v>ok</v>
      </c>
      <c r="K161" s="79">
        <f t="shared" si="5"/>
        <v>0</v>
      </c>
      <c r="L161" s="80">
        <f>IF(VLOOKUP(B161,TbPiezas[],5,0)="NA",0,VLOOKUP(B161,TbPiezas[],5,0))</f>
        <v>8.9</v>
      </c>
      <c r="M161" s="81">
        <f>TG[[#This Row],[TOTAL]]*TG[[#This Row],[P.U. (1)]]</f>
        <v>0</v>
      </c>
      <c r="N161" s="82">
        <f>+VLOOKUP(B161,TbPiezas[],6,0)</f>
        <v>180</v>
      </c>
      <c r="O161" s="83">
        <f>TG[[#This Row],[TOTAL]]*TG[[#This Row],[P.U. (2)]]</f>
        <v>0</v>
      </c>
      <c r="P161" s="82">
        <f>+VLOOKUP(B161,TbPiezas[],7,0)</f>
        <v>4.5</v>
      </c>
      <c r="Q161" s="170">
        <f>ROUND(TG[[#This Row],[TOTAL]]*TG[[#This Row],[P.U. (3)]],2)</f>
        <v>0</v>
      </c>
      <c r="R161" s="326"/>
    </row>
    <row r="162" spans="2:18" hidden="1" x14ac:dyDescent="0.3">
      <c r="B162" s="76" t="s">
        <v>315</v>
      </c>
      <c r="C162" s="76" t="s">
        <v>316</v>
      </c>
      <c r="E162" s="120"/>
      <c r="F162" s="120"/>
      <c r="G162" s="74"/>
      <c r="I162" s="76" t="str">
        <f t="shared" si="4"/>
        <v>PU.0200</v>
      </c>
      <c r="J162" s="121" t="str">
        <f>+IF(B162=TG[[#This Row],[ITEM]],"ok","mal")</f>
        <v>ok</v>
      </c>
      <c r="K162" s="79">
        <f t="shared" si="5"/>
        <v>0</v>
      </c>
      <c r="L162" s="80">
        <f>IF(VLOOKUP(B162,TbPiezas[],5,0)="NA",0,VLOOKUP(B162,TbPiezas[],5,0))</f>
        <v>8.9</v>
      </c>
      <c r="M162" s="81">
        <f>TG[[#This Row],[TOTAL]]*TG[[#This Row],[P.U. (1)]]</f>
        <v>0</v>
      </c>
      <c r="N162" s="82">
        <f>+VLOOKUP(B162,TbPiezas[],6,0)</f>
        <v>180</v>
      </c>
      <c r="O162" s="83">
        <f>TG[[#This Row],[TOTAL]]*TG[[#This Row],[P.U. (2)]]</f>
        <v>0</v>
      </c>
      <c r="P162" s="82">
        <f>+VLOOKUP(B162,TbPiezas[],7,0)</f>
        <v>4.5</v>
      </c>
      <c r="Q162" s="170">
        <f>ROUND(TG[[#This Row],[TOTAL]]*TG[[#This Row],[P.U. (3)]],2)</f>
        <v>0</v>
      </c>
      <c r="R162" s="326"/>
    </row>
    <row r="163" spans="2:18" hidden="1" x14ac:dyDescent="0.3">
      <c r="B163" s="76" t="s">
        <v>317</v>
      </c>
      <c r="C163" s="76" t="s">
        <v>318</v>
      </c>
      <c r="E163" s="120"/>
      <c r="F163" s="120"/>
      <c r="G163" s="74"/>
      <c r="I163" s="76" t="str">
        <f t="shared" si="4"/>
        <v>PU.0300</v>
      </c>
      <c r="J163" s="121" t="str">
        <f>+IF(B163=TG[[#This Row],[ITEM]],"ok","mal")</f>
        <v>ok</v>
      </c>
      <c r="K163" s="79">
        <f t="shared" si="5"/>
        <v>0</v>
      </c>
      <c r="L163" s="80">
        <f>IF(VLOOKUP(B163,TbPiezas[],5,0)="NA",0,VLOOKUP(B163,TbPiezas[],5,0))</f>
        <v>8.9</v>
      </c>
      <c r="M163" s="81">
        <f>TG[[#This Row],[TOTAL]]*TG[[#This Row],[P.U. (1)]]</f>
        <v>0</v>
      </c>
      <c r="N163" s="82">
        <f>+VLOOKUP(B163,TbPiezas[],6,0)</f>
        <v>180</v>
      </c>
      <c r="O163" s="83">
        <f>TG[[#This Row],[TOTAL]]*TG[[#This Row],[P.U. (2)]]</f>
        <v>0</v>
      </c>
      <c r="P163" s="82">
        <f>+VLOOKUP(B163,TbPiezas[],7,0)</f>
        <v>4.5</v>
      </c>
      <c r="Q163" s="170">
        <f>ROUND(TG[[#This Row],[TOTAL]]*TG[[#This Row],[P.U. (3)]],2)</f>
        <v>0</v>
      </c>
      <c r="R163" s="326"/>
    </row>
    <row r="164" spans="2:18" hidden="1" x14ac:dyDescent="0.3">
      <c r="B164" s="76" t="s">
        <v>1396</v>
      </c>
      <c r="C164" s="76" t="s">
        <v>1397</v>
      </c>
      <c r="E164" s="120"/>
      <c r="F164" s="120"/>
      <c r="G164" s="74"/>
      <c r="I164" s="410" t="str">
        <f t="shared" si="4"/>
        <v>PU.0350</v>
      </c>
      <c r="J164" s="121" t="str">
        <f>+IF(B164=TG[[#This Row],[ITEM]],"ok","mal")</f>
        <v>ok</v>
      </c>
      <c r="K164" s="79">
        <f>SUM(D164:H164)</f>
        <v>0</v>
      </c>
      <c r="L164" s="80">
        <f>IF(VLOOKUP(B164,TbPiezas[],5,0)="NA",0,VLOOKUP(B164,TbPiezas[],5,0))</f>
        <v>9</v>
      </c>
      <c r="M164" s="81">
        <f>TG[[#This Row],[TOTAL]]*TG[[#This Row],[P.U. (1)]]</f>
        <v>0</v>
      </c>
      <c r="N164" s="82">
        <f>+VLOOKUP(B164,TbPiezas[],6,0)</f>
        <v>180</v>
      </c>
      <c r="O164" s="411">
        <f>TG[[#This Row],[TOTAL]]*TG[[#This Row],[P.U. (2)]]</f>
        <v>0</v>
      </c>
      <c r="P164" s="82">
        <f>+VLOOKUP(B164,TbPiezas[],7,0)</f>
        <v>4.5</v>
      </c>
      <c r="Q164" s="296">
        <f>ROUND(TG[[#This Row],[TOTAL]]*TG[[#This Row],[P.U. (3)]],2)</f>
        <v>0</v>
      </c>
      <c r="R164" s="326"/>
    </row>
    <row r="165" spans="2:18" hidden="1" x14ac:dyDescent="0.3">
      <c r="B165" s="76" t="s">
        <v>319</v>
      </c>
      <c r="C165" s="76" t="s">
        <v>320</v>
      </c>
      <c r="E165" s="120"/>
      <c r="F165" s="120"/>
      <c r="G165" s="74"/>
      <c r="I165" s="76" t="str">
        <f t="shared" si="4"/>
        <v>PU.0400</v>
      </c>
      <c r="J165" s="121" t="str">
        <f>+IF(B165=TG[[#This Row],[ITEM]],"ok","mal")</f>
        <v>ok</v>
      </c>
      <c r="K165" s="79">
        <f t="shared" si="5"/>
        <v>0</v>
      </c>
      <c r="L165" s="80">
        <f>IF(VLOOKUP(B165,TbPiezas[],5,0)="NA",0,VLOOKUP(B165,TbPiezas[],5,0))</f>
        <v>11.8</v>
      </c>
      <c r="M165" s="81">
        <f>TG[[#This Row],[TOTAL]]*TG[[#This Row],[P.U. (1)]]</f>
        <v>0</v>
      </c>
      <c r="N165" s="82">
        <f>+VLOOKUP(B165,TbPiezas[],6,0)</f>
        <v>200</v>
      </c>
      <c r="O165" s="83">
        <f>TG[[#This Row],[TOTAL]]*TG[[#This Row],[P.U. (2)]]</f>
        <v>0</v>
      </c>
      <c r="P165" s="82">
        <f>+VLOOKUP(B165,TbPiezas[],7,0)</f>
        <v>6.6</v>
      </c>
      <c r="Q165" s="170">
        <f>ROUND(TG[[#This Row],[TOTAL]]*TG[[#This Row],[P.U. (3)]],2)</f>
        <v>0</v>
      </c>
      <c r="R165" s="326"/>
    </row>
    <row r="166" spans="2:18" hidden="1" x14ac:dyDescent="0.3">
      <c r="B166" s="76" t="s">
        <v>321</v>
      </c>
      <c r="C166" s="76" t="s">
        <v>322</v>
      </c>
      <c r="E166" s="120"/>
      <c r="F166" s="120"/>
      <c r="G166" s="74"/>
      <c r="I166" s="76" t="str">
        <f t="shared" si="4"/>
        <v>PU.0500</v>
      </c>
      <c r="J166" s="121" t="str">
        <f>+IF(B166=TG[[#This Row],[ITEM]],"ok","mal")</f>
        <v>ok</v>
      </c>
      <c r="K166" s="79">
        <f t="shared" si="5"/>
        <v>0</v>
      </c>
      <c r="L166" s="80">
        <f>IF(VLOOKUP(B166,TbPiezas[],5,0)="NA",0,VLOOKUP(B166,TbPiezas[],5,0))</f>
        <v>11.8</v>
      </c>
      <c r="M166" s="81">
        <f>TG[[#This Row],[TOTAL]]*TG[[#This Row],[P.U. (1)]]</f>
        <v>0</v>
      </c>
      <c r="N166" s="82">
        <f>+VLOOKUP(B166,TbPiezas[],6,0)</f>
        <v>200</v>
      </c>
      <c r="O166" s="83">
        <f>TG[[#This Row],[TOTAL]]*TG[[#This Row],[P.U. (2)]]</f>
        <v>0</v>
      </c>
      <c r="P166" s="82">
        <f>+VLOOKUP(B166,TbPiezas[],7,0)</f>
        <v>6.6</v>
      </c>
      <c r="Q166" s="170">
        <f>ROUND(TG[[#This Row],[TOTAL]]*TG[[#This Row],[P.U. (3)]],2)</f>
        <v>0</v>
      </c>
      <c r="R166" s="326"/>
    </row>
    <row r="167" spans="2:18" hidden="1" x14ac:dyDescent="0.3">
      <c r="B167" s="76" t="s">
        <v>323</v>
      </c>
      <c r="C167" s="76" t="s">
        <v>324</v>
      </c>
      <c r="E167" s="120"/>
      <c r="F167" s="120"/>
      <c r="G167" s="74"/>
      <c r="I167" s="76" t="str">
        <f t="shared" si="4"/>
        <v>PU.0600</v>
      </c>
      <c r="J167" s="121" t="str">
        <f>+IF(B167=TG[[#This Row],[ITEM]],"ok","mal")</f>
        <v>ok</v>
      </c>
      <c r="K167" s="79">
        <f t="shared" si="5"/>
        <v>0</v>
      </c>
      <c r="L167" s="80">
        <f>IF(VLOOKUP(B167,TbPiezas[],5,0)="NA",0,VLOOKUP(B167,TbPiezas[],5,0))</f>
        <v>17.3</v>
      </c>
      <c r="M167" s="81">
        <f>TG[[#This Row],[TOTAL]]*TG[[#This Row],[P.U. (1)]]</f>
        <v>0</v>
      </c>
      <c r="N167" s="82">
        <f>+VLOOKUP(B167,TbPiezas[],6,0)</f>
        <v>300</v>
      </c>
      <c r="O167" s="83">
        <f>TG[[#This Row],[TOTAL]]*TG[[#This Row],[P.U. (2)]]</f>
        <v>0</v>
      </c>
      <c r="P167" s="82">
        <f>+VLOOKUP(B167,TbPiezas[],7,0)</f>
        <v>10.5</v>
      </c>
      <c r="Q167" s="170">
        <f>ROUND(TG[[#This Row],[TOTAL]]*TG[[#This Row],[P.U. (3)]],2)</f>
        <v>0</v>
      </c>
      <c r="R167" s="326"/>
    </row>
    <row r="168" spans="2:18" hidden="1" x14ac:dyDescent="0.3">
      <c r="B168" s="76" t="s">
        <v>325</v>
      </c>
      <c r="C168" s="76" t="s">
        <v>326</v>
      </c>
      <c r="E168" s="120"/>
      <c r="F168" s="120"/>
      <c r="G168" s="74"/>
      <c r="I168" s="76" t="str">
        <f t="shared" si="4"/>
        <v>PU.0700</v>
      </c>
      <c r="J168" s="121" t="str">
        <f>+IF(B168=TG[[#This Row],[ITEM]],"ok","mal")</f>
        <v>ok</v>
      </c>
      <c r="K168" s="79">
        <f t="shared" si="5"/>
        <v>0</v>
      </c>
      <c r="L168" s="80">
        <f>IF(VLOOKUP(B168,TbPiezas[],5,0)="NA",0,VLOOKUP(B168,TbPiezas[],5,0))</f>
        <v>9.9999999999994316E-2</v>
      </c>
      <c r="M168" s="81">
        <f>TG[[#This Row],[TOTAL]]*TG[[#This Row],[P.U. (1)]]</f>
        <v>0</v>
      </c>
      <c r="N168" s="82">
        <f>+VLOOKUP(B168,TbPiezas[],6,0)</f>
        <v>30</v>
      </c>
      <c r="O168" s="83">
        <f>TG[[#This Row],[TOTAL]]*TG[[#This Row],[P.U. (2)]]</f>
        <v>0</v>
      </c>
      <c r="P168" s="82">
        <f>+VLOOKUP(B168,TbPiezas[],7,0)</f>
        <v>1.5</v>
      </c>
      <c r="Q168" s="170">
        <f>ROUND(TG[[#This Row],[TOTAL]]*TG[[#This Row],[P.U. (3)]],2)</f>
        <v>0</v>
      </c>
      <c r="R168" s="326"/>
    </row>
    <row r="169" spans="2:18" hidden="1" x14ac:dyDescent="0.3">
      <c r="B169" s="76" t="s">
        <v>327</v>
      </c>
      <c r="C169" s="76" t="s">
        <v>328</v>
      </c>
      <c r="E169" s="120"/>
      <c r="F169" s="120"/>
      <c r="G169" s="74"/>
      <c r="I169" s="76" t="str">
        <f t="shared" si="4"/>
        <v>PU.0800</v>
      </c>
      <c r="J169" s="121" t="str">
        <f>+IF(B169=TG[[#This Row],[ITEM]],"ok","mal")</f>
        <v>ok</v>
      </c>
      <c r="K169" s="79">
        <f t="shared" si="5"/>
        <v>0</v>
      </c>
      <c r="L169" s="80">
        <f>IF(VLOOKUP(B169,TbPiezas[],5,0)="NA",0,VLOOKUP(B169,TbPiezas[],5,0))</f>
        <v>9.9999999999994316E-2</v>
      </c>
      <c r="M169" s="81">
        <f>TG[[#This Row],[TOTAL]]*TG[[#This Row],[P.U. (1)]]</f>
        <v>0</v>
      </c>
      <c r="N169" s="82">
        <f>+VLOOKUP(B169,TbPiezas[],6,0)</f>
        <v>30</v>
      </c>
      <c r="O169" s="83">
        <f>TG[[#This Row],[TOTAL]]*TG[[#This Row],[P.U. (2)]]</f>
        <v>0</v>
      </c>
      <c r="P169" s="82">
        <f>+VLOOKUP(B169,TbPiezas[],7,0)</f>
        <v>1.5</v>
      </c>
      <c r="Q169" s="170">
        <f>ROUND(TG[[#This Row],[TOTAL]]*TG[[#This Row],[P.U. (3)]],2)</f>
        <v>0</v>
      </c>
      <c r="R169" s="326"/>
    </row>
    <row r="170" spans="2:18" hidden="1" x14ac:dyDescent="0.3">
      <c r="B170" s="76" t="s">
        <v>329</v>
      </c>
      <c r="C170" s="76" t="s">
        <v>330</v>
      </c>
      <c r="E170" s="120"/>
      <c r="F170" s="120"/>
      <c r="G170" s="74"/>
      <c r="I170" s="76" t="str">
        <f t="shared" si="4"/>
        <v>PU.0900</v>
      </c>
      <c r="J170" s="121" t="str">
        <f>+IF(B170=TG[[#This Row],[ITEM]],"ok","mal")</f>
        <v>ok</v>
      </c>
      <c r="K170" s="79">
        <f t="shared" si="5"/>
        <v>0</v>
      </c>
      <c r="L170" s="80">
        <f>IF(VLOOKUP(B170,TbPiezas[],5,0)="NA",0,VLOOKUP(B170,TbPiezas[],5,0))</f>
        <v>9.9999999999994316E-2</v>
      </c>
      <c r="M170" s="81">
        <f>TG[[#This Row],[TOTAL]]*TG[[#This Row],[P.U. (1)]]</f>
        <v>0</v>
      </c>
      <c r="N170" s="82">
        <f>+VLOOKUP(B170,TbPiezas[],6,0)</f>
        <v>30</v>
      </c>
      <c r="O170" s="83">
        <f>TG[[#This Row],[TOTAL]]*TG[[#This Row],[P.U. (2)]]</f>
        <v>0</v>
      </c>
      <c r="P170" s="82">
        <f>+VLOOKUP(B170,TbPiezas[],7,0)</f>
        <v>1.5</v>
      </c>
      <c r="Q170" s="170">
        <f>ROUND(TG[[#This Row],[TOTAL]]*TG[[#This Row],[P.U. (3)]],2)</f>
        <v>0</v>
      </c>
      <c r="R170" s="326"/>
    </row>
    <row r="171" spans="2:18" hidden="1" x14ac:dyDescent="0.3">
      <c r="B171" s="76" t="s">
        <v>331</v>
      </c>
      <c r="C171" s="76" t="s">
        <v>332</v>
      </c>
      <c r="E171" s="120"/>
      <c r="F171" s="120"/>
      <c r="G171" s="74"/>
      <c r="I171" s="76" t="str">
        <f t="shared" si="4"/>
        <v>PU.1000</v>
      </c>
      <c r="J171" s="121" t="str">
        <f>+IF(B171=TG[[#This Row],[ITEM]],"ok","mal")</f>
        <v>ok</v>
      </c>
      <c r="K171" s="79">
        <f t="shared" si="5"/>
        <v>0</v>
      </c>
      <c r="L171" s="80">
        <f>IF(VLOOKUP(B171,TbPiezas[],5,0)="NA",0,VLOOKUP(B171,TbPiezas[],5,0))</f>
        <v>9.9999999999994316E-2</v>
      </c>
      <c r="M171" s="81">
        <f>TG[[#This Row],[TOTAL]]*TG[[#This Row],[P.U. (1)]]</f>
        <v>0</v>
      </c>
      <c r="N171" s="82">
        <f>+VLOOKUP(B171,TbPiezas[],6,0)</f>
        <v>30</v>
      </c>
      <c r="O171" s="83">
        <f>TG[[#This Row],[TOTAL]]*TG[[#This Row],[P.U. (2)]]</f>
        <v>0</v>
      </c>
      <c r="P171" s="82">
        <f>+VLOOKUP(B171,TbPiezas[],7,0)</f>
        <v>1.5</v>
      </c>
      <c r="Q171" s="170">
        <f>ROUND(TG[[#This Row],[TOTAL]]*TG[[#This Row],[P.U. (3)]],2)</f>
        <v>0</v>
      </c>
      <c r="R171" s="326"/>
    </row>
    <row r="172" spans="2:18" hidden="1" x14ac:dyDescent="0.3">
      <c r="B172" s="76" t="s">
        <v>333</v>
      </c>
      <c r="C172" s="76" t="s">
        <v>334</v>
      </c>
      <c r="E172" s="120"/>
      <c r="F172" s="120"/>
      <c r="G172" s="74"/>
      <c r="I172" s="76" t="str">
        <f t="shared" si="4"/>
        <v>PU.1100</v>
      </c>
      <c r="J172" s="121" t="str">
        <f>+IF(B172=TG[[#This Row],[ITEM]],"ok","mal")</f>
        <v>ok</v>
      </c>
      <c r="K172" s="79">
        <f t="shared" si="5"/>
        <v>0</v>
      </c>
      <c r="L172" s="80">
        <f>IF(VLOOKUP(B172,TbPiezas[],5,0)="NA",0,VLOOKUP(B172,TbPiezas[],5,0))</f>
        <v>6.2999999999999972</v>
      </c>
      <c r="M172" s="81">
        <f>TG[[#This Row],[TOTAL]]*TG[[#This Row],[P.U. (1)]]</f>
        <v>0</v>
      </c>
      <c r="N172" s="82">
        <f>+VLOOKUP(B172,TbPiezas[],6,0)</f>
        <v>192.23</v>
      </c>
      <c r="O172" s="83">
        <f>TG[[#This Row],[TOTAL]]*TG[[#This Row],[P.U. (2)]]</f>
        <v>0</v>
      </c>
      <c r="P172" s="82">
        <f>+VLOOKUP(B172,TbPiezas[],7,0)</f>
        <v>9.6114999999999995</v>
      </c>
      <c r="Q172" s="170">
        <f>ROUND(TG[[#This Row],[TOTAL]]*TG[[#This Row],[P.U. (3)]],2)</f>
        <v>0</v>
      </c>
      <c r="R172" s="326"/>
    </row>
    <row r="173" spans="2:18" hidden="1" x14ac:dyDescent="0.3">
      <c r="B173" s="76" t="s">
        <v>335</v>
      </c>
      <c r="C173" s="76" t="s">
        <v>336</v>
      </c>
      <c r="E173" s="120"/>
      <c r="F173" s="120"/>
      <c r="G173" s="74"/>
      <c r="I173" s="76" t="str">
        <f t="shared" si="4"/>
        <v>AE.0100</v>
      </c>
      <c r="J173" s="121" t="str">
        <f>+IF(B173=TG[[#This Row],[ITEM]],"ok","mal")</f>
        <v>ok</v>
      </c>
      <c r="K173" s="79">
        <f t="shared" si="5"/>
        <v>0</v>
      </c>
      <c r="L173" s="80">
        <f>IF(VLOOKUP(B173,TbPiezas[],5,0)="NA",0,VLOOKUP(B173,TbPiezas[],5,0))</f>
        <v>48.8</v>
      </c>
      <c r="M173" s="81">
        <f>TG[[#This Row],[TOTAL]]*TG[[#This Row],[P.U. (1)]]</f>
        <v>0</v>
      </c>
      <c r="N173" s="82">
        <f>+VLOOKUP(B173,TbPiezas[],6,0)</f>
        <v>3303.3</v>
      </c>
      <c r="O173" s="83">
        <f>TG[[#This Row],[TOTAL]]*TG[[#This Row],[P.U. (2)]]</f>
        <v>0</v>
      </c>
      <c r="P173" s="82">
        <f>+VLOOKUP(B173,TbPiezas[],7,0)</f>
        <v>165.16500000000002</v>
      </c>
      <c r="Q173" s="170">
        <f>ROUND(TG[[#This Row],[TOTAL]]*TG[[#This Row],[P.U. (3)]],2)</f>
        <v>0</v>
      </c>
      <c r="R173" s="326"/>
    </row>
    <row r="174" spans="2:18" hidden="1" x14ac:dyDescent="0.3">
      <c r="B174" s="76" t="s">
        <v>337</v>
      </c>
      <c r="C174" s="76" t="s">
        <v>338</v>
      </c>
      <c r="E174" s="120"/>
      <c r="F174" s="120"/>
      <c r="G174" s="74"/>
      <c r="I174" s="76" t="str">
        <f t="shared" si="4"/>
        <v>AE.0200</v>
      </c>
      <c r="J174" s="121" t="str">
        <f>+IF(B174=TG[[#This Row],[ITEM]],"ok","mal")</f>
        <v>ok</v>
      </c>
      <c r="K174" s="79">
        <f t="shared" si="5"/>
        <v>0</v>
      </c>
      <c r="L174" s="80">
        <f>IF(VLOOKUP(B174,TbPiezas[],5,0)="NA",0,VLOOKUP(B174,TbPiezas[],5,0))</f>
        <v>48.8</v>
      </c>
      <c r="M174" s="81">
        <f>TG[[#This Row],[TOTAL]]*TG[[#This Row],[P.U. (1)]]</f>
        <v>0</v>
      </c>
      <c r="N174" s="82">
        <f>+VLOOKUP(B174,TbPiezas[],6,0)</f>
        <v>3303.3</v>
      </c>
      <c r="O174" s="83">
        <f>TG[[#This Row],[TOTAL]]*TG[[#This Row],[P.U. (2)]]</f>
        <v>0</v>
      </c>
      <c r="P174" s="82">
        <f>+VLOOKUP(B174,TbPiezas[],7,0)</f>
        <v>165.16500000000002</v>
      </c>
      <c r="Q174" s="170">
        <f>ROUND(TG[[#This Row],[TOTAL]]*TG[[#This Row],[P.U. (3)]],2)</f>
        <v>0</v>
      </c>
      <c r="R174" s="326"/>
    </row>
    <row r="175" spans="2:18" hidden="1" x14ac:dyDescent="0.3">
      <c r="B175" s="76" t="s">
        <v>339</v>
      </c>
      <c r="C175" s="76" t="s">
        <v>340</v>
      </c>
      <c r="E175" s="120"/>
      <c r="F175" s="120"/>
      <c r="G175" s="74"/>
      <c r="I175" s="76" t="str">
        <f t="shared" si="4"/>
        <v>AE.0300</v>
      </c>
      <c r="J175" s="121" t="str">
        <f>+IF(B175=TG[[#This Row],[ITEM]],"ok","mal")</f>
        <v>ok</v>
      </c>
      <c r="K175" s="79">
        <f t="shared" si="5"/>
        <v>0</v>
      </c>
      <c r="L175" s="80">
        <f>IF(VLOOKUP(B175,TbPiezas[],5,0)="NA",0,VLOOKUP(B175,TbPiezas[],5,0))</f>
        <v>48.8</v>
      </c>
      <c r="M175" s="81">
        <f>TG[[#This Row],[TOTAL]]*TG[[#This Row],[P.U. (1)]]</f>
        <v>0</v>
      </c>
      <c r="N175" s="82">
        <f>+VLOOKUP(B175,TbPiezas[],6,0)</f>
        <v>3303.3</v>
      </c>
      <c r="O175" s="83">
        <f>TG[[#This Row],[TOTAL]]*TG[[#This Row],[P.U. (2)]]</f>
        <v>0</v>
      </c>
      <c r="P175" s="82">
        <f>+VLOOKUP(B175,TbPiezas[],7,0)</f>
        <v>165.16500000000002</v>
      </c>
      <c r="Q175" s="170">
        <f>ROUND(TG[[#This Row],[TOTAL]]*TG[[#This Row],[P.U. (3)]],2)</f>
        <v>0</v>
      </c>
      <c r="R175" s="326"/>
    </row>
    <row r="176" spans="2:18" hidden="1" x14ac:dyDescent="0.3">
      <c r="B176" s="76" t="s">
        <v>341</v>
      </c>
      <c r="C176" s="76" t="s">
        <v>342</v>
      </c>
      <c r="E176" s="120"/>
      <c r="F176" s="120"/>
      <c r="G176" s="74"/>
      <c r="I176" s="76" t="str">
        <f t="shared" si="4"/>
        <v>AE.0400</v>
      </c>
      <c r="J176" s="121" t="str">
        <f>+IF(B176=TG[[#This Row],[ITEM]],"ok","mal")</f>
        <v>ok</v>
      </c>
      <c r="K176" s="79">
        <f t="shared" si="5"/>
        <v>0</v>
      </c>
      <c r="L176" s="80">
        <f>IF(VLOOKUP(B176,TbPiezas[],5,0)="NA",0,VLOOKUP(B176,TbPiezas[],5,0))</f>
        <v>48.8</v>
      </c>
      <c r="M176" s="81">
        <f>TG[[#This Row],[TOTAL]]*TG[[#This Row],[P.U. (1)]]</f>
        <v>0</v>
      </c>
      <c r="N176" s="82">
        <f>+VLOOKUP(B176,TbPiezas[],6,0)</f>
        <v>3303.3</v>
      </c>
      <c r="O176" s="83">
        <f>TG[[#This Row],[TOTAL]]*TG[[#This Row],[P.U. (2)]]</f>
        <v>0</v>
      </c>
      <c r="P176" s="82">
        <f>+VLOOKUP(B176,TbPiezas[],7,0)</f>
        <v>165.16500000000002</v>
      </c>
      <c r="Q176" s="170">
        <f>ROUND(TG[[#This Row],[TOTAL]]*TG[[#This Row],[P.U. (3)]],2)</f>
        <v>0</v>
      </c>
      <c r="R176" s="326"/>
    </row>
    <row r="177" spans="2:18" hidden="1" x14ac:dyDescent="0.3">
      <c r="B177" s="76" t="s">
        <v>343</v>
      </c>
      <c r="C177" s="76" t="s">
        <v>344</v>
      </c>
      <c r="E177" s="120"/>
      <c r="F177" s="120"/>
      <c r="G177" s="74"/>
      <c r="I177" s="76" t="str">
        <f t="shared" si="4"/>
        <v>AE.0401</v>
      </c>
      <c r="J177" s="121" t="str">
        <f>+IF(B177=TG[[#This Row],[ITEM]],"ok","mal")</f>
        <v>ok</v>
      </c>
      <c r="K177" s="79">
        <f t="shared" si="5"/>
        <v>0</v>
      </c>
      <c r="L177" s="80">
        <f>IF(VLOOKUP(B177,TbPiezas[],5,0)="NA",0,VLOOKUP(B177,TbPiezas[],5,0))</f>
        <v>48.8</v>
      </c>
      <c r="M177" s="81">
        <f>TG[[#This Row],[TOTAL]]*TG[[#This Row],[P.U. (1)]]</f>
        <v>0</v>
      </c>
      <c r="N177" s="82">
        <f>+VLOOKUP(B177,TbPiezas[],6,0)</f>
        <v>3303.3</v>
      </c>
      <c r="O177" s="83">
        <f>TG[[#This Row],[TOTAL]]*TG[[#This Row],[P.U. (2)]]</f>
        <v>0</v>
      </c>
      <c r="P177" s="82">
        <f>+VLOOKUP(B177,TbPiezas[],7,0)</f>
        <v>165.16500000000002</v>
      </c>
      <c r="Q177" s="170">
        <f>ROUND(TG[[#This Row],[TOTAL]]*TG[[#This Row],[P.U. (3)]],2)</f>
        <v>0</v>
      </c>
      <c r="R177" s="326"/>
    </row>
    <row r="178" spans="2:18" hidden="1" x14ac:dyDescent="0.3">
      <c r="B178" s="76" t="s">
        <v>345</v>
      </c>
      <c r="C178" s="76" t="s">
        <v>346</v>
      </c>
      <c r="E178" s="120"/>
      <c r="F178" s="120"/>
      <c r="G178" s="74"/>
      <c r="I178" s="76" t="str">
        <f t="shared" si="4"/>
        <v>AE.0500</v>
      </c>
      <c r="J178" s="121" t="str">
        <f>+IF(B178=TG[[#This Row],[ITEM]],"ok","mal")</f>
        <v>ok</v>
      </c>
      <c r="K178" s="79">
        <f t="shared" si="5"/>
        <v>0</v>
      </c>
      <c r="L178" s="80">
        <f>IF(VLOOKUP(B178,TbPiezas[],5,0)="NA",0,VLOOKUP(B178,TbPiezas[],5,0))</f>
        <v>13.299999999999997</v>
      </c>
      <c r="M178" s="81">
        <f>TG[[#This Row],[TOTAL]]*TG[[#This Row],[P.U. (1)]]</f>
        <v>0</v>
      </c>
      <c r="N178" s="82">
        <f>+VLOOKUP(B178,TbPiezas[],6,0)</f>
        <v>2369.94</v>
      </c>
      <c r="O178" s="83">
        <f>TG[[#This Row],[TOTAL]]*TG[[#This Row],[P.U. (2)]]</f>
        <v>0</v>
      </c>
      <c r="P178" s="82">
        <f>+VLOOKUP(B178,TbPiezas[],7,0)</f>
        <v>118.49700000000001</v>
      </c>
      <c r="Q178" s="170">
        <f>ROUND(TG[[#This Row],[TOTAL]]*TG[[#This Row],[P.U. (3)]],2)</f>
        <v>0</v>
      </c>
      <c r="R178" s="326"/>
    </row>
    <row r="179" spans="2:18" hidden="1" x14ac:dyDescent="0.3">
      <c r="B179" s="76" t="s">
        <v>347</v>
      </c>
      <c r="C179" s="76" t="s">
        <v>348</v>
      </c>
      <c r="E179" s="120"/>
      <c r="F179" s="120"/>
      <c r="G179" s="74"/>
      <c r="I179" s="76" t="str">
        <f t="shared" si="4"/>
        <v>AE.0600</v>
      </c>
      <c r="J179" s="121" t="str">
        <f>+IF(B179=TG[[#This Row],[ITEM]],"ok","mal")</f>
        <v>ok</v>
      </c>
      <c r="K179" s="79">
        <f t="shared" si="5"/>
        <v>0</v>
      </c>
      <c r="L179" s="80">
        <f>IF(VLOOKUP(B179,TbPiezas[],5,0)="NA",0,VLOOKUP(B179,TbPiezas[],5,0))</f>
        <v>13.299999999999997</v>
      </c>
      <c r="M179" s="81">
        <f>TG[[#This Row],[TOTAL]]*TG[[#This Row],[P.U. (1)]]</f>
        <v>0</v>
      </c>
      <c r="N179" s="82">
        <f>+VLOOKUP(B179,TbPiezas[],6,0)</f>
        <v>2369.94</v>
      </c>
      <c r="O179" s="83">
        <f>TG[[#This Row],[TOTAL]]*TG[[#This Row],[P.U. (2)]]</f>
        <v>0</v>
      </c>
      <c r="P179" s="82">
        <f>+VLOOKUP(B179,TbPiezas[],7,0)</f>
        <v>118.49700000000001</v>
      </c>
      <c r="Q179" s="170">
        <f>ROUND(TG[[#This Row],[TOTAL]]*TG[[#This Row],[P.U. (3)]],2)</f>
        <v>0</v>
      </c>
      <c r="R179" s="326"/>
    </row>
    <row r="180" spans="2:18" hidden="1" x14ac:dyDescent="0.3">
      <c r="B180" s="76" t="s">
        <v>349</v>
      </c>
      <c r="C180" s="76" t="s">
        <v>350</v>
      </c>
      <c r="E180" s="120"/>
      <c r="F180" s="120"/>
      <c r="G180" s="74"/>
      <c r="I180" s="76" t="str">
        <f t="shared" si="4"/>
        <v>AE.0700</v>
      </c>
      <c r="J180" s="121" t="str">
        <f>+IF(B180=TG[[#This Row],[ITEM]],"ok","mal")</f>
        <v>ok</v>
      </c>
      <c r="K180" s="79">
        <f t="shared" si="5"/>
        <v>0</v>
      </c>
      <c r="L180" s="80">
        <f>IF(VLOOKUP(B180,TbPiezas[],5,0)="NA",0,VLOOKUP(B180,TbPiezas[],5,0))</f>
        <v>13.299999999999997</v>
      </c>
      <c r="M180" s="81">
        <f>TG[[#This Row],[TOTAL]]*TG[[#This Row],[P.U. (1)]]</f>
        <v>0</v>
      </c>
      <c r="N180" s="82">
        <f>+VLOOKUP(B180,TbPiezas[],6,0)</f>
        <v>2369.94</v>
      </c>
      <c r="O180" s="83">
        <f>TG[[#This Row],[TOTAL]]*TG[[#This Row],[P.U. (2)]]</f>
        <v>0</v>
      </c>
      <c r="P180" s="82">
        <f>+VLOOKUP(B180,TbPiezas[],7,0)</f>
        <v>118.49700000000001</v>
      </c>
      <c r="Q180" s="170">
        <f>ROUND(TG[[#This Row],[TOTAL]]*TG[[#This Row],[P.U. (3)]],2)</f>
        <v>0</v>
      </c>
      <c r="R180" s="326"/>
    </row>
    <row r="181" spans="2:18" hidden="1" x14ac:dyDescent="0.3">
      <c r="B181" s="76" t="s">
        <v>351</v>
      </c>
      <c r="C181" s="76" t="s">
        <v>352</v>
      </c>
      <c r="E181" s="120"/>
      <c r="F181" s="120"/>
      <c r="G181" s="74"/>
      <c r="I181" s="76" t="str">
        <f t="shared" si="4"/>
        <v>AE.0800</v>
      </c>
      <c r="J181" s="121" t="str">
        <f>+IF(B181=TG[[#This Row],[ITEM]],"ok","mal")</f>
        <v>ok</v>
      </c>
      <c r="K181" s="79">
        <f t="shared" si="5"/>
        <v>0</v>
      </c>
      <c r="L181" s="80">
        <f>IF(VLOOKUP(B181,TbPiezas[],5,0)="NA",0,VLOOKUP(B181,TbPiezas[],5,0))</f>
        <v>13.299999999999997</v>
      </c>
      <c r="M181" s="81">
        <f>TG[[#This Row],[TOTAL]]*TG[[#This Row],[P.U. (1)]]</f>
        <v>0</v>
      </c>
      <c r="N181" s="82">
        <f>+VLOOKUP(B181,TbPiezas[],6,0)</f>
        <v>2369.94</v>
      </c>
      <c r="O181" s="83">
        <f>TG[[#This Row],[TOTAL]]*TG[[#This Row],[P.U. (2)]]</f>
        <v>0</v>
      </c>
      <c r="P181" s="82">
        <f>+VLOOKUP(B181,TbPiezas[],7,0)</f>
        <v>118.49700000000001</v>
      </c>
      <c r="Q181" s="170">
        <f>ROUND(TG[[#This Row],[TOTAL]]*TG[[#This Row],[P.U. (3)]],2)</f>
        <v>0</v>
      </c>
      <c r="R181" s="326"/>
    </row>
    <row r="182" spans="2:18" hidden="1" x14ac:dyDescent="0.3">
      <c r="B182" s="76" t="s">
        <v>353</v>
      </c>
      <c r="C182" s="76" t="s">
        <v>354</v>
      </c>
      <c r="E182" s="120"/>
      <c r="F182" s="120"/>
      <c r="G182" s="74"/>
      <c r="I182" s="76" t="str">
        <f t="shared" si="4"/>
        <v>AE.0801</v>
      </c>
      <c r="J182" s="121" t="str">
        <f>+IF(B182=TG[[#This Row],[ITEM]],"ok","mal")</f>
        <v>ok</v>
      </c>
      <c r="K182" s="79">
        <f t="shared" si="5"/>
        <v>0</v>
      </c>
      <c r="L182" s="80">
        <f>IF(VLOOKUP(B182,TbPiezas[],5,0)="NA",0,VLOOKUP(B182,TbPiezas[],5,0))</f>
        <v>13.299999999999997</v>
      </c>
      <c r="M182" s="81">
        <f>TG[[#This Row],[TOTAL]]*TG[[#This Row],[P.U. (1)]]</f>
        <v>0</v>
      </c>
      <c r="N182" s="82">
        <f>+VLOOKUP(B182,TbPiezas[],6,0)</f>
        <v>2369.94</v>
      </c>
      <c r="O182" s="83">
        <f>TG[[#This Row],[TOTAL]]*TG[[#This Row],[P.U. (2)]]</f>
        <v>0</v>
      </c>
      <c r="P182" s="82">
        <f>+VLOOKUP(B182,TbPiezas[],7,0)</f>
        <v>118.49700000000001</v>
      </c>
      <c r="Q182" s="170">
        <f>ROUND(TG[[#This Row],[TOTAL]]*TG[[#This Row],[P.U. (3)]],2)</f>
        <v>0</v>
      </c>
      <c r="R182" s="326"/>
    </row>
    <row r="183" spans="2:18" hidden="1" x14ac:dyDescent="0.3">
      <c r="B183" s="76" t="s">
        <v>355</v>
      </c>
      <c r="C183" s="76" t="s">
        <v>356</v>
      </c>
      <c r="E183" s="120"/>
      <c r="F183" s="120"/>
      <c r="G183" s="74"/>
      <c r="I183" s="76" t="str">
        <f t="shared" si="4"/>
        <v>AE.0900</v>
      </c>
      <c r="J183" s="121" t="str">
        <f>+IF(B183=TG[[#This Row],[ITEM]],"ok","mal")</f>
        <v>ok</v>
      </c>
      <c r="K183" s="79">
        <f t="shared" si="5"/>
        <v>0</v>
      </c>
      <c r="L183" s="80">
        <f>IF(VLOOKUP(B183,TbPiezas[],5,0)="NA",0,VLOOKUP(B183,TbPiezas[],5,0))</f>
        <v>46.5</v>
      </c>
      <c r="M183" s="81">
        <f>TG[[#This Row],[TOTAL]]*TG[[#This Row],[P.U. (1)]]</f>
        <v>0</v>
      </c>
      <c r="N183" s="82">
        <f>+VLOOKUP(B183,TbPiezas[],6,0)</f>
        <v>5200</v>
      </c>
      <c r="O183" s="83">
        <f>TG[[#This Row],[TOTAL]]*TG[[#This Row],[P.U. (2)]]</f>
        <v>0</v>
      </c>
      <c r="P183" s="82">
        <f>+VLOOKUP(B183,TbPiezas[],7,0)</f>
        <v>260</v>
      </c>
      <c r="Q183" s="170">
        <f>ROUND(TG[[#This Row],[TOTAL]]*TG[[#This Row],[P.U. (3)]],2)</f>
        <v>0</v>
      </c>
      <c r="R183" s="326"/>
    </row>
    <row r="184" spans="2:18" hidden="1" x14ac:dyDescent="0.3">
      <c r="B184" s="76" t="s">
        <v>357</v>
      </c>
      <c r="C184" s="76" t="s">
        <v>358</v>
      </c>
      <c r="E184" s="120"/>
      <c r="F184" s="120"/>
      <c r="G184" s="74"/>
      <c r="I184" s="76" t="str">
        <f t="shared" si="4"/>
        <v>AE.0950</v>
      </c>
      <c r="J184" s="121" t="str">
        <f>+IF(B184=TG[[#This Row],[ITEM]],"ok","mal")</f>
        <v>ok</v>
      </c>
      <c r="K184" s="79">
        <f t="shared" si="5"/>
        <v>0</v>
      </c>
      <c r="L184" s="80">
        <f>IF(VLOOKUP(B184,TbPiezas[],5,0)="NA",0,VLOOKUP(B184,TbPiezas[],5,0))</f>
        <v>46.4</v>
      </c>
      <c r="M184" s="81">
        <f>TG[[#This Row],[TOTAL]]*TG[[#This Row],[P.U. (1)]]</f>
        <v>0</v>
      </c>
      <c r="N184" s="82">
        <f>+VLOOKUP(B184,TbPiezas[],6,0)</f>
        <v>8500</v>
      </c>
      <c r="O184" s="83">
        <f>TG[[#This Row],[TOTAL]]*TG[[#This Row],[P.U. (2)]]</f>
        <v>0</v>
      </c>
      <c r="P184" s="82">
        <f>+VLOOKUP(B184,TbPiezas[],7,0)</f>
        <v>425</v>
      </c>
      <c r="Q184" s="170">
        <f>ROUND(TG[[#This Row],[TOTAL]]*TG[[#This Row],[P.U. (3)]],2)</f>
        <v>0</v>
      </c>
      <c r="R184" s="326"/>
    </row>
    <row r="185" spans="2:18" hidden="1" x14ac:dyDescent="0.3">
      <c r="B185" s="76" t="s">
        <v>359</v>
      </c>
      <c r="C185" s="76" t="s">
        <v>360</v>
      </c>
      <c r="E185" s="120"/>
      <c r="F185" s="120"/>
      <c r="G185" s="74"/>
      <c r="I185" s="76" t="str">
        <f t="shared" si="4"/>
        <v>AE.0970</v>
      </c>
      <c r="J185" s="121" t="str">
        <f>+IF(B185=TG[[#This Row],[ITEM]],"ok","mal")</f>
        <v>ok</v>
      </c>
      <c r="K185" s="79">
        <f t="shared" si="5"/>
        <v>0</v>
      </c>
      <c r="L185" s="80">
        <f>IF(VLOOKUP(B185,TbPiezas[],5,0)="NA",0,VLOOKUP(B185,TbPiezas[],5,0))</f>
        <v>39.5</v>
      </c>
      <c r="M185" s="81">
        <f>TG[[#This Row],[TOTAL]]*TG[[#This Row],[P.U. (1)]]</f>
        <v>0</v>
      </c>
      <c r="N185" s="82">
        <f>+VLOOKUP(B185,TbPiezas[],6,0)</f>
        <v>2315.96</v>
      </c>
      <c r="O185" s="83">
        <f>TG[[#This Row],[TOTAL]]*TG[[#This Row],[P.U. (2)]]</f>
        <v>0</v>
      </c>
      <c r="P185" s="82">
        <f>+VLOOKUP(B185,TbPiezas[],7,0)</f>
        <v>115.798</v>
      </c>
      <c r="Q185" s="170">
        <f>ROUND(TG[[#This Row],[TOTAL]]*TG[[#This Row],[P.U. (3)]],2)</f>
        <v>0</v>
      </c>
      <c r="R185" s="326"/>
    </row>
    <row r="186" spans="2:18" hidden="1" x14ac:dyDescent="0.3">
      <c r="B186" s="76" t="s">
        <v>361</v>
      </c>
      <c r="C186" s="76" t="s">
        <v>362</v>
      </c>
      <c r="E186" s="120"/>
      <c r="F186" s="120"/>
      <c r="G186" s="74"/>
      <c r="I186" s="76" t="str">
        <f t="shared" si="4"/>
        <v>AE.0975</v>
      </c>
      <c r="J186" s="121" t="str">
        <f>+IF(B186=TG[[#This Row],[ITEM]],"ok","mal")</f>
        <v>ok</v>
      </c>
      <c r="K186" s="79">
        <f t="shared" si="5"/>
        <v>0</v>
      </c>
      <c r="L186" s="80">
        <f>IF(VLOOKUP(B186,TbPiezas[],5,0)="NA",0,VLOOKUP(B186,TbPiezas[],5,0))</f>
        <v>36.4</v>
      </c>
      <c r="M186" s="81">
        <f>TG[[#This Row],[TOTAL]]*TG[[#This Row],[P.U. (1)]]</f>
        <v>0</v>
      </c>
      <c r="N186" s="82">
        <f>+VLOOKUP(B186,TbPiezas[],6,0)</f>
        <v>2137.81</v>
      </c>
      <c r="O186" s="83">
        <f>TG[[#This Row],[TOTAL]]*TG[[#This Row],[P.U. (2)]]</f>
        <v>0</v>
      </c>
      <c r="P186" s="82">
        <f>+VLOOKUP(B186,TbPiezas[],7,0)</f>
        <v>106.8905</v>
      </c>
      <c r="Q186" s="170">
        <f>ROUND(TG[[#This Row],[TOTAL]]*TG[[#This Row],[P.U. (3)]],2)</f>
        <v>0</v>
      </c>
      <c r="R186" s="326"/>
    </row>
    <row r="187" spans="2:18" hidden="1" x14ac:dyDescent="0.3">
      <c r="B187" s="76" t="s">
        <v>363</v>
      </c>
      <c r="C187" s="76" t="s">
        <v>364</v>
      </c>
      <c r="E187" s="120"/>
      <c r="F187" s="120"/>
      <c r="G187" s="74"/>
      <c r="I187" s="76" t="str">
        <f t="shared" si="4"/>
        <v>AE.1000</v>
      </c>
      <c r="J187" s="121" t="str">
        <f>+IF(B187=TG[[#This Row],[ITEM]],"ok","mal")</f>
        <v>ok</v>
      </c>
      <c r="K187" s="79">
        <f t="shared" si="5"/>
        <v>0</v>
      </c>
      <c r="L187" s="80">
        <f>IF(VLOOKUP(B187,TbPiezas[],5,0)="NA",0,VLOOKUP(B187,TbPiezas[],5,0))</f>
        <v>27.099999999999994</v>
      </c>
      <c r="M187" s="81">
        <f>TG[[#This Row],[TOTAL]]*TG[[#This Row],[P.U. (1)]]</f>
        <v>0</v>
      </c>
      <c r="N187" s="82">
        <f>+VLOOKUP(B187,TbPiezas[],6,0)</f>
        <v>1238.74</v>
      </c>
      <c r="O187" s="83">
        <f>TG[[#This Row],[TOTAL]]*TG[[#This Row],[P.U. (2)]]</f>
        <v>0</v>
      </c>
      <c r="P187" s="82">
        <f>+VLOOKUP(B187,TbPiezas[],7,0)</f>
        <v>61.937000000000005</v>
      </c>
      <c r="Q187" s="170">
        <f>ROUND(TG[[#This Row],[TOTAL]]*TG[[#This Row],[P.U. (3)]],2)</f>
        <v>0</v>
      </c>
      <c r="R187" s="326"/>
    </row>
    <row r="188" spans="2:18" hidden="1" x14ac:dyDescent="0.3">
      <c r="B188" s="76" t="s">
        <v>365</v>
      </c>
      <c r="C188" s="76" t="s">
        <v>366</v>
      </c>
      <c r="E188" s="120"/>
      <c r="F188" s="120"/>
      <c r="G188" s="74"/>
      <c r="I188" s="76" t="str">
        <f t="shared" si="4"/>
        <v>AE.1100</v>
      </c>
      <c r="J188" s="121" t="str">
        <f>+IF(B188=TG[[#This Row],[ITEM]],"ok","mal")</f>
        <v>ok</v>
      </c>
      <c r="K188" s="79">
        <f t="shared" si="5"/>
        <v>0</v>
      </c>
      <c r="L188" s="80">
        <f>IF(VLOOKUP(B188,TbPiezas[],5,0)="NA",0,VLOOKUP(B188,TbPiezas[],5,0))</f>
        <v>24.399999999999991</v>
      </c>
      <c r="M188" s="81">
        <f>TG[[#This Row],[TOTAL]]*TG[[#This Row],[P.U. (1)]]</f>
        <v>0</v>
      </c>
      <c r="N188" s="82">
        <f>+VLOOKUP(B188,TbPiezas[],6,0)</f>
        <v>1114.8599999999999</v>
      </c>
      <c r="O188" s="83">
        <f>TG[[#This Row],[TOTAL]]*TG[[#This Row],[P.U. (2)]]</f>
        <v>0</v>
      </c>
      <c r="P188" s="82">
        <f>+VLOOKUP(B188,TbPiezas[],7,0)</f>
        <v>55.742999999999995</v>
      </c>
      <c r="Q188" s="170">
        <f>ROUND(TG[[#This Row],[TOTAL]]*TG[[#This Row],[P.U. (3)]],2)</f>
        <v>0</v>
      </c>
      <c r="R188" s="326"/>
    </row>
    <row r="189" spans="2:18" hidden="1" x14ac:dyDescent="0.3">
      <c r="B189" s="76" t="s">
        <v>367</v>
      </c>
      <c r="C189" s="76" t="s">
        <v>368</v>
      </c>
      <c r="E189" s="120"/>
      <c r="F189" s="120"/>
      <c r="G189" s="74"/>
      <c r="I189" s="76" t="str">
        <f t="shared" si="4"/>
        <v>AE.1200</v>
      </c>
      <c r="J189" s="121" t="str">
        <f>+IF(B189=TG[[#This Row],[ITEM]],"ok","mal")</f>
        <v>ok</v>
      </c>
      <c r="K189" s="79">
        <f t="shared" si="5"/>
        <v>0</v>
      </c>
      <c r="L189" s="80">
        <f>IF(VLOOKUP(B189,TbPiezas[],5,0)="NA",0,VLOOKUP(B189,TbPiezas[],5,0))</f>
        <v>21.700000000000003</v>
      </c>
      <c r="M189" s="81">
        <f>TG[[#This Row],[TOTAL]]*TG[[#This Row],[P.U. (1)]]</f>
        <v>0</v>
      </c>
      <c r="N189" s="82">
        <f>+VLOOKUP(B189,TbPiezas[],6,0)</f>
        <v>990.99</v>
      </c>
      <c r="O189" s="83">
        <f>TG[[#This Row],[TOTAL]]*TG[[#This Row],[P.U. (2)]]</f>
        <v>0</v>
      </c>
      <c r="P189" s="82">
        <f>+VLOOKUP(B189,TbPiezas[],7,0)</f>
        <v>49.549500000000002</v>
      </c>
      <c r="Q189" s="170">
        <f>ROUND(TG[[#This Row],[TOTAL]]*TG[[#This Row],[P.U. (3)]],2)</f>
        <v>0</v>
      </c>
      <c r="R189" s="326"/>
    </row>
    <row r="190" spans="2:18" hidden="1" x14ac:dyDescent="0.3">
      <c r="B190" s="76" t="s">
        <v>369</v>
      </c>
      <c r="C190" s="76" t="s">
        <v>370</v>
      </c>
      <c r="E190" s="120"/>
      <c r="F190" s="120"/>
      <c r="G190" s="74"/>
      <c r="I190" s="76" t="str">
        <f t="shared" si="4"/>
        <v>AE.1300</v>
      </c>
      <c r="J190" s="121" t="str">
        <f>+IF(B190=TG[[#This Row],[ITEM]],"ok","mal")</f>
        <v>ok</v>
      </c>
      <c r="K190" s="79">
        <f t="shared" si="5"/>
        <v>0</v>
      </c>
      <c r="L190" s="80">
        <f>IF(VLOOKUP(B190,TbPiezas[],5,0)="NA",0,VLOOKUP(B190,TbPiezas[],5,0))</f>
        <v>19</v>
      </c>
      <c r="M190" s="81">
        <f>TG[[#This Row],[TOTAL]]*TG[[#This Row],[P.U. (1)]]</f>
        <v>0</v>
      </c>
      <c r="N190" s="82">
        <f>+VLOOKUP(B190,TbPiezas[],6,0)</f>
        <v>867.12</v>
      </c>
      <c r="O190" s="83">
        <f>TG[[#This Row],[TOTAL]]*TG[[#This Row],[P.U. (2)]]</f>
        <v>0</v>
      </c>
      <c r="P190" s="82">
        <f>+VLOOKUP(B190,TbPiezas[],7,0)</f>
        <v>43.356000000000002</v>
      </c>
      <c r="Q190" s="170">
        <f>ROUND(TG[[#This Row],[TOTAL]]*TG[[#This Row],[P.U. (3)]],2)</f>
        <v>0</v>
      </c>
      <c r="R190" s="326"/>
    </row>
    <row r="191" spans="2:18" hidden="1" x14ac:dyDescent="0.3">
      <c r="B191" s="76" t="s">
        <v>371</v>
      </c>
      <c r="C191" s="76" t="s">
        <v>372</v>
      </c>
      <c r="E191" s="120"/>
      <c r="F191" s="120"/>
      <c r="G191" s="74"/>
      <c r="I191" s="76" t="str">
        <f t="shared" si="4"/>
        <v>AE.1400</v>
      </c>
      <c r="J191" s="121" t="str">
        <f>+IF(B191=TG[[#This Row],[ITEM]],"ok","mal")</f>
        <v>ok</v>
      </c>
      <c r="K191" s="79">
        <f t="shared" si="5"/>
        <v>0</v>
      </c>
      <c r="L191" s="80">
        <f>IF(VLOOKUP(B191,TbPiezas[],5,0)="NA",0,VLOOKUP(B191,TbPiezas[],5,0))</f>
        <v>16.299999999999997</v>
      </c>
      <c r="M191" s="81">
        <f>TG[[#This Row],[TOTAL]]*TG[[#This Row],[P.U. (1)]]</f>
        <v>0</v>
      </c>
      <c r="N191" s="82">
        <f>+VLOOKUP(B191,TbPiezas[],6,0)</f>
        <v>743.24</v>
      </c>
      <c r="O191" s="83">
        <f>TG[[#This Row],[TOTAL]]*TG[[#This Row],[P.U. (2)]]</f>
        <v>0</v>
      </c>
      <c r="P191" s="82">
        <f>+VLOOKUP(B191,TbPiezas[],7,0)</f>
        <v>37.161999999999999</v>
      </c>
      <c r="Q191" s="170">
        <f>ROUND(TG[[#This Row],[TOTAL]]*TG[[#This Row],[P.U. (3)]],2)</f>
        <v>0</v>
      </c>
      <c r="R191" s="326"/>
    </row>
    <row r="192" spans="2:18" hidden="1" x14ac:dyDescent="0.3">
      <c r="B192" s="76" t="s">
        <v>373</v>
      </c>
      <c r="C192" s="76" t="s">
        <v>374</v>
      </c>
      <c r="E192" s="120"/>
      <c r="F192" s="120"/>
      <c r="G192" s="74"/>
      <c r="I192" s="76" t="str">
        <f t="shared" si="4"/>
        <v>AE.1500</v>
      </c>
      <c r="J192" s="121" t="str">
        <f>+IF(B192=TG[[#This Row],[ITEM]],"ok","mal")</f>
        <v>ok</v>
      </c>
      <c r="K192" s="79">
        <f t="shared" si="5"/>
        <v>0</v>
      </c>
      <c r="L192" s="80">
        <f>IF(VLOOKUP(B192,TbPiezas[],5,0)="NA",0,VLOOKUP(B192,TbPiezas[],5,0))</f>
        <v>13.599999999999994</v>
      </c>
      <c r="M192" s="81">
        <f>TG[[#This Row],[TOTAL]]*TG[[#This Row],[P.U. (1)]]</f>
        <v>0</v>
      </c>
      <c r="N192" s="82">
        <f>+VLOOKUP(B192,TbPiezas[],6,0)</f>
        <v>619.37</v>
      </c>
      <c r="O192" s="83">
        <f>TG[[#This Row],[TOTAL]]*TG[[#This Row],[P.U. (2)]]</f>
        <v>0</v>
      </c>
      <c r="P192" s="82">
        <f>+VLOOKUP(B192,TbPiezas[],7,0)</f>
        <v>30.968500000000002</v>
      </c>
      <c r="Q192" s="170">
        <f>ROUND(TG[[#This Row],[TOTAL]]*TG[[#This Row],[P.U. (3)]],2)</f>
        <v>0</v>
      </c>
      <c r="R192" s="326"/>
    </row>
    <row r="193" spans="2:18" hidden="1" x14ac:dyDescent="0.3">
      <c r="B193" s="76" t="s">
        <v>375</v>
      </c>
      <c r="C193" s="76" t="s">
        <v>376</v>
      </c>
      <c r="E193" s="120"/>
      <c r="F193" s="120"/>
      <c r="G193" s="74"/>
      <c r="I193" s="76" t="str">
        <f t="shared" si="4"/>
        <v>AE.1600</v>
      </c>
      <c r="J193" s="121" t="str">
        <f>+IF(B193=TG[[#This Row],[ITEM]],"ok","mal")</f>
        <v>ok</v>
      </c>
      <c r="K193" s="79">
        <f t="shared" si="5"/>
        <v>0</v>
      </c>
      <c r="L193" s="80">
        <f>IF(VLOOKUP(B193,TbPiezas[],5,0)="NA",0,VLOOKUP(B193,TbPiezas[],5,0))</f>
        <v>10.799999999999997</v>
      </c>
      <c r="M193" s="81">
        <f>TG[[#This Row],[TOTAL]]*TG[[#This Row],[P.U. (1)]]</f>
        <v>0</v>
      </c>
      <c r="N193" s="82">
        <f>+VLOOKUP(B193,TbPiezas[],6,0)</f>
        <v>495.5</v>
      </c>
      <c r="O193" s="83">
        <f>TG[[#This Row],[TOTAL]]*TG[[#This Row],[P.U. (2)]]</f>
        <v>0</v>
      </c>
      <c r="P193" s="82">
        <f>+VLOOKUP(B193,TbPiezas[],7,0)</f>
        <v>24.775000000000002</v>
      </c>
      <c r="Q193" s="170">
        <f>ROUND(TG[[#This Row],[TOTAL]]*TG[[#This Row],[P.U. (3)]],2)</f>
        <v>0</v>
      </c>
      <c r="R193" s="326"/>
    </row>
    <row r="194" spans="2:18" hidden="1" x14ac:dyDescent="0.3">
      <c r="B194" s="76" t="s">
        <v>377</v>
      </c>
      <c r="C194" s="76" t="s">
        <v>378</v>
      </c>
      <c r="E194" s="120"/>
      <c r="F194" s="120"/>
      <c r="G194" s="74"/>
      <c r="I194" s="76" t="str">
        <f t="shared" si="4"/>
        <v>AE.1700</v>
      </c>
      <c r="J194" s="121" t="str">
        <f>+IF(B194=TG[[#This Row],[ITEM]],"ok","mal")</f>
        <v>ok</v>
      </c>
      <c r="K194" s="79">
        <f t="shared" si="5"/>
        <v>0</v>
      </c>
      <c r="L194" s="80">
        <f>IF(VLOOKUP(B194,TbPiezas[],5,0)="NA",0,VLOOKUP(B194,TbPiezas[],5,0))</f>
        <v>8.2000000000000028</v>
      </c>
      <c r="M194" s="81">
        <f>TG[[#This Row],[TOTAL]]*TG[[#This Row],[P.U. (1)]]</f>
        <v>0</v>
      </c>
      <c r="N194" s="82">
        <f>+VLOOKUP(B194,TbPiezas[],6,0)</f>
        <v>371.62</v>
      </c>
      <c r="O194" s="83">
        <f>TG[[#This Row],[TOTAL]]*TG[[#This Row],[P.U. (2)]]</f>
        <v>0</v>
      </c>
      <c r="P194" s="82">
        <f>+VLOOKUP(B194,TbPiezas[],7,0)</f>
        <v>18.581</v>
      </c>
      <c r="Q194" s="170">
        <f>ROUND(TG[[#This Row],[TOTAL]]*TG[[#This Row],[P.U. (3)]],2)</f>
        <v>0</v>
      </c>
      <c r="R194" s="326"/>
    </row>
    <row r="195" spans="2:18" hidden="1" x14ac:dyDescent="0.3">
      <c r="B195" s="76" t="s">
        <v>379</v>
      </c>
      <c r="C195" s="76" t="s">
        <v>380</v>
      </c>
      <c r="E195" s="120"/>
      <c r="F195" s="120"/>
      <c r="G195" s="74"/>
      <c r="I195" s="76" t="str">
        <f t="shared" si="4"/>
        <v>AE.1710</v>
      </c>
      <c r="J195" s="121" t="str">
        <f>+IF(B195=TG[[#This Row],[ITEM]],"ok","mal")</f>
        <v>ok</v>
      </c>
      <c r="K195" s="79">
        <f t="shared" si="5"/>
        <v>0</v>
      </c>
      <c r="L195" s="80">
        <f>IF(VLOOKUP(B195,TbPiezas[],5,0)="NA",0,VLOOKUP(B195,TbPiezas[],5,0))</f>
        <v>5.42</v>
      </c>
      <c r="M195" s="81">
        <f>TG[[#This Row],[TOTAL]]*TG[[#This Row],[P.U. (1)]]</f>
        <v>0</v>
      </c>
      <c r="N195" s="82">
        <f>+VLOOKUP(B195,TbPiezas[],6,0)</f>
        <v>247.75</v>
      </c>
      <c r="O195" s="83">
        <f>TG[[#This Row],[TOTAL]]*TG[[#This Row],[P.U. (2)]]</f>
        <v>0</v>
      </c>
      <c r="P195" s="82">
        <f>+VLOOKUP(B195,TbPiezas[],7,0)</f>
        <v>12.387500000000001</v>
      </c>
      <c r="Q195" s="170">
        <f>ROUND(TG[[#This Row],[TOTAL]]*TG[[#This Row],[P.U. (3)]],2)</f>
        <v>0</v>
      </c>
      <c r="R195" s="326"/>
    </row>
    <row r="196" spans="2:18" hidden="1" x14ac:dyDescent="0.3">
      <c r="B196" s="76" t="s">
        <v>381</v>
      </c>
      <c r="C196" s="76" t="s">
        <v>382</v>
      </c>
      <c r="E196" s="120"/>
      <c r="F196" s="120"/>
      <c r="G196" s="74"/>
      <c r="I196" s="76" t="str">
        <f t="shared" si="4"/>
        <v>AE.1800</v>
      </c>
      <c r="J196" s="121" t="str">
        <f>+IF(B196=TG[[#This Row],[ITEM]],"ok","mal")</f>
        <v>ok</v>
      </c>
      <c r="K196" s="79">
        <f t="shared" si="5"/>
        <v>0</v>
      </c>
      <c r="L196" s="80">
        <f>IF(VLOOKUP(B196,TbPiezas[],5,0)="NA",0,VLOOKUP(B196,TbPiezas[],5,0))</f>
        <v>4.0999999999999943</v>
      </c>
      <c r="M196" s="81">
        <f>TG[[#This Row],[TOTAL]]*TG[[#This Row],[P.U. (1)]]</f>
        <v>0</v>
      </c>
      <c r="N196" s="82">
        <f>+VLOOKUP(B196,TbPiezas[],6,0)</f>
        <v>439.15</v>
      </c>
      <c r="O196" s="83">
        <f>TG[[#This Row],[TOTAL]]*TG[[#This Row],[P.U. (2)]]</f>
        <v>0</v>
      </c>
      <c r="P196" s="82">
        <f>+VLOOKUP(B196,TbPiezas[],7,0)</f>
        <v>21.9575</v>
      </c>
      <c r="Q196" s="170">
        <f>ROUND(TG[[#This Row],[TOTAL]]*TG[[#This Row],[P.U. (3)]],2)</f>
        <v>0</v>
      </c>
      <c r="R196" s="326"/>
    </row>
    <row r="197" spans="2:18" hidden="1" x14ac:dyDescent="0.3">
      <c r="B197" s="76" t="s">
        <v>383</v>
      </c>
      <c r="C197" s="76" t="s">
        <v>384</v>
      </c>
      <c r="E197" s="120"/>
      <c r="F197" s="120"/>
      <c r="G197" s="74"/>
      <c r="I197" s="76" t="str">
        <f t="shared" si="4"/>
        <v>AE.1900</v>
      </c>
      <c r="J197" s="121" t="str">
        <f>+IF(B197=TG[[#This Row],[ITEM]],"ok","mal")</f>
        <v>ok</v>
      </c>
      <c r="K197" s="79">
        <f t="shared" si="5"/>
        <v>0</v>
      </c>
      <c r="L197" s="80">
        <f>IF(VLOOKUP(B197,TbPiezas[],5,0)="NA",0,VLOOKUP(B197,TbPiezas[],5,0))</f>
        <v>4.0999999999999943</v>
      </c>
      <c r="M197" s="81">
        <f>TG[[#This Row],[TOTAL]]*TG[[#This Row],[P.U. (1)]]</f>
        <v>0</v>
      </c>
      <c r="N197" s="82">
        <f>+VLOOKUP(B197,TbPiezas[],6,0)</f>
        <v>439.15</v>
      </c>
      <c r="O197" s="83">
        <f>TG[[#This Row],[TOTAL]]*TG[[#This Row],[P.U. (2)]]</f>
        <v>0</v>
      </c>
      <c r="P197" s="82">
        <f>+VLOOKUP(B197,TbPiezas[],7,0)</f>
        <v>21.9575</v>
      </c>
      <c r="Q197" s="170">
        <f>ROUND(TG[[#This Row],[TOTAL]]*TG[[#This Row],[P.U. (3)]],2)</f>
        <v>0</v>
      </c>
      <c r="R197" s="326"/>
    </row>
    <row r="198" spans="2:18" hidden="1" x14ac:dyDescent="0.3">
      <c r="B198" s="76" t="s">
        <v>385</v>
      </c>
      <c r="C198" s="76" t="s">
        <v>386</v>
      </c>
      <c r="E198" s="120"/>
      <c r="F198" s="120"/>
      <c r="G198" s="74"/>
      <c r="I198" s="76" t="str">
        <f t="shared" ref="I198:I261" si="6">+B198</f>
        <v>AE.2000</v>
      </c>
      <c r="J198" s="121" t="str">
        <f>+IF(B198=TG[[#This Row],[ITEM]],"ok","mal")</f>
        <v>ok</v>
      </c>
      <c r="K198" s="79">
        <f t="shared" si="5"/>
        <v>0</v>
      </c>
      <c r="L198" s="80">
        <f>IF(VLOOKUP(B198,TbPiezas[],5,0)="NA",0,VLOOKUP(B198,TbPiezas[],5,0))</f>
        <v>2.8999999999999915</v>
      </c>
      <c r="M198" s="81">
        <f>TG[[#This Row],[TOTAL]]*TG[[#This Row],[P.U. (1)]]</f>
        <v>0</v>
      </c>
      <c r="N198" s="82">
        <f>+VLOOKUP(B198,TbPiezas[],6,0)</f>
        <v>20.329999999999998</v>
      </c>
      <c r="O198" s="83">
        <f>TG[[#This Row],[TOTAL]]*TG[[#This Row],[P.U. (2)]]</f>
        <v>0</v>
      </c>
      <c r="P198" s="82">
        <f>+VLOOKUP(B198,TbPiezas[],7,0)</f>
        <v>1.0165</v>
      </c>
      <c r="Q198" s="170">
        <f>ROUND(TG[[#This Row],[TOTAL]]*TG[[#This Row],[P.U. (3)]],2)</f>
        <v>0</v>
      </c>
      <c r="R198" s="326"/>
    </row>
    <row r="199" spans="2:18" hidden="1" x14ac:dyDescent="0.3">
      <c r="B199" s="76" t="s">
        <v>387</v>
      </c>
      <c r="C199" s="76" t="s">
        <v>388</v>
      </c>
      <c r="E199" s="120"/>
      <c r="F199" s="120"/>
      <c r="G199" s="74"/>
      <c r="I199" s="76" t="str">
        <f t="shared" si="6"/>
        <v>AE.2100</v>
      </c>
      <c r="J199" s="121" t="str">
        <f>+IF(B199=TG[[#This Row],[ITEM]],"ok","mal")</f>
        <v>ok</v>
      </c>
      <c r="K199" s="79">
        <f t="shared" ref="K199:K262" si="7">SUM(D199:H199)</f>
        <v>0</v>
      </c>
      <c r="L199" s="80">
        <f>IF(VLOOKUP(B199,TbPiezas[],5,0)="NA",0,VLOOKUP(B199,TbPiezas[],5,0))</f>
        <v>2.8999999999999915</v>
      </c>
      <c r="M199" s="81">
        <f>TG[[#This Row],[TOTAL]]*TG[[#This Row],[P.U. (1)]]</f>
        <v>0</v>
      </c>
      <c r="N199" s="82">
        <f>+VLOOKUP(B199,TbPiezas[],6,0)</f>
        <v>337.48</v>
      </c>
      <c r="O199" s="83">
        <f>TG[[#This Row],[TOTAL]]*TG[[#This Row],[P.U. (2)]]</f>
        <v>0</v>
      </c>
      <c r="P199" s="82">
        <f>+VLOOKUP(B199,TbPiezas[],7,0)</f>
        <v>16.874000000000002</v>
      </c>
      <c r="Q199" s="170">
        <f>ROUND(TG[[#This Row],[TOTAL]]*TG[[#This Row],[P.U. (3)]],2)</f>
        <v>0</v>
      </c>
      <c r="R199" s="326"/>
    </row>
    <row r="200" spans="2:18" hidden="1" x14ac:dyDescent="0.3">
      <c r="B200" s="76" t="s">
        <v>389</v>
      </c>
      <c r="C200" s="76" t="s">
        <v>390</v>
      </c>
      <c r="E200" s="120"/>
      <c r="F200" s="120"/>
      <c r="G200" s="74"/>
      <c r="I200" s="76" t="str">
        <f t="shared" si="6"/>
        <v>AE.2200</v>
      </c>
      <c r="J200" s="121" t="str">
        <f>+IF(B200=TG[[#This Row],[ITEM]],"ok","mal")</f>
        <v>ok</v>
      </c>
      <c r="K200" s="79">
        <f t="shared" si="7"/>
        <v>0</v>
      </c>
      <c r="L200" s="80">
        <f>IF(VLOOKUP(B200,TbPiezas[],5,0)="NA",0,VLOOKUP(B200,TbPiezas[],5,0))</f>
        <v>3</v>
      </c>
      <c r="M200" s="81">
        <f>TG[[#This Row],[TOTAL]]*TG[[#This Row],[P.U. (1)]]</f>
        <v>0</v>
      </c>
      <c r="N200" s="82">
        <f>+VLOOKUP(B200,TbPiezas[],6,0)</f>
        <v>337.48</v>
      </c>
      <c r="O200" s="83">
        <f>TG[[#This Row],[TOTAL]]*TG[[#This Row],[P.U. (2)]]</f>
        <v>0</v>
      </c>
      <c r="P200" s="82">
        <f>+VLOOKUP(B200,TbPiezas[],7,0)</f>
        <v>16.874000000000002</v>
      </c>
      <c r="Q200" s="170">
        <f>ROUND(TG[[#This Row],[TOTAL]]*TG[[#This Row],[P.U. (3)]],2)</f>
        <v>0</v>
      </c>
      <c r="R200" s="326"/>
    </row>
    <row r="201" spans="2:18" hidden="1" x14ac:dyDescent="0.3">
      <c r="B201" s="76" t="s">
        <v>391</v>
      </c>
      <c r="C201" s="76" t="s">
        <v>392</v>
      </c>
      <c r="E201" s="120"/>
      <c r="F201" s="120"/>
      <c r="G201" s="74"/>
      <c r="I201" s="76" t="str">
        <f t="shared" si="6"/>
        <v>AE.2300</v>
      </c>
      <c r="J201" s="121" t="str">
        <f>+IF(B201=TG[[#This Row],[ITEM]],"ok","mal")</f>
        <v>ok</v>
      </c>
      <c r="K201" s="79">
        <f t="shared" si="7"/>
        <v>0</v>
      </c>
      <c r="L201" s="80">
        <f>IF(VLOOKUP(B201,TbPiezas[],5,0)="NA",0,VLOOKUP(B201,TbPiezas[],5,0))</f>
        <v>1.2000000000000028</v>
      </c>
      <c r="M201" s="81">
        <f>TG[[#This Row],[TOTAL]]*TG[[#This Row],[P.U. (1)]]</f>
        <v>0</v>
      </c>
      <c r="N201" s="82">
        <f>+VLOOKUP(B201,TbPiezas[],6,0)</f>
        <v>210.09</v>
      </c>
      <c r="O201" s="83">
        <f>TG[[#This Row],[TOTAL]]*TG[[#This Row],[P.U. (2)]]</f>
        <v>0</v>
      </c>
      <c r="P201" s="82">
        <f>+VLOOKUP(B201,TbPiezas[],7,0)</f>
        <v>10.5045</v>
      </c>
      <c r="Q201" s="170">
        <f>ROUND(TG[[#This Row],[TOTAL]]*TG[[#This Row],[P.U. (3)]],2)</f>
        <v>0</v>
      </c>
      <c r="R201" s="326"/>
    </row>
    <row r="202" spans="2:18" hidden="1" x14ac:dyDescent="0.3">
      <c r="B202" s="76" t="s">
        <v>393</v>
      </c>
      <c r="C202" s="76" t="s">
        <v>394</v>
      </c>
      <c r="E202" s="120"/>
      <c r="F202" s="120"/>
      <c r="G202" s="74"/>
      <c r="I202" s="76" t="str">
        <f t="shared" si="6"/>
        <v>AE.2400</v>
      </c>
      <c r="J202" s="121" t="str">
        <f>+IF(B202=TG[[#This Row],[ITEM]],"ok","mal")</f>
        <v>ok</v>
      </c>
      <c r="K202" s="79">
        <f t="shared" si="7"/>
        <v>0</v>
      </c>
      <c r="L202" s="80">
        <f>IF(VLOOKUP(B202,TbPiezas[],5,0)="NA",0,VLOOKUP(B202,TbPiezas[],5,0))</f>
        <v>1.7999999999999972</v>
      </c>
      <c r="M202" s="81">
        <f>TG[[#This Row],[TOTAL]]*TG[[#This Row],[P.U. (1)]]</f>
        <v>0</v>
      </c>
      <c r="N202" s="82">
        <f>+VLOOKUP(B202,TbPiezas[],6,0)</f>
        <v>337.48</v>
      </c>
      <c r="O202" s="83">
        <f>TG[[#This Row],[TOTAL]]*TG[[#This Row],[P.U. (2)]]</f>
        <v>0</v>
      </c>
      <c r="P202" s="82">
        <f>+VLOOKUP(B202,TbPiezas[],7,0)</f>
        <v>16.874000000000002</v>
      </c>
      <c r="Q202" s="170">
        <f>ROUND(TG[[#This Row],[TOTAL]]*TG[[#This Row],[P.U. (3)]],2)</f>
        <v>0</v>
      </c>
      <c r="R202" s="326"/>
    </row>
    <row r="203" spans="2:18" hidden="1" x14ac:dyDescent="0.3">
      <c r="B203" s="76" t="s">
        <v>395</v>
      </c>
      <c r="C203" s="76" t="s">
        <v>396</v>
      </c>
      <c r="E203" s="120"/>
      <c r="F203" s="120"/>
      <c r="G203" s="74"/>
      <c r="I203" s="76" t="str">
        <f t="shared" si="6"/>
        <v>AE.2500</v>
      </c>
      <c r="J203" s="121" t="str">
        <f>+IF(B203=TG[[#This Row],[ITEM]],"ok","mal")</f>
        <v>ok</v>
      </c>
      <c r="K203" s="79">
        <f t="shared" si="7"/>
        <v>0</v>
      </c>
      <c r="L203" s="80">
        <f>IF(VLOOKUP(B203,TbPiezas[],5,0)="NA",0,VLOOKUP(B203,TbPiezas[],5,0))</f>
        <v>3.0999999999999943</v>
      </c>
      <c r="M203" s="81">
        <f>TG[[#This Row],[TOTAL]]*TG[[#This Row],[P.U. (1)]]</f>
        <v>0</v>
      </c>
      <c r="N203" s="82">
        <f>+VLOOKUP(B203,TbPiezas[],6,0)</f>
        <v>210.09</v>
      </c>
      <c r="O203" s="83">
        <f>TG[[#This Row],[TOTAL]]*TG[[#This Row],[P.U. (2)]]</f>
        <v>0</v>
      </c>
      <c r="P203" s="82">
        <f>+VLOOKUP(B203,TbPiezas[],7,0)</f>
        <v>10.5045</v>
      </c>
      <c r="Q203" s="170">
        <f>ROUND(TG[[#This Row],[TOTAL]]*TG[[#This Row],[P.U. (3)]],2)</f>
        <v>0</v>
      </c>
      <c r="R203" s="326"/>
    </row>
    <row r="204" spans="2:18" hidden="1" x14ac:dyDescent="0.3">
      <c r="B204" s="76" t="s">
        <v>397</v>
      </c>
      <c r="C204" s="76" t="s">
        <v>398</v>
      </c>
      <c r="E204" s="120"/>
      <c r="F204" s="120"/>
      <c r="G204" s="74"/>
      <c r="I204" s="76" t="str">
        <f t="shared" si="6"/>
        <v>AE.2600</v>
      </c>
      <c r="J204" s="121" t="str">
        <f>+IF(B204=TG[[#This Row],[ITEM]],"ok","mal")</f>
        <v>ok</v>
      </c>
      <c r="K204" s="79">
        <f t="shared" si="7"/>
        <v>0</v>
      </c>
      <c r="L204" s="80">
        <f>IF(VLOOKUP(B204,TbPiezas[],5,0)="NA",0,VLOOKUP(B204,TbPiezas[],5,0))</f>
        <v>4.9999999999997158E-2</v>
      </c>
      <c r="M204" s="81">
        <f>TG[[#This Row],[TOTAL]]*TG[[#This Row],[P.U. (1)]]</f>
        <v>0</v>
      </c>
      <c r="N204" s="82">
        <f>+VLOOKUP(B204,TbPiezas[],6,0)</f>
        <v>32.22</v>
      </c>
      <c r="O204" s="83">
        <f>TG[[#This Row],[TOTAL]]*TG[[#This Row],[P.U. (2)]]</f>
        <v>0</v>
      </c>
      <c r="P204" s="82">
        <f>+VLOOKUP(B204,TbPiezas[],7,0)</f>
        <v>1.611</v>
      </c>
      <c r="Q204" s="170">
        <f>ROUND(TG[[#This Row],[TOTAL]]*TG[[#This Row],[P.U. (3)]],2)</f>
        <v>0</v>
      </c>
      <c r="R204" s="326"/>
    </row>
    <row r="205" spans="2:18" hidden="1" x14ac:dyDescent="0.3">
      <c r="B205" s="76" t="s">
        <v>399</v>
      </c>
      <c r="C205" s="76" t="s">
        <v>400</v>
      </c>
      <c r="E205" s="120"/>
      <c r="F205" s="120"/>
      <c r="G205" s="74"/>
      <c r="I205" s="76" t="str">
        <f t="shared" si="6"/>
        <v>AE.2700</v>
      </c>
      <c r="J205" s="121" t="str">
        <f>+IF(B205=TG[[#This Row],[ITEM]],"ok","mal")</f>
        <v>ok</v>
      </c>
      <c r="K205" s="79">
        <f t="shared" si="7"/>
        <v>0</v>
      </c>
      <c r="L205" s="80">
        <f>IF(VLOOKUP(B205,TbPiezas[],5,0)="NA",0,VLOOKUP(B205,TbPiezas[],5,0))</f>
        <v>9.9999999999994316E-2</v>
      </c>
      <c r="M205" s="81">
        <f>TG[[#This Row],[TOTAL]]*TG[[#This Row],[P.U. (1)]]</f>
        <v>0</v>
      </c>
      <c r="N205" s="82">
        <f>+VLOOKUP(B205,TbPiezas[],6,0)</f>
        <v>8.08</v>
      </c>
      <c r="O205" s="83">
        <f>TG[[#This Row],[TOTAL]]*TG[[#This Row],[P.U. (2)]]</f>
        <v>0</v>
      </c>
      <c r="P205" s="82">
        <f>+VLOOKUP(B205,TbPiezas[],7,0)</f>
        <v>0.40400000000000003</v>
      </c>
      <c r="Q205" s="170">
        <f>ROUND(TG[[#This Row],[TOTAL]]*TG[[#This Row],[P.U. (3)]],2)</f>
        <v>0</v>
      </c>
      <c r="R205" s="326"/>
    </row>
    <row r="206" spans="2:18" hidden="1" x14ac:dyDescent="0.3">
      <c r="B206" s="76" t="s">
        <v>401</v>
      </c>
      <c r="C206" s="76" t="s">
        <v>402</v>
      </c>
      <c r="E206" s="120"/>
      <c r="F206" s="120"/>
      <c r="G206" s="74"/>
      <c r="I206" s="76" t="str">
        <f t="shared" si="6"/>
        <v>AE.2800</v>
      </c>
      <c r="J206" s="121" t="str">
        <f>+IF(B206=TG[[#This Row],[ITEM]],"ok","mal")</f>
        <v>ok</v>
      </c>
      <c r="K206" s="79">
        <f t="shared" si="7"/>
        <v>0</v>
      </c>
      <c r="L206" s="80">
        <f>IF(VLOOKUP(B206,TbPiezas[],5,0)="NA",0,VLOOKUP(B206,TbPiezas[],5,0))</f>
        <v>0.1</v>
      </c>
      <c r="M206" s="81">
        <f>TG[[#This Row],[TOTAL]]*TG[[#This Row],[P.U. (1)]]</f>
        <v>0</v>
      </c>
      <c r="N206" s="82">
        <f>+VLOOKUP(B206,TbPiezas[],6,0)</f>
        <v>190.58</v>
      </c>
      <c r="O206" s="83">
        <f>TG[[#This Row],[TOTAL]]*TG[[#This Row],[P.U. (2)]]</f>
        <v>0</v>
      </c>
      <c r="P206" s="82">
        <f>+VLOOKUP(B206,TbPiezas[],7,0)</f>
        <v>9.5290000000000017</v>
      </c>
      <c r="Q206" s="170">
        <f>ROUND(TG[[#This Row],[TOTAL]]*TG[[#This Row],[P.U. (3)]],2)</f>
        <v>0</v>
      </c>
      <c r="R206" s="326"/>
    </row>
    <row r="207" spans="2:18" hidden="1" x14ac:dyDescent="0.3">
      <c r="B207" s="76" t="s">
        <v>403</v>
      </c>
      <c r="C207" s="76" t="s">
        <v>404</v>
      </c>
      <c r="E207" s="120"/>
      <c r="F207" s="120"/>
      <c r="G207" s="74"/>
      <c r="I207" s="76" t="str">
        <f t="shared" si="6"/>
        <v>AE.2900</v>
      </c>
      <c r="J207" s="121" t="str">
        <f>+IF(B207=TG[[#This Row],[ITEM]],"ok","mal")</f>
        <v>ok</v>
      </c>
      <c r="K207" s="79">
        <f t="shared" si="7"/>
        <v>0</v>
      </c>
      <c r="L207" s="80">
        <f>IF(VLOOKUP(B207,TbPiezas[],5,0)="NA",0,VLOOKUP(B207,TbPiezas[],5,0))</f>
        <v>0.4</v>
      </c>
      <c r="M207" s="81">
        <f>TG[[#This Row],[TOTAL]]*TG[[#This Row],[P.U. (1)]]</f>
        <v>0</v>
      </c>
      <c r="N207" s="82">
        <f>+VLOOKUP(B207,TbPiezas[],6,0)</f>
        <v>101.64</v>
      </c>
      <c r="O207" s="83">
        <f>TG[[#This Row],[TOTAL]]*TG[[#This Row],[P.U. (2)]]</f>
        <v>0</v>
      </c>
      <c r="P207" s="82">
        <f>+VLOOKUP(B207,TbPiezas[],7,0)</f>
        <v>5.0820000000000007</v>
      </c>
      <c r="Q207" s="170">
        <f>ROUND(TG[[#This Row],[TOTAL]]*TG[[#This Row],[P.U. (3)]],2)</f>
        <v>0</v>
      </c>
      <c r="R207" s="326"/>
    </row>
    <row r="208" spans="2:18" hidden="1" x14ac:dyDescent="0.3">
      <c r="B208" s="76" t="s">
        <v>405</v>
      </c>
      <c r="C208" s="76" t="s">
        <v>406</v>
      </c>
      <c r="E208" s="120"/>
      <c r="F208" s="120"/>
      <c r="G208" s="74"/>
      <c r="I208" s="76" t="str">
        <f t="shared" si="6"/>
        <v>AE.3000</v>
      </c>
      <c r="J208" s="121" t="str">
        <f>+IF(B208=TG[[#This Row],[ITEM]],"ok","mal")</f>
        <v>ok</v>
      </c>
      <c r="K208" s="79">
        <f t="shared" si="7"/>
        <v>0</v>
      </c>
      <c r="L208" s="80">
        <f>IF(VLOOKUP(B208,TbPiezas[],5,0)="NA",0,VLOOKUP(B208,TbPiezas[],5,0))</f>
        <v>14.9</v>
      </c>
      <c r="M208" s="81">
        <f>TG[[#This Row],[TOTAL]]*TG[[#This Row],[P.U. (1)]]</f>
        <v>0</v>
      </c>
      <c r="N208" s="82">
        <f>+VLOOKUP(B208,TbPiezas[],6,0)</f>
        <v>32.22</v>
      </c>
      <c r="O208" s="83">
        <f>TG[[#This Row],[TOTAL]]*TG[[#This Row],[P.U. (2)]]</f>
        <v>0</v>
      </c>
      <c r="P208" s="82">
        <f>+VLOOKUP(B208,TbPiezas[],7,0)</f>
        <v>1.611</v>
      </c>
      <c r="Q208" s="170">
        <f>ROUND(TG[[#This Row],[TOTAL]]*TG[[#This Row],[P.U. (3)]],2)</f>
        <v>0</v>
      </c>
      <c r="R208" s="326"/>
    </row>
    <row r="209" spans="2:18" hidden="1" x14ac:dyDescent="0.3">
      <c r="B209" s="76" t="s">
        <v>407</v>
      </c>
      <c r="C209" s="76" t="s">
        <v>408</v>
      </c>
      <c r="E209" s="120"/>
      <c r="F209" s="120"/>
      <c r="G209" s="74"/>
      <c r="I209" s="76" t="str">
        <f t="shared" si="6"/>
        <v>AE.3100</v>
      </c>
      <c r="J209" s="121" t="str">
        <f>+IF(B209=TG[[#This Row],[ITEM]],"ok","mal")</f>
        <v>ok</v>
      </c>
      <c r="K209" s="79">
        <f t="shared" si="7"/>
        <v>0</v>
      </c>
      <c r="L209" s="80">
        <f>IF(VLOOKUP(B209,TbPiezas[],5,0)="NA",0,VLOOKUP(B209,TbPiezas[],5,0))</f>
        <v>4.9999999999997158E-2</v>
      </c>
      <c r="M209" s="81">
        <f>TG[[#This Row],[TOTAL]]*TG[[#This Row],[P.U. (1)]]</f>
        <v>0</v>
      </c>
      <c r="N209" s="82">
        <f>+VLOOKUP(B209,TbPiezas[],6,0)</f>
        <v>32.22</v>
      </c>
      <c r="O209" s="83">
        <f>TG[[#This Row],[TOTAL]]*TG[[#This Row],[P.U. (2)]]</f>
        <v>0</v>
      </c>
      <c r="P209" s="82">
        <f>+VLOOKUP(B209,TbPiezas[],7,0)</f>
        <v>1.611</v>
      </c>
      <c r="Q209" s="170">
        <f>ROUND(TG[[#This Row],[TOTAL]]*TG[[#This Row],[P.U. (3)]],2)</f>
        <v>0</v>
      </c>
      <c r="R209" s="326"/>
    </row>
    <row r="210" spans="2:18" hidden="1" x14ac:dyDescent="0.3">
      <c r="B210" s="76" t="s">
        <v>409</v>
      </c>
      <c r="C210" s="76" t="s">
        <v>410</v>
      </c>
      <c r="E210" s="120"/>
      <c r="F210" s="120"/>
      <c r="G210" s="74"/>
      <c r="I210" s="76" t="str">
        <f t="shared" si="6"/>
        <v>AE.3200</v>
      </c>
      <c r="J210" s="121" t="str">
        <f>+IF(B210=TG[[#This Row],[ITEM]],"ok","mal")</f>
        <v>ok</v>
      </c>
      <c r="K210" s="79">
        <f t="shared" si="7"/>
        <v>0</v>
      </c>
      <c r="L210" s="80">
        <f>IF(VLOOKUP(B210,TbPiezas[],5,0)="NA",0,VLOOKUP(B210,TbPiezas[],5,0))</f>
        <v>4.9999999999997158E-2</v>
      </c>
      <c r="M210" s="81">
        <f>TG[[#This Row],[TOTAL]]*TG[[#This Row],[P.U. (1)]]</f>
        <v>0</v>
      </c>
      <c r="N210" s="82">
        <f>+VLOOKUP(B210,TbPiezas[],6,0)</f>
        <v>32.22</v>
      </c>
      <c r="O210" s="83">
        <f>TG[[#This Row],[TOTAL]]*TG[[#This Row],[P.U. (2)]]</f>
        <v>0</v>
      </c>
      <c r="P210" s="82">
        <f>+VLOOKUP(B210,TbPiezas[],7,0)</f>
        <v>1.611</v>
      </c>
      <c r="Q210" s="170">
        <f>ROUND(TG[[#This Row],[TOTAL]]*TG[[#This Row],[P.U. (3)]],2)</f>
        <v>0</v>
      </c>
      <c r="R210" s="326"/>
    </row>
    <row r="211" spans="2:18" hidden="1" x14ac:dyDescent="0.3">
      <c r="B211" s="76" t="s">
        <v>411</v>
      </c>
      <c r="C211" s="76" t="s">
        <v>412</v>
      </c>
      <c r="E211" s="120"/>
      <c r="F211" s="120"/>
      <c r="G211" s="74"/>
      <c r="I211" s="76" t="str">
        <f t="shared" si="6"/>
        <v>AE.3300</v>
      </c>
      <c r="J211" s="121" t="str">
        <f>+IF(B211=TG[[#This Row],[ITEM]],"ok","mal")</f>
        <v>ok</v>
      </c>
      <c r="K211" s="79">
        <f t="shared" si="7"/>
        <v>0</v>
      </c>
      <c r="L211" s="80">
        <f>IF(VLOOKUP(B211,TbPiezas[],5,0)="NA",0,VLOOKUP(B211,TbPiezas[],5,0))</f>
        <v>4.9999999999997158E-2</v>
      </c>
      <c r="M211" s="81">
        <f>TG[[#This Row],[TOTAL]]*TG[[#This Row],[P.U. (1)]]</f>
        <v>0</v>
      </c>
      <c r="N211" s="82">
        <f>+VLOOKUP(B211,TbPiezas[],6,0)</f>
        <v>19.059999999999999</v>
      </c>
      <c r="O211" s="83">
        <f>TG[[#This Row],[TOTAL]]*TG[[#This Row],[P.U. (2)]]</f>
        <v>0</v>
      </c>
      <c r="P211" s="82">
        <f>+VLOOKUP(B211,TbPiezas[],7,0)</f>
        <v>0.95299999999999996</v>
      </c>
      <c r="Q211" s="170">
        <f>ROUND(TG[[#This Row],[TOTAL]]*TG[[#This Row],[P.U. (3)]],2)</f>
        <v>0</v>
      </c>
      <c r="R211" s="326"/>
    </row>
    <row r="212" spans="2:18" hidden="1" x14ac:dyDescent="0.3">
      <c r="B212" s="76" t="s">
        <v>413</v>
      </c>
      <c r="C212" s="76" t="s">
        <v>414</v>
      </c>
      <c r="E212" s="120"/>
      <c r="F212" s="120"/>
      <c r="G212" s="74"/>
      <c r="I212" s="76" t="str">
        <f t="shared" si="6"/>
        <v>AE.3400</v>
      </c>
      <c r="J212" s="121" t="str">
        <f>+IF(B212=TG[[#This Row],[ITEM]],"ok","mal")</f>
        <v>ok</v>
      </c>
      <c r="K212" s="79">
        <f t="shared" si="7"/>
        <v>0</v>
      </c>
      <c r="L212" s="80">
        <f>IF(VLOOKUP(B212,TbPiezas[],5,0)="NA",0,VLOOKUP(B212,TbPiezas[],5,0))</f>
        <v>4.9999999999997158E-2</v>
      </c>
      <c r="M212" s="81">
        <f>TG[[#This Row],[TOTAL]]*TG[[#This Row],[P.U. (1)]]</f>
        <v>0</v>
      </c>
      <c r="N212" s="82">
        <f>+VLOOKUP(B212,TbPiezas[],6,0)</f>
        <v>19.059999999999999</v>
      </c>
      <c r="O212" s="83">
        <f>TG[[#This Row],[TOTAL]]*TG[[#This Row],[P.U. (2)]]</f>
        <v>0</v>
      </c>
      <c r="P212" s="82">
        <f>+VLOOKUP(B212,TbPiezas[],7,0)</f>
        <v>0.95299999999999996</v>
      </c>
      <c r="Q212" s="170">
        <f>ROUND(TG[[#This Row],[TOTAL]]*TG[[#This Row],[P.U. (3)]],2)</f>
        <v>0</v>
      </c>
      <c r="R212" s="326"/>
    </row>
    <row r="213" spans="2:18" hidden="1" x14ac:dyDescent="0.3">
      <c r="B213" s="76" t="s">
        <v>415</v>
      </c>
      <c r="C213" s="76" t="s">
        <v>416</v>
      </c>
      <c r="E213" s="120"/>
      <c r="F213" s="120"/>
      <c r="G213" s="74"/>
      <c r="I213" s="76" t="str">
        <f t="shared" si="6"/>
        <v>AE.3500</v>
      </c>
      <c r="J213" s="121" t="str">
        <f>+IF(B213=TG[[#This Row],[ITEM]],"ok","mal")</f>
        <v>ok</v>
      </c>
      <c r="K213" s="79">
        <f t="shared" si="7"/>
        <v>0</v>
      </c>
      <c r="L213" s="80">
        <f>IF(VLOOKUP(B213,TbPiezas[],5,0)="NA",0,VLOOKUP(B213,TbPiezas[],5,0))</f>
        <v>0.39999999999999147</v>
      </c>
      <c r="M213" s="81">
        <f>TG[[#This Row],[TOTAL]]*TG[[#This Row],[P.U. (1)]]</f>
        <v>0</v>
      </c>
      <c r="N213" s="82">
        <f>+VLOOKUP(B213,TbPiezas[],6,0)</f>
        <v>19.059999999999999</v>
      </c>
      <c r="O213" s="83">
        <f>TG[[#This Row],[TOTAL]]*TG[[#This Row],[P.U. (2)]]</f>
        <v>0</v>
      </c>
      <c r="P213" s="82">
        <f>+VLOOKUP(B213,TbPiezas[],7,0)</f>
        <v>0.95299999999999996</v>
      </c>
      <c r="Q213" s="170">
        <f>ROUND(TG[[#This Row],[TOTAL]]*TG[[#This Row],[P.U. (3)]],2)</f>
        <v>0</v>
      </c>
      <c r="R213" s="326"/>
    </row>
    <row r="214" spans="2:18" hidden="1" x14ac:dyDescent="0.3">
      <c r="B214" s="76" t="s">
        <v>417</v>
      </c>
      <c r="C214" s="76" t="s">
        <v>418</v>
      </c>
      <c r="E214" s="120"/>
      <c r="F214" s="120"/>
      <c r="G214" s="74"/>
      <c r="I214" s="76" t="str">
        <f t="shared" si="6"/>
        <v>AE.3600</v>
      </c>
      <c r="J214" s="121" t="str">
        <f>+IF(B214=TG[[#This Row],[ITEM]],"ok","mal")</f>
        <v>ok</v>
      </c>
      <c r="K214" s="79">
        <f t="shared" si="7"/>
        <v>0</v>
      </c>
      <c r="L214" s="80">
        <f>IF(VLOOKUP(B214,TbPiezas[],5,0)="NA",0,VLOOKUP(B214,TbPiezas[],5,0))</f>
        <v>28.700000000000003</v>
      </c>
      <c r="M214" s="81">
        <f>TG[[#This Row],[TOTAL]]*TG[[#This Row],[P.U. (1)]]</f>
        <v>0</v>
      </c>
      <c r="N214" s="82">
        <f>+VLOOKUP(B214,TbPiezas[],6,0)</f>
        <v>826.63</v>
      </c>
      <c r="O214" s="83">
        <f>TG[[#This Row],[TOTAL]]*TG[[#This Row],[P.U. (2)]]</f>
        <v>0</v>
      </c>
      <c r="P214" s="82">
        <f>+VLOOKUP(B214,TbPiezas[],7,0)</f>
        <v>41.331500000000005</v>
      </c>
      <c r="Q214" s="170">
        <f>ROUND(TG[[#This Row],[TOTAL]]*TG[[#This Row],[P.U. (3)]],2)</f>
        <v>0</v>
      </c>
      <c r="R214" s="326"/>
    </row>
    <row r="215" spans="2:18" hidden="1" x14ac:dyDescent="0.3">
      <c r="B215" s="76" t="s">
        <v>419</v>
      </c>
      <c r="C215" s="76" t="s">
        <v>420</v>
      </c>
      <c r="E215" s="120"/>
      <c r="F215" s="120"/>
      <c r="G215" s="74"/>
      <c r="I215" s="76" t="str">
        <f t="shared" si="6"/>
        <v>AE.3700</v>
      </c>
      <c r="J215" s="121" t="str">
        <f>+IF(B215=TG[[#This Row],[ITEM]],"ok","mal")</f>
        <v>ok</v>
      </c>
      <c r="K215" s="79">
        <f t="shared" si="7"/>
        <v>0</v>
      </c>
      <c r="L215" s="80">
        <f>IF(VLOOKUP(B215,TbPiezas[],5,0)="NA",0,VLOOKUP(B215,TbPiezas[],5,0))</f>
        <v>25.700000000000003</v>
      </c>
      <c r="M215" s="81">
        <f>TG[[#This Row],[TOTAL]]*TG[[#This Row],[P.U. (1)]]</f>
        <v>0</v>
      </c>
      <c r="N215" s="82">
        <f>+VLOOKUP(B215,TbPiezas[],6,0)</f>
        <v>1099.78</v>
      </c>
      <c r="O215" s="83">
        <f>TG[[#This Row],[TOTAL]]*TG[[#This Row],[P.U. (2)]]</f>
        <v>0</v>
      </c>
      <c r="P215" s="82">
        <f>+VLOOKUP(B215,TbPiezas[],7,0)</f>
        <v>54.989000000000004</v>
      </c>
      <c r="Q215" s="170">
        <f>ROUND(TG[[#This Row],[TOTAL]]*TG[[#This Row],[P.U. (3)]],2)</f>
        <v>0</v>
      </c>
      <c r="R215" s="326"/>
    </row>
    <row r="216" spans="2:18" hidden="1" x14ac:dyDescent="0.3">
      <c r="B216" s="76" t="s">
        <v>421</v>
      </c>
      <c r="C216" s="76" t="s">
        <v>422</v>
      </c>
      <c r="E216" s="120"/>
      <c r="F216" s="120"/>
      <c r="G216" s="74"/>
      <c r="I216" s="76" t="str">
        <f t="shared" si="6"/>
        <v>AE.3800</v>
      </c>
      <c r="J216" s="121" t="str">
        <f>+IF(B216=TG[[#This Row],[ITEM]],"ok","mal")</f>
        <v>ok</v>
      </c>
      <c r="K216" s="79">
        <f t="shared" si="7"/>
        <v>0</v>
      </c>
      <c r="L216" s="80">
        <f>IF(VLOOKUP(B216,TbPiezas[],5,0)="NA",0,VLOOKUP(B216,TbPiezas[],5,0))</f>
        <v>35</v>
      </c>
      <c r="M216" s="81">
        <f>TG[[#This Row],[TOTAL]]*TG[[#This Row],[P.U. (1)]]</f>
        <v>0</v>
      </c>
      <c r="N216" s="82">
        <f>+VLOOKUP(B216,TbPiezas[],6,0)</f>
        <v>826.63</v>
      </c>
      <c r="O216" s="83">
        <f>TG[[#This Row],[TOTAL]]*TG[[#This Row],[P.U. (2)]]</f>
        <v>0</v>
      </c>
      <c r="P216" s="82">
        <f>+VLOOKUP(B216,TbPiezas[],7,0)</f>
        <v>41.331500000000005</v>
      </c>
      <c r="Q216" s="170">
        <f>ROUND(TG[[#This Row],[TOTAL]]*TG[[#This Row],[P.U. (3)]],2)</f>
        <v>0</v>
      </c>
      <c r="R216" s="326"/>
    </row>
    <row r="217" spans="2:18" hidden="1" x14ac:dyDescent="0.3">
      <c r="B217" s="76" t="s">
        <v>423</v>
      </c>
      <c r="C217" s="76" t="s">
        <v>424</v>
      </c>
      <c r="E217" s="120"/>
      <c r="F217" s="120"/>
      <c r="G217" s="74"/>
      <c r="I217" s="76" t="str">
        <f t="shared" si="6"/>
        <v>AE.3900</v>
      </c>
      <c r="J217" s="121" t="str">
        <f>+IF(B217=TG[[#This Row],[ITEM]],"ok","mal")</f>
        <v>ok</v>
      </c>
      <c r="K217" s="79">
        <f t="shared" si="7"/>
        <v>0</v>
      </c>
      <c r="L217" s="80">
        <f>IF(VLOOKUP(B217,TbPiezas[],5,0)="NA",0,VLOOKUP(B217,TbPiezas[],5,0))</f>
        <v>23.099999999999994</v>
      </c>
      <c r="M217" s="81">
        <f>TG[[#This Row],[TOTAL]]*TG[[#This Row],[P.U. (1)]]</f>
        <v>0</v>
      </c>
      <c r="N217" s="82">
        <f>+VLOOKUP(B217,TbPiezas[],6,0)</f>
        <v>1238.74</v>
      </c>
      <c r="O217" s="83">
        <f>TG[[#This Row],[TOTAL]]*TG[[#This Row],[P.U. (2)]]</f>
        <v>0</v>
      </c>
      <c r="P217" s="82">
        <f>+VLOOKUP(B217,TbPiezas[],7,0)</f>
        <v>61.937000000000005</v>
      </c>
      <c r="Q217" s="170">
        <f>ROUND(TG[[#This Row],[TOTAL]]*TG[[#This Row],[P.U. (3)]],2)</f>
        <v>0</v>
      </c>
      <c r="R217" s="326"/>
    </row>
    <row r="218" spans="2:18" hidden="1" x14ac:dyDescent="0.3">
      <c r="B218" s="76" t="s">
        <v>425</v>
      </c>
      <c r="C218" s="76" t="s">
        <v>426</v>
      </c>
      <c r="E218" s="120"/>
      <c r="F218" s="120"/>
      <c r="G218" s="74"/>
      <c r="I218" s="76" t="str">
        <f t="shared" si="6"/>
        <v>AE.4000</v>
      </c>
      <c r="J218" s="121" t="str">
        <f>+IF(B218=TG[[#This Row],[ITEM]],"ok","mal")</f>
        <v>ok</v>
      </c>
      <c r="K218" s="79">
        <f t="shared" si="7"/>
        <v>0</v>
      </c>
      <c r="L218" s="80">
        <f>IF(VLOOKUP(B218,TbPiezas[],5,0)="NA",0,VLOOKUP(B218,TbPiezas[],5,0))</f>
        <v>6.7999999999999972</v>
      </c>
      <c r="M218" s="81">
        <f>TG[[#This Row],[TOTAL]]*TG[[#This Row],[P.U. (1)]]</f>
        <v>0</v>
      </c>
      <c r="N218" s="82">
        <f>+VLOOKUP(B218,TbPiezas[],6,0)</f>
        <v>825.83</v>
      </c>
      <c r="O218" s="83">
        <f>TG[[#This Row],[TOTAL]]*TG[[#This Row],[P.U. (2)]]</f>
        <v>0</v>
      </c>
      <c r="P218" s="82">
        <f>+VLOOKUP(B218,TbPiezas[],7,0)</f>
        <v>41.291500000000006</v>
      </c>
      <c r="Q218" s="170">
        <f>ROUND(TG[[#This Row],[TOTAL]]*TG[[#This Row],[P.U. (3)]],2)</f>
        <v>0</v>
      </c>
      <c r="R218" s="326"/>
    </row>
    <row r="219" spans="2:18" hidden="1" x14ac:dyDescent="0.3">
      <c r="B219" s="76" t="s">
        <v>427</v>
      </c>
      <c r="C219" s="76" t="s">
        <v>428</v>
      </c>
      <c r="E219" s="120"/>
      <c r="F219" s="120"/>
      <c r="G219" s="74"/>
      <c r="I219" s="76" t="str">
        <f t="shared" si="6"/>
        <v>AE.4100</v>
      </c>
      <c r="J219" s="121" t="str">
        <f>+IF(B219=TG[[#This Row],[ITEM]],"ok","mal")</f>
        <v>ok</v>
      </c>
      <c r="K219" s="79">
        <f t="shared" si="7"/>
        <v>0</v>
      </c>
      <c r="L219" s="80">
        <f>IF(VLOOKUP(B219,TbPiezas[],5,0)="NA",0,VLOOKUP(B219,TbPiezas[],5,0))</f>
        <v>13.700000000000003</v>
      </c>
      <c r="M219" s="81">
        <f>TG[[#This Row],[TOTAL]]*TG[[#This Row],[P.U. (1)]]</f>
        <v>0</v>
      </c>
      <c r="N219" s="82">
        <f>+VLOOKUP(B219,TbPiezas[],6,0)</f>
        <v>1238.74</v>
      </c>
      <c r="O219" s="83">
        <f>TG[[#This Row],[TOTAL]]*TG[[#This Row],[P.U. (2)]]</f>
        <v>0</v>
      </c>
      <c r="P219" s="82">
        <f>+VLOOKUP(B219,TbPiezas[],7,0)</f>
        <v>61.937000000000005</v>
      </c>
      <c r="Q219" s="170">
        <f>ROUND(TG[[#This Row],[TOTAL]]*TG[[#This Row],[P.U. (3)]],2)</f>
        <v>0</v>
      </c>
      <c r="R219" s="326"/>
    </row>
    <row r="220" spans="2:18" hidden="1" x14ac:dyDescent="0.3">
      <c r="B220" s="76" t="s">
        <v>429</v>
      </c>
      <c r="C220" s="76" t="s">
        <v>430</v>
      </c>
      <c r="E220" s="120"/>
      <c r="F220" s="120"/>
      <c r="G220" s="74"/>
      <c r="I220" s="76" t="str">
        <f t="shared" si="6"/>
        <v>AE.4200</v>
      </c>
      <c r="J220" s="121" t="str">
        <f>+IF(B220=TG[[#This Row],[ITEM]],"ok","mal")</f>
        <v>ok</v>
      </c>
      <c r="K220" s="79">
        <f t="shared" si="7"/>
        <v>0</v>
      </c>
      <c r="L220" s="80">
        <f>IF(VLOOKUP(B220,TbPiezas[],5,0)="NA",0,VLOOKUP(B220,TbPiezas[],5,0))</f>
        <v>16</v>
      </c>
      <c r="M220" s="81">
        <f>TG[[#This Row],[TOTAL]]*TG[[#This Row],[P.U. (1)]]</f>
        <v>0</v>
      </c>
      <c r="N220" s="82">
        <f>+VLOOKUP(B220,TbPiezas[],6,0)</f>
        <v>1651.65</v>
      </c>
      <c r="O220" s="83">
        <f>TG[[#This Row],[TOTAL]]*TG[[#This Row],[P.U. (2)]]</f>
        <v>0</v>
      </c>
      <c r="P220" s="82">
        <f>+VLOOKUP(B220,TbPiezas[],7,0)</f>
        <v>82.58250000000001</v>
      </c>
      <c r="Q220" s="170">
        <f>ROUND(TG[[#This Row],[TOTAL]]*TG[[#This Row],[P.U. (3)]],2)</f>
        <v>0</v>
      </c>
      <c r="R220" s="326"/>
    </row>
    <row r="221" spans="2:18" hidden="1" x14ac:dyDescent="0.3">
      <c r="B221" s="76" t="s">
        <v>431</v>
      </c>
      <c r="C221" s="76" t="s">
        <v>432</v>
      </c>
      <c r="E221" s="120"/>
      <c r="F221" s="120"/>
      <c r="G221" s="74"/>
      <c r="I221" s="76" t="str">
        <f t="shared" si="6"/>
        <v>AE.4300</v>
      </c>
      <c r="J221" s="121" t="str">
        <f>+IF(B221=TG[[#This Row],[ITEM]],"ok","mal")</f>
        <v>ok</v>
      </c>
      <c r="K221" s="79">
        <f t="shared" si="7"/>
        <v>0</v>
      </c>
      <c r="L221" s="80">
        <f>IF(VLOOKUP(B221,TbPiezas[],5,0)="NA",0,VLOOKUP(B221,TbPiezas[],5,0))</f>
        <v>20.099999999999994</v>
      </c>
      <c r="M221" s="81">
        <f>TG[[#This Row],[TOTAL]]*TG[[#This Row],[P.U. (1)]]</f>
        <v>0</v>
      </c>
      <c r="N221" s="82">
        <f>+VLOOKUP(B221,TbPiezas[],6,0)</f>
        <v>2477.48</v>
      </c>
      <c r="O221" s="83">
        <f>TG[[#This Row],[TOTAL]]*TG[[#This Row],[P.U. (2)]]</f>
        <v>0</v>
      </c>
      <c r="P221" s="82">
        <f>+VLOOKUP(B221,TbPiezas[],7,0)</f>
        <v>123.87400000000001</v>
      </c>
      <c r="Q221" s="170">
        <f>ROUND(TG[[#This Row],[TOTAL]]*TG[[#This Row],[P.U. (3)]],2)</f>
        <v>0</v>
      </c>
      <c r="R221" s="326"/>
    </row>
    <row r="222" spans="2:18" hidden="1" x14ac:dyDescent="0.3">
      <c r="B222" s="76" t="s">
        <v>433</v>
      </c>
      <c r="C222" s="76" t="s">
        <v>434</v>
      </c>
      <c r="E222" s="120"/>
      <c r="F222" s="120"/>
      <c r="G222" s="74"/>
      <c r="I222" s="76" t="str">
        <f t="shared" si="6"/>
        <v>AE.4400</v>
      </c>
      <c r="J222" s="121" t="str">
        <f>+IF(B222=TG[[#This Row],[ITEM]],"ok","mal")</f>
        <v>ok</v>
      </c>
      <c r="K222" s="79">
        <f t="shared" si="7"/>
        <v>0</v>
      </c>
      <c r="L222" s="80">
        <f>IF(VLOOKUP(B222,TbPiezas[],5,0)="NA",0,VLOOKUP(B222,TbPiezas[],5,0))</f>
        <v>7.2000000000000028</v>
      </c>
      <c r="M222" s="81">
        <f>TG[[#This Row],[TOTAL]]*TG[[#This Row],[P.U. (1)]]</f>
        <v>0</v>
      </c>
      <c r="N222" s="82">
        <f>+VLOOKUP(B222,TbPiezas[],6,0)</f>
        <v>929.05</v>
      </c>
      <c r="O222" s="83">
        <f>TG[[#This Row],[TOTAL]]*TG[[#This Row],[P.U. (2)]]</f>
        <v>0</v>
      </c>
      <c r="P222" s="82">
        <f>+VLOOKUP(B222,TbPiezas[],7,0)</f>
        <v>46.452500000000001</v>
      </c>
      <c r="Q222" s="170">
        <f>ROUND(TG[[#This Row],[TOTAL]]*TG[[#This Row],[P.U. (3)]],2)</f>
        <v>0</v>
      </c>
      <c r="R222" s="326"/>
    </row>
    <row r="223" spans="2:18" hidden="1" x14ac:dyDescent="0.3">
      <c r="B223" s="76" t="s">
        <v>435</v>
      </c>
      <c r="C223" s="76" t="s">
        <v>436</v>
      </c>
      <c r="E223" s="120"/>
      <c r="F223" s="120"/>
      <c r="G223" s="74"/>
      <c r="I223" s="76" t="str">
        <f t="shared" si="6"/>
        <v>AE.4500</v>
      </c>
      <c r="J223" s="121" t="str">
        <f>+IF(B223=TG[[#This Row],[ITEM]],"ok","mal")</f>
        <v>ok</v>
      </c>
      <c r="K223" s="79">
        <f t="shared" si="7"/>
        <v>0</v>
      </c>
      <c r="L223" s="80">
        <f>IF(VLOOKUP(B223,TbPiezas[],5,0)="NA",0,VLOOKUP(B223,TbPiezas[],5,0))</f>
        <v>6.2000000000000028</v>
      </c>
      <c r="M223" s="81">
        <f>TG[[#This Row],[TOTAL]]*TG[[#This Row],[P.U. (1)]]</f>
        <v>0</v>
      </c>
      <c r="N223" s="82">
        <f>+VLOOKUP(B223,TbPiezas[],6,0)</f>
        <v>1238.74</v>
      </c>
      <c r="O223" s="83">
        <f>TG[[#This Row],[TOTAL]]*TG[[#This Row],[P.U. (2)]]</f>
        <v>0</v>
      </c>
      <c r="P223" s="82">
        <f>+VLOOKUP(B223,TbPiezas[],7,0)</f>
        <v>61.937000000000005</v>
      </c>
      <c r="Q223" s="170">
        <f>ROUND(TG[[#This Row],[TOTAL]]*TG[[#This Row],[P.U. (3)]],2)</f>
        <v>0</v>
      </c>
      <c r="R223" s="326"/>
    </row>
    <row r="224" spans="2:18" hidden="1" x14ac:dyDescent="0.3">
      <c r="B224" s="76" t="s">
        <v>437</v>
      </c>
      <c r="C224" s="76" t="s">
        <v>438</v>
      </c>
      <c r="E224" s="120"/>
      <c r="F224" s="120"/>
      <c r="G224" s="74"/>
      <c r="I224" s="76" t="str">
        <f t="shared" si="6"/>
        <v>AE.4600</v>
      </c>
      <c r="J224" s="121" t="str">
        <f>+IF(B224=TG[[#This Row],[ITEM]],"ok","mal")</f>
        <v>ok</v>
      </c>
      <c r="K224" s="79">
        <f t="shared" si="7"/>
        <v>0</v>
      </c>
      <c r="L224" s="80">
        <f>IF(VLOOKUP(B224,TbPiezas[],5,0)="NA",0,VLOOKUP(B224,TbPiezas[],5,0))</f>
        <v>13.599999999999994</v>
      </c>
      <c r="M224" s="81">
        <f>TG[[#This Row],[TOTAL]]*TG[[#This Row],[P.U. (1)]]</f>
        <v>0</v>
      </c>
      <c r="N224" s="82">
        <f>+VLOOKUP(B224,TbPiezas[],6,0)</f>
        <v>1858.11</v>
      </c>
      <c r="O224" s="83">
        <f>TG[[#This Row],[TOTAL]]*TG[[#This Row],[P.U. (2)]]</f>
        <v>0</v>
      </c>
      <c r="P224" s="82">
        <f>+VLOOKUP(B224,TbPiezas[],7,0)</f>
        <v>92.905500000000004</v>
      </c>
      <c r="Q224" s="170">
        <f>ROUND(TG[[#This Row],[TOTAL]]*TG[[#This Row],[P.U. (3)]],2)</f>
        <v>0</v>
      </c>
      <c r="R224" s="326"/>
    </row>
    <row r="225" spans="2:18" hidden="1" x14ac:dyDescent="0.3">
      <c r="B225" s="76" t="s">
        <v>439</v>
      </c>
      <c r="C225" s="76" t="s">
        <v>440</v>
      </c>
      <c r="E225" s="120"/>
      <c r="F225" s="120"/>
      <c r="G225" s="74"/>
      <c r="I225" s="76" t="str">
        <f t="shared" si="6"/>
        <v>AE.4700</v>
      </c>
      <c r="J225" s="121" t="str">
        <f>+IF(B225=TG[[#This Row],[ITEM]],"ok","mal")</f>
        <v>ok</v>
      </c>
      <c r="K225" s="79">
        <f t="shared" si="7"/>
        <v>0</v>
      </c>
      <c r="L225" s="80">
        <f>IF(VLOOKUP(B225,TbPiezas[],5,0)="NA",0,VLOOKUP(B225,TbPiezas[],5,0))</f>
        <v>7.7000000000000028</v>
      </c>
      <c r="M225" s="81">
        <f>TG[[#This Row],[TOTAL]]*TG[[#This Row],[P.U. (1)]]</f>
        <v>0</v>
      </c>
      <c r="N225" s="82">
        <f>+VLOOKUP(B225,TbPiezas[],6,0)</f>
        <v>929.05</v>
      </c>
      <c r="O225" s="83">
        <f>TG[[#This Row],[TOTAL]]*TG[[#This Row],[P.U. (2)]]</f>
        <v>0</v>
      </c>
      <c r="P225" s="82">
        <f>+VLOOKUP(B225,TbPiezas[],7,0)</f>
        <v>46.452500000000001</v>
      </c>
      <c r="Q225" s="170">
        <f>ROUND(TG[[#This Row],[TOTAL]]*TG[[#This Row],[P.U. (3)]],2)</f>
        <v>0</v>
      </c>
      <c r="R225" s="326"/>
    </row>
    <row r="226" spans="2:18" hidden="1" x14ac:dyDescent="0.3">
      <c r="B226" s="76" t="s">
        <v>441</v>
      </c>
      <c r="C226" s="76" t="s">
        <v>442</v>
      </c>
      <c r="E226" s="120"/>
      <c r="F226" s="120"/>
      <c r="G226" s="74"/>
      <c r="I226" s="76" t="str">
        <f t="shared" si="6"/>
        <v>AE.4800</v>
      </c>
      <c r="J226" s="121" t="str">
        <f>+IF(B226=TG[[#This Row],[ITEM]],"ok","mal")</f>
        <v>ok</v>
      </c>
      <c r="K226" s="79">
        <f t="shared" si="7"/>
        <v>0</v>
      </c>
      <c r="L226" s="80">
        <f>IF(VLOOKUP(B226,TbPiezas[],5,0)="NA",0,VLOOKUP(B226,TbPiezas[],5,0))</f>
        <v>8.5999999999999943</v>
      </c>
      <c r="M226" s="81">
        <f>TG[[#This Row],[TOTAL]]*TG[[#This Row],[P.U. (1)]]</f>
        <v>0</v>
      </c>
      <c r="N226" s="82">
        <f>+VLOOKUP(B226,TbPiezas[],6,0)</f>
        <v>1238.74</v>
      </c>
      <c r="O226" s="83">
        <f>TG[[#This Row],[TOTAL]]*TG[[#This Row],[P.U. (2)]]</f>
        <v>0</v>
      </c>
      <c r="P226" s="82">
        <f>+VLOOKUP(B226,TbPiezas[],7,0)</f>
        <v>61.937000000000005</v>
      </c>
      <c r="Q226" s="170">
        <f>ROUND(TG[[#This Row],[TOTAL]]*TG[[#This Row],[P.U. (3)]],2)</f>
        <v>0</v>
      </c>
      <c r="R226" s="326"/>
    </row>
    <row r="227" spans="2:18" hidden="1" x14ac:dyDescent="0.3">
      <c r="B227" s="76" t="s">
        <v>443</v>
      </c>
      <c r="C227" s="76" t="s">
        <v>444</v>
      </c>
      <c r="E227" s="120"/>
      <c r="F227" s="120"/>
      <c r="G227" s="74"/>
      <c r="I227" s="76" t="str">
        <f t="shared" si="6"/>
        <v>AE.4900</v>
      </c>
      <c r="J227" s="121" t="str">
        <f>+IF(B227=TG[[#This Row],[ITEM]],"ok","mal")</f>
        <v>ok</v>
      </c>
      <c r="K227" s="79">
        <f t="shared" si="7"/>
        <v>0</v>
      </c>
      <c r="L227" s="80">
        <f>IF(VLOOKUP(B227,TbPiezas[],5,0)="NA",0,VLOOKUP(B227,TbPiezas[],5,0))</f>
        <v>14</v>
      </c>
      <c r="M227" s="81">
        <f>TG[[#This Row],[TOTAL]]*TG[[#This Row],[P.U. (1)]]</f>
        <v>0</v>
      </c>
      <c r="N227" s="82">
        <f>+VLOOKUP(B227,TbPiezas[],6,0)</f>
        <v>1858.11</v>
      </c>
      <c r="O227" s="83">
        <f>TG[[#This Row],[TOTAL]]*TG[[#This Row],[P.U. (2)]]</f>
        <v>0</v>
      </c>
      <c r="P227" s="82">
        <f>+VLOOKUP(B227,TbPiezas[],7,0)</f>
        <v>92.905500000000004</v>
      </c>
      <c r="Q227" s="170">
        <f>ROUND(TG[[#This Row],[TOTAL]]*TG[[#This Row],[P.U. (3)]],2)</f>
        <v>0</v>
      </c>
      <c r="R227" s="326"/>
    </row>
    <row r="228" spans="2:18" hidden="1" x14ac:dyDescent="0.3">
      <c r="B228" s="76" t="s">
        <v>445</v>
      </c>
      <c r="C228" s="76" t="s">
        <v>446</v>
      </c>
      <c r="E228" s="120"/>
      <c r="F228" s="120"/>
      <c r="G228" s="74"/>
      <c r="I228" s="76" t="str">
        <f t="shared" si="6"/>
        <v>AE.5000</v>
      </c>
      <c r="J228" s="121" t="str">
        <f>+IF(B228=TG[[#This Row],[ITEM]],"ok","mal")</f>
        <v>ok</v>
      </c>
      <c r="K228" s="79">
        <f t="shared" si="7"/>
        <v>0</v>
      </c>
      <c r="L228" s="80">
        <f>IF(VLOOKUP(B228,TbPiezas[],5,0)="NA",0,VLOOKUP(B228,TbPiezas[],5,0))</f>
        <v>10.9</v>
      </c>
      <c r="M228" s="81">
        <f>TG[[#This Row],[TOTAL]]*TG[[#This Row],[P.U. (1)]]</f>
        <v>0</v>
      </c>
      <c r="N228" s="82">
        <f>+VLOOKUP(B228,TbPiezas[],6,0)</f>
        <v>826.63</v>
      </c>
      <c r="O228" s="83">
        <f>TG[[#This Row],[TOTAL]]*TG[[#This Row],[P.U. (2)]]</f>
        <v>0</v>
      </c>
      <c r="P228" s="82">
        <f>+VLOOKUP(B228,TbPiezas[],7,0)</f>
        <v>41.331500000000005</v>
      </c>
      <c r="Q228" s="170">
        <f>ROUND(TG[[#This Row],[TOTAL]]*TG[[#This Row],[P.U. (3)]],2)</f>
        <v>0</v>
      </c>
      <c r="R228" s="326"/>
    </row>
    <row r="229" spans="2:18" hidden="1" x14ac:dyDescent="0.3">
      <c r="B229" s="76" t="s">
        <v>447</v>
      </c>
      <c r="C229" s="76" t="s">
        <v>448</v>
      </c>
      <c r="E229" s="120"/>
      <c r="F229" s="120"/>
      <c r="G229" s="74"/>
      <c r="I229" s="76" t="str">
        <f t="shared" si="6"/>
        <v>AE.5100</v>
      </c>
      <c r="J229" s="121" t="str">
        <f>+IF(B229=TG[[#This Row],[ITEM]],"ok","mal")</f>
        <v>ok</v>
      </c>
      <c r="K229" s="79">
        <f t="shared" si="7"/>
        <v>0</v>
      </c>
      <c r="L229" s="80">
        <f>IF(VLOOKUP(B229,TbPiezas[],5,0)="NA",0,VLOOKUP(B229,TbPiezas[],5,0))</f>
        <v>4.5599999999999996</v>
      </c>
      <c r="M229" s="81">
        <f>TG[[#This Row],[TOTAL]]*TG[[#This Row],[P.U. (1)]]</f>
        <v>0</v>
      </c>
      <c r="N229" s="82">
        <f>+VLOOKUP(B229,TbPiezas[],6,0)</f>
        <v>614.11</v>
      </c>
      <c r="O229" s="83">
        <f>TG[[#This Row],[TOTAL]]*TG[[#This Row],[P.U. (2)]]</f>
        <v>0</v>
      </c>
      <c r="P229" s="82">
        <f>+VLOOKUP(B229,TbPiezas[],7,0)</f>
        <v>30.705500000000001</v>
      </c>
      <c r="Q229" s="170">
        <f>ROUND(TG[[#This Row],[TOTAL]]*TG[[#This Row],[P.U. (3)]],2)</f>
        <v>0</v>
      </c>
      <c r="R229" s="326"/>
    </row>
    <row r="230" spans="2:18" hidden="1" x14ac:dyDescent="0.3">
      <c r="B230" s="76" t="s">
        <v>449</v>
      </c>
      <c r="C230" s="76" t="s">
        <v>450</v>
      </c>
      <c r="E230" s="120"/>
      <c r="F230" s="120"/>
      <c r="G230" s="74"/>
      <c r="I230" s="76" t="str">
        <f t="shared" si="6"/>
        <v>AE.5200</v>
      </c>
      <c r="J230" s="121" t="str">
        <f>+IF(B230=TG[[#This Row],[ITEM]],"ok","mal")</f>
        <v>ok</v>
      </c>
      <c r="K230" s="79">
        <f t="shared" si="7"/>
        <v>0</v>
      </c>
      <c r="L230" s="80">
        <f>IF(VLOOKUP(B230,TbPiezas[],5,0)="NA",0,VLOOKUP(B230,TbPiezas[],5,0))</f>
        <v>4.6399999999999997</v>
      </c>
      <c r="M230" s="81">
        <f>TG[[#This Row],[TOTAL]]*TG[[#This Row],[P.U. (1)]]</f>
        <v>0</v>
      </c>
      <c r="N230" s="82">
        <f>+VLOOKUP(B230,TbPiezas[],6,0)</f>
        <v>619.37</v>
      </c>
      <c r="O230" s="83">
        <f>TG[[#This Row],[TOTAL]]*TG[[#This Row],[P.U. (2)]]</f>
        <v>0</v>
      </c>
      <c r="P230" s="82">
        <f>+VLOOKUP(B230,TbPiezas[],7,0)</f>
        <v>30.968500000000002</v>
      </c>
      <c r="Q230" s="170">
        <f>ROUND(TG[[#This Row],[TOTAL]]*TG[[#This Row],[P.U. (3)]],2)</f>
        <v>0</v>
      </c>
      <c r="R230" s="326"/>
    </row>
    <row r="231" spans="2:18" hidden="1" x14ac:dyDescent="0.3">
      <c r="B231" s="76" t="s">
        <v>451</v>
      </c>
      <c r="C231" s="76" t="s">
        <v>452</v>
      </c>
      <c r="E231" s="120"/>
      <c r="F231" s="120"/>
      <c r="G231" s="74"/>
      <c r="I231" s="76" t="str">
        <f t="shared" si="6"/>
        <v>AE.5300</v>
      </c>
      <c r="J231" s="121" t="str">
        <f>+IF(B231=TG[[#This Row],[ITEM]],"ok","mal")</f>
        <v>ok</v>
      </c>
      <c r="K231" s="79">
        <f t="shared" si="7"/>
        <v>0</v>
      </c>
      <c r="L231" s="80">
        <f>IF(VLOOKUP(B231,TbPiezas[],5,0)="NA",0,VLOOKUP(B231,TbPiezas[],5,0))</f>
        <v>15</v>
      </c>
      <c r="M231" s="81">
        <f>TG[[#This Row],[TOTAL]]*TG[[#This Row],[P.U. (1)]]</f>
        <v>0</v>
      </c>
      <c r="N231" s="82">
        <f>+VLOOKUP(B231,TbPiezas[],6,0)</f>
        <v>1715.18</v>
      </c>
      <c r="O231" s="83">
        <f>TG[[#This Row],[TOTAL]]*TG[[#This Row],[P.U. (2)]]</f>
        <v>0</v>
      </c>
      <c r="P231" s="82">
        <f>+VLOOKUP(B231,TbPiezas[],7,0)</f>
        <v>85.759000000000015</v>
      </c>
      <c r="Q231" s="170">
        <f>ROUND(TG[[#This Row],[TOTAL]]*TG[[#This Row],[P.U. (3)]],2)</f>
        <v>0</v>
      </c>
      <c r="R231" s="326"/>
    </row>
    <row r="232" spans="2:18" hidden="1" x14ac:dyDescent="0.3">
      <c r="B232" s="76" t="s">
        <v>453</v>
      </c>
      <c r="C232" s="76" t="s">
        <v>454</v>
      </c>
      <c r="E232" s="120"/>
      <c r="F232" s="120"/>
      <c r="G232" s="74"/>
      <c r="I232" s="76" t="str">
        <f t="shared" si="6"/>
        <v>AE.5400</v>
      </c>
      <c r="J232" s="121" t="str">
        <f>+IF(B232=TG[[#This Row],[ITEM]],"ok","mal")</f>
        <v>ok</v>
      </c>
      <c r="K232" s="79">
        <f t="shared" si="7"/>
        <v>0</v>
      </c>
      <c r="L232" s="80">
        <f>IF(VLOOKUP(B232,TbPiezas[],5,0)="NA",0,VLOOKUP(B232,TbPiezas[],5,0))</f>
        <v>15</v>
      </c>
      <c r="M232" s="81">
        <f>TG[[#This Row],[TOTAL]]*TG[[#This Row],[P.U. (1)]]</f>
        <v>0</v>
      </c>
      <c r="N232" s="82">
        <f>+VLOOKUP(B232,TbPiezas[],6,0)</f>
        <v>1715.18</v>
      </c>
      <c r="O232" s="83">
        <f>TG[[#This Row],[TOTAL]]*TG[[#This Row],[P.U. (2)]]</f>
        <v>0</v>
      </c>
      <c r="P232" s="82">
        <f>+VLOOKUP(B232,TbPiezas[],7,0)</f>
        <v>85.759000000000015</v>
      </c>
      <c r="Q232" s="170">
        <f>ROUND(TG[[#This Row],[TOTAL]]*TG[[#This Row],[P.U. (3)]],2)</f>
        <v>0</v>
      </c>
      <c r="R232" s="326"/>
    </row>
    <row r="233" spans="2:18" hidden="1" x14ac:dyDescent="0.3">
      <c r="B233" s="76" t="s">
        <v>455</v>
      </c>
      <c r="C233" s="76" t="s">
        <v>456</v>
      </c>
      <c r="E233" s="120"/>
      <c r="F233" s="120"/>
      <c r="G233" s="74"/>
      <c r="I233" s="76" t="str">
        <f t="shared" si="6"/>
        <v>AE.5500</v>
      </c>
      <c r="J233" s="121" t="str">
        <f>+IF(B233=TG[[#This Row],[ITEM]],"ok","mal")</f>
        <v>ok</v>
      </c>
      <c r="K233" s="79">
        <f t="shared" si="7"/>
        <v>0</v>
      </c>
      <c r="L233" s="80">
        <f>IF(VLOOKUP(B233,TbPiezas[],5,0)="NA",0,VLOOKUP(B233,TbPiezas[],5,0))</f>
        <v>15</v>
      </c>
      <c r="M233" s="81">
        <f>TG[[#This Row],[TOTAL]]*TG[[#This Row],[P.U. (1)]]</f>
        <v>0</v>
      </c>
      <c r="N233" s="82">
        <f>+VLOOKUP(B233,TbPiezas[],6,0)</f>
        <v>1715.18</v>
      </c>
      <c r="O233" s="83">
        <f>TG[[#This Row],[TOTAL]]*TG[[#This Row],[P.U. (2)]]</f>
        <v>0</v>
      </c>
      <c r="P233" s="82">
        <f>+VLOOKUP(B233,TbPiezas[],7,0)</f>
        <v>85.759000000000015</v>
      </c>
      <c r="Q233" s="170">
        <f>ROUND(TG[[#This Row],[TOTAL]]*TG[[#This Row],[P.U. (3)]],2)</f>
        <v>0</v>
      </c>
      <c r="R233" s="326"/>
    </row>
    <row r="234" spans="2:18" hidden="1" x14ac:dyDescent="0.3">
      <c r="B234" s="76" t="s">
        <v>457</v>
      </c>
      <c r="C234" s="76" t="s">
        <v>458</v>
      </c>
      <c r="E234" s="120"/>
      <c r="F234" s="120"/>
      <c r="G234" s="74"/>
      <c r="I234" s="76" t="str">
        <f t="shared" si="6"/>
        <v>AE.5600</v>
      </c>
      <c r="J234" s="121" t="str">
        <f>+IF(B234=TG[[#This Row],[ITEM]],"ok","mal")</f>
        <v>ok</v>
      </c>
      <c r="K234" s="79">
        <f t="shared" si="7"/>
        <v>0</v>
      </c>
      <c r="L234" s="80">
        <f>IF(VLOOKUP(B234,TbPiezas[],5,0)="NA",0,VLOOKUP(B234,TbPiezas[],5,0))</f>
        <v>2.2999999999999972</v>
      </c>
      <c r="M234" s="81">
        <f>TG[[#This Row],[TOTAL]]*TG[[#This Row],[P.U. (1)]]</f>
        <v>0</v>
      </c>
      <c r="N234" s="82">
        <f>+VLOOKUP(B234,TbPiezas[],6,0)</f>
        <v>210.43</v>
      </c>
      <c r="O234" s="83">
        <f>TG[[#This Row],[TOTAL]]*TG[[#This Row],[P.U. (2)]]</f>
        <v>0</v>
      </c>
      <c r="P234" s="82">
        <f>+VLOOKUP(B234,TbPiezas[],7,0)</f>
        <v>10.521500000000001</v>
      </c>
      <c r="Q234" s="170">
        <f>ROUND(TG[[#This Row],[TOTAL]]*TG[[#This Row],[P.U. (3)]],2)</f>
        <v>0</v>
      </c>
      <c r="R234" s="326"/>
    </row>
    <row r="235" spans="2:18" hidden="1" x14ac:dyDescent="0.3">
      <c r="B235" s="76" t="s">
        <v>459</v>
      </c>
      <c r="C235" s="76" t="s">
        <v>460</v>
      </c>
      <c r="E235" s="120"/>
      <c r="F235" s="120"/>
      <c r="G235" s="74"/>
      <c r="I235" s="76" t="str">
        <f t="shared" si="6"/>
        <v>AE.5700</v>
      </c>
      <c r="J235" s="121" t="str">
        <f>+IF(B235=TG[[#This Row],[ITEM]],"ok","mal")</f>
        <v>ok</v>
      </c>
      <c r="K235" s="79">
        <f t="shared" si="7"/>
        <v>0</v>
      </c>
      <c r="L235" s="80">
        <f>IF(VLOOKUP(B235,TbPiezas[],5,0)="NA",0,VLOOKUP(B235,TbPiezas[],5,0))</f>
        <v>1</v>
      </c>
      <c r="M235" s="81">
        <f>TG[[#This Row],[TOTAL]]*TG[[#This Row],[P.U. (1)]]</f>
        <v>0</v>
      </c>
      <c r="N235" s="82">
        <f>+VLOOKUP(B235,TbPiezas[],6,0)</f>
        <v>210.43</v>
      </c>
      <c r="O235" s="83">
        <f>TG[[#This Row],[TOTAL]]*TG[[#This Row],[P.U. (2)]]</f>
        <v>0</v>
      </c>
      <c r="P235" s="82">
        <f>+VLOOKUP(B235,TbPiezas[],7,0)</f>
        <v>10.521500000000001</v>
      </c>
      <c r="Q235" s="170">
        <f>ROUND(TG[[#This Row],[TOTAL]]*TG[[#This Row],[P.U. (3)]],2)</f>
        <v>0</v>
      </c>
      <c r="R235" s="326"/>
    </row>
    <row r="236" spans="2:18" hidden="1" x14ac:dyDescent="0.3">
      <c r="B236" s="76" t="s">
        <v>461</v>
      </c>
      <c r="C236" s="76" t="s">
        <v>462</v>
      </c>
      <c r="E236" s="120"/>
      <c r="F236" s="120"/>
      <c r="G236" s="74"/>
      <c r="I236" s="76" t="str">
        <f t="shared" si="6"/>
        <v>AE.5800</v>
      </c>
      <c r="J236" s="121" t="str">
        <f>+IF(B236=TG[[#This Row],[ITEM]],"ok","mal")</f>
        <v>ok</v>
      </c>
      <c r="K236" s="79">
        <f t="shared" si="7"/>
        <v>0</v>
      </c>
      <c r="L236" s="80">
        <f>IF(VLOOKUP(B236,TbPiezas[],5,0)="NA",0,VLOOKUP(B236,TbPiezas[],5,0))</f>
        <v>0.5</v>
      </c>
      <c r="M236" s="81">
        <f>TG[[#This Row],[TOTAL]]*TG[[#This Row],[P.U. (1)]]</f>
        <v>0</v>
      </c>
      <c r="N236" s="82">
        <f>+VLOOKUP(B236,TbPiezas[],6,0)</f>
        <v>210.43</v>
      </c>
      <c r="O236" s="83">
        <f>TG[[#This Row],[TOTAL]]*TG[[#This Row],[P.U. (2)]]</f>
        <v>0</v>
      </c>
      <c r="P236" s="82">
        <f>+VLOOKUP(B236,TbPiezas[],7,0)</f>
        <v>10.521500000000001</v>
      </c>
      <c r="Q236" s="170">
        <f>ROUND(TG[[#This Row],[TOTAL]]*TG[[#This Row],[P.U. (3)]],2)</f>
        <v>0</v>
      </c>
      <c r="R236" s="326"/>
    </row>
    <row r="237" spans="2:18" hidden="1" x14ac:dyDescent="0.3">
      <c r="B237" s="76" t="s">
        <v>463</v>
      </c>
      <c r="C237" s="76" t="s">
        <v>464</v>
      </c>
      <c r="E237" s="120"/>
      <c r="F237" s="120"/>
      <c r="G237" s="74"/>
      <c r="I237" s="76" t="str">
        <f t="shared" si="6"/>
        <v>AE.5900</v>
      </c>
      <c r="J237" s="121" t="str">
        <f>+IF(B237=TG[[#This Row],[ITEM]],"ok","mal")</f>
        <v>ok</v>
      </c>
      <c r="K237" s="79">
        <f t="shared" si="7"/>
        <v>0</v>
      </c>
      <c r="L237" s="80">
        <f>IF(VLOOKUP(B237,TbPiezas[],5,0)="NA",0,VLOOKUP(B237,TbPiezas[],5,0))</f>
        <v>1.2000000000000028</v>
      </c>
      <c r="M237" s="81">
        <f>TG[[#This Row],[TOTAL]]*TG[[#This Row],[P.U. (1)]]</f>
        <v>0</v>
      </c>
      <c r="N237" s="82">
        <f>+VLOOKUP(B237,TbPiezas[],6,0)</f>
        <v>337.48</v>
      </c>
      <c r="O237" s="83">
        <f>TG[[#This Row],[TOTAL]]*TG[[#This Row],[P.U. (2)]]</f>
        <v>0</v>
      </c>
      <c r="P237" s="82">
        <f>+VLOOKUP(B237,TbPiezas[],7,0)</f>
        <v>16.874000000000002</v>
      </c>
      <c r="Q237" s="170">
        <f>ROUND(TG[[#This Row],[TOTAL]]*TG[[#This Row],[P.U. (3)]],2)</f>
        <v>0</v>
      </c>
      <c r="R237" s="326"/>
    </row>
    <row r="238" spans="2:18" hidden="1" x14ac:dyDescent="0.3">
      <c r="B238" s="76" t="s">
        <v>465</v>
      </c>
      <c r="C238" s="76" t="s">
        <v>466</v>
      </c>
      <c r="E238" s="120"/>
      <c r="F238" s="120"/>
      <c r="G238" s="74"/>
      <c r="I238" s="76" t="str">
        <f t="shared" si="6"/>
        <v>AE.6000</v>
      </c>
      <c r="J238" s="121" t="str">
        <f>+IF(B238=TG[[#This Row],[ITEM]],"ok","mal")</f>
        <v>ok</v>
      </c>
      <c r="K238" s="79">
        <f t="shared" si="7"/>
        <v>0</v>
      </c>
      <c r="L238" s="80">
        <f>IF(VLOOKUP(B238,TbPiezas[],5,0)="NA",0,VLOOKUP(B238,TbPiezas[],5,0))</f>
        <v>2.7000000000000028</v>
      </c>
      <c r="M238" s="81">
        <f>TG[[#This Row],[TOTAL]]*TG[[#This Row],[P.U. (1)]]</f>
        <v>0</v>
      </c>
      <c r="N238" s="82">
        <f>+VLOOKUP(B238,TbPiezas[],6,0)</f>
        <v>337.48</v>
      </c>
      <c r="O238" s="83">
        <f>TG[[#This Row],[TOTAL]]*TG[[#This Row],[P.U. (2)]]</f>
        <v>0</v>
      </c>
      <c r="P238" s="82">
        <f>+VLOOKUP(B238,TbPiezas[],7,0)</f>
        <v>16.874000000000002</v>
      </c>
      <c r="Q238" s="170">
        <f>ROUND(TG[[#This Row],[TOTAL]]*TG[[#This Row],[P.U. (3)]],2)</f>
        <v>0</v>
      </c>
      <c r="R238" s="326"/>
    </row>
    <row r="239" spans="2:18" hidden="1" x14ac:dyDescent="0.3">
      <c r="B239" s="76" t="s">
        <v>467</v>
      </c>
      <c r="C239" s="76" t="s">
        <v>468</v>
      </c>
      <c r="E239" s="120"/>
      <c r="F239" s="120"/>
      <c r="G239" s="74"/>
      <c r="I239" s="76" t="str">
        <f t="shared" si="6"/>
        <v>AE.6100</v>
      </c>
      <c r="J239" s="121" t="str">
        <f>+IF(B239=TG[[#This Row],[ITEM]],"ok","mal")</f>
        <v>ok</v>
      </c>
      <c r="K239" s="79">
        <f t="shared" si="7"/>
        <v>0</v>
      </c>
      <c r="L239" s="80">
        <f>IF(VLOOKUP(B239,TbPiezas[],5,0)="NA",0,VLOOKUP(B239,TbPiezas[],5,0))</f>
        <v>18.5</v>
      </c>
      <c r="M239" s="81">
        <f>TG[[#This Row],[TOTAL]]*TG[[#This Row],[P.U. (1)]]</f>
        <v>0</v>
      </c>
      <c r="N239" s="82">
        <f>+VLOOKUP(B239,TbPiezas[],6,0)</f>
        <v>191.38</v>
      </c>
      <c r="O239" s="83">
        <f>TG[[#This Row],[TOTAL]]*TG[[#This Row],[P.U. (2)]]</f>
        <v>0</v>
      </c>
      <c r="P239" s="82">
        <f>+VLOOKUP(B239,TbPiezas[],7,0)</f>
        <v>9.5690000000000008</v>
      </c>
      <c r="Q239" s="170">
        <f>ROUND(TG[[#This Row],[TOTAL]]*TG[[#This Row],[P.U. (3)]],2)</f>
        <v>0</v>
      </c>
      <c r="R239" s="326"/>
    </row>
    <row r="240" spans="2:18" hidden="1" x14ac:dyDescent="0.3">
      <c r="B240" s="76" t="s">
        <v>469</v>
      </c>
      <c r="C240" s="76" t="s">
        <v>470</v>
      </c>
      <c r="E240" s="120"/>
      <c r="F240" s="120"/>
      <c r="G240" s="74"/>
      <c r="I240" s="76" t="str">
        <f t="shared" si="6"/>
        <v>AE.6200</v>
      </c>
      <c r="J240" s="121" t="str">
        <f>+IF(B240=TG[[#This Row],[ITEM]],"ok","mal")</f>
        <v>ok</v>
      </c>
      <c r="K240" s="79">
        <f t="shared" si="7"/>
        <v>0</v>
      </c>
      <c r="L240" s="80">
        <f>IF(VLOOKUP(B240,TbPiezas[],5,0)="NA",0,VLOOKUP(B240,TbPiezas[],5,0))</f>
        <v>17.299999999999997</v>
      </c>
      <c r="M240" s="81">
        <f>TG[[#This Row],[TOTAL]]*TG[[#This Row],[P.U. (1)]]</f>
        <v>0</v>
      </c>
      <c r="N240" s="82">
        <f>+VLOOKUP(B240,TbPiezas[],6,0)</f>
        <v>191.38</v>
      </c>
      <c r="O240" s="83">
        <f>TG[[#This Row],[TOTAL]]*TG[[#This Row],[P.U. (2)]]</f>
        <v>0</v>
      </c>
      <c r="P240" s="82">
        <f>+VLOOKUP(B240,TbPiezas[],7,0)</f>
        <v>9.5690000000000008</v>
      </c>
      <c r="Q240" s="170">
        <f>ROUND(TG[[#This Row],[TOTAL]]*TG[[#This Row],[P.U. (3)]],2)</f>
        <v>0</v>
      </c>
      <c r="R240" s="326"/>
    </row>
    <row r="241" spans="2:18" hidden="1" x14ac:dyDescent="0.3">
      <c r="B241" s="76" t="s">
        <v>471</v>
      </c>
      <c r="C241" s="76" t="s">
        <v>472</v>
      </c>
      <c r="E241" s="120"/>
      <c r="F241" s="120"/>
      <c r="G241" s="74"/>
      <c r="I241" s="76" t="str">
        <f t="shared" si="6"/>
        <v>AE.6300</v>
      </c>
      <c r="J241" s="121" t="str">
        <f>+IF(B241=TG[[#This Row],[ITEM]],"ok","mal")</f>
        <v>ok</v>
      </c>
      <c r="K241" s="79">
        <f t="shared" si="7"/>
        <v>0</v>
      </c>
      <c r="L241" s="80">
        <f>IF(VLOOKUP(B241,TbPiezas[],5,0)="NA",0,VLOOKUP(B241,TbPiezas[],5,0))</f>
        <v>21</v>
      </c>
      <c r="M241" s="81">
        <f>TG[[#This Row],[TOTAL]]*TG[[#This Row],[P.U. (1)]]</f>
        <v>0</v>
      </c>
      <c r="N241" s="82">
        <f>+VLOOKUP(B241,TbPiezas[],6,0)</f>
        <v>191.38</v>
      </c>
      <c r="O241" s="83">
        <f>TG[[#This Row],[TOTAL]]*TG[[#This Row],[P.U. (2)]]</f>
        <v>0</v>
      </c>
      <c r="P241" s="82">
        <f>+VLOOKUP(B241,TbPiezas[],7,0)</f>
        <v>9.5690000000000008</v>
      </c>
      <c r="Q241" s="170">
        <f>ROUND(TG[[#This Row],[TOTAL]]*TG[[#This Row],[P.U. (3)]],2)</f>
        <v>0</v>
      </c>
      <c r="R241" s="326"/>
    </row>
    <row r="242" spans="2:18" hidden="1" x14ac:dyDescent="0.3">
      <c r="B242" s="76" t="s">
        <v>473</v>
      </c>
      <c r="C242" s="76" t="s">
        <v>474</v>
      </c>
      <c r="E242" s="120"/>
      <c r="F242" s="120"/>
      <c r="G242" s="74"/>
      <c r="I242" s="76" t="str">
        <f t="shared" si="6"/>
        <v>AE.6400</v>
      </c>
      <c r="J242" s="121" t="str">
        <f>+IF(B242=TG[[#This Row],[ITEM]],"ok","mal")</f>
        <v>ok</v>
      </c>
      <c r="K242" s="79">
        <f t="shared" si="7"/>
        <v>0</v>
      </c>
      <c r="L242" s="80">
        <f>IF(VLOOKUP(B242,TbPiezas[],5,0)="NA",0,VLOOKUP(B242,TbPiezas[],5,0))</f>
        <v>14.400000000000006</v>
      </c>
      <c r="M242" s="81">
        <f>TG[[#This Row],[TOTAL]]*TG[[#This Row],[P.U. (1)]]</f>
        <v>0</v>
      </c>
      <c r="N242" s="82">
        <f>+VLOOKUP(B242,TbPiezas[],6,0)</f>
        <v>191.38</v>
      </c>
      <c r="O242" s="83">
        <f>TG[[#This Row],[TOTAL]]*TG[[#This Row],[P.U. (2)]]</f>
        <v>0</v>
      </c>
      <c r="P242" s="82">
        <f>+VLOOKUP(B242,TbPiezas[],7,0)</f>
        <v>9.5690000000000008</v>
      </c>
      <c r="Q242" s="170">
        <f>ROUND(TG[[#This Row],[TOTAL]]*TG[[#This Row],[P.U. (3)]],2)</f>
        <v>0</v>
      </c>
      <c r="R242" s="326"/>
    </row>
    <row r="243" spans="2:18" hidden="1" x14ac:dyDescent="0.3">
      <c r="B243" s="76" t="s">
        <v>475</v>
      </c>
      <c r="C243" s="76" t="s">
        <v>476</v>
      </c>
      <c r="E243" s="120"/>
      <c r="F243" s="120"/>
      <c r="G243" s="74"/>
      <c r="I243" s="76" t="str">
        <f t="shared" si="6"/>
        <v>AE.6500</v>
      </c>
      <c r="J243" s="121" t="str">
        <f>+IF(B243=TG[[#This Row],[ITEM]],"ok","mal")</f>
        <v>ok</v>
      </c>
      <c r="K243" s="79">
        <f t="shared" si="7"/>
        <v>0</v>
      </c>
      <c r="L243" s="80">
        <f>IF(VLOOKUP(B243,TbPiezas[],5,0)="NA",0,VLOOKUP(B243,TbPiezas[],5,0))</f>
        <v>13.200000000000003</v>
      </c>
      <c r="M243" s="81">
        <f>TG[[#This Row],[TOTAL]]*TG[[#This Row],[P.U. (1)]]</f>
        <v>0</v>
      </c>
      <c r="N243" s="82">
        <f>+VLOOKUP(B243,TbPiezas[],6,0)</f>
        <v>379.07</v>
      </c>
      <c r="O243" s="83">
        <f>TG[[#This Row],[TOTAL]]*TG[[#This Row],[P.U. (2)]]</f>
        <v>0</v>
      </c>
      <c r="P243" s="82">
        <f>+VLOOKUP(B243,TbPiezas[],7,0)</f>
        <v>18.953500000000002</v>
      </c>
      <c r="Q243" s="170">
        <f>ROUND(TG[[#This Row],[TOTAL]]*TG[[#This Row],[P.U. (3)]],2)</f>
        <v>0</v>
      </c>
      <c r="R243" s="326"/>
    </row>
    <row r="244" spans="2:18" hidden="1" x14ac:dyDescent="0.3">
      <c r="B244" s="76" t="s">
        <v>477</v>
      </c>
      <c r="C244" s="76" t="s">
        <v>478</v>
      </c>
      <c r="E244" s="120"/>
      <c r="F244" s="120"/>
      <c r="G244" s="74"/>
      <c r="I244" s="76" t="str">
        <f t="shared" si="6"/>
        <v>AE.6510</v>
      </c>
      <c r="J244" s="121" t="str">
        <f>+IF(B244=TG[[#This Row],[ITEM]],"ok","mal")</f>
        <v>ok</v>
      </c>
      <c r="K244" s="79">
        <f t="shared" si="7"/>
        <v>0</v>
      </c>
      <c r="L244" s="80">
        <f>IF(VLOOKUP(B244,TbPiezas[],5,0)="NA",0,VLOOKUP(B244,TbPiezas[],5,0))</f>
        <v>5.0999999999999996</v>
      </c>
      <c r="M244" s="81">
        <f>TG[[#This Row],[TOTAL]]*TG[[#This Row],[P.U. (1)]]</f>
        <v>0</v>
      </c>
      <c r="N244" s="82">
        <f>+VLOOKUP(B244,TbPiezas[],6,0)</f>
        <v>150</v>
      </c>
      <c r="O244" s="83">
        <f>TG[[#This Row],[TOTAL]]*TG[[#This Row],[P.U. (2)]]</f>
        <v>0</v>
      </c>
      <c r="P244" s="82">
        <f>+VLOOKUP(B244,TbPiezas[],7,0)</f>
        <v>7.5</v>
      </c>
      <c r="Q244" s="170">
        <f>ROUND(TG[[#This Row],[TOTAL]]*TG[[#This Row],[P.U. (3)]],2)</f>
        <v>0</v>
      </c>
      <c r="R244" s="326"/>
    </row>
    <row r="245" spans="2:18" hidden="1" x14ac:dyDescent="0.3">
      <c r="B245" s="76" t="s">
        <v>479</v>
      </c>
      <c r="C245" s="76" t="s">
        <v>480</v>
      </c>
      <c r="E245" s="120"/>
      <c r="F245" s="120"/>
      <c r="G245" s="74"/>
      <c r="I245" s="76" t="str">
        <f t="shared" si="6"/>
        <v>AE.6520</v>
      </c>
      <c r="J245" s="121" t="str">
        <f>+IF(B245=TG[[#This Row],[ITEM]],"ok","mal")</f>
        <v>ok</v>
      </c>
      <c r="K245" s="79">
        <f t="shared" si="7"/>
        <v>0</v>
      </c>
      <c r="L245" s="80">
        <f>IF(VLOOKUP(B245,TbPiezas[],5,0)="NA",0,VLOOKUP(B245,TbPiezas[],5,0))</f>
        <v>6.5</v>
      </c>
      <c r="M245" s="81">
        <f>TG[[#This Row],[TOTAL]]*TG[[#This Row],[P.U. (1)]]</f>
        <v>0</v>
      </c>
      <c r="N245" s="82">
        <f>+VLOOKUP(B245,TbPiezas[],6,0)</f>
        <v>150</v>
      </c>
      <c r="O245" s="83">
        <f>TG[[#This Row],[TOTAL]]*TG[[#This Row],[P.U. (2)]]</f>
        <v>0</v>
      </c>
      <c r="P245" s="82">
        <f>+VLOOKUP(B245,TbPiezas[],7,0)</f>
        <v>7.5</v>
      </c>
      <c r="Q245" s="170">
        <f>ROUND(TG[[#This Row],[TOTAL]]*TG[[#This Row],[P.U. (3)]],2)</f>
        <v>0</v>
      </c>
      <c r="R245" s="326"/>
    </row>
    <row r="246" spans="2:18" hidden="1" x14ac:dyDescent="0.3">
      <c r="B246" s="76" t="s">
        <v>481</v>
      </c>
      <c r="C246" s="76" t="s">
        <v>482</v>
      </c>
      <c r="E246" s="120"/>
      <c r="F246" s="120"/>
      <c r="G246" s="74"/>
      <c r="I246" s="76" t="str">
        <f t="shared" si="6"/>
        <v>AE.6600</v>
      </c>
      <c r="J246" s="121" t="str">
        <f>+IF(B246=TG[[#This Row],[ITEM]],"ok","mal")</f>
        <v>ok</v>
      </c>
      <c r="K246" s="79">
        <f t="shared" si="7"/>
        <v>0</v>
      </c>
      <c r="L246" s="80">
        <f>IF(VLOOKUP(B246,TbPiezas[],5,0)="NA",0,VLOOKUP(B246,TbPiezas[],5,0))</f>
        <v>6.2000000000000028</v>
      </c>
      <c r="M246" s="81">
        <f>TG[[#This Row],[TOTAL]]*TG[[#This Row],[P.U. (1)]]</f>
        <v>0</v>
      </c>
      <c r="N246" s="82">
        <f>+VLOOKUP(B246,TbPiezas[],6,0)</f>
        <v>337.14</v>
      </c>
      <c r="O246" s="83">
        <f>TG[[#This Row],[TOTAL]]*TG[[#This Row],[P.U. (2)]]</f>
        <v>0</v>
      </c>
      <c r="P246" s="82">
        <f>+VLOOKUP(B246,TbPiezas[],7,0)</f>
        <v>16.856999999999999</v>
      </c>
      <c r="Q246" s="170">
        <f>ROUND(TG[[#This Row],[TOTAL]]*TG[[#This Row],[P.U. (3)]],2)</f>
        <v>0</v>
      </c>
      <c r="R246" s="326"/>
    </row>
    <row r="247" spans="2:18" hidden="1" x14ac:dyDescent="0.3">
      <c r="B247" s="76" t="s">
        <v>483</v>
      </c>
      <c r="C247" s="76" t="s">
        <v>484</v>
      </c>
      <c r="E247" s="120"/>
      <c r="F247" s="120"/>
      <c r="G247" s="74"/>
      <c r="I247" s="76" t="str">
        <f t="shared" si="6"/>
        <v>AE.6700</v>
      </c>
      <c r="J247" s="121" t="str">
        <f>+IF(B247=TG[[#This Row],[ITEM]],"ok","mal")</f>
        <v>ok</v>
      </c>
      <c r="K247" s="79">
        <f t="shared" si="7"/>
        <v>0</v>
      </c>
      <c r="L247" s="80">
        <f>IF(VLOOKUP(B247,TbPiezas[],5,0)="NA",0,VLOOKUP(B247,TbPiezas[],5,0))</f>
        <v>6.8999999999999915</v>
      </c>
      <c r="M247" s="81">
        <f>TG[[#This Row],[TOTAL]]*TG[[#This Row],[P.U. (1)]]</f>
        <v>0</v>
      </c>
      <c r="N247" s="82">
        <f>+VLOOKUP(B247,TbPiezas[],6,0)</f>
        <v>375.25</v>
      </c>
      <c r="O247" s="83">
        <f>TG[[#This Row],[TOTAL]]*TG[[#This Row],[P.U. (2)]]</f>
        <v>0</v>
      </c>
      <c r="P247" s="82">
        <f>+VLOOKUP(B247,TbPiezas[],7,0)</f>
        <v>18.762499999999999</v>
      </c>
      <c r="Q247" s="170">
        <f>ROUND(TG[[#This Row],[TOTAL]]*TG[[#This Row],[P.U. (3)]],2)</f>
        <v>0</v>
      </c>
      <c r="R247" s="326"/>
    </row>
    <row r="248" spans="2:18" hidden="1" x14ac:dyDescent="0.3">
      <c r="B248" s="76" t="s">
        <v>485</v>
      </c>
      <c r="C248" s="76" t="s">
        <v>486</v>
      </c>
      <c r="E248" s="120"/>
      <c r="F248" s="120"/>
      <c r="G248" s="74"/>
      <c r="I248" s="76" t="str">
        <f t="shared" si="6"/>
        <v>AE.6800</v>
      </c>
      <c r="J248" s="121" t="str">
        <f>+IF(B248=TG[[#This Row],[ITEM]],"ok","mal")</f>
        <v>ok</v>
      </c>
      <c r="K248" s="79">
        <f t="shared" si="7"/>
        <v>0</v>
      </c>
      <c r="L248" s="80">
        <f>IF(VLOOKUP(B248,TbPiezas[],5,0)="NA",0,VLOOKUP(B248,TbPiezas[],5,0))</f>
        <v>18.599999999999994</v>
      </c>
      <c r="M248" s="81">
        <f>TG[[#This Row],[TOTAL]]*TG[[#This Row],[P.U. (1)]]</f>
        <v>0</v>
      </c>
      <c r="N248" s="82">
        <f>+VLOOKUP(B248,TbPiezas[],6,0)</f>
        <v>553.12</v>
      </c>
      <c r="O248" s="83">
        <f>TG[[#This Row],[TOTAL]]*TG[[#This Row],[P.U. (2)]]</f>
        <v>0</v>
      </c>
      <c r="P248" s="82">
        <f>+VLOOKUP(B248,TbPiezas[],7,0)</f>
        <v>27.656000000000002</v>
      </c>
      <c r="Q248" s="170">
        <f>ROUND(TG[[#This Row],[TOTAL]]*TG[[#This Row],[P.U. (3)]],2)</f>
        <v>0</v>
      </c>
      <c r="R248" s="326"/>
    </row>
    <row r="249" spans="2:18" hidden="1" x14ac:dyDescent="0.3">
      <c r="B249" s="76" t="s">
        <v>487</v>
      </c>
      <c r="C249" s="76" t="s">
        <v>488</v>
      </c>
      <c r="E249" s="120"/>
      <c r="F249" s="120"/>
      <c r="G249" s="74"/>
      <c r="I249" s="76" t="str">
        <f t="shared" si="6"/>
        <v>AE.6900</v>
      </c>
      <c r="J249" s="121" t="str">
        <f>+IF(B249=TG[[#This Row],[ITEM]],"ok","mal")</f>
        <v>ok</v>
      </c>
      <c r="K249" s="79">
        <f t="shared" si="7"/>
        <v>0</v>
      </c>
      <c r="L249" s="80">
        <f>IF(VLOOKUP(B249,TbPiezas[],5,0)="NA",0,VLOOKUP(B249,TbPiezas[],5,0))</f>
        <v>23.400000000000006</v>
      </c>
      <c r="M249" s="81">
        <f>TG[[#This Row],[TOTAL]]*TG[[#This Row],[P.U. (1)]]</f>
        <v>0</v>
      </c>
      <c r="N249" s="82">
        <f>+VLOOKUP(B249,TbPiezas[],6,0)</f>
        <v>553.12</v>
      </c>
      <c r="O249" s="83">
        <f>TG[[#This Row],[TOTAL]]*TG[[#This Row],[P.U. (2)]]</f>
        <v>0</v>
      </c>
      <c r="P249" s="82">
        <f>+VLOOKUP(B249,TbPiezas[],7,0)</f>
        <v>27.656000000000002</v>
      </c>
      <c r="Q249" s="170">
        <f>ROUND(TG[[#This Row],[TOTAL]]*TG[[#This Row],[P.U. (3)]],2)</f>
        <v>0</v>
      </c>
      <c r="R249" s="326"/>
    </row>
    <row r="250" spans="2:18" hidden="1" x14ac:dyDescent="0.3">
      <c r="B250" s="76" t="s">
        <v>489</v>
      </c>
      <c r="C250" s="76" t="s">
        <v>490</v>
      </c>
      <c r="E250" s="120"/>
      <c r="F250" s="120"/>
      <c r="G250" s="74"/>
      <c r="I250" s="76" t="str">
        <f t="shared" si="6"/>
        <v>AE.7000</v>
      </c>
      <c r="J250" s="121" t="str">
        <f>+IF(B250=TG[[#This Row],[ITEM]],"ok","mal")</f>
        <v>ok</v>
      </c>
      <c r="K250" s="79">
        <f t="shared" si="7"/>
        <v>0</v>
      </c>
      <c r="L250" s="80">
        <f>IF(VLOOKUP(B250,TbPiezas[],5,0)="NA",0,VLOOKUP(B250,TbPiezas[],5,0))</f>
        <v>20.099999999999994</v>
      </c>
      <c r="M250" s="81">
        <f>TG[[#This Row],[TOTAL]]*TG[[#This Row],[P.U. (1)]]</f>
        <v>0</v>
      </c>
      <c r="N250" s="82">
        <f>+VLOOKUP(B250,TbPiezas[],6,0)</f>
        <v>553.12</v>
      </c>
      <c r="O250" s="83">
        <f>TG[[#This Row],[TOTAL]]*TG[[#This Row],[P.U. (2)]]</f>
        <v>0</v>
      </c>
      <c r="P250" s="82">
        <f>+VLOOKUP(B250,TbPiezas[],7,0)</f>
        <v>27.656000000000002</v>
      </c>
      <c r="Q250" s="170">
        <f>ROUND(TG[[#This Row],[TOTAL]]*TG[[#This Row],[P.U. (3)]],2)</f>
        <v>0</v>
      </c>
      <c r="R250" s="326"/>
    </row>
    <row r="251" spans="2:18" hidden="1" x14ac:dyDescent="0.3">
      <c r="B251" s="76" t="s">
        <v>491</v>
      </c>
      <c r="C251" s="76" t="s">
        <v>492</v>
      </c>
      <c r="E251" s="120"/>
      <c r="F251" s="120"/>
      <c r="G251" s="74"/>
      <c r="I251" s="76" t="str">
        <f t="shared" si="6"/>
        <v>AE.7100</v>
      </c>
      <c r="J251" s="121" t="str">
        <f>+IF(B251=TG[[#This Row],[ITEM]],"ok","mal")</f>
        <v>ok</v>
      </c>
      <c r="K251" s="79">
        <f t="shared" si="7"/>
        <v>0</v>
      </c>
      <c r="L251" s="80">
        <f>IF(VLOOKUP(B251,TbPiezas[],5,0)="NA",0,VLOOKUP(B251,TbPiezas[],5,0))</f>
        <v>15.400000000000006</v>
      </c>
      <c r="M251" s="81">
        <f>TG[[#This Row],[TOTAL]]*TG[[#This Row],[P.U. (1)]]</f>
        <v>0</v>
      </c>
      <c r="N251" s="82">
        <f>+VLOOKUP(B251,TbPiezas[],6,0)</f>
        <v>553.12</v>
      </c>
      <c r="O251" s="83">
        <f>TG[[#This Row],[TOTAL]]*TG[[#This Row],[P.U. (2)]]</f>
        <v>0</v>
      </c>
      <c r="P251" s="82">
        <f>+VLOOKUP(B251,TbPiezas[],7,0)</f>
        <v>27.656000000000002</v>
      </c>
      <c r="Q251" s="170">
        <f>ROUND(TG[[#This Row],[TOTAL]]*TG[[#This Row],[P.U. (3)]],2)</f>
        <v>0</v>
      </c>
      <c r="R251" s="326"/>
    </row>
    <row r="252" spans="2:18" hidden="1" x14ac:dyDescent="0.3">
      <c r="B252" s="76" t="s">
        <v>493</v>
      </c>
      <c r="C252" s="76" t="s">
        <v>494</v>
      </c>
      <c r="E252" s="120"/>
      <c r="F252" s="120"/>
      <c r="G252" s="74"/>
      <c r="I252" s="76" t="str">
        <f t="shared" si="6"/>
        <v>AE.7200</v>
      </c>
      <c r="J252" s="121" t="str">
        <f>+IF(B252=TG[[#This Row],[ITEM]],"ok","mal")</f>
        <v>ok</v>
      </c>
      <c r="K252" s="79">
        <f t="shared" si="7"/>
        <v>0</v>
      </c>
      <c r="L252" s="80">
        <f>IF(VLOOKUP(B252,TbPiezas[],5,0)="NA",0,VLOOKUP(B252,TbPiezas[],5,0))</f>
        <v>25.899999999999991</v>
      </c>
      <c r="M252" s="81">
        <f>TG[[#This Row],[TOTAL]]*TG[[#This Row],[P.U. (1)]]</f>
        <v>0</v>
      </c>
      <c r="N252" s="82">
        <f>+VLOOKUP(B252,TbPiezas[],6,0)</f>
        <v>1605.09</v>
      </c>
      <c r="O252" s="83">
        <f>TG[[#This Row],[TOTAL]]*TG[[#This Row],[P.U. (2)]]</f>
        <v>0</v>
      </c>
      <c r="P252" s="82">
        <f>+VLOOKUP(B252,TbPiezas[],7,0)</f>
        <v>80.254500000000007</v>
      </c>
      <c r="Q252" s="170">
        <f>ROUND(TG[[#This Row],[TOTAL]]*TG[[#This Row],[P.U. (3)]],2)</f>
        <v>0</v>
      </c>
      <c r="R252" s="326"/>
    </row>
    <row r="253" spans="2:18" hidden="1" x14ac:dyDescent="0.3">
      <c r="B253" s="76" t="s">
        <v>495</v>
      </c>
      <c r="C253" s="76" t="s">
        <v>496</v>
      </c>
      <c r="E253" s="120"/>
      <c r="F253" s="120"/>
      <c r="G253" s="74"/>
      <c r="I253" s="76" t="str">
        <f t="shared" si="6"/>
        <v>AE.7300</v>
      </c>
      <c r="J253" s="121" t="str">
        <f>+IF(B253=TG[[#This Row],[ITEM]],"ok","mal")</f>
        <v>ok</v>
      </c>
      <c r="K253" s="79">
        <f t="shared" si="7"/>
        <v>0</v>
      </c>
      <c r="L253" s="80">
        <f>IF(VLOOKUP(B253,TbPiezas[],5,0)="NA",0,VLOOKUP(B253,TbPiezas[],5,0))</f>
        <v>20.700000000000003</v>
      </c>
      <c r="M253" s="81">
        <f>TG[[#This Row],[TOTAL]]*TG[[#This Row],[P.U. (1)]]</f>
        <v>0</v>
      </c>
      <c r="N253" s="82">
        <f>+VLOOKUP(B253,TbPiezas[],6,0)</f>
        <v>1284.07</v>
      </c>
      <c r="O253" s="83">
        <f>TG[[#This Row],[TOTAL]]*TG[[#This Row],[P.U. (2)]]</f>
        <v>0</v>
      </c>
      <c r="P253" s="82">
        <f>+VLOOKUP(B253,TbPiezas[],7,0)</f>
        <v>64.203500000000005</v>
      </c>
      <c r="Q253" s="170">
        <f>ROUND(TG[[#This Row],[TOTAL]]*TG[[#This Row],[P.U. (3)]],2)</f>
        <v>0</v>
      </c>
      <c r="R253" s="326"/>
    </row>
    <row r="254" spans="2:18" hidden="1" x14ac:dyDescent="0.3">
      <c r="B254" s="76" t="s">
        <v>497</v>
      </c>
      <c r="C254" s="76" t="s">
        <v>498</v>
      </c>
      <c r="E254" s="120"/>
      <c r="F254" s="120"/>
      <c r="G254" s="74"/>
      <c r="I254" s="76" t="str">
        <f t="shared" si="6"/>
        <v>AE.7400</v>
      </c>
      <c r="J254" s="121" t="str">
        <f>+IF(B254=TG[[#This Row],[ITEM]],"ok","mal")</f>
        <v>ok</v>
      </c>
      <c r="K254" s="79">
        <f t="shared" si="7"/>
        <v>0</v>
      </c>
      <c r="L254" s="80">
        <f>IF(VLOOKUP(B254,TbPiezas[],5,0)="NA",0,VLOOKUP(B254,TbPiezas[],5,0))</f>
        <v>18.100000000000009</v>
      </c>
      <c r="M254" s="81">
        <f>TG[[#This Row],[TOTAL]]*TG[[#This Row],[P.U. (1)]]</f>
        <v>0</v>
      </c>
      <c r="N254" s="82">
        <f>+VLOOKUP(B254,TbPiezas[],6,0)</f>
        <v>1123.56</v>
      </c>
      <c r="O254" s="83">
        <f>TG[[#This Row],[TOTAL]]*TG[[#This Row],[P.U. (2)]]</f>
        <v>0</v>
      </c>
      <c r="P254" s="82">
        <f>+VLOOKUP(B254,TbPiezas[],7,0)</f>
        <v>56.177999999999997</v>
      </c>
      <c r="Q254" s="170">
        <f>ROUND(TG[[#This Row],[TOTAL]]*TG[[#This Row],[P.U. (3)]],2)</f>
        <v>0</v>
      </c>
      <c r="R254" s="326"/>
    </row>
    <row r="255" spans="2:18" hidden="1" x14ac:dyDescent="0.3">
      <c r="B255" s="76" t="s">
        <v>499</v>
      </c>
      <c r="C255" s="76" t="s">
        <v>500</v>
      </c>
      <c r="E255" s="120"/>
      <c r="F255" s="120"/>
      <c r="G255" s="74"/>
      <c r="I255" s="76" t="str">
        <f t="shared" si="6"/>
        <v>AE.7450</v>
      </c>
      <c r="J255" s="121" t="str">
        <f>+IF(B255=TG[[#This Row],[ITEM]],"ok","mal")</f>
        <v>ok</v>
      </c>
      <c r="K255" s="79">
        <f t="shared" si="7"/>
        <v>0</v>
      </c>
      <c r="L255" s="80">
        <f>IF(VLOOKUP(B255,TbPiezas[],5,0)="NA",0,VLOOKUP(B255,TbPiezas[],5,0))</f>
        <v>10.350000000000001</v>
      </c>
      <c r="M255" s="81">
        <f>TG[[#This Row],[TOTAL]]*TG[[#This Row],[P.U. (1)]]</f>
        <v>0</v>
      </c>
      <c r="N255" s="82">
        <f>+VLOOKUP(B255,TbPiezas[],6,0)</f>
        <v>813.44</v>
      </c>
      <c r="O255" s="83">
        <f>TG[[#This Row],[TOTAL]]*TG[[#This Row],[P.U. (2)]]</f>
        <v>0</v>
      </c>
      <c r="P255" s="82">
        <f>+VLOOKUP(B255,TbPiezas[],7,0)</f>
        <v>40.672000000000004</v>
      </c>
      <c r="Q255" s="170">
        <f>ROUND(TG[[#This Row],[TOTAL]]*TG[[#This Row],[P.U. (3)]],2)</f>
        <v>0</v>
      </c>
      <c r="R255" s="326"/>
    </row>
    <row r="256" spans="2:18" hidden="1" x14ac:dyDescent="0.3">
      <c r="B256" s="76" t="s">
        <v>501</v>
      </c>
      <c r="C256" s="76" t="s">
        <v>502</v>
      </c>
      <c r="E256" s="120"/>
      <c r="F256" s="120"/>
      <c r="G256" s="74"/>
      <c r="I256" s="76" t="str">
        <f t="shared" si="6"/>
        <v>AE.7500</v>
      </c>
      <c r="J256" s="121" t="str">
        <f>+IF(B256=TG[[#This Row],[ITEM]],"ok","mal")</f>
        <v>ok</v>
      </c>
      <c r="K256" s="79">
        <f t="shared" si="7"/>
        <v>0</v>
      </c>
      <c r="L256" s="80">
        <f>IF(VLOOKUP(B256,TbPiezas[],5,0)="NA",0,VLOOKUP(B256,TbPiezas[],5,0))</f>
        <v>0.20000000000000284</v>
      </c>
      <c r="M256" s="81">
        <f>TG[[#This Row],[TOTAL]]*TG[[#This Row],[P.U. (1)]]</f>
        <v>0</v>
      </c>
      <c r="N256" s="82">
        <f>+VLOOKUP(B256,TbPiezas[],6,0)</f>
        <v>88.94</v>
      </c>
      <c r="O256" s="83">
        <f>TG[[#This Row],[TOTAL]]*TG[[#This Row],[P.U. (2)]]</f>
        <v>0</v>
      </c>
      <c r="P256" s="82">
        <f>+VLOOKUP(B256,TbPiezas[],7,0)</f>
        <v>4.4470000000000001</v>
      </c>
      <c r="Q256" s="170">
        <f>ROUND(TG[[#This Row],[TOTAL]]*TG[[#This Row],[P.U. (3)]],2)</f>
        <v>0</v>
      </c>
      <c r="R256" s="326"/>
    </row>
    <row r="257" spans="2:18" hidden="1" x14ac:dyDescent="0.3">
      <c r="B257" s="76" t="s">
        <v>503</v>
      </c>
      <c r="C257" s="76" t="s">
        <v>504</v>
      </c>
      <c r="E257" s="120"/>
      <c r="F257" s="120"/>
      <c r="G257" s="74"/>
      <c r="I257" s="76" t="str">
        <f t="shared" si="6"/>
        <v>AE.7600</v>
      </c>
      <c r="J257" s="121" t="str">
        <f>+IF(B257=TG[[#This Row],[ITEM]],"ok","mal")</f>
        <v>ok</v>
      </c>
      <c r="K257" s="79">
        <f t="shared" si="7"/>
        <v>0</v>
      </c>
      <c r="L257" s="80">
        <f>IF(VLOOKUP(B257,TbPiezas[],5,0)="NA",0,VLOOKUP(B257,TbPiezas[],5,0))</f>
        <v>0.20000000000000284</v>
      </c>
      <c r="M257" s="81">
        <f>TG[[#This Row],[TOTAL]]*TG[[#This Row],[P.U. (1)]]</f>
        <v>0</v>
      </c>
      <c r="N257" s="82">
        <f>+VLOOKUP(B257,TbPiezas[],6,0)</f>
        <v>88.94</v>
      </c>
      <c r="O257" s="83">
        <f>TG[[#This Row],[TOTAL]]*TG[[#This Row],[P.U. (2)]]</f>
        <v>0</v>
      </c>
      <c r="P257" s="82">
        <f>+VLOOKUP(B257,TbPiezas[],7,0)</f>
        <v>4.4470000000000001</v>
      </c>
      <c r="Q257" s="170">
        <f>ROUND(TG[[#This Row],[TOTAL]]*TG[[#This Row],[P.U. (3)]],2)</f>
        <v>0</v>
      </c>
      <c r="R257" s="326"/>
    </row>
    <row r="258" spans="2:18" hidden="1" x14ac:dyDescent="0.3">
      <c r="B258" s="76" t="s">
        <v>505</v>
      </c>
      <c r="C258" s="76" t="s">
        <v>506</v>
      </c>
      <c r="E258" s="120"/>
      <c r="F258" s="120"/>
      <c r="G258" s="74"/>
      <c r="I258" s="76" t="str">
        <f t="shared" si="6"/>
        <v>AE.7700</v>
      </c>
      <c r="J258" s="121" t="str">
        <f>+IF(B258=TG[[#This Row],[ITEM]],"ok","mal")</f>
        <v>ok</v>
      </c>
      <c r="K258" s="79">
        <f t="shared" si="7"/>
        <v>0</v>
      </c>
      <c r="L258" s="80">
        <f>IF(VLOOKUP(B258,TbPiezas[],5,0)="NA",0,VLOOKUP(B258,TbPiezas[],5,0))</f>
        <v>0.5</v>
      </c>
      <c r="M258" s="81">
        <f>TG[[#This Row],[TOTAL]]*TG[[#This Row],[P.U. (1)]]</f>
        <v>0</v>
      </c>
      <c r="N258" s="82">
        <f>+VLOOKUP(B258,TbPiezas[],6,0)</f>
        <v>210.09</v>
      </c>
      <c r="O258" s="83">
        <f>TG[[#This Row],[TOTAL]]*TG[[#This Row],[P.U. (2)]]</f>
        <v>0</v>
      </c>
      <c r="P258" s="82">
        <f>+VLOOKUP(B258,TbPiezas[],7,0)</f>
        <v>10.5045</v>
      </c>
      <c r="Q258" s="170">
        <f>ROUND(TG[[#This Row],[TOTAL]]*TG[[#This Row],[P.U. (3)]],2)</f>
        <v>0</v>
      </c>
      <c r="R258" s="326"/>
    </row>
    <row r="259" spans="2:18" hidden="1" x14ac:dyDescent="0.3">
      <c r="B259" s="76" t="s">
        <v>507</v>
      </c>
      <c r="C259" s="76" t="s">
        <v>508</v>
      </c>
      <c r="E259" s="120"/>
      <c r="F259" s="120"/>
      <c r="G259" s="74"/>
      <c r="I259" s="76" t="str">
        <f t="shared" si="6"/>
        <v>AE.7800</v>
      </c>
      <c r="J259" s="121" t="str">
        <f>+IF(B259=TG[[#This Row],[ITEM]],"ok","mal")</f>
        <v>ok</v>
      </c>
      <c r="K259" s="79">
        <f t="shared" si="7"/>
        <v>0</v>
      </c>
      <c r="L259" s="80">
        <f>IF(VLOOKUP(B259,TbPiezas[],5,0)="NA",0,VLOOKUP(B259,TbPiezas[],5,0))</f>
        <v>0.5</v>
      </c>
      <c r="M259" s="81">
        <f>TG[[#This Row],[TOTAL]]*TG[[#This Row],[P.U. (1)]]</f>
        <v>0</v>
      </c>
      <c r="N259" s="82">
        <f>+VLOOKUP(B259,TbPiezas[],6,0)</f>
        <v>210.09</v>
      </c>
      <c r="O259" s="83">
        <f>TG[[#This Row],[TOTAL]]*TG[[#This Row],[P.U. (2)]]</f>
        <v>0</v>
      </c>
      <c r="P259" s="82">
        <f>+VLOOKUP(B259,TbPiezas[],7,0)</f>
        <v>10.5045</v>
      </c>
      <c r="Q259" s="170">
        <f>ROUND(TG[[#This Row],[TOTAL]]*TG[[#This Row],[P.U. (3)]],2)</f>
        <v>0</v>
      </c>
      <c r="R259" s="326"/>
    </row>
    <row r="260" spans="2:18" hidden="1" x14ac:dyDescent="0.3">
      <c r="B260" s="76" t="s">
        <v>509</v>
      </c>
      <c r="C260" s="76" t="s">
        <v>510</v>
      </c>
      <c r="E260" s="120"/>
      <c r="F260" s="120"/>
      <c r="G260" s="74"/>
      <c r="I260" s="76" t="str">
        <f t="shared" si="6"/>
        <v>AE.7900</v>
      </c>
      <c r="J260" s="121" t="str">
        <f>+IF(B260=TG[[#This Row],[ITEM]],"ok","mal")</f>
        <v>ok</v>
      </c>
      <c r="K260" s="79">
        <f t="shared" si="7"/>
        <v>0</v>
      </c>
      <c r="L260" s="80">
        <f>IF(VLOOKUP(B260,TbPiezas[],5,0)="NA",0,VLOOKUP(B260,TbPiezas[],5,0))</f>
        <v>0.5</v>
      </c>
      <c r="M260" s="81">
        <f>TG[[#This Row],[TOTAL]]*TG[[#This Row],[P.U. (1)]]</f>
        <v>0</v>
      </c>
      <c r="N260" s="82">
        <f>+VLOOKUP(B260,TbPiezas[],6,0)</f>
        <v>157.1</v>
      </c>
      <c r="O260" s="83">
        <f>TG[[#This Row],[TOTAL]]*TG[[#This Row],[P.U. (2)]]</f>
        <v>0</v>
      </c>
      <c r="P260" s="82">
        <f>+VLOOKUP(B260,TbPiezas[],7,0)</f>
        <v>7.8550000000000004</v>
      </c>
      <c r="Q260" s="170">
        <f>ROUND(TG[[#This Row],[TOTAL]]*TG[[#This Row],[P.U. (3)]],2)</f>
        <v>0</v>
      </c>
      <c r="R260" s="326"/>
    </row>
    <row r="261" spans="2:18" hidden="1" x14ac:dyDescent="0.3">
      <c r="B261" s="76" t="s">
        <v>511</v>
      </c>
      <c r="C261" s="76" t="s">
        <v>512</v>
      </c>
      <c r="E261" s="120"/>
      <c r="F261" s="120"/>
      <c r="G261" s="74"/>
      <c r="I261" s="76" t="str">
        <f t="shared" si="6"/>
        <v>AE.8000</v>
      </c>
      <c r="J261" s="121" t="str">
        <f>+IF(B261=TG[[#This Row],[ITEM]],"ok","mal")</f>
        <v>ok</v>
      </c>
      <c r="K261" s="79">
        <f t="shared" si="7"/>
        <v>0</v>
      </c>
      <c r="L261" s="80">
        <f>IF(VLOOKUP(B261,TbPiezas[],5,0)="NA",0,VLOOKUP(B261,TbPiezas[],5,0))</f>
        <v>0.5</v>
      </c>
      <c r="M261" s="81">
        <f>TG[[#This Row],[TOTAL]]*TG[[#This Row],[P.U. (1)]]</f>
        <v>0</v>
      </c>
      <c r="N261" s="82">
        <f>+VLOOKUP(B261,TbPiezas[],6,0)</f>
        <v>19.059999999999999</v>
      </c>
      <c r="O261" s="83">
        <f>TG[[#This Row],[TOTAL]]*TG[[#This Row],[P.U. (2)]]</f>
        <v>0</v>
      </c>
      <c r="P261" s="82">
        <f>+VLOOKUP(B261,TbPiezas[],7,0)</f>
        <v>0.95299999999999996</v>
      </c>
      <c r="Q261" s="170">
        <f>ROUND(TG[[#This Row],[TOTAL]]*TG[[#This Row],[P.U. (3)]],2)</f>
        <v>0</v>
      </c>
      <c r="R261" s="326"/>
    </row>
    <row r="262" spans="2:18" hidden="1" x14ac:dyDescent="0.3">
      <c r="B262" s="76" t="s">
        <v>513</v>
      </c>
      <c r="C262" s="76" t="s">
        <v>514</v>
      </c>
      <c r="E262" s="120"/>
      <c r="F262" s="120"/>
      <c r="G262" s="74"/>
      <c r="I262" s="76" t="str">
        <f t="shared" ref="I262:I325" si="8">+B262</f>
        <v>AE.8100</v>
      </c>
      <c r="J262" s="121" t="str">
        <f>+IF(B262=TG[[#This Row],[ITEM]],"ok","mal")</f>
        <v>ok</v>
      </c>
      <c r="K262" s="79">
        <f t="shared" si="7"/>
        <v>0</v>
      </c>
      <c r="L262" s="80">
        <f>IF(VLOOKUP(B262,TbPiezas[],5,0)="NA",0,VLOOKUP(B262,TbPiezas[],5,0))</f>
        <v>2</v>
      </c>
      <c r="M262" s="81">
        <f>TG[[#This Row],[TOTAL]]*TG[[#This Row],[P.U. (1)]]</f>
        <v>0</v>
      </c>
      <c r="N262" s="82">
        <f>+VLOOKUP(B262,TbPiezas[],6,0)</f>
        <v>19.059999999999999</v>
      </c>
      <c r="O262" s="83">
        <f>TG[[#This Row],[TOTAL]]*TG[[#This Row],[P.U. (2)]]</f>
        <v>0</v>
      </c>
      <c r="P262" s="82">
        <f>+VLOOKUP(B262,TbPiezas[],7,0)</f>
        <v>0.95299999999999996</v>
      </c>
      <c r="Q262" s="170">
        <f>ROUND(TG[[#This Row],[TOTAL]]*TG[[#This Row],[P.U. (3)]],2)</f>
        <v>0</v>
      </c>
      <c r="R262" s="326"/>
    </row>
    <row r="263" spans="2:18" hidden="1" x14ac:dyDescent="0.3">
      <c r="B263" s="76" t="s">
        <v>515</v>
      </c>
      <c r="C263" s="76" t="s">
        <v>516</v>
      </c>
      <c r="E263" s="120"/>
      <c r="F263" s="120"/>
      <c r="G263" s="74"/>
      <c r="I263" s="76" t="str">
        <f t="shared" si="8"/>
        <v>AE.8200</v>
      </c>
      <c r="J263" s="121" t="str">
        <f>+IF(B263=TG[[#This Row],[ITEM]],"ok","mal")</f>
        <v>ok</v>
      </c>
      <c r="K263" s="79">
        <f t="shared" ref="K263:K326" si="9">SUM(D263:H263)</f>
        <v>0</v>
      </c>
      <c r="L263" s="80">
        <f>IF(VLOOKUP(B263,TbPiezas[],5,0)="NA",0,VLOOKUP(B263,TbPiezas[],5,0))</f>
        <v>4.3999999999999915</v>
      </c>
      <c r="M263" s="81">
        <f>TG[[#This Row],[TOTAL]]*TG[[#This Row],[P.U. (1)]]</f>
        <v>0</v>
      </c>
      <c r="N263" s="82">
        <f>+VLOOKUP(B263,TbPiezas[],6,0)</f>
        <v>312.10000000000002</v>
      </c>
      <c r="O263" s="83">
        <f>TG[[#This Row],[TOTAL]]*TG[[#This Row],[P.U. (2)]]</f>
        <v>0</v>
      </c>
      <c r="P263" s="82">
        <f>+VLOOKUP(B263,TbPiezas[],7,0)</f>
        <v>15.605000000000002</v>
      </c>
      <c r="Q263" s="170">
        <f>ROUND(TG[[#This Row],[TOTAL]]*TG[[#This Row],[P.U. (3)]],2)</f>
        <v>0</v>
      </c>
      <c r="R263" s="326"/>
    </row>
    <row r="264" spans="2:18" hidden="1" x14ac:dyDescent="0.3">
      <c r="B264" s="76" t="s">
        <v>517</v>
      </c>
      <c r="C264" s="76" t="s">
        <v>518</v>
      </c>
      <c r="E264" s="120"/>
      <c r="F264" s="120"/>
      <c r="G264" s="74"/>
      <c r="I264" s="76" t="str">
        <f t="shared" si="8"/>
        <v>AE.8300</v>
      </c>
      <c r="J264" s="121" t="str">
        <f>+IF(B264=TG[[#This Row],[ITEM]],"ok","mal")</f>
        <v>ok</v>
      </c>
      <c r="K264" s="79">
        <f t="shared" si="9"/>
        <v>0</v>
      </c>
      <c r="L264" s="80">
        <f>IF(VLOOKUP(B264,TbPiezas[],5,0)="NA",0,VLOOKUP(B264,TbPiezas[],5,0))</f>
        <v>3.7999999999999972</v>
      </c>
      <c r="M264" s="81">
        <f>TG[[#This Row],[TOTAL]]*TG[[#This Row],[P.U. (1)]]</f>
        <v>0</v>
      </c>
      <c r="N264" s="82">
        <f>+VLOOKUP(B264,TbPiezas[],6,0)</f>
        <v>312.10000000000002</v>
      </c>
      <c r="O264" s="83">
        <f>TG[[#This Row],[TOTAL]]*TG[[#This Row],[P.U. (2)]]</f>
        <v>0</v>
      </c>
      <c r="P264" s="82">
        <f>+VLOOKUP(B264,TbPiezas[],7,0)</f>
        <v>15.605000000000002</v>
      </c>
      <c r="Q264" s="170">
        <f>ROUND(TG[[#This Row],[TOTAL]]*TG[[#This Row],[P.U. (3)]],2)</f>
        <v>0</v>
      </c>
      <c r="R264" s="326"/>
    </row>
    <row r="265" spans="2:18" hidden="1" x14ac:dyDescent="0.3">
      <c r="B265" s="76" t="s">
        <v>519</v>
      </c>
      <c r="C265" s="76" t="s">
        <v>520</v>
      </c>
      <c r="E265" s="120"/>
      <c r="F265" s="120"/>
      <c r="G265" s="74"/>
      <c r="I265" s="76" t="str">
        <f t="shared" si="8"/>
        <v>AE.8400</v>
      </c>
      <c r="J265" s="121" t="str">
        <f>+IF(B265=TG[[#This Row],[ITEM]],"ok","mal")</f>
        <v>ok</v>
      </c>
      <c r="K265" s="79">
        <f t="shared" si="9"/>
        <v>0</v>
      </c>
      <c r="L265" s="80">
        <f>IF(VLOOKUP(B265,TbPiezas[],5,0)="NA",0,VLOOKUP(B265,TbPiezas[],5,0))</f>
        <v>9.9999999999994316E-2</v>
      </c>
      <c r="M265" s="81">
        <f>TG[[#This Row],[TOTAL]]*TG[[#This Row],[P.U. (1)]]</f>
        <v>0</v>
      </c>
      <c r="N265" s="82">
        <f>+VLOOKUP(B265,TbPiezas[],6,0)</f>
        <v>63.53</v>
      </c>
      <c r="O265" s="83">
        <f>TG[[#This Row],[TOTAL]]*TG[[#This Row],[P.U. (2)]]</f>
        <v>0</v>
      </c>
      <c r="P265" s="82">
        <f>+VLOOKUP(B265,TbPiezas[],7,0)</f>
        <v>3.1765000000000003</v>
      </c>
      <c r="Q265" s="170">
        <f>ROUND(TG[[#This Row],[TOTAL]]*TG[[#This Row],[P.U. (3)]],2)</f>
        <v>0</v>
      </c>
      <c r="R265" s="326"/>
    </row>
    <row r="266" spans="2:18" hidden="1" x14ac:dyDescent="0.3">
      <c r="B266" s="76" t="s">
        <v>521</v>
      </c>
      <c r="C266" s="76" t="s">
        <v>522</v>
      </c>
      <c r="E266" s="120"/>
      <c r="F266" s="120"/>
      <c r="G266" s="74"/>
      <c r="I266" s="76" t="str">
        <f t="shared" si="8"/>
        <v>AE.8440</v>
      </c>
      <c r="J266" s="121" t="str">
        <f>+IF(B266=TG[[#This Row],[ITEM]],"ok","mal")</f>
        <v>ok</v>
      </c>
      <c r="K266" s="79">
        <f t="shared" si="9"/>
        <v>0</v>
      </c>
      <c r="L266" s="80">
        <f>IF(VLOOKUP(B266,TbPiezas[],5,0)="NA",0,VLOOKUP(B266,TbPiezas[],5,0))</f>
        <v>19.2</v>
      </c>
      <c r="M266" s="81">
        <f>TG[[#This Row],[TOTAL]]*TG[[#This Row],[P.U. (1)]]</f>
        <v>0</v>
      </c>
      <c r="N266" s="82">
        <f>+VLOOKUP(B266,TbPiezas[],6,0)</f>
        <v>1040.03</v>
      </c>
      <c r="O266" s="83">
        <f>TG[[#This Row],[TOTAL]]*TG[[#This Row],[P.U. (2)]]</f>
        <v>0</v>
      </c>
      <c r="P266" s="82">
        <f>+VLOOKUP(B266,TbPiezas[],7,0)</f>
        <v>52.0015</v>
      </c>
      <c r="Q266" s="170">
        <f>ROUND(TG[[#This Row],[TOTAL]]*TG[[#This Row],[P.U. (3)]],2)</f>
        <v>0</v>
      </c>
      <c r="R266" s="326"/>
    </row>
    <row r="267" spans="2:18" hidden="1" x14ac:dyDescent="0.3">
      <c r="B267" s="76" t="s">
        <v>523</v>
      </c>
      <c r="C267" s="76" t="s">
        <v>524</v>
      </c>
      <c r="E267" s="120"/>
      <c r="F267" s="120"/>
      <c r="G267" s="74"/>
      <c r="I267" s="76" t="str">
        <f t="shared" si="8"/>
        <v>AE.8450</v>
      </c>
      <c r="J267" s="121" t="str">
        <f>+IF(B267=TG[[#This Row],[ITEM]],"ok","mal")</f>
        <v>ok</v>
      </c>
      <c r="K267" s="79">
        <f t="shared" si="9"/>
        <v>0</v>
      </c>
      <c r="L267" s="80">
        <f>IF(VLOOKUP(B267,TbPiezas[],5,0)="NA",0,VLOOKUP(B267,TbPiezas[],5,0))</f>
        <v>17.22</v>
      </c>
      <c r="M267" s="81">
        <f>TG[[#This Row],[TOTAL]]*TG[[#This Row],[P.U. (1)]]</f>
        <v>0</v>
      </c>
      <c r="N267" s="82">
        <f>+VLOOKUP(B267,TbPiezas[],6,0)</f>
        <v>960.03</v>
      </c>
      <c r="O267" s="83">
        <f>TG[[#This Row],[TOTAL]]*TG[[#This Row],[P.U. (2)]]</f>
        <v>0</v>
      </c>
      <c r="P267" s="82">
        <f>+VLOOKUP(B267,TbPiezas[],7,0)</f>
        <v>48.0015</v>
      </c>
      <c r="Q267" s="170">
        <f>ROUND(TG[[#This Row],[TOTAL]]*TG[[#This Row],[P.U. (3)]],2)</f>
        <v>0</v>
      </c>
      <c r="R267" s="326"/>
    </row>
    <row r="268" spans="2:18" hidden="1" x14ac:dyDescent="0.3">
      <c r="B268" s="76" t="s">
        <v>525</v>
      </c>
      <c r="C268" s="76" t="s">
        <v>526</v>
      </c>
      <c r="E268" s="120"/>
      <c r="F268" s="120"/>
      <c r="G268" s="74"/>
      <c r="I268" s="76" t="str">
        <f t="shared" si="8"/>
        <v>AE.8500</v>
      </c>
      <c r="J268" s="121" t="str">
        <f>+IF(B268=TG[[#This Row],[ITEM]],"ok","mal")</f>
        <v>ok</v>
      </c>
      <c r="K268" s="79">
        <f t="shared" si="9"/>
        <v>0</v>
      </c>
      <c r="L268" s="80">
        <f>IF(VLOOKUP(B268,TbPiezas[],5,0)="NA",0,VLOOKUP(B268,TbPiezas[],5,0))</f>
        <v>12.299999999999997</v>
      </c>
      <c r="M268" s="81">
        <f>TG[[#This Row],[TOTAL]]*TG[[#This Row],[P.U. (1)]]</f>
        <v>0</v>
      </c>
      <c r="N268" s="82">
        <f>+VLOOKUP(B268,TbPiezas[],6,0)</f>
        <v>635.25</v>
      </c>
      <c r="O268" s="83">
        <f>TG[[#This Row],[TOTAL]]*TG[[#This Row],[P.U. (2)]]</f>
        <v>0</v>
      </c>
      <c r="P268" s="82">
        <f>+VLOOKUP(B268,TbPiezas[],7,0)</f>
        <v>31.762500000000003</v>
      </c>
      <c r="Q268" s="170">
        <f>ROUND(TG[[#This Row],[TOTAL]]*TG[[#This Row],[P.U. (3)]],2)</f>
        <v>0</v>
      </c>
      <c r="R268" s="326"/>
    </row>
    <row r="269" spans="2:18" hidden="1" x14ac:dyDescent="0.3">
      <c r="B269" s="76" t="s">
        <v>527</v>
      </c>
      <c r="C269" s="76" t="s">
        <v>528</v>
      </c>
      <c r="E269" s="120"/>
      <c r="F269" s="120"/>
      <c r="G269" s="74"/>
      <c r="I269" s="76" t="str">
        <f t="shared" si="8"/>
        <v>AE.8600</v>
      </c>
      <c r="J269" s="121" t="str">
        <f>+IF(B269=TG[[#This Row],[ITEM]],"ok","mal")</f>
        <v>ok</v>
      </c>
      <c r="K269" s="79">
        <f t="shared" si="9"/>
        <v>0</v>
      </c>
      <c r="L269" s="80">
        <f>IF(VLOOKUP(B269,TbPiezas[],5,0)="NA",0,VLOOKUP(B269,TbPiezas[],5,0))</f>
        <v>12.299999999999997</v>
      </c>
      <c r="M269" s="81">
        <f>TG[[#This Row],[TOTAL]]*TG[[#This Row],[P.U. (1)]]</f>
        <v>0</v>
      </c>
      <c r="N269" s="82">
        <f>+VLOOKUP(B269,TbPiezas[],6,0)</f>
        <v>508.2</v>
      </c>
      <c r="O269" s="83">
        <f>TG[[#This Row],[TOTAL]]*TG[[#This Row],[P.U. (2)]]</f>
        <v>0</v>
      </c>
      <c r="P269" s="82">
        <f>+VLOOKUP(B269,TbPiezas[],7,0)</f>
        <v>25.41</v>
      </c>
      <c r="Q269" s="170">
        <f>ROUND(TG[[#This Row],[TOTAL]]*TG[[#This Row],[P.U. (3)]],2)</f>
        <v>0</v>
      </c>
      <c r="R269" s="326"/>
    </row>
    <row r="270" spans="2:18" hidden="1" x14ac:dyDescent="0.3">
      <c r="B270" s="76" t="s">
        <v>529</v>
      </c>
      <c r="C270" s="76" t="s">
        <v>530</v>
      </c>
      <c r="E270" s="120"/>
      <c r="F270" s="120"/>
      <c r="G270" s="74"/>
      <c r="I270" s="76" t="str">
        <f t="shared" si="8"/>
        <v>AE.8700</v>
      </c>
      <c r="J270" s="121" t="str">
        <f>+IF(B270=TG[[#This Row],[ITEM]],"ok","mal")</f>
        <v>ok</v>
      </c>
      <c r="K270" s="79">
        <f t="shared" si="9"/>
        <v>0</v>
      </c>
      <c r="L270" s="80">
        <f>IF(VLOOKUP(B270,TbPiezas[],5,0)="NA",0,VLOOKUP(B270,TbPiezas[],5,0))</f>
        <v>9.8400000000000034</v>
      </c>
      <c r="M270" s="81">
        <f>TG[[#This Row],[TOTAL]]*TG[[#This Row],[P.U. (1)]]</f>
        <v>0</v>
      </c>
      <c r="N270" s="82">
        <f>+VLOOKUP(B270,TbPiezas[],6,0)</f>
        <v>444.68</v>
      </c>
      <c r="O270" s="83">
        <f>TG[[#This Row],[TOTAL]]*TG[[#This Row],[P.U. (2)]]</f>
        <v>0</v>
      </c>
      <c r="P270" s="82">
        <f>+VLOOKUP(B270,TbPiezas[],7,0)</f>
        <v>22.234000000000002</v>
      </c>
      <c r="Q270" s="170">
        <f>ROUND(TG[[#This Row],[TOTAL]]*TG[[#This Row],[P.U. (3)]],2)</f>
        <v>0</v>
      </c>
      <c r="R270" s="326"/>
    </row>
    <row r="271" spans="2:18" hidden="1" x14ac:dyDescent="0.3">
      <c r="B271" s="76" t="s">
        <v>531</v>
      </c>
      <c r="C271" s="76" t="s">
        <v>532</v>
      </c>
      <c r="E271" s="120"/>
      <c r="F271" s="120"/>
      <c r="G271" s="74"/>
      <c r="I271" s="76" t="str">
        <f t="shared" si="8"/>
        <v>AE.8800</v>
      </c>
      <c r="J271" s="121" t="str">
        <f>+IF(B271=TG[[#This Row],[ITEM]],"ok","mal")</f>
        <v>ok</v>
      </c>
      <c r="K271" s="79">
        <f t="shared" si="9"/>
        <v>0</v>
      </c>
      <c r="L271" s="80">
        <f>IF(VLOOKUP(B271,TbPiezas[],5,0)="NA",0,VLOOKUP(B271,TbPiezas[],5,0))</f>
        <v>8.61</v>
      </c>
      <c r="M271" s="81">
        <f>TG[[#This Row],[TOTAL]]*TG[[#This Row],[P.U. (1)]]</f>
        <v>0</v>
      </c>
      <c r="N271" s="82">
        <f>+VLOOKUP(B271,TbPiezas[],6,0)</f>
        <v>381.15</v>
      </c>
      <c r="O271" s="83">
        <f>TG[[#This Row],[TOTAL]]*TG[[#This Row],[P.U. (2)]]</f>
        <v>0</v>
      </c>
      <c r="P271" s="82">
        <f>+VLOOKUP(B271,TbPiezas[],7,0)</f>
        <v>19.057500000000001</v>
      </c>
      <c r="Q271" s="170">
        <f>ROUND(TG[[#This Row],[TOTAL]]*TG[[#This Row],[P.U. (3)]],2)</f>
        <v>0</v>
      </c>
      <c r="R271" s="326"/>
    </row>
    <row r="272" spans="2:18" hidden="1" x14ac:dyDescent="0.3">
      <c r="B272" s="76" t="s">
        <v>533</v>
      </c>
      <c r="C272" s="76" t="s">
        <v>534</v>
      </c>
      <c r="E272" s="120"/>
      <c r="F272" s="120"/>
      <c r="G272" s="74"/>
      <c r="I272" s="76" t="str">
        <f t="shared" si="8"/>
        <v>AE.8900</v>
      </c>
      <c r="J272" s="121" t="str">
        <f>+IF(B272=TG[[#This Row],[ITEM]],"ok","mal")</f>
        <v>ok</v>
      </c>
      <c r="K272" s="79">
        <f t="shared" si="9"/>
        <v>0</v>
      </c>
      <c r="L272" s="80">
        <f>IF(VLOOKUP(B272,TbPiezas[],5,0)="NA",0,VLOOKUP(B272,TbPiezas[],5,0))</f>
        <v>7.3799999999999955</v>
      </c>
      <c r="M272" s="81">
        <f>TG[[#This Row],[TOTAL]]*TG[[#This Row],[P.U. (1)]]</f>
        <v>0</v>
      </c>
      <c r="N272" s="82">
        <f>+VLOOKUP(B272,TbPiezas[],6,0)</f>
        <v>317.63</v>
      </c>
      <c r="O272" s="83">
        <f>TG[[#This Row],[TOTAL]]*TG[[#This Row],[P.U. (2)]]</f>
        <v>0</v>
      </c>
      <c r="P272" s="82">
        <f>+VLOOKUP(B272,TbPiezas[],7,0)</f>
        <v>15.881500000000001</v>
      </c>
      <c r="Q272" s="170">
        <f>ROUND(TG[[#This Row],[TOTAL]]*TG[[#This Row],[P.U. (3)]],2)</f>
        <v>0</v>
      </c>
      <c r="R272" s="326"/>
    </row>
    <row r="273" spans="2:18" hidden="1" x14ac:dyDescent="0.3">
      <c r="B273" s="76" t="s">
        <v>535</v>
      </c>
      <c r="C273" s="76" t="s">
        <v>536</v>
      </c>
      <c r="E273" s="120"/>
      <c r="F273" s="120"/>
      <c r="G273" s="74"/>
      <c r="I273" s="76" t="str">
        <f t="shared" si="8"/>
        <v>AE.9000</v>
      </c>
      <c r="J273" s="121" t="str">
        <f>+IF(B273=TG[[#This Row],[ITEM]],"ok","mal")</f>
        <v>ok</v>
      </c>
      <c r="K273" s="79">
        <f t="shared" si="9"/>
        <v>0</v>
      </c>
      <c r="L273" s="80">
        <f>IF(VLOOKUP(B273,TbPiezas[],5,0)="NA",0,VLOOKUP(B273,TbPiezas[],5,0))</f>
        <v>20</v>
      </c>
      <c r="M273" s="81">
        <f>TG[[#This Row],[TOTAL]]*TG[[#This Row],[P.U. (1)]]</f>
        <v>0</v>
      </c>
      <c r="N273" s="82">
        <f>+VLOOKUP(B273,TbPiezas[],6,0)</f>
        <v>635.25</v>
      </c>
      <c r="O273" s="83">
        <f>TG[[#This Row],[TOTAL]]*TG[[#This Row],[P.U. (2)]]</f>
        <v>0</v>
      </c>
      <c r="P273" s="82">
        <f>+VLOOKUP(B273,TbPiezas[],7,0)</f>
        <v>31.762500000000003</v>
      </c>
      <c r="Q273" s="170">
        <f>ROUND(TG[[#This Row],[TOTAL]]*TG[[#This Row],[P.U. (3)]],2)</f>
        <v>0</v>
      </c>
      <c r="R273" s="326"/>
    </row>
    <row r="274" spans="2:18" hidden="1" x14ac:dyDescent="0.3">
      <c r="B274" s="76" t="s">
        <v>537</v>
      </c>
      <c r="C274" s="76" t="s">
        <v>538</v>
      </c>
      <c r="E274" s="120"/>
      <c r="F274" s="120"/>
      <c r="G274" s="74"/>
      <c r="I274" s="76" t="str">
        <f t="shared" si="8"/>
        <v>AE.9100</v>
      </c>
      <c r="J274" s="121" t="str">
        <f>+IF(B274=TG[[#This Row],[ITEM]],"ok","mal")</f>
        <v>ok</v>
      </c>
      <c r="K274" s="79">
        <f t="shared" si="9"/>
        <v>0</v>
      </c>
      <c r="L274" s="80">
        <f>IF(VLOOKUP(B274,TbPiezas[],5,0)="NA",0,VLOOKUP(B274,TbPiezas[],5,0))</f>
        <v>16</v>
      </c>
      <c r="M274" s="81">
        <f>TG[[#This Row],[TOTAL]]*TG[[#This Row],[P.U. (1)]]</f>
        <v>0</v>
      </c>
      <c r="N274" s="82">
        <f>+VLOOKUP(B274,TbPiezas[],6,0)</f>
        <v>508.2</v>
      </c>
      <c r="O274" s="83">
        <f>TG[[#This Row],[TOTAL]]*TG[[#This Row],[P.U. (2)]]</f>
        <v>0</v>
      </c>
      <c r="P274" s="82">
        <f>+VLOOKUP(B274,TbPiezas[],7,0)</f>
        <v>25.41</v>
      </c>
      <c r="Q274" s="170">
        <f>ROUND(TG[[#This Row],[TOTAL]]*TG[[#This Row],[P.U. (3)]],2)</f>
        <v>0</v>
      </c>
      <c r="R274" s="326"/>
    </row>
    <row r="275" spans="2:18" hidden="1" x14ac:dyDescent="0.3">
      <c r="B275" s="76" t="s">
        <v>539</v>
      </c>
      <c r="C275" s="76" t="s">
        <v>540</v>
      </c>
      <c r="E275" s="120"/>
      <c r="F275" s="120"/>
      <c r="G275" s="74"/>
      <c r="I275" s="76" t="str">
        <f t="shared" si="8"/>
        <v>AE.9200</v>
      </c>
      <c r="J275" s="121" t="str">
        <f>+IF(B275=TG[[#This Row],[ITEM]],"ok","mal")</f>
        <v>ok</v>
      </c>
      <c r="K275" s="79">
        <f t="shared" si="9"/>
        <v>0</v>
      </c>
      <c r="L275" s="80">
        <f>IF(VLOOKUP(B275,TbPiezas[],5,0)="NA",0,VLOOKUP(B275,TbPiezas[],5,0))</f>
        <v>15</v>
      </c>
      <c r="M275" s="81">
        <f>TG[[#This Row],[TOTAL]]*TG[[#This Row],[P.U. (1)]]</f>
        <v>0</v>
      </c>
      <c r="N275" s="82">
        <f>+VLOOKUP(B275,TbPiezas[],6,0)</f>
        <v>444.68</v>
      </c>
      <c r="O275" s="83">
        <f>TG[[#This Row],[TOTAL]]*TG[[#This Row],[P.U. (2)]]</f>
        <v>0</v>
      </c>
      <c r="P275" s="82">
        <f>+VLOOKUP(B275,TbPiezas[],7,0)</f>
        <v>22.234000000000002</v>
      </c>
      <c r="Q275" s="170">
        <f>ROUND(TG[[#This Row],[TOTAL]]*TG[[#This Row],[P.U. (3)]],2)</f>
        <v>0</v>
      </c>
      <c r="R275" s="326"/>
    </row>
    <row r="276" spans="2:18" hidden="1" x14ac:dyDescent="0.3">
      <c r="B276" s="76" t="s">
        <v>541</v>
      </c>
      <c r="C276" s="76" t="s">
        <v>542</v>
      </c>
      <c r="E276" s="120"/>
      <c r="F276" s="120"/>
      <c r="G276" s="74"/>
      <c r="I276" s="76" t="str">
        <f t="shared" si="8"/>
        <v>AE.9300</v>
      </c>
      <c r="J276" s="121" t="str">
        <f>+IF(B276=TG[[#This Row],[ITEM]],"ok","mal")</f>
        <v>ok</v>
      </c>
      <c r="K276" s="79">
        <f t="shared" si="9"/>
        <v>0</v>
      </c>
      <c r="L276" s="80">
        <f>IF(VLOOKUP(B276,TbPiezas[],5,0)="NA",0,VLOOKUP(B276,TbPiezas[],5,0))</f>
        <v>12</v>
      </c>
      <c r="M276" s="81">
        <f>TG[[#This Row],[TOTAL]]*TG[[#This Row],[P.U. (1)]]</f>
        <v>0</v>
      </c>
      <c r="N276" s="82">
        <f>+VLOOKUP(B276,TbPiezas[],6,0)</f>
        <v>381.15</v>
      </c>
      <c r="O276" s="83">
        <f>TG[[#This Row],[TOTAL]]*TG[[#This Row],[P.U. (2)]]</f>
        <v>0</v>
      </c>
      <c r="P276" s="82">
        <f>+VLOOKUP(B276,TbPiezas[],7,0)</f>
        <v>19.057500000000001</v>
      </c>
      <c r="Q276" s="170">
        <f>ROUND(TG[[#This Row],[TOTAL]]*TG[[#This Row],[P.U. (3)]],2)</f>
        <v>0</v>
      </c>
      <c r="R276" s="326"/>
    </row>
    <row r="277" spans="2:18" hidden="1" x14ac:dyDescent="0.3">
      <c r="B277" s="76" t="s">
        <v>543</v>
      </c>
      <c r="C277" s="76" t="s">
        <v>544</v>
      </c>
      <c r="E277" s="120"/>
      <c r="F277" s="120"/>
      <c r="G277" s="74"/>
      <c r="I277" s="76" t="str">
        <f t="shared" si="8"/>
        <v>AE.9400</v>
      </c>
      <c r="J277" s="121" t="str">
        <f>+IF(B277=TG[[#This Row],[ITEM]],"ok","mal")</f>
        <v>ok</v>
      </c>
      <c r="K277" s="79">
        <f t="shared" si="9"/>
        <v>0</v>
      </c>
      <c r="L277" s="80">
        <f>IF(VLOOKUP(B277,TbPiezas[],5,0)="NA",0,VLOOKUP(B277,TbPiezas[],5,0))</f>
        <v>10</v>
      </c>
      <c r="M277" s="81">
        <f>TG[[#This Row],[TOTAL]]*TG[[#This Row],[P.U. (1)]]</f>
        <v>0</v>
      </c>
      <c r="N277" s="82">
        <f>+VLOOKUP(B277,TbPiezas[],6,0)</f>
        <v>317.63</v>
      </c>
      <c r="O277" s="83">
        <f>TG[[#This Row],[TOTAL]]*TG[[#This Row],[P.U. (2)]]</f>
        <v>0</v>
      </c>
      <c r="P277" s="82">
        <f>+VLOOKUP(B277,TbPiezas[],7,0)</f>
        <v>15.881500000000001</v>
      </c>
      <c r="Q277" s="170">
        <f>ROUND(TG[[#This Row],[TOTAL]]*TG[[#This Row],[P.U. (3)]],2)</f>
        <v>0</v>
      </c>
      <c r="R277" s="326"/>
    </row>
    <row r="278" spans="2:18" hidden="1" x14ac:dyDescent="0.3">
      <c r="B278" s="76" t="s">
        <v>545</v>
      </c>
      <c r="C278" s="76" t="s">
        <v>546</v>
      </c>
      <c r="E278" s="120"/>
      <c r="F278" s="120"/>
      <c r="G278" s="74"/>
      <c r="I278" s="76" t="str">
        <f t="shared" si="8"/>
        <v>AE.9500</v>
      </c>
      <c r="J278" s="121" t="str">
        <f>+IF(B278=TG[[#This Row],[ITEM]],"ok","mal")</f>
        <v>ok</v>
      </c>
      <c r="K278" s="79">
        <f t="shared" si="9"/>
        <v>0</v>
      </c>
      <c r="L278" s="80">
        <f>IF(VLOOKUP(B278,TbPiezas[],5,0)="NA",0,VLOOKUP(B278,TbPiezas[],5,0))</f>
        <v>0.5</v>
      </c>
      <c r="M278" s="81">
        <f>TG[[#This Row],[TOTAL]]*TG[[#This Row],[P.U. (1)]]</f>
        <v>0</v>
      </c>
      <c r="N278" s="82">
        <f>+VLOOKUP(B278,TbPiezas[],6,0)</f>
        <v>464.53</v>
      </c>
      <c r="O278" s="83">
        <f>TG[[#This Row],[TOTAL]]*TG[[#This Row],[P.U. (2)]]</f>
        <v>0</v>
      </c>
      <c r="P278" s="82">
        <f>+VLOOKUP(B278,TbPiezas[],7,0)</f>
        <v>23.226500000000001</v>
      </c>
      <c r="Q278" s="170">
        <f>ROUND(TG[[#This Row],[TOTAL]]*TG[[#This Row],[P.U. (3)]],2)</f>
        <v>0</v>
      </c>
      <c r="R278" s="326"/>
    </row>
    <row r="279" spans="2:18" hidden="1" x14ac:dyDescent="0.3">
      <c r="B279" s="76" t="s">
        <v>547</v>
      </c>
      <c r="C279" s="76" t="s">
        <v>548</v>
      </c>
      <c r="E279" s="120"/>
      <c r="F279" s="120"/>
      <c r="G279" s="74"/>
      <c r="I279" s="76" t="str">
        <f t="shared" si="8"/>
        <v>AE.9600</v>
      </c>
      <c r="J279" s="121" t="str">
        <f>+IF(B279=TG[[#This Row],[ITEM]],"ok","mal")</f>
        <v>ok</v>
      </c>
      <c r="K279" s="79">
        <f t="shared" si="9"/>
        <v>0</v>
      </c>
      <c r="L279" s="80">
        <f>IF(VLOOKUP(B279,TbPiezas[],5,0)="NA",0,VLOOKUP(B279,TbPiezas[],5,0))</f>
        <v>0.5</v>
      </c>
      <c r="M279" s="81">
        <f>TG[[#This Row],[TOTAL]]*TG[[#This Row],[P.U. (1)]]</f>
        <v>0</v>
      </c>
      <c r="N279" s="82">
        <f>+VLOOKUP(B279,TbPiezas[],6,0)</f>
        <v>464.53</v>
      </c>
      <c r="O279" s="83">
        <f>TG[[#This Row],[TOTAL]]*TG[[#This Row],[P.U. (2)]]</f>
        <v>0</v>
      </c>
      <c r="P279" s="82">
        <f>+VLOOKUP(B279,TbPiezas[],7,0)</f>
        <v>23.226500000000001</v>
      </c>
      <c r="Q279" s="170">
        <f>ROUND(TG[[#This Row],[TOTAL]]*TG[[#This Row],[P.U. (3)]],2)</f>
        <v>0</v>
      </c>
      <c r="R279" s="326"/>
    </row>
    <row r="280" spans="2:18" hidden="1" x14ac:dyDescent="0.3">
      <c r="B280" s="76" t="s">
        <v>549</v>
      </c>
      <c r="C280" s="76" t="s">
        <v>550</v>
      </c>
      <c r="E280" s="120"/>
      <c r="F280" s="120"/>
      <c r="G280" s="74"/>
      <c r="I280" s="76" t="str">
        <f t="shared" si="8"/>
        <v>AE.9700</v>
      </c>
      <c r="J280" s="121" t="str">
        <f>+IF(B280=TG[[#This Row],[ITEM]],"ok","mal")</f>
        <v>ok</v>
      </c>
      <c r="K280" s="79">
        <f t="shared" si="9"/>
        <v>0</v>
      </c>
      <c r="L280" s="80">
        <f>IF(VLOOKUP(B280,TbPiezas[],5,0)="NA",0,VLOOKUP(B280,TbPiezas[],5,0))</f>
        <v>0.5</v>
      </c>
      <c r="M280" s="81">
        <f>TG[[#This Row],[TOTAL]]*TG[[#This Row],[P.U. (1)]]</f>
        <v>0</v>
      </c>
      <c r="N280" s="82">
        <f>+VLOOKUP(B280,TbPiezas[],6,0)</f>
        <v>464.53</v>
      </c>
      <c r="O280" s="83">
        <f>TG[[#This Row],[TOTAL]]*TG[[#This Row],[P.U. (2)]]</f>
        <v>0</v>
      </c>
      <c r="P280" s="82">
        <f>+VLOOKUP(B280,TbPiezas[],7,0)</f>
        <v>23.226500000000001</v>
      </c>
      <c r="Q280" s="170">
        <f>ROUND(TG[[#This Row],[TOTAL]]*TG[[#This Row],[P.U. (3)]],2)</f>
        <v>0</v>
      </c>
      <c r="R280" s="326"/>
    </row>
    <row r="281" spans="2:18" hidden="1" x14ac:dyDescent="0.3">
      <c r="B281" s="76" t="s">
        <v>551</v>
      </c>
      <c r="C281" s="76" t="s">
        <v>552</v>
      </c>
      <c r="E281" s="120"/>
      <c r="F281" s="120"/>
      <c r="G281" s="74"/>
      <c r="I281" s="76" t="str">
        <f t="shared" si="8"/>
        <v>AE.9800</v>
      </c>
      <c r="J281" s="121" t="str">
        <f>+IF(B281=TG[[#This Row],[ITEM]],"ok","mal")</f>
        <v>ok</v>
      </c>
      <c r="K281" s="79">
        <f t="shared" si="9"/>
        <v>0</v>
      </c>
      <c r="L281" s="80">
        <f>IF(VLOOKUP(B281,TbPiezas[],5,0)="NA",0,VLOOKUP(B281,TbPiezas[],5,0))</f>
        <v>9.9999999999994316E-2</v>
      </c>
      <c r="M281" s="81">
        <f>TG[[#This Row],[TOTAL]]*TG[[#This Row],[P.U. (1)]]</f>
        <v>0</v>
      </c>
      <c r="N281" s="82">
        <f>+VLOOKUP(B281,TbPiezas[],6,0)</f>
        <v>10.16</v>
      </c>
      <c r="O281" s="83">
        <f>TG[[#This Row],[TOTAL]]*TG[[#This Row],[P.U. (2)]]</f>
        <v>0</v>
      </c>
      <c r="P281" s="82">
        <f>+VLOOKUP(B281,TbPiezas[],7,0)</f>
        <v>0.50800000000000001</v>
      </c>
      <c r="Q281" s="170">
        <f>ROUND(TG[[#This Row],[TOTAL]]*TG[[#This Row],[P.U. (3)]],2)</f>
        <v>0</v>
      </c>
      <c r="R281" s="326"/>
    </row>
    <row r="282" spans="2:18" hidden="1" x14ac:dyDescent="0.3">
      <c r="B282" s="76" t="s">
        <v>553</v>
      </c>
      <c r="C282" s="76" t="s">
        <v>554</v>
      </c>
      <c r="E282" s="120"/>
      <c r="F282" s="120"/>
      <c r="G282" s="74"/>
      <c r="I282" s="76" t="str">
        <f t="shared" si="8"/>
        <v>AE.9900</v>
      </c>
      <c r="J282" s="121" t="str">
        <f>+IF(B282=TG[[#This Row],[ITEM]],"ok","mal")</f>
        <v>ok</v>
      </c>
      <c r="K282" s="79">
        <f t="shared" si="9"/>
        <v>0</v>
      </c>
      <c r="L282" s="80">
        <f>IF(VLOOKUP(B282,TbPiezas[],5,0)="NA",0,VLOOKUP(B282,TbPiezas[],5,0))</f>
        <v>9.9999999999994316E-2</v>
      </c>
      <c r="M282" s="81">
        <f>TG[[#This Row],[TOTAL]]*TG[[#This Row],[P.U. (1)]]</f>
        <v>0</v>
      </c>
      <c r="N282" s="82">
        <f>+VLOOKUP(B282,TbPiezas[],6,0)</f>
        <v>10.16</v>
      </c>
      <c r="O282" s="83">
        <f>TG[[#This Row],[TOTAL]]*TG[[#This Row],[P.U. (2)]]</f>
        <v>0</v>
      </c>
      <c r="P282" s="82">
        <f>+VLOOKUP(B282,TbPiezas[],7,0)</f>
        <v>0.50800000000000001</v>
      </c>
      <c r="Q282" s="170">
        <f>ROUND(TG[[#This Row],[TOTAL]]*TG[[#This Row],[P.U. (3)]],2)</f>
        <v>0</v>
      </c>
      <c r="R282" s="326"/>
    </row>
    <row r="283" spans="2:18" hidden="1" x14ac:dyDescent="0.3">
      <c r="B283" s="76" t="s">
        <v>555</v>
      </c>
      <c r="C283" s="76" t="s">
        <v>556</v>
      </c>
      <c r="E283" s="120"/>
      <c r="F283" s="120"/>
      <c r="G283" s="74"/>
      <c r="I283" s="76" t="str">
        <f t="shared" si="8"/>
        <v>AE.10000</v>
      </c>
      <c r="J283" s="121" t="str">
        <f>+IF(B283=TG[[#This Row],[ITEM]],"ok","mal")</f>
        <v>ok</v>
      </c>
      <c r="K283" s="79">
        <f t="shared" si="9"/>
        <v>0</v>
      </c>
      <c r="L283" s="80">
        <f>IF(VLOOKUP(B283,TbPiezas[],5,0)="NA",0,VLOOKUP(B283,TbPiezas[],5,0))</f>
        <v>9.9999999999994316E-2</v>
      </c>
      <c r="M283" s="81">
        <f>TG[[#This Row],[TOTAL]]*TG[[#This Row],[P.U. (1)]]</f>
        <v>0</v>
      </c>
      <c r="N283" s="82">
        <f>+VLOOKUP(B283,TbPiezas[],6,0)</f>
        <v>10.16</v>
      </c>
      <c r="O283" s="83">
        <f>TG[[#This Row],[TOTAL]]*TG[[#This Row],[P.U. (2)]]</f>
        <v>0</v>
      </c>
      <c r="P283" s="82">
        <f>+VLOOKUP(B283,TbPiezas[],7,0)</f>
        <v>0.50800000000000001</v>
      </c>
      <c r="Q283" s="170">
        <f>ROUND(TG[[#This Row],[TOTAL]]*TG[[#This Row],[P.U. (3)]],2)</f>
        <v>0</v>
      </c>
      <c r="R283" s="326"/>
    </row>
    <row r="284" spans="2:18" hidden="1" x14ac:dyDescent="0.3">
      <c r="B284" s="76" t="s">
        <v>557</v>
      </c>
      <c r="C284" s="76" t="s">
        <v>558</v>
      </c>
      <c r="E284" s="120"/>
      <c r="F284" s="120"/>
      <c r="G284" s="74"/>
      <c r="I284" s="76" t="str">
        <f t="shared" si="8"/>
        <v>AE.10100</v>
      </c>
      <c r="J284" s="121" t="str">
        <f>+IF(B284=TG[[#This Row],[ITEM]],"ok","mal")</f>
        <v>ok</v>
      </c>
      <c r="K284" s="79">
        <f t="shared" si="9"/>
        <v>0</v>
      </c>
      <c r="L284" s="80">
        <f>IF(VLOOKUP(B284,TbPiezas[],5,0)="NA",0,VLOOKUP(B284,TbPiezas[],5,0))</f>
        <v>9.9999999999994316E-2</v>
      </c>
      <c r="M284" s="81">
        <f>TG[[#This Row],[TOTAL]]*TG[[#This Row],[P.U. (1)]]</f>
        <v>0</v>
      </c>
      <c r="N284" s="82">
        <f>+VLOOKUP(B284,TbPiezas[],6,0)</f>
        <v>10.16</v>
      </c>
      <c r="O284" s="83">
        <f>TG[[#This Row],[TOTAL]]*TG[[#This Row],[P.U. (2)]]</f>
        <v>0</v>
      </c>
      <c r="P284" s="82">
        <f>+VLOOKUP(B284,TbPiezas[],7,0)</f>
        <v>0.50800000000000001</v>
      </c>
      <c r="Q284" s="170">
        <f>ROUND(TG[[#This Row],[TOTAL]]*TG[[#This Row],[P.U. (3)]],2)</f>
        <v>0</v>
      </c>
      <c r="R284" s="326"/>
    </row>
    <row r="285" spans="2:18" hidden="1" x14ac:dyDescent="0.3">
      <c r="B285" s="76" t="s">
        <v>559</v>
      </c>
      <c r="C285" s="76" t="s">
        <v>560</v>
      </c>
      <c r="E285" s="120"/>
      <c r="F285" s="120"/>
      <c r="G285" s="74"/>
      <c r="I285" s="76" t="str">
        <f t="shared" si="8"/>
        <v>AE.10200</v>
      </c>
      <c r="J285" s="121" t="str">
        <f>+IF(B285=TG[[#This Row],[ITEM]],"ok","mal")</f>
        <v>ok</v>
      </c>
      <c r="K285" s="79">
        <f t="shared" si="9"/>
        <v>0</v>
      </c>
      <c r="L285" s="80">
        <f>IF(VLOOKUP(B285,TbPiezas[],5,0)="NA",0,VLOOKUP(B285,TbPiezas[],5,0))</f>
        <v>9.9999999999994316E-2</v>
      </c>
      <c r="M285" s="81">
        <f>TG[[#This Row],[TOTAL]]*TG[[#This Row],[P.U. (1)]]</f>
        <v>0</v>
      </c>
      <c r="N285" s="82">
        <f>+VLOOKUP(B285,TbPiezas[],6,0)</f>
        <v>10.16</v>
      </c>
      <c r="O285" s="83">
        <f>TG[[#This Row],[TOTAL]]*TG[[#This Row],[P.U. (2)]]</f>
        <v>0</v>
      </c>
      <c r="P285" s="82">
        <f>+VLOOKUP(B285,TbPiezas[],7,0)</f>
        <v>0.50800000000000001</v>
      </c>
      <c r="Q285" s="170">
        <f>ROUND(TG[[#This Row],[TOTAL]]*TG[[#This Row],[P.U. (3)]],2)</f>
        <v>0</v>
      </c>
      <c r="R285" s="326"/>
    </row>
    <row r="286" spans="2:18" hidden="1" x14ac:dyDescent="0.3">
      <c r="B286" s="76" t="s">
        <v>561</v>
      </c>
      <c r="C286" s="76" t="s">
        <v>562</v>
      </c>
      <c r="E286" s="120"/>
      <c r="F286" s="120"/>
      <c r="G286" s="74"/>
      <c r="I286" s="76" t="str">
        <f t="shared" si="8"/>
        <v>AE.10300</v>
      </c>
      <c r="J286" s="121" t="str">
        <f>+IF(B286=TG[[#This Row],[ITEM]],"ok","mal")</f>
        <v>ok</v>
      </c>
      <c r="K286" s="79">
        <f t="shared" si="9"/>
        <v>0</v>
      </c>
      <c r="L286" s="80">
        <f>IF(VLOOKUP(B286,TbPiezas[],5,0)="NA",0,VLOOKUP(B286,TbPiezas[],5,0))</f>
        <v>9.9999999999994316E-2</v>
      </c>
      <c r="M286" s="81">
        <f>TG[[#This Row],[TOTAL]]*TG[[#This Row],[P.U. (1)]]</f>
        <v>0</v>
      </c>
      <c r="N286" s="82">
        <f>+VLOOKUP(B286,TbPiezas[],6,0)</f>
        <v>10.16</v>
      </c>
      <c r="O286" s="83">
        <f>TG[[#This Row],[TOTAL]]*TG[[#This Row],[P.U. (2)]]</f>
        <v>0</v>
      </c>
      <c r="P286" s="82">
        <f>+VLOOKUP(B286,TbPiezas[],7,0)</f>
        <v>0.50800000000000001</v>
      </c>
      <c r="Q286" s="170">
        <f>ROUND(TG[[#This Row],[TOTAL]]*TG[[#This Row],[P.U. (3)]],2)</f>
        <v>0</v>
      </c>
      <c r="R286" s="326"/>
    </row>
    <row r="287" spans="2:18" hidden="1" x14ac:dyDescent="0.3">
      <c r="B287" s="76" t="s">
        <v>563</v>
      </c>
      <c r="C287" s="76" t="s">
        <v>564</v>
      </c>
      <c r="E287" s="120"/>
      <c r="F287" s="120"/>
      <c r="G287" s="74"/>
      <c r="I287" s="76" t="str">
        <f t="shared" si="8"/>
        <v>AE.10400</v>
      </c>
      <c r="J287" s="121" t="str">
        <f>+IF(B287=TG[[#This Row],[ITEM]],"ok","mal")</f>
        <v>ok</v>
      </c>
      <c r="K287" s="79">
        <f t="shared" si="9"/>
        <v>0</v>
      </c>
      <c r="L287" s="80">
        <f>IF(VLOOKUP(B287,TbPiezas[],5,0)="NA",0,VLOOKUP(B287,TbPiezas[],5,0))</f>
        <v>9.9999999999994316E-2</v>
      </c>
      <c r="M287" s="81">
        <f>TG[[#This Row],[TOTAL]]*TG[[#This Row],[P.U. (1)]]</f>
        <v>0</v>
      </c>
      <c r="N287" s="82">
        <f>+VLOOKUP(B287,TbPiezas[],6,0)</f>
        <v>10.16</v>
      </c>
      <c r="O287" s="83">
        <f>TG[[#This Row],[TOTAL]]*TG[[#This Row],[P.U. (2)]]</f>
        <v>0</v>
      </c>
      <c r="P287" s="82">
        <f>+VLOOKUP(B287,TbPiezas[],7,0)</f>
        <v>0.50800000000000001</v>
      </c>
      <c r="Q287" s="170">
        <f>ROUND(TG[[#This Row],[TOTAL]]*TG[[#This Row],[P.U. (3)]],2)</f>
        <v>0</v>
      </c>
      <c r="R287" s="326"/>
    </row>
    <row r="288" spans="2:18" hidden="1" x14ac:dyDescent="0.3">
      <c r="B288" s="76" t="s">
        <v>565</v>
      </c>
      <c r="C288" s="76" t="s">
        <v>566</v>
      </c>
      <c r="E288" s="120"/>
      <c r="F288" s="120"/>
      <c r="G288" s="74"/>
      <c r="I288" s="76" t="str">
        <f t="shared" si="8"/>
        <v>AE.10500</v>
      </c>
      <c r="J288" s="121" t="str">
        <f>+IF(B288=TG[[#This Row],[ITEM]],"ok","mal")</f>
        <v>ok</v>
      </c>
      <c r="K288" s="79">
        <f t="shared" si="9"/>
        <v>0</v>
      </c>
      <c r="L288" s="80">
        <f>IF(VLOOKUP(B288,TbPiezas[],5,0)="NA",0,VLOOKUP(B288,TbPiezas[],5,0))</f>
        <v>9.9999999999994316E-2</v>
      </c>
      <c r="M288" s="81">
        <f>TG[[#This Row],[TOTAL]]*TG[[#This Row],[P.U. (1)]]</f>
        <v>0</v>
      </c>
      <c r="N288" s="82">
        <f>+VLOOKUP(B288,TbPiezas[],6,0)</f>
        <v>10.16</v>
      </c>
      <c r="O288" s="83">
        <f>TG[[#This Row],[TOTAL]]*TG[[#This Row],[P.U. (2)]]</f>
        <v>0</v>
      </c>
      <c r="P288" s="82">
        <f>+VLOOKUP(B288,TbPiezas[],7,0)</f>
        <v>0.50800000000000001</v>
      </c>
      <c r="Q288" s="170">
        <f>ROUND(TG[[#This Row],[TOTAL]]*TG[[#This Row],[P.U. (3)]],2)</f>
        <v>0</v>
      </c>
      <c r="R288" s="326"/>
    </row>
    <row r="289" spans="2:18" hidden="1" x14ac:dyDescent="0.3">
      <c r="B289" s="76" t="s">
        <v>567</v>
      </c>
      <c r="C289" s="76" t="s">
        <v>568</v>
      </c>
      <c r="E289" s="120"/>
      <c r="F289" s="120"/>
      <c r="G289" s="74"/>
      <c r="I289" s="76" t="str">
        <f t="shared" si="8"/>
        <v>AE.10600</v>
      </c>
      <c r="J289" s="121" t="str">
        <f>+IF(B289=TG[[#This Row],[ITEM]],"ok","mal")</f>
        <v>ok</v>
      </c>
      <c r="K289" s="79">
        <f t="shared" si="9"/>
        <v>0</v>
      </c>
      <c r="L289" s="80">
        <f>IF(VLOOKUP(B289,TbPiezas[],5,0)="NA",0,VLOOKUP(B289,TbPiezas[],5,0))</f>
        <v>9.9999999999994316E-2</v>
      </c>
      <c r="M289" s="81">
        <f>TG[[#This Row],[TOTAL]]*TG[[#This Row],[P.U. (1)]]</f>
        <v>0</v>
      </c>
      <c r="N289" s="82">
        <f>+VLOOKUP(B289,TbPiezas[],6,0)</f>
        <v>10.16</v>
      </c>
      <c r="O289" s="83">
        <f>TG[[#This Row],[TOTAL]]*TG[[#This Row],[P.U. (2)]]</f>
        <v>0</v>
      </c>
      <c r="P289" s="82">
        <f>+VLOOKUP(B289,TbPiezas[],7,0)</f>
        <v>0.50800000000000001</v>
      </c>
      <c r="Q289" s="170">
        <f>ROUND(TG[[#This Row],[TOTAL]]*TG[[#This Row],[P.U. (3)]],2)</f>
        <v>0</v>
      </c>
      <c r="R289" s="326"/>
    </row>
    <row r="290" spans="2:18" hidden="1" x14ac:dyDescent="0.3">
      <c r="B290" s="76" t="s">
        <v>569</v>
      </c>
      <c r="C290" s="76" t="s">
        <v>570</v>
      </c>
      <c r="E290" s="120"/>
      <c r="F290" s="120"/>
      <c r="G290" s="74"/>
      <c r="I290" s="76" t="str">
        <f t="shared" si="8"/>
        <v>AE.10700</v>
      </c>
      <c r="J290" s="121" t="str">
        <f>+IF(B290=TG[[#This Row],[ITEM]],"ok","mal")</f>
        <v>ok</v>
      </c>
      <c r="K290" s="79">
        <f t="shared" si="9"/>
        <v>0</v>
      </c>
      <c r="L290" s="80">
        <f>IF(VLOOKUP(B290,TbPiezas[],5,0)="NA",0,VLOOKUP(B290,TbPiezas[],5,0))</f>
        <v>9.9999999999994316E-2</v>
      </c>
      <c r="M290" s="81">
        <f>TG[[#This Row],[TOTAL]]*TG[[#This Row],[P.U. (1)]]</f>
        <v>0</v>
      </c>
      <c r="N290" s="82">
        <f>+VLOOKUP(B290,TbPiezas[],6,0)</f>
        <v>10.16</v>
      </c>
      <c r="O290" s="83">
        <f>TG[[#This Row],[TOTAL]]*TG[[#This Row],[P.U. (2)]]</f>
        <v>0</v>
      </c>
      <c r="P290" s="82">
        <f>+VLOOKUP(B290,TbPiezas[],7,0)</f>
        <v>0.50800000000000001</v>
      </c>
      <c r="Q290" s="170">
        <f>ROUND(TG[[#This Row],[TOTAL]]*TG[[#This Row],[P.U. (3)]],2)</f>
        <v>0</v>
      </c>
      <c r="R290" s="326"/>
    </row>
    <row r="291" spans="2:18" hidden="1" x14ac:dyDescent="0.3">
      <c r="B291" s="76" t="s">
        <v>571</v>
      </c>
      <c r="C291" s="76" t="s">
        <v>572</v>
      </c>
      <c r="E291" s="120"/>
      <c r="F291" s="120"/>
      <c r="G291" s="74"/>
      <c r="I291" s="76" t="str">
        <f t="shared" si="8"/>
        <v>AE.10800</v>
      </c>
      <c r="J291" s="121" t="str">
        <f>+IF(B291=TG[[#This Row],[ITEM]],"ok","mal")</f>
        <v>ok</v>
      </c>
      <c r="K291" s="79">
        <f t="shared" si="9"/>
        <v>0</v>
      </c>
      <c r="L291" s="80">
        <f>IF(VLOOKUP(B291,TbPiezas[],5,0)="NA",0,VLOOKUP(B291,TbPiezas[],5,0))</f>
        <v>9.9999999999994316E-2</v>
      </c>
      <c r="M291" s="81">
        <f>TG[[#This Row],[TOTAL]]*TG[[#This Row],[P.U. (1)]]</f>
        <v>0</v>
      </c>
      <c r="N291" s="82">
        <f>+VLOOKUP(B291,TbPiezas[],6,0)</f>
        <v>10.16</v>
      </c>
      <c r="O291" s="83">
        <f>TG[[#This Row],[TOTAL]]*TG[[#This Row],[P.U. (2)]]</f>
        <v>0</v>
      </c>
      <c r="P291" s="82">
        <f>+VLOOKUP(B291,TbPiezas[],7,0)</f>
        <v>0.50800000000000001</v>
      </c>
      <c r="Q291" s="170">
        <f>ROUND(TG[[#This Row],[TOTAL]]*TG[[#This Row],[P.U. (3)]],2)</f>
        <v>0</v>
      </c>
      <c r="R291" s="326"/>
    </row>
    <row r="292" spans="2:18" hidden="1" x14ac:dyDescent="0.3">
      <c r="B292" s="76" t="s">
        <v>573</v>
      </c>
      <c r="C292" s="76" t="s">
        <v>574</v>
      </c>
      <c r="E292" s="120"/>
      <c r="F292" s="120"/>
      <c r="G292" s="74"/>
      <c r="I292" s="76" t="str">
        <f t="shared" si="8"/>
        <v>AE.10900</v>
      </c>
      <c r="J292" s="121" t="str">
        <f>+IF(B292=TG[[#This Row],[ITEM]],"ok","mal")</f>
        <v>ok</v>
      </c>
      <c r="K292" s="79">
        <f t="shared" si="9"/>
        <v>0</v>
      </c>
      <c r="L292" s="80">
        <f>IF(VLOOKUP(B292,TbPiezas[],5,0)="NA",0,VLOOKUP(B292,TbPiezas[],5,0))</f>
        <v>9.9999999999994316E-2</v>
      </c>
      <c r="M292" s="81">
        <f>TG[[#This Row],[TOTAL]]*TG[[#This Row],[P.U. (1)]]</f>
        <v>0</v>
      </c>
      <c r="N292" s="82">
        <f>+VLOOKUP(B292,TbPiezas[],6,0)</f>
        <v>10.16</v>
      </c>
      <c r="O292" s="83">
        <f>TG[[#This Row],[TOTAL]]*TG[[#This Row],[P.U. (2)]]</f>
        <v>0</v>
      </c>
      <c r="P292" s="82">
        <f>+VLOOKUP(B292,TbPiezas[],7,0)</f>
        <v>0.50800000000000001</v>
      </c>
      <c r="Q292" s="170">
        <f>ROUND(TG[[#This Row],[TOTAL]]*TG[[#This Row],[P.U. (3)]],2)</f>
        <v>0</v>
      </c>
      <c r="R292" s="326"/>
    </row>
    <row r="293" spans="2:18" hidden="1" x14ac:dyDescent="0.3">
      <c r="B293" s="76" t="s">
        <v>575</v>
      </c>
      <c r="C293" s="76" t="s">
        <v>576</v>
      </c>
      <c r="E293" s="120"/>
      <c r="F293" s="120"/>
      <c r="G293" s="74"/>
      <c r="I293" s="76" t="str">
        <f t="shared" si="8"/>
        <v>AE.11000</v>
      </c>
      <c r="J293" s="121" t="str">
        <f>+IF(B293=TG[[#This Row],[ITEM]],"ok","mal")</f>
        <v>ok</v>
      </c>
      <c r="K293" s="79">
        <f t="shared" si="9"/>
        <v>0</v>
      </c>
      <c r="L293" s="80">
        <f>IF(VLOOKUP(B293,TbPiezas[],5,0)="NA",0,VLOOKUP(B293,TbPiezas[],5,0))</f>
        <v>9.9999999999994316E-2</v>
      </c>
      <c r="M293" s="81">
        <f>TG[[#This Row],[TOTAL]]*TG[[#This Row],[P.U. (1)]]</f>
        <v>0</v>
      </c>
      <c r="N293" s="82">
        <f>+VLOOKUP(B293,TbPiezas[],6,0)</f>
        <v>10.16</v>
      </c>
      <c r="O293" s="83">
        <f>TG[[#This Row],[TOTAL]]*TG[[#This Row],[P.U. (2)]]</f>
        <v>0</v>
      </c>
      <c r="P293" s="82">
        <f>+VLOOKUP(B293,TbPiezas[],7,0)</f>
        <v>0.50800000000000001</v>
      </c>
      <c r="Q293" s="170">
        <f>ROUND(TG[[#This Row],[TOTAL]]*TG[[#This Row],[P.U. (3)]],2)</f>
        <v>0</v>
      </c>
      <c r="R293" s="326"/>
    </row>
    <row r="294" spans="2:18" hidden="1" x14ac:dyDescent="0.3">
      <c r="B294" s="76" t="s">
        <v>577</v>
      </c>
      <c r="C294" s="76" t="s">
        <v>578</v>
      </c>
      <c r="E294" s="120"/>
      <c r="F294" s="120"/>
      <c r="G294" s="74"/>
      <c r="I294" s="76" t="str">
        <f t="shared" si="8"/>
        <v>AE.11100</v>
      </c>
      <c r="J294" s="121" t="str">
        <f>+IF(B294=TG[[#This Row],[ITEM]],"ok","mal")</f>
        <v>ok</v>
      </c>
      <c r="K294" s="79">
        <f t="shared" si="9"/>
        <v>0</v>
      </c>
      <c r="L294" s="80">
        <f>IF(VLOOKUP(B294,TbPiezas[],5,0)="NA",0,VLOOKUP(B294,TbPiezas[],5,0))</f>
        <v>9.9999999999994316E-2</v>
      </c>
      <c r="M294" s="81">
        <f>TG[[#This Row],[TOTAL]]*TG[[#This Row],[P.U. (1)]]</f>
        <v>0</v>
      </c>
      <c r="N294" s="82">
        <f>+VLOOKUP(B294,TbPiezas[],6,0)</f>
        <v>10.16</v>
      </c>
      <c r="O294" s="83">
        <f>TG[[#This Row],[TOTAL]]*TG[[#This Row],[P.U. (2)]]</f>
        <v>0</v>
      </c>
      <c r="P294" s="82">
        <f>+VLOOKUP(B294,TbPiezas[],7,0)</f>
        <v>0.50800000000000001</v>
      </c>
      <c r="Q294" s="170">
        <f>ROUND(TG[[#This Row],[TOTAL]]*TG[[#This Row],[P.U. (3)]],2)</f>
        <v>0</v>
      </c>
      <c r="R294" s="326"/>
    </row>
    <row r="295" spans="2:18" hidden="1" x14ac:dyDescent="0.3">
      <c r="B295" s="76" t="s">
        <v>579</v>
      </c>
      <c r="C295" s="76" t="s">
        <v>580</v>
      </c>
      <c r="E295" s="120"/>
      <c r="F295" s="120"/>
      <c r="G295" s="74"/>
      <c r="I295" s="76" t="str">
        <f t="shared" si="8"/>
        <v>AE.11200</v>
      </c>
      <c r="J295" s="121" t="str">
        <f>+IF(B295=TG[[#This Row],[ITEM]],"ok","mal")</f>
        <v>ok</v>
      </c>
      <c r="K295" s="79">
        <f t="shared" si="9"/>
        <v>0</v>
      </c>
      <c r="L295" s="80">
        <f>IF(VLOOKUP(B295,TbPiezas[],5,0)="NA",0,VLOOKUP(B295,TbPiezas[],5,0))</f>
        <v>9.9999999999994316E-2</v>
      </c>
      <c r="M295" s="81">
        <f>TG[[#This Row],[TOTAL]]*TG[[#This Row],[P.U. (1)]]</f>
        <v>0</v>
      </c>
      <c r="N295" s="82">
        <f>+VLOOKUP(B295,TbPiezas[],6,0)</f>
        <v>10.16</v>
      </c>
      <c r="O295" s="83">
        <f>TG[[#This Row],[TOTAL]]*TG[[#This Row],[P.U. (2)]]</f>
        <v>0</v>
      </c>
      <c r="P295" s="82">
        <f>+VLOOKUP(B295,TbPiezas[],7,0)</f>
        <v>0.50800000000000001</v>
      </c>
      <c r="Q295" s="170">
        <f>ROUND(TG[[#This Row],[TOTAL]]*TG[[#This Row],[P.U. (3)]],2)</f>
        <v>0</v>
      </c>
      <c r="R295" s="326"/>
    </row>
    <row r="296" spans="2:18" hidden="1" x14ac:dyDescent="0.3">
      <c r="B296" s="76" t="s">
        <v>581</v>
      </c>
      <c r="C296" s="76" t="s">
        <v>582</v>
      </c>
      <c r="E296" s="120"/>
      <c r="F296" s="120"/>
      <c r="G296" s="74"/>
      <c r="I296" s="76" t="str">
        <f t="shared" si="8"/>
        <v>AE.11300</v>
      </c>
      <c r="J296" s="121" t="str">
        <f>+IF(B296=TG[[#This Row],[ITEM]],"ok","mal")</f>
        <v>ok</v>
      </c>
      <c r="K296" s="79">
        <f t="shared" si="9"/>
        <v>0</v>
      </c>
      <c r="L296" s="80">
        <f>IF(VLOOKUP(B296,TbPiezas[],5,0)="NA",0,VLOOKUP(B296,TbPiezas[],5,0))</f>
        <v>9.9999999999994316E-2</v>
      </c>
      <c r="M296" s="81">
        <f>TG[[#This Row],[TOTAL]]*TG[[#This Row],[P.U. (1)]]</f>
        <v>0</v>
      </c>
      <c r="N296" s="82">
        <f>+VLOOKUP(B296,TbPiezas[],6,0)</f>
        <v>10.16</v>
      </c>
      <c r="O296" s="83">
        <f>TG[[#This Row],[TOTAL]]*TG[[#This Row],[P.U. (2)]]</f>
        <v>0</v>
      </c>
      <c r="P296" s="82">
        <f>+VLOOKUP(B296,TbPiezas[],7,0)</f>
        <v>0.50800000000000001</v>
      </c>
      <c r="Q296" s="170">
        <f>ROUND(TG[[#This Row],[TOTAL]]*TG[[#This Row],[P.U. (3)]],2)</f>
        <v>0</v>
      </c>
      <c r="R296" s="326"/>
    </row>
    <row r="297" spans="2:18" hidden="1" x14ac:dyDescent="0.3">
      <c r="B297" s="76" t="s">
        <v>583</v>
      </c>
      <c r="C297" s="76" t="s">
        <v>584</v>
      </c>
      <c r="E297" s="120"/>
      <c r="F297" s="120"/>
      <c r="G297" s="74"/>
      <c r="I297" s="76" t="str">
        <f t="shared" si="8"/>
        <v>AE.11400</v>
      </c>
      <c r="J297" s="121" t="str">
        <f>+IF(B297=TG[[#This Row],[ITEM]],"ok","mal")</f>
        <v>ok</v>
      </c>
      <c r="K297" s="79">
        <f t="shared" si="9"/>
        <v>0</v>
      </c>
      <c r="L297" s="80">
        <f>IF(VLOOKUP(B297,TbPiezas[],5,0)="NA",0,VLOOKUP(B297,TbPiezas[],5,0))</f>
        <v>9.9999999999994316E-2</v>
      </c>
      <c r="M297" s="81">
        <f>TG[[#This Row],[TOTAL]]*TG[[#This Row],[P.U. (1)]]</f>
        <v>0</v>
      </c>
      <c r="N297" s="82">
        <f>+VLOOKUP(B297,TbPiezas[],6,0)</f>
        <v>10.16</v>
      </c>
      <c r="O297" s="83">
        <f>TG[[#This Row],[TOTAL]]*TG[[#This Row],[P.U. (2)]]</f>
        <v>0</v>
      </c>
      <c r="P297" s="82">
        <f>+VLOOKUP(B297,TbPiezas[],7,0)</f>
        <v>0.50800000000000001</v>
      </c>
      <c r="Q297" s="170">
        <f>ROUND(TG[[#This Row],[TOTAL]]*TG[[#This Row],[P.U. (3)]],2)</f>
        <v>0</v>
      </c>
      <c r="R297" s="326"/>
    </row>
    <row r="298" spans="2:18" hidden="1" x14ac:dyDescent="0.3">
      <c r="B298" s="76" t="s">
        <v>585</v>
      </c>
      <c r="C298" s="76" t="s">
        <v>586</v>
      </c>
      <c r="E298" s="120"/>
      <c r="F298" s="120"/>
      <c r="G298" s="74"/>
      <c r="I298" s="76" t="str">
        <f t="shared" si="8"/>
        <v>AE.11500</v>
      </c>
      <c r="J298" s="121" t="str">
        <f>+IF(B298=TG[[#This Row],[ITEM]],"ok","mal")</f>
        <v>ok</v>
      </c>
      <c r="K298" s="79">
        <f t="shared" si="9"/>
        <v>0</v>
      </c>
      <c r="L298" s="80">
        <f>IF(VLOOKUP(B298,TbPiezas[],5,0)="NA",0,VLOOKUP(B298,TbPiezas[],5,0))</f>
        <v>25</v>
      </c>
      <c r="M298" s="81">
        <f>TG[[#This Row],[TOTAL]]*TG[[#This Row],[P.U. (1)]]</f>
        <v>0</v>
      </c>
      <c r="N298" s="82">
        <f>+VLOOKUP(B298,TbPiezas[],6,0)</f>
        <v>229.52</v>
      </c>
      <c r="O298" s="83">
        <f>TG[[#This Row],[TOTAL]]*TG[[#This Row],[P.U. (2)]]</f>
        <v>0</v>
      </c>
      <c r="P298" s="82">
        <f>+VLOOKUP(B298,TbPiezas[],7,0)</f>
        <v>11.476000000000001</v>
      </c>
      <c r="Q298" s="170">
        <f>ROUND(TG[[#This Row],[TOTAL]]*TG[[#This Row],[P.U. (3)]],2)</f>
        <v>0</v>
      </c>
      <c r="R298" s="326"/>
    </row>
    <row r="299" spans="2:18" hidden="1" x14ac:dyDescent="0.3">
      <c r="B299" s="76" t="s">
        <v>587</v>
      </c>
      <c r="C299" s="76" t="s">
        <v>588</v>
      </c>
      <c r="E299" s="120"/>
      <c r="F299" s="120"/>
      <c r="G299" s="74"/>
      <c r="I299" s="76" t="str">
        <f t="shared" si="8"/>
        <v>AE.11600</v>
      </c>
      <c r="J299" s="121" t="str">
        <f>+IF(B299=TG[[#This Row],[ITEM]],"ok","mal")</f>
        <v>ok</v>
      </c>
      <c r="K299" s="79">
        <f t="shared" si="9"/>
        <v>0</v>
      </c>
      <c r="L299" s="80">
        <f>IF(VLOOKUP(B299,TbPiezas[],5,0)="NA",0,VLOOKUP(B299,TbPiezas[],5,0))</f>
        <v>11.799999999999997</v>
      </c>
      <c r="M299" s="81">
        <f>TG[[#This Row],[TOTAL]]*TG[[#This Row],[P.U. (1)]]</f>
        <v>0</v>
      </c>
      <c r="N299" s="82">
        <f>+VLOOKUP(B299,TbPiezas[],6,0)</f>
        <v>229.52</v>
      </c>
      <c r="O299" s="83">
        <f>TG[[#This Row],[TOTAL]]*TG[[#This Row],[P.U. (2)]]</f>
        <v>0</v>
      </c>
      <c r="P299" s="82">
        <f>+VLOOKUP(B299,TbPiezas[],7,0)</f>
        <v>11.476000000000001</v>
      </c>
      <c r="Q299" s="170">
        <f>ROUND(TG[[#This Row],[TOTAL]]*TG[[#This Row],[P.U. (3)]],2)</f>
        <v>0</v>
      </c>
      <c r="R299" s="326"/>
    </row>
    <row r="300" spans="2:18" hidden="1" x14ac:dyDescent="0.3">
      <c r="B300" s="76" t="s">
        <v>589</v>
      </c>
      <c r="C300" s="76" t="s">
        <v>590</v>
      </c>
      <c r="E300" s="120"/>
      <c r="F300" s="120"/>
      <c r="G300" s="74"/>
      <c r="I300" s="76" t="str">
        <f t="shared" si="8"/>
        <v>AE.11700</v>
      </c>
      <c r="J300" s="121" t="str">
        <f>+IF(B300=TG[[#This Row],[ITEM]],"ok","mal")</f>
        <v>ok</v>
      </c>
      <c r="K300" s="79">
        <f t="shared" si="9"/>
        <v>0</v>
      </c>
      <c r="L300" s="80">
        <f>IF(VLOOKUP(B300,TbPiezas[],5,0)="NA",0,VLOOKUP(B300,TbPiezas[],5,0))</f>
        <v>11.799999999999997</v>
      </c>
      <c r="M300" s="81">
        <f>TG[[#This Row],[TOTAL]]*TG[[#This Row],[P.U. (1)]]</f>
        <v>0</v>
      </c>
      <c r="N300" s="82">
        <f>+VLOOKUP(B300,TbPiezas[],6,0)</f>
        <v>229.52</v>
      </c>
      <c r="O300" s="83">
        <f>TG[[#This Row],[TOTAL]]*TG[[#This Row],[P.U. (2)]]</f>
        <v>0</v>
      </c>
      <c r="P300" s="82">
        <f>+VLOOKUP(B300,TbPiezas[],7,0)</f>
        <v>11.476000000000001</v>
      </c>
      <c r="Q300" s="170">
        <f>ROUND(TG[[#This Row],[TOTAL]]*TG[[#This Row],[P.U. (3)]],2)</f>
        <v>0</v>
      </c>
      <c r="R300" s="326"/>
    </row>
    <row r="301" spans="2:18" hidden="1" x14ac:dyDescent="0.3">
      <c r="B301" s="76" t="s">
        <v>591</v>
      </c>
      <c r="C301" s="76" t="s">
        <v>592</v>
      </c>
      <c r="E301" s="120"/>
      <c r="F301" s="120"/>
      <c r="G301" s="74"/>
      <c r="I301" s="76" t="str">
        <f t="shared" si="8"/>
        <v>AE.11800</v>
      </c>
      <c r="J301" s="121" t="str">
        <f>+IF(B301=TG[[#This Row],[ITEM]],"ok","mal")</f>
        <v>ok</v>
      </c>
      <c r="K301" s="79">
        <f t="shared" si="9"/>
        <v>0</v>
      </c>
      <c r="L301" s="80">
        <f>IF(VLOOKUP(B301,TbPiezas[],5,0)="NA",0,VLOOKUP(B301,TbPiezas[],5,0))</f>
        <v>28.899999999999991</v>
      </c>
      <c r="M301" s="81">
        <f>TG[[#This Row],[TOTAL]]*TG[[#This Row],[P.U. (1)]]</f>
        <v>0</v>
      </c>
      <c r="N301" s="82">
        <f>+VLOOKUP(B301,TbPiezas[],6,0)</f>
        <v>1099.44</v>
      </c>
      <c r="O301" s="83">
        <f>TG[[#This Row],[TOTAL]]*TG[[#This Row],[P.U. (2)]]</f>
        <v>0</v>
      </c>
      <c r="P301" s="82">
        <f>+VLOOKUP(B301,TbPiezas[],7,0)</f>
        <v>54.972000000000008</v>
      </c>
      <c r="Q301" s="170">
        <f>ROUND(TG[[#This Row],[TOTAL]]*TG[[#This Row],[P.U. (3)]],2)</f>
        <v>0</v>
      </c>
      <c r="R301" s="326"/>
    </row>
    <row r="302" spans="2:18" hidden="1" x14ac:dyDescent="0.3">
      <c r="B302" s="76" t="s">
        <v>593</v>
      </c>
      <c r="C302" s="76" t="s">
        <v>594</v>
      </c>
      <c r="E302" s="120"/>
      <c r="F302" s="120"/>
      <c r="G302" s="74"/>
      <c r="I302" s="76" t="str">
        <f t="shared" si="8"/>
        <v>AE.11850</v>
      </c>
      <c r="J302" s="121" t="str">
        <f>+IF(B302=TG[[#This Row],[ITEM]],"ok","mal")</f>
        <v>ok</v>
      </c>
      <c r="K302" s="79">
        <f t="shared" si="9"/>
        <v>0</v>
      </c>
      <c r="L302" s="80">
        <f>IF(VLOOKUP(B302,TbPiezas[],5,0)="NA",0,VLOOKUP(B302,TbPiezas[],5,0))</f>
        <v>74.099999999999994</v>
      </c>
      <c r="M302" s="81">
        <f>TG[[#This Row],[TOTAL]]*TG[[#This Row],[P.U. (1)]]</f>
        <v>0</v>
      </c>
      <c r="N302" s="82">
        <f>+VLOOKUP(B302,TbPiezas[],6,0)</f>
        <v>3176.25</v>
      </c>
      <c r="O302" s="83">
        <f>TG[[#This Row],[TOTAL]]*TG[[#This Row],[P.U. (2)]]</f>
        <v>0</v>
      </c>
      <c r="P302" s="82">
        <f>+VLOOKUP(B302,TbPiezas[],7,0)</f>
        <v>158.8125</v>
      </c>
      <c r="Q302" s="170">
        <f>ROUND(TG[[#This Row],[TOTAL]]*TG[[#This Row],[P.U. (3)]],2)</f>
        <v>0</v>
      </c>
      <c r="R302" s="326"/>
    </row>
    <row r="303" spans="2:18" hidden="1" x14ac:dyDescent="0.3">
      <c r="B303" s="76" t="s">
        <v>595</v>
      </c>
      <c r="C303" s="76" t="s">
        <v>596</v>
      </c>
      <c r="E303" s="120"/>
      <c r="F303" s="120"/>
      <c r="G303" s="74"/>
      <c r="I303" s="76" t="str">
        <f t="shared" si="8"/>
        <v>AE.11900</v>
      </c>
      <c r="J303" s="121" t="str">
        <f>+IF(B303=TG[[#This Row],[ITEM]],"ok","mal")</f>
        <v>ok</v>
      </c>
      <c r="K303" s="79">
        <f t="shared" si="9"/>
        <v>0</v>
      </c>
      <c r="L303" s="80">
        <f>IF(VLOOKUP(B303,TbPiezas[],5,0)="NA",0,VLOOKUP(B303,TbPiezas[],5,0))</f>
        <v>0.5</v>
      </c>
      <c r="M303" s="81">
        <f>TG[[#This Row],[TOTAL]]*TG[[#This Row],[P.U. (1)]]</f>
        <v>0</v>
      </c>
      <c r="N303" s="82">
        <f>+VLOOKUP(B303,TbPiezas[],6,0)</f>
        <v>157.1</v>
      </c>
      <c r="O303" s="83">
        <f>TG[[#This Row],[TOTAL]]*TG[[#This Row],[P.U. (2)]]</f>
        <v>0</v>
      </c>
      <c r="P303" s="82">
        <f>+VLOOKUP(B303,TbPiezas[],7,0)</f>
        <v>7.8550000000000004</v>
      </c>
      <c r="Q303" s="170">
        <f>ROUND(TG[[#This Row],[TOTAL]]*TG[[#This Row],[P.U. (3)]],2)</f>
        <v>0</v>
      </c>
      <c r="R303" s="326"/>
    </row>
    <row r="304" spans="2:18" hidden="1" x14ac:dyDescent="0.3">
      <c r="B304" s="76" t="s">
        <v>597</v>
      </c>
      <c r="C304" s="76" t="s">
        <v>598</v>
      </c>
      <c r="E304" s="120"/>
      <c r="F304" s="120"/>
      <c r="G304" s="74"/>
      <c r="I304" s="76" t="str">
        <f t="shared" si="8"/>
        <v>AE.12000</v>
      </c>
      <c r="J304" s="121" t="str">
        <f>+IF(B304=TG[[#This Row],[ITEM]],"ok","mal")</f>
        <v>ok</v>
      </c>
      <c r="K304" s="79">
        <f t="shared" si="9"/>
        <v>0</v>
      </c>
      <c r="L304" s="80">
        <f>IF(VLOOKUP(B304,TbPiezas[],5,0)="NA",0,VLOOKUP(B304,TbPiezas[],5,0))</f>
        <v>7.0999999999999943</v>
      </c>
      <c r="M304" s="81">
        <f>TG[[#This Row],[TOTAL]]*TG[[#This Row],[P.U. (1)]]</f>
        <v>0</v>
      </c>
      <c r="N304" s="82">
        <f>+VLOOKUP(B304,TbPiezas[],6,0)</f>
        <v>381.15</v>
      </c>
      <c r="O304" s="83">
        <f>TG[[#This Row],[TOTAL]]*TG[[#This Row],[P.U. (2)]]</f>
        <v>0</v>
      </c>
      <c r="P304" s="82">
        <f>+VLOOKUP(B304,TbPiezas[],7,0)</f>
        <v>19.057500000000001</v>
      </c>
      <c r="Q304" s="170">
        <f>ROUND(TG[[#This Row],[TOTAL]]*TG[[#This Row],[P.U. (3)]],2)</f>
        <v>0</v>
      </c>
      <c r="R304" s="326"/>
    </row>
    <row r="305" spans="2:18" hidden="1" x14ac:dyDescent="0.3">
      <c r="B305" s="76" t="s">
        <v>599</v>
      </c>
      <c r="C305" s="76" t="s">
        <v>600</v>
      </c>
      <c r="E305" s="120"/>
      <c r="F305" s="120"/>
      <c r="G305" s="74"/>
      <c r="I305" s="76" t="str">
        <f t="shared" si="8"/>
        <v>AE.12100</v>
      </c>
      <c r="J305" s="121" t="str">
        <f>+IF(B305=TG[[#This Row],[ITEM]],"ok","mal")</f>
        <v>ok</v>
      </c>
      <c r="K305" s="79">
        <f t="shared" si="9"/>
        <v>0</v>
      </c>
      <c r="L305" s="80">
        <f>IF(VLOOKUP(B305,TbPiezas[],5,0)="NA",0,VLOOKUP(B305,TbPiezas[],5,0))</f>
        <v>0.5</v>
      </c>
      <c r="M305" s="81">
        <f>TG[[#This Row],[TOTAL]]*TG[[#This Row],[P.U. (1)]]</f>
        <v>0</v>
      </c>
      <c r="N305" s="82">
        <f>+VLOOKUP(B305,TbPiezas[],6,0)</f>
        <v>88.94</v>
      </c>
      <c r="O305" s="83">
        <f>TG[[#This Row],[TOTAL]]*TG[[#This Row],[P.U. (2)]]</f>
        <v>0</v>
      </c>
      <c r="P305" s="82">
        <f>+VLOOKUP(B305,TbPiezas[],7,0)</f>
        <v>4.4470000000000001</v>
      </c>
      <c r="Q305" s="170">
        <f>ROUND(TG[[#This Row],[TOTAL]]*TG[[#This Row],[P.U. (3)]],2)</f>
        <v>0</v>
      </c>
      <c r="R305" s="326"/>
    </row>
    <row r="306" spans="2:18" hidden="1" x14ac:dyDescent="0.3">
      <c r="B306" s="76" t="s">
        <v>601</v>
      </c>
      <c r="C306" s="76" t="s">
        <v>602</v>
      </c>
      <c r="E306" s="120"/>
      <c r="F306" s="120"/>
      <c r="G306" s="74"/>
      <c r="I306" s="76" t="str">
        <f t="shared" si="8"/>
        <v>AE.12200</v>
      </c>
      <c r="J306" s="121" t="str">
        <f>+IF(B306=TG[[#This Row],[ITEM]],"ok","mal")</f>
        <v>ok</v>
      </c>
      <c r="K306" s="79">
        <f t="shared" si="9"/>
        <v>0</v>
      </c>
      <c r="L306" s="80">
        <f>IF(VLOOKUP(B306,TbPiezas[],5,0)="NA",0,VLOOKUP(B306,TbPiezas[],5,0))</f>
        <v>0.75</v>
      </c>
      <c r="M306" s="81">
        <f>TG[[#This Row],[TOTAL]]*TG[[#This Row],[P.U. (1)]]</f>
        <v>0</v>
      </c>
      <c r="N306" s="82">
        <f>+VLOOKUP(B306,TbPiezas[],6,0)</f>
        <v>200</v>
      </c>
      <c r="O306" s="83">
        <f>TG[[#This Row],[TOTAL]]*TG[[#This Row],[P.U. (2)]]</f>
        <v>0</v>
      </c>
      <c r="P306" s="82">
        <f>+VLOOKUP(B306,TbPiezas[],7,0)</f>
        <v>10</v>
      </c>
      <c r="Q306" s="170">
        <f>ROUND(TG[[#This Row],[TOTAL]]*TG[[#This Row],[P.U. (3)]],2)</f>
        <v>0</v>
      </c>
      <c r="R306" s="326"/>
    </row>
    <row r="307" spans="2:18" hidden="1" x14ac:dyDescent="0.3">
      <c r="B307" s="76" t="s">
        <v>603</v>
      </c>
      <c r="C307" s="76" t="s">
        <v>604</v>
      </c>
      <c r="E307" s="120"/>
      <c r="F307" s="120"/>
      <c r="G307" s="74"/>
      <c r="I307" s="76" t="str">
        <f t="shared" si="8"/>
        <v>AE.12300</v>
      </c>
      <c r="J307" s="121" t="str">
        <f>+IF(B307=TG[[#This Row],[ITEM]],"ok","mal")</f>
        <v>ok</v>
      </c>
      <c r="K307" s="79">
        <f t="shared" si="9"/>
        <v>0</v>
      </c>
      <c r="L307" s="80">
        <f>IF(VLOOKUP(B307,TbPiezas[],5,0)="NA",0,VLOOKUP(B307,TbPiezas[],5,0))</f>
        <v>0.1</v>
      </c>
      <c r="M307" s="81">
        <f>TG[[#This Row],[TOTAL]]*TG[[#This Row],[P.U. (1)]]</f>
        <v>0</v>
      </c>
      <c r="N307" s="82">
        <f>+VLOOKUP(B307,TbPiezas[],6,0)</f>
        <v>200</v>
      </c>
      <c r="O307" s="83">
        <f>TG[[#This Row],[TOTAL]]*TG[[#This Row],[P.U. (2)]]</f>
        <v>0</v>
      </c>
      <c r="P307" s="82">
        <f>+VLOOKUP(B307,TbPiezas[],7,0)</f>
        <v>10</v>
      </c>
      <c r="Q307" s="170">
        <f>ROUND(TG[[#This Row],[TOTAL]]*TG[[#This Row],[P.U. (3)]],2)</f>
        <v>0</v>
      </c>
      <c r="R307" s="326"/>
    </row>
    <row r="308" spans="2:18" hidden="1" x14ac:dyDescent="0.3">
      <c r="B308" s="76" t="s">
        <v>605</v>
      </c>
      <c r="C308" s="76" t="s">
        <v>606</v>
      </c>
      <c r="E308" s="120"/>
      <c r="F308" s="120"/>
      <c r="G308" s="74"/>
      <c r="I308" s="76" t="str">
        <f t="shared" si="8"/>
        <v>EN.0100</v>
      </c>
      <c r="J308" s="121" t="str">
        <f>+IF(B308=TG[[#This Row],[ITEM]],"ok","mal")</f>
        <v>ok</v>
      </c>
      <c r="K308" s="79">
        <f t="shared" si="9"/>
        <v>0</v>
      </c>
      <c r="L308" s="80">
        <f>IF(VLOOKUP(B308,TbPiezas[],5,0)="NA",0,VLOOKUP(B308,TbPiezas[],5,0))</f>
        <v>2.4</v>
      </c>
      <c r="M308" s="81">
        <f>TG[[#This Row],[TOTAL]]*TG[[#This Row],[P.U. (1)]]</f>
        <v>0</v>
      </c>
      <c r="N308" s="82">
        <f>+VLOOKUP(B308,TbPiezas[],6,0)</f>
        <v>102.82</v>
      </c>
      <c r="O308" s="83">
        <f>TG[[#This Row],[TOTAL]]*TG[[#This Row],[P.U. (2)]]</f>
        <v>0</v>
      </c>
      <c r="P308" s="82">
        <f>+VLOOKUP(B308,TbPiezas[],7,0)</f>
        <v>5.141</v>
      </c>
      <c r="Q308" s="170">
        <f>ROUND(TG[[#This Row],[TOTAL]]*TG[[#This Row],[P.U. (3)]],2)</f>
        <v>0</v>
      </c>
      <c r="R308" s="326"/>
    </row>
    <row r="309" spans="2:18" hidden="1" x14ac:dyDescent="0.3">
      <c r="B309" s="76" t="s">
        <v>607</v>
      </c>
      <c r="C309" s="76" t="s">
        <v>608</v>
      </c>
      <c r="E309" s="120"/>
      <c r="F309" s="120"/>
      <c r="G309" s="77"/>
      <c r="I309" s="76" t="str">
        <f t="shared" si="8"/>
        <v>EN.0200</v>
      </c>
      <c r="J309" s="121" t="str">
        <f>+IF(B309=TG[[#This Row],[ITEM]],"ok","mal")</f>
        <v>ok</v>
      </c>
      <c r="K309" s="79">
        <f t="shared" si="9"/>
        <v>0</v>
      </c>
      <c r="L309" s="80">
        <f>IF(VLOOKUP(B309,TbPiezas[],5,0)="NA",0,VLOOKUP(B309,TbPiezas[],5,0))</f>
        <v>2</v>
      </c>
      <c r="M309" s="81">
        <f>TG[[#This Row],[TOTAL]]*TG[[#This Row],[P.U. (1)]]</f>
        <v>0</v>
      </c>
      <c r="N309" s="82">
        <f>+VLOOKUP(B309,TbPiezas[],6,0)</f>
        <v>85.68</v>
      </c>
      <c r="O309" s="83">
        <f>TG[[#This Row],[TOTAL]]*TG[[#This Row],[P.U. (2)]]</f>
        <v>0</v>
      </c>
      <c r="P309" s="82">
        <f>+VLOOKUP(B309,TbPiezas[],7,0)</f>
        <v>4.2840000000000007</v>
      </c>
      <c r="Q309" s="170">
        <f>ROUND(TG[[#This Row],[TOTAL]]*TG[[#This Row],[P.U. (3)]],2)</f>
        <v>0</v>
      </c>
      <c r="R309" s="326"/>
    </row>
    <row r="310" spans="2:18" hidden="1" x14ac:dyDescent="0.3">
      <c r="B310" s="76" t="s">
        <v>609</v>
      </c>
      <c r="C310" s="76" t="s">
        <v>610</v>
      </c>
      <c r="E310" s="120"/>
      <c r="F310" s="120"/>
      <c r="G310" s="74"/>
      <c r="I310" s="76" t="str">
        <f t="shared" si="8"/>
        <v>EN.0300</v>
      </c>
      <c r="J310" s="121" t="str">
        <f>+IF(B310=TG[[#This Row],[ITEM]],"ok","mal")</f>
        <v>ok</v>
      </c>
      <c r="K310" s="79">
        <f t="shared" si="9"/>
        <v>0</v>
      </c>
      <c r="L310" s="80">
        <f>IF(VLOOKUP(B310,TbPiezas[],5,0)="NA",0,VLOOKUP(B310,TbPiezas[],5,0))</f>
        <v>0.5</v>
      </c>
      <c r="M310" s="81">
        <f>TG[[#This Row],[TOTAL]]*TG[[#This Row],[P.U. (1)]]</f>
        <v>0</v>
      </c>
      <c r="N310" s="82">
        <f>+VLOOKUP(B310,TbPiezas[],6,0)</f>
        <v>40.020000000000003</v>
      </c>
      <c r="O310" s="83">
        <f>TG[[#This Row],[TOTAL]]*TG[[#This Row],[P.U. (2)]]</f>
        <v>0</v>
      </c>
      <c r="P310" s="82">
        <f>+VLOOKUP(B310,TbPiezas[],7,0)</f>
        <v>2.0010000000000003</v>
      </c>
      <c r="Q310" s="170">
        <f>ROUND(TG[[#This Row],[TOTAL]]*TG[[#This Row],[P.U. (3)]],2)</f>
        <v>0</v>
      </c>
      <c r="R310" s="326"/>
    </row>
    <row r="311" spans="2:18" hidden="1" x14ac:dyDescent="0.3">
      <c r="B311" s="76" t="s">
        <v>611</v>
      </c>
      <c r="C311" s="76" t="s">
        <v>612</v>
      </c>
      <c r="E311" s="120"/>
      <c r="F311" s="120"/>
      <c r="G311" s="77"/>
      <c r="I311" s="76" t="str">
        <f t="shared" si="8"/>
        <v>EN.0310</v>
      </c>
      <c r="J311" s="121" t="str">
        <f>+IF(B311=TG[[#This Row],[ITEM]],"ok","mal")</f>
        <v>ok</v>
      </c>
      <c r="K311" s="79">
        <f t="shared" si="9"/>
        <v>0</v>
      </c>
      <c r="L311" s="80">
        <f>IF(VLOOKUP(B311,TbPiezas[],5,0)="NA",0,VLOOKUP(B311,TbPiezas[],5,0))</f>
        <v>3</v>
      </c>
      <c r="M311" s="81">
        <f>TG[[#This Row],[TOTAL]]*TG[[#This Row],[P.U. (1)]]</f>
        <v>0</v>
      </c>
      <c r="N311" s="82">
        <f>+VLOOKUP(B311,TbPiezas[],6,0)</f>
        <v>128.53</v>
      </c>
      <c r="O311" s="83">
        <f>TG[[#This Row],[TOTAL]]*TG[[#This Row],[P.U. (2)]]</f>
        <v>0</v>
      </c>
      <c r="P311" s="82">
        <f>+VLOOKUP(B311,TbPiezas[],7,0)</f>
        <v>6.4265000000000008</v>
      </c>
      <c r="Q311" s="170">
        <f>ROUND(TG[[#This Row],[TOTAL]]*TG[[#This Row],[P.U. (3)]],2)</f>
        <v>0</v>
      </c>
      <c r="R311" s="326"/>
    </row>
    <row r="312" spans="2:18" hidden="1" x14ac:dyDescent="0.3">
      <c r="B312" s="76" t="s">
        <v>613</v>
      </c>
      <c r="C312" s="76" t="s">
        <v>614</v>
      </c>
      <c r="E312" s="120"/>
      <c r="F312" s="120"/>
      <c r="G312" s="77"/>
      <c r="I312" s="76" t="str">
        <f t="shared" si="8"/>
        <v>EN.0320</v>
      </c>
      <c r="J312" s="121" t="str">
        <f>+IF(B312=TG[[#This Row],[ITEM]],"ok","mal")</f>
        <v>ok</v>
      </c>
      <c r="K312" s="79">
        <f t="shared" si="9"/>
        <v>0</v>
      </c>
      <c r="L312" s="80">
        <f>IF(VLOOKUP(B312,TbPiezas[],5,0)="NA",0,VLOOKUP(B312,TbPiezas[],5,0))</f>
        <v>2.2999999999999998</v>
      </c>
      <c r="M312" s="81">
        <f>TG[[#This Row],[TOTAL]]*TG[[#This Row],[P.U. (1)]]</f>
        <v>0</v>
      </c>
      <c r="N312" s="82">
        <f>+VLOOKUP(B312,TbPiezas[],6,0)</f>
        <v>107.99</v>
      </c>
      <c r="O312" s="83">
        <f>TG[[#This Row],[TOTAL]]*TG[[#This Row],[P.U. (2)]]</f>
        <v>0</v>
      </c>
      <c r="P312" s="82">
        <f>+VLOOKUP(B312,TbPiezas[],7,0)</f>
        <v>5.3994999999999997</v>
      </c>
      <c r="Q312" s="170">
        <f>ROUND(TG[[#This Row],[TOTAL]]*TG[[#This Row],[P.U. (3)]],2)</f>
        <v>0</v>
      </c>
      <c r="R312" s="326"/>
    </row>
    <row r="313" spans="2:18" hidden="1" x14ac:dyDescent="0.3">
      <c r="B313" s="76" t="s">
        <v>615</v>
      </c>
      <c r="C313" s="76" t="s">
        <v>616</v>
      </c>
      <c r="E313" s="120"/>
      <c r="F313" s="120"/>
      <c r="G313" s="74"/>
      <c r="I313" s="76" t="str">
        <f t="shared" si="8"/>
        <v>EN.0325</v>
      </c>
      <c r="J313" s="121" t="str">
        <f>+IF(B313=TG[[#This Row],[ITEM]],"ok","mal")</f>
        <v>ok</v>
      </c>
      <c r="K313" s="79">
        <f t="shared" si="9"/>
        <v>0</v>
      </c>
      <c r="L313" s="80">
        <f>IF(VLOOKUP(B313,TbPiezas[],5,0)="NA",0,VLOOKUP(B313,TbPiezas[],5,0))</f>
        <v>1.7</v>
      </c>
      <c r="M313" s="81">
        <f>TG[[#This Row],[TOTAL]]*TG[[#This Row],[P.U. (1)]]</f>
        <v>0</v>
      </c>
      <c r="N313" s="82">
        <f>+VLOOKUP(B313,TbPiezas[],6,0)</f>
        <v>79.34</v>
      </c>
      <c r="O313" s="83">
        <f>TG[[#This Row],[TOTAL]]*TG[[#This Row],[P.U. (2)]]</f>
        <v>0</v>
      </c>
      <c r="P313" s="82">
        <f>+VLOOKUP(B313,TbPiezas[],7,0)</f>
        <v>3.9670000000000005</v>
      </c>
      <c r="Q313" s="170">
        <f>ROUND(TG[[#This Row],[TOTAL]]*TG[[#This Row],[P.U. (3)]],2)</f>
        <v>0</v>
      </c>
      <c r="R313" s="326"/>
    </row>
    <row r="314" spans="2:18" hidden="1" x14ac:dyDescent="0.3">
      <c r="B314" s="76" t="s">
        <v>617</v>
      </c>
      <c r="C314" s="76" t="s">
        <v>618</v>
      </c>
      <c r="E314" s="120"/>
      <c r="F314" s="120"/>
      <c r="G314" s="77"/>
      <c r="I314" s="76" t="str">
        <f t="shared" si="8"/>
        <v>EN.0330</v>
      </c>
      <c r="J314" s="121" t="str">
        <f>+IF(B314=TG[[#This Row],[ITEM]],"ok","mal")</f>
        <v>ok</v>
      </c>
      <c r="K314" s="79">
        <f t="shared" si="9"/>
        <v>0</v>
      </c>
      <c r="L314" s="80">
        <f>IF(VLOOKUP(B314,TbPiezas[],5,0)="NA",0,VLOOKUP(B314,TbPiezas[],5,0))</f>
        <v>1.4</v>
      </c>
      <c r="M314" s="81">
        <f>TG[[#This Row],[TOTAL]]*TG[[#This Row],[P.U. (1)]]</f>
        <v>0</v>
      </c>
      <c r="N314" s="82">
        <f>+VLOOKUP(B314,TbPiezas[],6,0)</f>
        <v>82.58</v>
      </c>
      <c r="O314" s="83">
        <f>TG[[#This Row],[TOTAL]]*TG[[#This Row],[P.U. (2)]]</f>
        <v>0</v>
      </c>
      <c r="P314" s="82">
        <f>+VLOOKUP(B314,TbPiezas[],7,0)</f>
        <v>4.1290000000000004</v>
      </c>
      <c r="Q314" s="170">
        <f>ROUND(TG[[#This Row],[TOTAL]]*TG[[#This Row],[P.U. (3)]],2)</f>
        <v>0</v>
      </c>
      <c r="R314" s="326"/>
    </row>
    <row r="315" spans="2:18" hidden="1" x14ac:dyDescent="0.3">
      <c r="B315" s="76" t="s">
        <v>619</v>
      </c>
      <c r="C315" s="76" t="s">
        <v>620</v>
      </c>
      <c r="E315" s="120"/>
      <c r="F315" s="120"/>
      <c r="G315" s="77"/>
      <c r="I315" s="76" t="str">
        <f t="shared" si="8"/>
        <v>EN.0331</v>
      </c>
      <c r="J315" s="121" t="str">
        <f>+IF(B315=TG[[#This Row],[ITEM]],"ok","mal")</f>
        <v>ok</v>
      </c>
      <c r="K315" s="79">
        <f t="shared" si="9"/>
        <v>0</v>
      </c>
      <c r="L315" s="80">
        <f>IF(VLOOKUP(B315,TbPiezas[],5,0)="NA",0,VLOOKUP(B315,TbPiezas[],5,0))</f>
        <v>1.8</v>
      </c>
      <c r="M315" s="81">
        <f>TG[[#This Row],[TOTAL]]*TG[[#This Row],[P.U. (1)]]</f>
        <v>0</v>
      </c>
      <c r="N315" s="82">
        <f>+VLOOKUP(B315,TbPiezas[],6,0)</f>
        <v>95.29</v>
      </c>
      <c r="O315" s="83">
        <f>TG[[#This Row],[TOTAL]]*TG[[#This Row],[P.U. (2)]]</f>
        <v>0</v>
      </c>
      <c r="P315" s="82">
        <f>+VLOOKUP(B315,TbPiezas[],7,0)</f>
        <v>4.7645000000000008</v>
      </c>
      <c r="Q315" s="170">
        <f>ROUND(TG[[#This Row],[TOTAL]]*TG[[#This Row],[P.U. (3)]],2)</f>
        <v>0</v>
      </c>
      <c r="R315" s="326"/>
    </row>
    <row r="316" spans="2:18" hidden="1" x14ac:dyDescent="0.3">
      <c r="B316" s="76" t="s">
        <v>621</v>
      </c>
      <c r="C316" s="76" t="s">
        <v>622</v>
      </c>
      <c r="E316" s="120"/>
      <c r="F316" s="120"/>
      <c r="G316" s="74"/>
      <c r="I316" s="76" t="str">
        <f t="shared" si="8"/>
        <v>EN.0400</v>
      </c>
      <c r="J316" s="121" t="str">
        <f>+IF(B316=TG[[#This Row],[ITEM]],"ok","mal")</f>
        <v>ok</v>
      </c>
      <c r="K316" s="79">
        <f t="shared" si="9"/>
        <v>0</v>
      </c>
      <c r="L316" s="80">
        <f>IF(VLOOKUP(B316,TbPiezas[],5,0)="NA",0,VLOOKUP(B316,TbPiezas[],5,0))</f>
        <v>2</v>
      </c>
      <c r="M316" s="81">
        <f>TG[[#This Row],[TOTAL]]*TG[[#This Row],[P.U. (1)]]</f>
        <v>0</v>
      </c>
      <c r="N316" s="82">
        <f>+VLOOKUP(B316,TbPiezas[],6,0)</f>
        <v>85.68</v>
      </c>
      <c r="O316" s="83">
        <f>TG[[#This Row],[TOTAL]]*TG[[#This Row],[P.U. (2)]]</f>
        <v>0</v>
      </c>
      <c r="P316" s="82">
        <f>+VLOOKUP(B316,TbPiezas[],7,0)</f>
        <v>4.2840000000000007</v>
      </c>
      <c r="Q316" s="170">
        <f>ROUND(TG[[#This Row],[TOTAL]]*TG[[#This Row],[P.U. (3)]],2)</f>
        <v>0</v>
      </c>
      <c r="R316" s="326"/>
    </row>
    <row r="317" spans="2:18" hidden="1" x14ac:dyDescent="0.3">
      <c r="B317" s="76" t="s">
        <v>623</v>
      </c>
      <c r="C317" s="76" t="s">
        <v>624</v>
      </c>
      <c r="E317" s="120"/>
      <c r="F317" s="120"/>
      <c r="G317" s="74"/>
      <c r="I317" s="76" t="str">
        <f t="shared" si="8"/>
        <v>EN.0500</v>
      </c>
      <c r="J317" s="121" t="str">
        <f>+IF(B317=TG[[#This Row],[ITEM]],"ok","mal")</f>
        <v>ok</v>
      </c>
      <c r="K317" s="79">
        <f t="shared" si="9"/>
        <v>0</v>
      </c>
      <c r="L317" s="80">
        <f>IF(VLOOKUP(B317,TbPiezas[],5,0)="NA",0,VLOOKUP(B317,TbPiezas[],5,0))</f>
        <v>0.79999999999999716</v>
      </c>
      <c r="M317" s="81">
        <f>TG[[#This Row],[TOTAL]]*TG[[#This Row],[P.U. (1)]]</f>
        <v>0</v>
      </c>
      <c r="N317" s="82">
        <f>+VLOOKUP(B317,TbPiezas[],6,0)</f>
        <v>63.53</v>
      </c>
      <c r="O317" s="83">
        <f>TG[[#This Row],[TOTAL]]*TG[[#This Row],[P.U. (2)]]</f>
        <v>0</v>
      </c>
      <c r="P317" s="82">
        <f>+VLOOKUP(B317,TbPiezas[],7,0)</f>
        <v>3.1765000000000003</v>
      </c>
      <c r="Q317" s="170">
        <f>ROUND(TG[[#This Row],[TOTAL]]*TG[[#This Row],[P.U. (3)]],2)</f>
        <v>0</v>
      </c>
      <c r="R317" s="326"/>
    </row>
    <row r="318" spans="2:18" hidden="1" x14ac:dyDescent="0.3">
      <c r="B318" s="76" t="s">
        <v>625</v>
      </c>
      <c r="C318" s="76" t="s">
        <v>626</v>
      </c>
      <c r="E318" s="120"/>
      <c r="F318" s="120"/>
      <c r="G318" s="74"/>
      <c r="I318" s="76" t="str">
        <f t="shared" si="8"/>
        <v>EN.0550</v>
      </c>
      <c r="J318" s="121" t="str">
        <f>+IF(B318=TG[[#This Row],[ITEM]],"ok","mal")</f>
        <v>ok</v>
      </c>
      <c r="K318" s="79">
        <f t="shared" si="9"/>
        <v>0</v>
      </c>
      <c r="L318" s="80">
        <f>IF(VLOOKUP(B318,TbPiezas[],5,0)="NA",0,VLOOKUP(B318,TbPiezas[],5,0))</f>
        <v>5.5</v>
      </c>
      <c r="M318" s="81">
        <f>TG[[#This Row],[TOTAL]]*TG[[#This Row],[P.U. (1)]]</f>
        <v>0</v>
      </c>
      <c r="N318" s="82">
        <f>+VLOOKUP(B318,TbPiezas[],6,0)</f>
        <v>185</v>
      </c>
      <c r="O318" s="83">
        <f>TG[[#This Row],[TOTAL]]*TG[[#This Row],[P.U. (2)]]</f>
        <v>0</v>
      </c>
      <c r="P318" s="82">
        <f>+VLOOKUP(B318,TbPiezas[],7,0)</f>
        <v>9.25</v>
      </c>
      <c r="Q318" s="170">
        <f>ROUND(TG[[#This Row],[TOTAL]]*TG[[#This Row],[P.U. (3)]],2)</f>
        <v>0</v>
      </c>
      <c r="R318" s="326"/>
    </row>
    <row r="319" spans="2:18" hidden="1" x14ac:dyDescent="0.3">
      <c r="B319" s="76" t="s">
        <v>627</v>
      </c>
      <c r="C319" s="76" t="s">
        <v>628</v>
      </c>
      <c r="E319" s="120"/>
      <c r="F319" s="120"/>
      <c r="G319" s="74"/>
      <c r="I319" s="76" t="str">
        <f t="shared" si="8"/>
        <v>EN.0600</v>
      </c>
      <c r="J319" s="121" t="str">
        <f>+IF(B319=TG[[#This Row],[ITEM]],"ok","mal")</f>
        <v>ok</v>
      </c>
      <c r="K319" s="79">
        <f t="shared" si="9"/>
        <v>0</v>
      </c>
      <c r="L319" s="80">
        <f>IF(VLOOKUP(B319,TbPiezas[],5,0)="NA",0,VLOOKUP(B319,TbPiezas[],5,0))</f>
        <v>17.399999999999991</v>
      </c>
      <c r="M319" s="81">
        <f>TG[[#This Row],[TOTAL]]*TG[[#This Row],[P.U. (1)]]</f>
        <v>0</v>
      </c>
      <c r="N319" s="82">
        <f>+VLOOKUP(B319,TbPiezas[],6,0)</f>
        <v>247.38</v>
      </c>
      <c r="O319" s="83">
        <f>TG[[#This Row],[TOTAL]]*TG[[#This Row],[P.U. (2)]]</f>
        <v>0</v>
      </c>
      <c r="P319" s="82">
        <f>+VLOOKUP(B319,TbPiezas[],7,0)</f>
        <v>12.369</v>
      </c>
      <c r="Q319" s="170">
        <f>ROUND(TG[[#This Row],[TOTAL]]*TG[[#This Row],[P.U. (3)]],2)</f>
        <v>0</v>
      </c>
      <c r="R319" s="326"/>
    </row>
    <row r="320" spans="2:18" hidden="1" x14ac:dyDescent="0.3">
      <c r="B320" s="76" t="s">
        <v>629</v>
      </c>
      <c r="C320" s="76" t="s">
        <v>630</v>
      </c>
      <c r="E320" s="120"/>
      <c r="F320" s="120"/>
      <c r="G320" s="74"/>
      <c r="I320" s="76" t="str">
        <f t="shared" si="8"/>
        <v>EN.0650</v>
      </c>
      <c r="J320" s="121" t="str">
        <f>+IF(B320=TG[[#This Row],[ITEM]],"ok","mal")</f>
        <v>ok</v>
      </c>
      <c r="K320" s="79">
        <f t="shared" si="9"/>
        <v>0</v>
      </c>
      <c r="L320" s="80">
        <f>IF(VLOOKUP(B320,TbPiezas[],5,0)="NA",0,VLOOKUP(B320,TbPiezas[],5,0))</f>
        <v>11.6</v>
      </c>
      <c r="M320" s="81">
        <f>TG[[#This Row],[TOTAL]]*TG[[#This Row],[P.U. (1)]]</f>
        <v>0</v>
      </c>
      <c r="N320" s="82">
        <f>+VLOOKUP(B320,TbPiezas[],6,0)</f>
        <v>164.91</v>
      </c>
      <c r="O320" s="83">
        <f>TG[[#This Row],[TOTAL]]*TG[[#This Row],[P.U. (2)]]</f>
        <v>0</v>
      </c>
      <c r="P320" s="82">
        <f>+VLOOKUP(B320,TbPiezas[],7,0)</f>
        <v>8.2454999999999998</v>
      </c>
      <c r="Q320" s="170">
        <f>ROUND(TG[[#This Row],[TOTAL]]*TG[[#This Row],[P.U. (3)]],2)</f>
        <v>0</v>
      </c>
      <c r="R320" s="326"/>
    </row>
    <row r="321" spans="2:18" hidden="1" x14ac:dyDescent="0.3">
      <c r="B321" s="76" t="s">
        <v>631</v>
      </c>
      <c r="C321" s="76" t="s">
        <v>632</v>
      </c>
      <c r="E321" s="120"/>
      <c r="F321" s="120"/>
      <c r="G321" s="74"/>
      <c r="I321" s="76" t="str">
        <f t="shared" si="8"/>
        <v>EN.0700</v>
      </c>
      <c r="J321" s="121" t="str">
        <f>+IF(B321=TG[[#This Row],[ITEM]],"ok","mal")</f>
        <v>ok</v>
      </c>
      <c r="K321" s="79">
        <f t="shared" si="9"/>
        <v>0</v>
      </c>
      <c r="L321" s="80">
        <f>IF(VLOOKUP(B321,TbPiezas[],5,0)="NA",0,VLOOKUP(B321,TbPiezas[],5,0))</f>
        <v>6.9</v>
      </c>
      <c r="M321" s="81">
        <f>TG[[#This Row],[TOTAL]]*TG[[#This Row],[P.U. (1)]]</f>
        <v>0</v>
      </c>
      <c r="N321" s="82">
        <f>+VLOOKUP(B321,TbPiezas[],6,0)</f>
        <v>127.05</v>
      </c>
      <c r="O321" s="83">
        <f>TG[[#This Row],[TOTAL]]*TG[[#This Row],[P.U. (2)]]</f>
        <v>0</v>
      </c>
      <c r="P321" s="82">
        <f>+VLOOKUP(B321,TbPiezas[],7,0)</f>
        <v>6.3525</v>
      </c>
      <c r="Q321" s="170">
        <f>ROUND(TG[[#This Row],[TOTAL]]*TG[[#This Row],[P.U. (3)]],2)</f>
        <v>0</v>
      </c>
      <c r="R321" s="326"/>
    </row>
    <row r="322" spans="2:18" hidden="1" x14ac:dyDescent="0.3">
      <c r="B322" s="76" t="s">
        <v>633</v>
      </c>
      <c r="C322" s="76" t="s">
        <v>634</v>
      </c>
      <c r="E322" s="120"/>
      <c r="F322" s="120"/>
      <c r="G322" s="74"/>
      <c r="I322" s="76" t="str">
        <f t="shared" si="8"/>
        <v>EN.0800</v>
      </c>
      <c r="J322" s="121" t="str">
        <f>+IF(B322=TG[[#This Row],[ITEM]],"ok","mal")</f>
        <v>ok</v>
      </c>
      <c r="K322" s="79">
        <f t="shared" si="9"/>
        <v>0</v>
      </c>
      <c r="L322" s="80">
        <f>IF(VLOOKUP(B322,TbPiezas[],5,0)="NA",0,VLOOKUP(B322,TbPiezas[],5,0))</f>
        <v>127.5</v>
      </c>
      <c r="M322" s="81">
        <f>TG[[#This Row],[TOTAL]]*TG[[#This Row],[P.U. (1)]]</f>
        <v>0</v>
      </c>
      <c r="N322" s="82">
        <f>+VLOOKUP(B322,TbPiezas[],6,0)</f>
        <v>1905.75</v>
      </c>
      <c r="O322" s="83">
        <f>TG[[#This Row],[TOTAL]]*TG[[#This Row],[P.U. (2)]]</f>
        <v>0</v>
      </c>
      <c r="P322" s="82">
        <f>+VLOOKUP(B322,TbPiezas[],7,0)</f>
        <v>95.287500000000009</v>
      </c>
      <c r="Q322" s="170">
        <f>ROUND(TG[[#This Row],[TOTAL]]*TG[[#This Row],[P.U. (3)]],2)</f>
        <v>0</v>
      </c>
      <c r="R322" s="326"/>
    </row>
    <row r="323" spans="2:18" hidden="1" x14ac:dyDescent="0.3">
      <c r="B323" s="76" t="s">
        <v>635</v>
      </c>
      <c r="C323" s="76" t="s">
        <v>636</v>
      </c>
      <c r="E323" s="120"/>
      <c r="F323" s="120"/>
      <c r="G323" s="74"/>
      <c r="I323" s="76" t="str">
        <f t="shared" si="8"/>
        <v>EN.0900</v>
      </c>
      <c r="J323" s="121" t="str">
        <f>+IF(B323=TG[[#This Row],[ITEM]],"ok","mal")</f>
        <v>ok</v>
      </c>
      <c r="K323" s="79">
        <f t="shared" si="9"/>
        <v>0</v>
      </c>
      <c r="L323" s="80">
        <f>IF(VLOOKUP(B323,TbPiezas[],5,0)="NA",0,VLOOKUP(B323,TbPiezas[],5,0))</f>
        <v>153</v>
      </c>
      <c r="M323" s="81">
        <f>TG[[#This Row],[TOTAL]]*TG[[#This Row],[P.U. (1)]]</f>
        <v>0</v>
      </c>
      <c r="N323" s="82">
        <f>+VLOOKUP(B323,TbPiezas[],6,0)</f>
        <v>2286.9</v>
      </c>
      <c r="O323" s="83">
        <f>TG[[#This Row],[TOTAL]]*TG[[#This Row],[P.U. (2)]]</f>
        <v>0</v>
      </c>
      <c r="P323" s="82">
        <f>+VLOOKUP(B323,TbPiezas[],7,0)</f>
        <v>114.34500000000001</v>
      </c>
      <c r="Q323" s="170">
        <f>ROUND(TG[[#This Row],[TOTAL]]*TG[[#This Row],[P.U. (3)]],2)</f>
        <v>0</v>
      </c>
      <c r="R323" s="326"/>
    </row>
    <row r="324" spans="2:18" hidden="1" x14ac:dyDescent="0.3">
      <c r="B324" s="76" t="s">
        <v>637</v>
      </c>
      <c r="C324" s="76" t="s">
        <v>638</v>
      </c>
      <c r="E324" s="120"/>
      <c r="F324" s="120"/>
      <c r="G324" s="74"/>
      <c r="I324" s="76" t="str">
        <f t="shared" si="8"/>
        <v>EN.1000</v>
      </c>
      <c r="J324" s="121" t="str">
        <f>+IF(B324=TG[[#This Row],[ITEM]],"ok","mal")</f>
        <v>ok</v>
      </c>
      <c r="K324" s="79">
        <f t="shared" si="9"/>
        <v>0</v>
      </c>
      <c r="L324" s="80">
        <f>IF(VLOOKUP(B324,TbPiezas[],5,0)="NA",0,VLOOKUP(B324,TbPiezas[],5,0))</f>
        <v>204</v>
      </c>
      <c r="M324" s="81">
        <f>TG[[#This Row],[TOTAL]]*TG[[#This Row],[P.U. (1)]]</f>
        <v>0</v>
      </c>
      <c r="N324" s="82">
        <f>+VLOOKUP(B324,TbPiezas[],6,0)</f>
        <v>3049.2</v>
      </c>
      <c r="O324" s="83">
        <f>TG[[#This Row],[TOTAL]]*TG[[#This Row],[P.U. (2)]]</f>
        <v>0</v>
      </c>
      <c r="P324" s="82">
        <f>+VLOOKUP(B324,TbPiezas[],7,0)</f>
        <v>152.46</v>
      </c>
      <c r="Q324" s="170">
        <f>ROUND(TG[[#This Row],[TOTAL]]*TG[[#This Row],[P.U. (3)]],2)</f>
        <v>0</v>
      </c>
      <c r="R324" s="326"/>
    </row>
    <row r="325" spans="2:18" hidden="1" x14ac:dyDescent="0.3">
      <c r="B325" s="76" t="s">
        <v>639</v>
      </c>
      <c r="C325" s="76" t="s">
        <v>640</v>
      </c>
      <c r="E325" s="120"/>
      <c r="F325" s="120"/>
      <c r="G325" s="74"/>
      <c r="I325" s="76" t="str">
        <f t="shared" si="8"/>
        <v>EN.1100</v>
      </c>
      <c r="J325" s="121" t="str">
        <f>+IF(B325=TG[[#This Row],[ITEM]],"ok","mal")</f>
        <v>ok</v>
      </c>
      <c r="K325" s="79">
        <f t="shared" si="9"/>
        <v>0</v>
      </c>
      <c r="L325" s="80">
        <f>IF(VLOOKUP(B325,TbPiezas[],5,0)="NA",0,VLOOKUP(B325,TbPiezas[],5,0))</f>
        <v>48.45</v>
      </c>
      <c r="M325" s="81">
        <f>TG[[#This Row],[TOTAL]]*TG[[#This Row],[P.U. (1)]]</f>
        <v>0</v>
      </c>
      <c r="N325" s="82">
        <f>+VLOOKUP(B325,TbPiezas[],6,0)</f>
        <v>3811.5</v>
      </c>
      <c r="O325" s="83">
        <f>TG[[#This Row],[TOTAL]]*TG[[#This Row],[P.U. (2)]]</f>
        <v>0</v>
      </c>
      <c r="P325" s="82">
        <f>+VLOOKUP(B325,TbPiezas[],7,0)</f>
        <v>190.57500000000002</v>
      </c>
      <c r="Q325" s="170">
        <f>ROUND(TG[[#This Row],[TOTAL]]*TG[[#This Row],[P.U. (3)]],2)</f>
        <v>0</v>
      </c>
      <c r="R325" s="326"/>
    </row>
    <row r="326" spans="2:18" hidden="1" x14ac:dyDescent="0.3">
      <c r="B326" s="76" t="s">
        <v>641</v>
      </c>
      <c r="C326" s="76" t="s">
        <v>642</v>
      </c>
      <c r="E326" s="120"/>
      <c r="F326" s="120"/>
      <c r="G326" s="74"/>
      <c r="I326" s="76" t="str">
        <f t="shared" ref="I326:I389" si="10">+B326</f>
        <v>EN.1200</v>
      </c>
      <c r="J326" s="121" t="str">
        <f>+IF(B326=TG[[#This Row],[ITEM]],"ok","mal")</f>
        <v>ok</v>
      </c>
      <c r="K326" s="79">
        <f t="shared" si="9"/>
        <v>0</v>
      </c>
      <c r="L326" s="80">
        <f>IF(VLOOKUP(B326,TbPiezas[],5,0)="NA",0,VLOOKUP(B326,TbPiezas[],5,0))</f>
        <v>9.5</v>
      </c>
      <c r="M326" s="81">
        <f>TG[[#This Row],[TOTAL]]*TG[[#This Row],[P.U. (1)]]</f>
        <v>0</v>
      </c>
      <c r="N326" s="82">
        <f>+VLOOKUP(B326,TbPiezas[],6,0)</f>
        <v>1905.75</v>
      </c>
      <c r="O326" s="83">
        <f>TG[[#This Row],[TOTAL]]*TG[[#This Row],[P.U. (2)]]</f>
        <v>0</v>
      </c>
      <c r="P326" s="82">
        <f>+VLOOKUP(B326,TbPiezas[],7,0)</f>
        <v>95.287500000000009</v>
      </c>
      <c r="Q326" s="170">
        <f>ROUND(TG[[#This Row],[TOTAL]]*TG[[#This Row],[P.U. (3)]],2)</f>
        <v>0</v>
      </c>
      <c r="R326" s="326"/>
    </row>
    <row r="327" spans="2:18" hidden="1" x14ac:dyDescent="0.3">
      <c r="B327" s="76" t="s">
        <v>643</v>
      </c>
      <c r="C327" s="76" t="s">
        <v>644</v>
      </c>
      <c r="E327" s="120"/>
      <c r="F327" s="120"/>
      <c r="G327" s="74"/>
      <c r="I327" s="76" t="str">
        <f t="shared" si="10"/>
        <v>EN.1300</v>
      </c>
      <c r="J327" s="121" t="str">
        <f>+IF(B327=TG[[#This Row],[ITEM]],"ok","mal")</f>
        <v>ok</v>
      </c>
      <c r="K327" s="79">
        <f t="shared" ref="K327:K394" si="11">SUM(D327:H327)</f>
        <v>0</v>
      </c>
      <c r="L327" s="80">
        <f>IF(VLOOKUP(B327,TbPiezas[],5,0)="NA",0,VLOOKUP(B327,TbPiezas[],5,0))</f>
        <v>0.5</v>
      </c>
      <c r="M327" s="81">
        <f>TG[[#This Row],[TOTAL]]*TG[[#This Row],[P.U. (1)]]</f>
        <v>0</v>
      </c>
      <c r="N327" s="82">
        <f>+VLOOKUP(B327,TbPiezas[],6,0)</f>
        <v>27.42</v>
      </c>
      <c r="O327" s="83">
        <f>TG[[#This Row],[TOTAL]]*TG[[#This Row],[P.U. (2)]]</f>
        <v>0</v>
      </c>
      <c r="P327" s="82">
        <f>+VLOOKUP(B327,TbPiezas[],7,0)</f>
        <v>1.3710000000000002</v>
      </c>
      <c r="Q327" s="170">
        <f>ROUND(TG[[#This Row],[TOTAL]]*TG[[#This Row],[P.U. (3)]],2)</f>
        <v>0</v>
      </c>
      <c r="R327" s="326"/>
    </row>
    <row r="328" spans="2:18" hidden="1" x14ac:dyDescent="0.3">
      <c r="B328" s="76" t="s">
        <v>645</v>
      </c>
      <c r="C328" s="76" t="s">
        <v>646</v>
      </c>
      <c r="E328" s="120"/>
      <c r="F328" s="120"/>
      <c r="G328" s="74"/>
      <c r="I328" s="76" t="str">
        <f t="shared" si="10"/>
        <v>EN.1350</v>
      </c>
      <c r="J328" s="121" t="str">
        <f>+IF(B328=TG[[#This Row],[ITEM]],"ok","mal")</f>
        <v>ok</v>
      </c>
      <c r="K328" s="79">
        <f t="shared" si="11"/>
        <v>0</v>
      </c>
      <c r="L328" s="80">
        <f>IF(VLOOKUP(B328,TbPiezas[],5,0)="NA",0,VLOOKUP(B328,TbPiezas[],5,0))</f>
        <v>0.4</v>
      </c>
      <c r="M328" s="81">
        <f>TG[[#This Row],[TOTAL]]*TG[[#This Row],[P.U. (1)]]</f>
        <v>0</v>
      </c>
      <c r="N328" s="82">
        <f>+VLOOKUP(B328,TbPiezas[],6,0)</f>
        <v>34.270000000000003</v>
      </c>
      <c r="O328" s="83">
        <f>TG[[#This Row],[TOTAL]]*TG[[#This Row],[P.U. (2)]]</f>
        <v>0</v>
      </c>
      <c r="P328" s="82">
        <f>+VLOOKUP(B328,TbPiezas[],7,0)</f>
        <v>1.7135000000000002</v>
      </c>
      <c r="Q328" s="170">
        <f>ROUND(TG[[#This Row],[TOTAL]]*TG[[#This Row],[P.U. (3)]],2)</f>
        <v>0</v>
      </c>
      <c r="R328" s="326"/>
    </row>
    <row r="329" spans="2:18" hidden="1" x14ac:dyDescent="0.3">
      <c r="B329" s="76" t="s">
        <v>647</v>
      </c>
      <c r="C329" s="76" t="s">
        <v>648</v>
      </c>
      <c r="E329" s="120"/>
      <c r="F329" s="120"/>
      <c r="G329" s="74"/>
      <c r="I329" s="76" t="str">
        <f t="shared" si="10"/>
        <v>EN.1360</v>
      </c>
      <c r="J329" s="121" t="str">
        <f>+IF(B329=TG[[#This Row],[ITEM]],"ok","mal")</f>
        <v>ok</v>
      </c>
      <c r="K329" s="79">
        <f t="shared" si="11"/>
        <v>0</v>
      </c>
      <c r="L329" s="80">
        <f>IF(VLOOKUP(B329,TbPiezas[],5,0)="NA",0,VLOOKUP(B329,TbPiezas[],5,0))</f>
        <v>0.5</v>
      </c>
      <c r="M329" s="81">
        <f>TG[[#This Row],[TOTAL]]*TG[[#This Row],[P.U. (1)]]</f>
        <v>0</v>
      </c>
      <c r="N329" s="82">
        <f>+VLOOKUP(B329,TbPiezas[],6,0)</f>
        <v>41.13</v>
      </c>
      <c r="O329" s="83">
        <f>TG[[#This Row],[TOTAL]]*TG[[#This Row],[P.U. (2)]]</f>
        <v>0</v>
      </c>
      <c r="P329" s="82">
        <f>+VLOOKUP(B329,TbPiezas[],7,0)</f>
        <v>2.0565000000000002</v>
      </c>
      <c r="Q329" s="170">
        <f>ROUND(TG[[#This Row],[TOTAL]]*TG[[#This Row],[P.U. (3)]],2)</f>
        <v>0</v>
      </c>
      <c r="R329" s="326"/>
    </row>
    <row r="330" spans="2:18" hidden="1" x14ac:dyDescent="0.3">
      <c r="B330" s="76" t="s">
        <v>649</v>
      </c>
      <c r="C330" s="76" t="s">
        <v>650</v>
      </c>
      <c r="E330" s="120"/>
      <c r="F330" s="120"/>
      <c r="G330" s="74"/>
      <c r="I330" s="76" t="str">
        <f t="shared" si="10"/>
        <v>EN.1400</v>
      </c>
      <c r="J330" s="121" t="str">
        <f>+IF(B330=TG[[#This Row],[ITEM]],"ok","mal")</f>
        <v>ok</v>
      </c>
      <c r="K330" s="79">
        <f t="shared" si="11"/>
        <v>0</v>
      </c>
      <c r="L330" s="80">
        <f>IF(VLOOKUP(B330,TbPiezas[],5,0)="NA",0,VLOOKUP(B330,TbPiezas[],5,0))</f>
        <v>0.5</v>
      </c>
      <c r="M330" s="81">
        <f>TG[[#This Row],[TOTAL]]*TG[[#This Row],[P.U. (1)]]</f>
        <v>0</v>
      </c>
      <c r="N330" s="82">
        <f>+VLOOKUP(B330,TbPiezas[],6,0)</f>
        <v>31.76</v>
      </c>
      <c r="O330" s="83">
        <f>TG[[#This Row],[TOTAL]]*TG[[#This Row],[P.U. (2)]]</f>
        <v>0</v>
      </c>
      <c r="P330" s="82">
        <f>+VLOOKUP(B330,TbPiezas[],7,0)</f>
        <v>1.5880000000000001</v>
      </c>
      <c r="Q330" s="170">
        <f>ROUND(TG[[#This Row],[TOTAL]]*TG[[#This Row],[P.U. (3)]],2)</f>
        <v>0</v>
      </c>
      <c r="R330" s="326"/>
    </row>
    <row r="331" spans="2:18" hidden="1" x14ac:dyDescent="0.3">
      <c r="B331" s="76" t="s">
        <v>651</v>
      </c>
      <c r="C331" s="76" t="s">
        <v>652</v>
      </c>
      <c r="E331" s="120"/>
      <c r="F331" s="120"/>
      <c r="G331" s="74"/>
      <c r="I331" s="76" t="str">
        <f t="shared" si="10"/>
        <v>EN.1500</v>
      </c>
      <c r="J331" s="121" t="str">
        <f>+IF(B331=TG[[#This Row],[ITEM]],"ok","mal")</f>
        <v>ok</v>
      </c>
      <c r="K331" s="79">
        <f t="shared" si="11"/>
        <v>0</v>
      </c>
      <c r="L331" s="80">
        <f>IF(VLOOKUP(B331,TbPiezas[],5,0)="NA",0,VLOOKUP(B331,TbPiezas[],5,0))</f>
        <v>4.5999999999999996</v>
      </c>
      <c r="M331" s="81">
        <f>TG[[#This Row],[TOTAL]]*TG[[#This Row],[P.U. (1)]]</f>
        <v>0</v>
      </c>
      <c r="N331" s="82">
        <f>+VLOOKUP(B331,TbPiezas[],6,0)</f>
        <v>317.63</v>
      </c>
      <c r="O331" s="83">
        <f>TG[[#This Row],[TOTAL]]*TG[[#This Row],[P.U. (2)]]</f>
        <v>0</v>
      </c>
      <c r="P331" s="82">
        <f>+VLOOKUP(B331,TbPiezas[],7,0)</f>
        <v>15.881500000000001</v>
      </c>
      <c r="Q331" s="170">
        <f>ROUND(TG[[#This Row],[TOTAL]]*TG[[#This Row],[P.U. (3)]],2)</f>
        <v>0</v>
      </c>
      <c r="R331" s="326"/>
    </row>
    <row r="332" spans="2:18" hidden="1" x14ac:dyDescent="0.3">
      <c r="B332" s="76" t="s">
        <v>653</v>
      </c>
      <c r="C332" s="76" t="s">
        <v>654</v>
      </c>
      <c r="E332" s="120"/>
      <c r="F332" s="120"/>
      <c r="G332" s="74"/>
      <c r="I332" s="76" t="str">
        <f t="shared" si="10"/>
        <v>EN.1600</v>
      </c>
      <c r="J332" s="121" t="str">
        <f>+IF(B332=TG[[#This Row],[ITEM]],"ok","mal")</f>
        <v>ok</v>
      </c>
      <c r="K332" s="79">
        <f t="shared" si="11"/>
        <v>0</v>
      </c>
      <c r="L332" s="80">
        <f>IF(VLOOKUP(B332,TbPiezas[],5,0)="NA",0,VLOOKUP(B332,TbPiezas[],5,0))</f>
        <v>11.299999999999997</v>
      </c>
      <c r="M332" s="81">
        <f>TG[[#This Row],[TOTAL]]*TG[[#This Row],[P.U. (1)]]</f>
        <v>0</v>
      </c>
      <c r="N332" s="82">
        <f>+VLOOKUP(B332,TbPiezas[],6,0)</f>
        <v>317.63</v>
      </c>
      <c r="O332" s="83">
        <f>TG[[#This Row],[TOTAL]]*TG[[#This Row],[P.U. (2)]]</f>
        <v>0</v>
      </c>
      <c r="P332" s="82">
        <f>+VLOOKUP(B332,TbPiezas[],7,0)</f>
        <v>15.881500000000001</v>
      </c>
      <c r="Q332" s="170">
        <f>ROUND(TG[[#This Row],[TOTAL]]*TG[[#This Row],[P.U. (3)]],2)</f>
        <v>0</v>
      </c>
      <c r="R332" s="326"/>
    </row>
    <row r="333" spans="2:18" hidden="1" x14ac:dyDescent="0.3">
      <c r="B333" s="76" t="s">
        <v>655</v>
      </c>
      <c r="C333" s="76" t="s">
        <v>656</v>
      </c>
      <c r="E333" s="120"/>
      <c r="F333" s="120"/>
      <c r="G333" s="74"/>
      <c r="I333" s="76" t="str">
        <f t="shared" si="10"/>
        <v>EN.1700</v>
      </c>
      <c r="J333" s="121" t="str">
        <f>+IF(B333=TG[[#This Row],[ITEM]],"ok","mal")</f>
        <v>ok</v>
      </c>
      <c r="K333" s="79">
        <f t="shared" si="11"/>
        <v>0</v>
      </c>
      <c r="L333" s="80">
        <f>IF(VLOOKUP(B333,TbPiezas[],5,0)="NA",0,VLOOKUP(B333,TbPiezas[],5,0))</f>
        <v>0</v>
      </c>
      <c r="M333" s="81">
        <f>TG[[#This Row],[TOTAL]]*TG[[#This Row],[P.U. (1)]]</f>
        <v>0</v>
      </c>
      <c r="N333" s="82">
        <f>+VLOOKUP(B333,TbPiezas[],6,0)</f>
        <v>444.68</v>
      </c>
      <c r="O333" s="83">
        <f>TG[[#This Row],[TOTAL]]*TG[[#This Row],[P.U. (2)]]</f>
        <v>0</v>
      </c>
      <c r="P333" s="82">
        <f>+VLOOKUP(B333,TbPiezas[],7,0)</f>
        <v>22.234000000000002</v>
      </c>
      <c r="Q333" s="170">
        <f>ROUND(TG[[#This Row],[TOTAL]]*TG[[#This Row],[P.U. (3)]],2)</f>
        <v>0</v>
      </c>
      <c r="R333" s="326"/>
    </row>
    <row r="334" spans="2:18" hidden="1" x14ac:dyDescent="0.3">
      <c r="B334" s="76" t="s">
        <v>658</v>
      </c>
      <c r="C334" s="76" t="s">
        <v>659</v>
      </c>
      <c r="E334" s="120"/>
      <c r="F334" s="120"/>
      <c r="G334" s="74"/>
      <c r="I334" s="76" t="str">
        <f t="shared" si="10"/>
        <v>EN.1800</v>
      </c>
      <c r="J334" s="121" t="str">
        <f>+IF(B334=TG[[#This Row],[ITEM]],"ok","mal")</f>
        <v>ok</v>
      </c>
      <c r="K334" s="79">
        <f t="shared" si="11"/>
        <v>0</v>
      </c>
      <c r="L334" s="80">
        <f>IF(VLOOKUP(B334,TbPiezas[],5,0)="NA",0,VLOOKUP(B334,TbPiezas[],5,0))</f>
        <v>0</v>
      </c>
      <c r="M334" s="81">
        <f>TG[[#This Row],[TOTAL]]*TG[[#This Row],[P.U. (1)]]</f>
        <v>0</v>
      </c>
      <c r="N334" s="82">
        <f>+VLOOKUP(B334,TbPiezas[],6,0)</f>
        <v>63.53</v>
      </c>
      <c r="O334" s="83">
        <f>TG[[#This Row],[TOTAL]]*TG[[#This Row],[P.U. (2)]]</f>
        <v>0</v>
      </c>
      <c r="P334" s="82">
        <f>+VLOOKUP(B334,TbPiezas[],7,0)</f>
        <v>3.1765000000000003</v>
      </c>
      <c r="Q334" s="170">
        <f>ROUND(TG[[#This Row],[TOTAL]]*TG[[#This Row],[P.U. (3)]],2)</f>
        <v>0</v>
      </c>
      <c r="R334" s="326"/>
    </row>
    <row r="335" spans="2:18" hidden="1" x14ac:dyDescent="0.3">
      <c r="B335" s="76" t="s">
        <v>660</v>
      </c>
      <c r="C335" s="76" t="s">
        <v>661</v>
      </c>
      <c r="E335" s="120"/>
      <c r="F335" s="120"/>
      <c r="G335" s="74"/>
      <c r="I335" s="76" t="str">
        <f t="shared" si="10"/>
        <v>EN.1900</v>
      </c>
      <c r="J335" s="121" t="str">
        <f>+IF(B335=TG[[#This Row],[ITEM]],"ok","mal")</f>
        <v>ok</v>
      </c>
      <c r="K335" s="79">
        <f t="shared" si="11"/>
        <v>0</v>
      </c>
      <c r="L335" s="80">
        <f>IF(VLOOKUP(B335,TbPiezas[],5,0)="NA",0,VLOOKUP(B335,TbPiezas[],5,0))</f>
        <v>0</v>
      </c>
      <c r="M335" s="81">
        <f>TG[[#This Row],[TOTAL]]*TG[[#This Row],[P.U. (1)]]</f>
        <v>0</v>
      </c>
      <c r="N335" s="82">
        <f>+VLOOKUP(B335,TbPiezas[],6,0)</f>
        <v>63.53</v>
      </c>
      <c r="O335" s="83">
        <f>TG[[#This Row],[TOTAL]]*TG[[#This Row],[P.U. (2)]]</f>
        <v>0</v>
      </c>
      <c r="P335" s="82">
        <f>+VLOOKUP(B335,TbPiezas[],7,0)</f>
        <v>3.1765000000000003</v>
      </c>
      <c r="Q335" s="170">
        <f>ROUND(TG[[#This Row],[TOTAL]]*TG[[#This Row],[P.U. (3)]],2)</f>
        <v>0</v>
      </c>
      <c r="R335" s="326"/>
    </row>
    <row r="336" spans="2:18" hidden="1" x14ac:dyDescent="0.3">
      <c r="B336" s="76" t="s">
        <v>662</v>
      </c>
      <c r="C336" s="76" t="s">
        <v>663</v>
      </c>
      <c r="E336" s="120"/>
      <c r="F336" s="120"/>
      <c r="G336" s="74"/>
      <c r="I336" s="76" t="str">
        <f t="shared" si="10"/>
        <v>EN.2000</v>
      </c>
      <c r="J336" s="121" t="str">
        <f>+IF(B336=TG[[#This Row],[ITEM]],"ok","mal")</f>
        <v>ok</v>
      </c>
      <c r="K336" s="79">
        <f t="shared" si="11"/>
        <v>0</v>
      </c>
      <c r="L336" s="80">
        <f>IF(VLOOKUP(B336,TbPiezas[],5,0)="NA",0,VLOOKUP(B336,TbPiezas[],5,0))</f>
        <v>40.700000000000003</v>
      </c>
      <c r="M336" s="81">
        <f>TG[[#This Row],[TOTAL]]*TG[[#This Row],[P.U. (1)]]</f>
        <v>0</v>
      </c>
      <c r="N336" s="82">
        <f>+VLOOKUP(B336,TbPiezas[],6,0)</f>
        <v>1003.91</v>
      </c>
      <c r="O336" s="83">
        <f>TG[[#This Row],[TOTAL]]*TG[[#This Row],[P.U. (2)]]</f>
        <v>0</v>
      </c>
      <c r="P336" s="82">
        <f>+VLOOKUP(B336,TbPiezas[],7,0)</f>
        <v>50.195500000000003</v>
      </c>
      <c r="Q336" s="170">
        <f>ROUND(TG[[#This Row],[TOTAL]]*TG[[#This Row],[P.U. (3)]],2)</f>
        <v>0</v>
      </c>
      <c r="R336" s="326"/>
    </row>
    <row r="337" spans="2:18" hidden="1" x14ac:dyDescent="0.3">
      <c r="B337" s="76" t="s">
        <v>664</v>
      </c>
      <c r="C337" s="76" t="s">
        <v>665</v>
      </c>
      <c r="E337" s="120"/>
      <c r="F337" s="120"/>
      <c r="G337" s="74"/>
      <c r="I337" s="76" t="str">
        <f t="shared" si="10"/>
        <v>EN.2100</v>
      </c>
      <c r="J337" s="121" t="str">
        <f>+IF(B337=TG[[#This Row],[ITEM]],"ok","mal")</f>
        <v>ok</v>
      </c>
      <c r="K337" s="79">
        <f t="shared" si="11"/>
        <v>0</v>
      </c>
      <c r="L337" s="80">
        <f>IF(VLOOKUP(B337,TbPiezas[],5,0)="NA",0,VLOOKUP(B337,TbPiezas[],5,0))</f>
        <v>26</v>
      </c>
      <c r="M337" s="81">
        <f>TG[[#This Row],[TOTAL]]*TG[[#This Row],[P.U. (1)]]</f>
        <v>0</v>
      </c>
      <c r="N337" s="82">
        <f>+VLOOKUP(B337,TbPiezas[],6,0)</f>
        <v>738.5</v>
      </c>
      <c r="O337" s="83">
        <f>TG[[#This Row],[TOTAL]]*TG[[#This Row],[P.U. (2)]]</f>
        <v>0</v>
      </c>
      <c r="P337" s="82">
        <f>+VLOOKUP(B337,TbPiezas[],7,0)</f>
        <v>36.925000000000004</v>
      </c>
      <c r="Q337" s="170">
        <f>ROUND(TG[[#This Row],[TOTAL]]*TG[[#This Row],[P.U. (3)]],2)</f>
        <v>0</v>
      </c>
      <c r="R337" s="326"/>
    </row>
    <row r="338" spans="2:18" hidden="1" x14ac:dyDescent="0.3">
      <c r="B338" s="76" t="s">
        <v>666</v>
      </c>
      <c r="C338" s="76" t="s">
        <v>667</v>
      </c>
      <c r="E338" s="120"/>
      <c r="F338" s="120"/>
      <c r="G338" s="74"/>
      <c r="I338" s="76" t="str">
        <f t="shared" si="10"/>
        <v>EN.2200</v>
      </c>
      <c r="J338" s="121" t="str">
        <f>+IF(B338=TG[[#This Row],[ITEM]],"ok","mal")</f>
        <v>ok</v>
      </c>
      <c r="K338" s="79">
        <f t="shared" si="11"/>
        <v>0</v>
      </c>
      <c r="L338" s="80">
        <f>IF(VLOOKUP(B338,TbPiezas[],5,0)="NA",0,VLOOKUP(B338,TbPiezas[],5,0))</f>
        <v>20.099999999999994</v>
      </c>
      <c r="M338" s="81">
        <f>TG[[#This Row],[TOTAL]]*TG[[#This Row],[P.U. (1)]]</f>
        <v>0</v>
      </c>
      <c r="N338" s="82">
        <f>+VLOOKUP(B338,TbPiezas[],6,0)</f>
        <v>588.53</v>
      </c>
      <c r="O338" s="83">
        <f>TG[[#This Row],[TOTAL]]*TG[[#This Row],[P.U. (2)]]</f>
        <v>0</v>
      </c>
      <c r="P338" s="82">
        <f>+VLOOKUP(B338,TbPiezas[],7,0)</f>
        <v>29.426500000000001</v>
      </c>
      <c r="Q338" s="170">
        <f>ROUND(TG[[#This Row],[TOTAL]]*TG[[#This Row],[P.U. (3)]],2)</f>
        <v>0</v>
      </c>
      <c r="R338" s="326"/>
    </row>
    <row r="339" spans="2:18" hidden="1" x14ac:dyDescent="0.3">
      <c r="B339" s="76" t="s">
        <v>668</v>
      </c>
      <c r="C339" s="76" t="s">
        <v>669</v>
      </c>
      <c r="E339" s="120"/>
      <c r="F339" s="120"/>
      <c r="G339" s="74"/>
      <c r="I339" s="76" t="str">
        <f t="shared" si="10"/>
        <v>EN.2300</v>
      </c>
      <c r="J339" s="121" t="str">
        <f>+IF(B339=TG[[#This Row],[ITEM]],"ok","mal")</f>
        <v>ok</v>
      </c>
      <c r="K339" s="79">
        <f t="shared" si="11"/>
        <v>0</v>
      </c>
      <c r="L339" s="80">
        <f>IF(VLOOKUP(B339,TbPiezas[],5,0)="NA",0,VLOOKUP(B339,TbPiezas[],5,0))</f>
        <v>21.700000000000003</v>
      </c>
      <c r="M339" s="81">
        <f>TG[[#This Row],[TOTAL]]*TG[[#This Row],[P.U. (1)]]</f>
        <v>0</v>
      </c>
      <c r="N339" s="82">
        <f>+VLOOKUP(B339,TbPiezas[],6,0)</f>
        <v>646.25</v>
      </c>
      <c r="O339" s="83">
        <f>TG[[#This Row],[TOTAL]]*TG[[#This Row],[P.U. (2)]]</f>
        <v>0</v>
      </c>
      <c r="P339" s="82">
        <f>+VLOOKUP(B339,TbPiezas[],7,0)</f>
        <v>32.3125</v>
      </c>
      <c r="Q339" s="170">
        <f>ROUND(TG[[#This Row],[TOTAL]]*TG[[#This Row],[P.U. (3)]],2)</f>
        <v>0</v>
      </c>
      <c r="R339" s="326"/>
    </row>
    <row r="340" spans="2:18" hidden="1" x14ac:dyDescent="0.3">
      <c r="B340" s="76" t="s">
        <v>670</v>
      </c>
      <c r="C340" s="76" t="s">
        <v>671</v>
      </c>
      <c r="E340" s="120"/>
      <c r="F340" s="120"/>
      <c r="G340" s="74"/>
      <c r="I340" s="76" t="str">
        <f t="shared" si="10"/>
        <v>EN.2400</v>
      </c>
      <c r="J340" s="121" t="str">
        <f>+IF(B340=TG[[#This Row],[ITEM]],"ok","mal")</f>
        <v>ok</v>
      </c>
      <c r="K340" s="79">
        <f t="shared" si="11"/>
        <v>0</v>
      </c>
      <c r="L340" s="80">
        <f>IF(VLOOKUP(B340,TbPiezas[],5,0)="NA",0,VLOOKUP(B340,TbPiezas[],5,0))</f>
        <v>9</v>
      </c>
      <c r="M340" s="81">
        <f>TG[[#This Row],[TOTAL]]*TG[[#This Row],[P.U. (1)]]</f>
        <v>0</v>
      </c>
      <c r="N340" s="82">
        <f>+VLOOKUP(B340,TbPiezas[],6,0)</f>
        <v>311.58999999999997</v>
      </c>
      <c r="O340" s="83">
        <f>TG[[#This Row],[TOTAL]]*TG[[#This Row],[P.U. (2)]]</f>
        <v>0</v>
      </c>
      <c r="P340" s="82">
        <f>+VLOOKUP(B340,TbPiezas[],7,0)</f>
        <v>15.579499999999999</v>
      </c>
      <c r="Q340" s="170">
        <f>ROUND(TG[[#This Row],[TOTAL]]*TG[[#This Row],[P.U. (3)]],2)</f>
        <v>0</v>
      </c>
      <c r="R340" s="326"/>
    </row>
    <row r="341" spans="2:18" hidden="1" x14ac:dyDescent="0.3">
      <c r="B341" s="76" t="s">
        <v>672</v>
      </c>
      <c r="C341" s="76" t="s">
        <v>673</v>
      </c>
      <c r="E341" s="120"/>
      <c r="F341" s="120"/>
      <c r="G341" s="74"/>
      <c r="I341" s="76" t="str">
        <f t="shared" si="10"/>
        <v>EN.2500</v>
      </c>
      <c r="J341" s="121" t="str">
        <f>+IF(B341=TG[[#This Row],[ITEM]],"ok","mal")</f>
        <v>ok</v>
      </c>
      <c r="K341" s="79">
        <f t="shared" si="11"/>
        <v>0</v>
      </c>
      <c r="L341" s="80">
        <f>IF(VLOOKUP(B341,TbPiezas[],5,0)="NA",0,VLOOKUP(B341,TbPiezas[],5,0))</f>
        <v>10.599999999999994</v>
      </c>
      <c r="M341" s="81">
        <f>TG[[#This Row],[TOTAL]]*TG[[#This Row],[P.U. (1)]]</f>
        <v>0</v>
      </c>
      <c r="N341" s="82">
        <f>+VLOOKUP(B341,TbPiezas[],6,0)</f>
        <v>288.49</v>
      </c>
      <c r="O341" s="83">
        <f>TG[[#This Row],[TOTAL]]*TG[[#This Row],[P.U. (2)]]</f>
        <v>0</v>
      </c>
      <c r="P341" s="82">
        <f>+VLOOKUP(B341,TbPiezas[],7,0)</f>
        <v>14.424500000000002</v>
      </c>
      <c r="Q341" s="170">
        <f>ROUND(TG[[#This Row],[TOTAL]]*TG[[#This Row],[P.U. (3)]],2)</f>
        <v>0</v>
      </c>
      <c r="R341" s="326"/>
    </row>
    <row r="342" spans="2:18" hidden="1" x14ac:dyDescent="0.3">
      <c r="B342" s="76" t="s">
        <v>674</v>
      </c>
      <c r="C342" s="76" t="s">
        <v>675</v>
      </c>
      <c r="E342" s="120"/>
      <c r="F342" s="120"/>
      <c r="G342" s="74"/>
      <c r="I342" s="76" t="str">
        <f t="shared" si="10"/>
        <v>EN.2600</v>
      </c>
      <c r="J342" s="121" t="str">
        <f>+IF(B342=TG[[#This Row],[ITEM]],"ok","mal")</f>
        <v>ok</v>
      </c>
      <c r="K342" s="79">
        <f t="shared" si="11"/>
        <v>0</v>
      </c>
      <c r="L342" s="80">
        <f>IF(VLOOKUP(B342,TbPiezas[],5,0)="NA",0,VLOOKUP(B342,TbPiezas[],5,0))</f>
        <v>10.200000000000003</v>
      </c>
      <c r="M342" s="81">
        <f>TG[[#This Row],[TOTAL]]*TG[[#This Row],[P.U. (1)]]</f>
        <v>0</v>
      </c>
      <c r="N342" s="82">
        <f>+VLOOKUP(B342,TbPiezas[],6,0)</f>
        <v>563.89</v>
      </c>
      <c r="O342" s="83">
        <f>TG[[#This Row],[TOTAL]]*TG[[#This Row],[P.U. (2)]]</f>
        <v>0</v>
      </c>
      <c r="P342" s="82">
        <f>+VLOOKUP(B342,TbPiezas[],7,0)</f>
        <v>28.194500000000001</v>
      </c>
      <c r="Q342" s="170">
        <f>ROUND(TG[[#This Row],[TOTAL]]*TG[[#This Row],[P.U. (3)]],2)</f>
        <v>0</v>
      </c>
      <c r="R342" s="326"/>
    </row>
    <row r="343" spans="2:18" hidden="1" x14ac:dyDescent="0.3">
      <c r="B343" s="76" t="s">
        <v>676</v>
      </c>
      <c r="C343" s="76" t="s">
        <v>677</v>
      </c>
      <c r="E343" s="120"/>
      <c r="F343" s="120"/>
      <c r="G343" s="74"/>
      <c r="I343" s="76" t="str">
        <f t="shared" si="10"/>
        <v>EN.2700</v>
      </c>
      <c r="J343" s="121" t="str">
        <f>+IF(B343=TG[[#This Row],[ITEM]],"ok","mal")</f>
        <v>ok</v>
      </c>
      <c r="K343" s="79">
        <f t="shared" si="11"/>
        <v>0</v>
      </c>
      <c r="L343" s="80">
        <f>IF(VLOOKUP(B343,TbPiezas[],5,0)="NA",0,VLOOKUP(B343,TbPiezas[],5,0))</f>
        <v>7</v>
      </c>
      <c r="M343" s="81">
        <f>TG[[#This Row],[TOTAL]]*TG[[#This Row],[P.U. (1)]]</f>
        <v>0</v>
      </c>
      <c r="N343" s="82">
        <f>+VLOOKUP(B343,TbPiezas[],6,0)</f>
        <v>235.87</v>
      </c>
      <c r="O343" s="83">
        <f>TG[[#This Row],[TOTAL]]*TG[[#This Row],[P.U. (2)]]</f>
        <v>0</v>
      </c>
      <c r="P343" s="82">
        <f>+VLOOKUP(B343,TbPiezas[],7,0)</f>
        <v>11.793500000000002</v>
      </c>
      <c r="Q343" s="170">
        <f>ROUND(TG[[#This Row],[TOTAL]]*TG[[#This Row],[P.U. (3)]],2)</f>
        <v>0</v>
      </c>
      <c r="R343" s="326"/>
    </row>
    <row r="344" spans="2:18" hidden="1" x14ac:dyDescent="0.3">
      <c r="B344" s="76" t="s">
        <v>678</v>
      </c>
      <c r="C344" s="76" t="s">
        <v>679</v>
      </c>
      <c r="E344" s="120"/>
      <c r="F344" s="120"/>
      <c r="G344" s="74"/>
      <c r="I344" s="76" t="str">
        <f t="shared" si="10"/>
        <v>EN.2800</v>
      </c>
      <c r="J344" s="121" t="str">
        <f>+IF(B344=TG[[#This Row],[ITEM]],"ok","mal")</f>
        <v>ok</v>
      </c>
      <c r="K344" s="79">
        <f t="shared" si="11"/>
        <v>0</v>
      </c>
      <c r="L344" s="80">
        <f>IF(VLOOKUP(B344,TbPiezas[],5,0)="NA",0,VLOOKUP(B344,TbPiezas[],5,0))</f>
        <v>0.20000000000000284</v>
      </c>
      <c r="M344" s="81">
        <f>TG[[#This Row],[TOTAL]]*TG[[#This Row],[P.U. (1)]]</f>
        <v>0</v>
      </c>
      <c r="N344" s="82">
        <f>+VLOOKUP(B344,TbPiezas[],6,0)</f>
        <v>43.83</v>
      </c>
      <c r="O344" s="83">
        <f>TG[[#This Row],[TOTAL]]*TG[[#This Row],[P.U. (2)]]</f>
        <v>0</v>
      </c>
      <c r="P344" s="82">
        <f>+VLOOKUP(B344,TbPiezas[],7,0)</f>
        <v>2.1915</v>
      </c>
      <c r="Q344" s="170">
        <f>ROUND(TG[[#This Row],[TOTAL]]*TG[[#This Row],[P.U. (3)]],2)</f>
        <v>0</v>
      </c>
      <c r="R344" s="326"/>
    </row>
    <row r="345" spans="2:18" hidden="1" x14ac:dyDescent="0.3">
      <c r="B345" s="76" t="s">
        <v>1385</v>
      </c>
      <c r="C345" s="76" t="s">
        <v>1386</v>
      </c>
      <c r="E345" s="120"/>
      <c r="F345" s="120"/>
      <c r="G345" s="74"/>
      <c r="I345" s="76" t="str">
        <f t="shared" si="10"/>
        <v>EN.2820</v>
      </c>
      <c r="J345" s="121" t="str">
        <f>+IF(B345=TG[[#This Row],[ITEM]],"ok","mal")</f>
        <v>ok</v>
      </c>
      <c r="K345" s="79">
        <f>SUM(D345:H345)</f>
        <v>0</v>
      </c>
      <c r="L345" s="80">
        <f>IF(VLOOKUP(B345,TbPiezas[],5,0)="NA",0,VLOOKUP(B345,TbPiezas[],5,0))</f>
        <v>0</v>
      </c>
      <c r="M345" s="81">
        <f>TG[[#This Row],[TOTAL]]*TG[[#This Row],[P.U. (1)]]</f>
        <v>0</v>
      </c>
      <c r="N345" s="82">
        <f>+VLOOKUP(B345,TbPiezas[],6,0)</f>
        <v>565.36199999999997</v>
      </c>
      <c r="O345" s="83">
        <f>TG[[#This Row],[TOTAL]]*TG[[#This Row],[P.U. (2)]]</f>
        <v>0</v>
      </c>
      <c r="P345" s="82">
        <f>+VLOOKUP(B345,TbPiezas[],7,0)</f>
        <v>28.2681</v>
      </c>
      <c r="Q345" s="170">
        <f>ROUND(TG[[#This Row],[TOTAL]]*TG[[#This Row],[P.U. (3)]],2)</f>
        <v>0</v>
      </c>
      <c r="R345" s="326"/>
    </row>
    <row r="346" spans="2:18" hidden="1" x14ac:dyDescent="0.3">
      <c r="B346" s="76" t="s">
        <v>1387</v>
      </c>
      <c r="C346" s="76" t="s">
        <v>1388</v>
      </c>
      <c r="E346" s="120"/>
      <c r="F346" s="120"/>
      <c r="G346" s="74"/>
      <c r="I346" s="76" t="str">
        <f t="shared" si="10"/>
        <v>EN.2840</v>
      </c>
      <c r="J346" s="121" t="str">
        <f>+IF(B346=TG[[#This Row],[ITEM]],"ok","mal")</f>
        <v>ok</v>
      </c>
      <c r="K346" s="79">
        <f>SUM(D346:H346)</f>
        <v>0</v>
      </c>
      <c r="L346" s="80">
        <f>IF(VLOOKUP(B346,TbPiezas[],5,0)="NA",0,VLOOKUP(B346,TbPiezas[],5,0))</f>
        <v>17</v>
      </c>
      <c r="M346" s="81">
        <f>TG[[#This Row],[TOTAL]]*TG[[#This Row],[P.U. (1)]]</f>
        <v>0</v>
      </c>
      <c r="N346" s="82">
        <f>+VLOOKUP(B346,TbPiezas[],6,0)</f>
        <v>449.98199999999997</v>
      </c>
      <c r="O346" s="83">
        <f>TG[[#This Row],[TOTAL]]*TG[[#This Row],[P.U. (2)]]</f>
        <v>0</v>
      </c>
      <c r="P346" s="82">
        <f>+VLOOKUP(B346,TbPiezas[],7,0)</f>
        <v>22.499099999999999</v>
      </c>
      <c r="Q346" s="170">
        <f>ROUND(TG[[#This Row],[TOTAL]]*TG[[#This Row],[P.U. (3)]],2)</f>
        <v>0</v>
      </c>
      <c r="R346" s="326"/>
    </row>
    <row r="347" spans="2:18" hidden="1" x14ac:dyDescent="0.3">
      <c r="B347" s="76" t="s">
        <v>1389</v>
      </c>
      <c r="C347" s="76" t="s">
        <v>1390</v>
      </c>
      <c r="E347" s="120"/>
      <c r="F347" s="120"/>
      <c r="G347" s="74"/>
      <c r="I347" s="76" t="str">
        <f t="shared" si="10"/>
        <v>EN.2860</v>
      </c>
      <c r="J347" s="121" t="str">
        <f>+IF(B347=TG[[#This Row],[ITEM]],"ok","mal")</f>
        <v>ok</v>
      </c>
      <c r="K347" s="79">
        <f>SUM(D347:H347)</f>
        <v>0</v>
      </c>
      <c r="L347" s="80">
        <f>IF(VLOOKUP(B347,TbPiezas[],5,0)="NA",0,VLOOKUP(B347,TbPiezas[],5,0))</f>
        <v>0</v>
      </c>
      <c r="M347" s="81">
        <f>TG[[#This Row],[TOTAL]]*TG[[#This Row],[P.U. (1)]]</f>
        <v>0</v>
      </c>
      <c r="N347" s="82">
        <f>+VLOOKUP(B347,TbPiezas[],6,0)</f>
        <v>334.60199999999998</v>
      </c>
      <c r="O347" s="83">
        <f>TG[[#This Row],[TOTAL]]*TG[[#This Row],[P.U. (2)]]</f>
        <v>0</v>
      </c>
      <c r="P347" s="82">
        <f>+VLOOKUP(B347,TbPiezas[],7,0)</f>
        <v>16.7301</v>
      </c>
      <c r="Q347" s="170">
        <f>ROUND(TG[[#This Row],[TOTAL]]*TG[[#This Row],[P.U. (3)]],2)</f>
        <v>0</v>
      </c>
      <c r="R347" s="326"/>
    </row>
    <row r="348" spans="2:18" hidden="1" x14ac:dyDescent="0.3">
      <c r="B348" s="76" t="s">
        <v>1391</v>
      </c>
      <c r="C348" s="76" t="s">
        <v>1392</v>
      </c>
      <c r="E348" s="120"/>
      <c r="F348" s="120"/>
      <c r="G348" s="74"/>
      <c r="I348" s="76" t="str">
        <f t="shared" si="10"/>
        <v>EN.2880</v>
      </c>
      <c r="J348" s="121" t="str">
        <f>+IF(B348=TG[[#This Row],[ITEM]],"ok","mal")</f>
        <v>ok</v>
      </c>
      <c r="K348" s="79">
        <f>SUM(D348:H348)</f>
        <v>0</v>
      </c>
      <c r="L348" s="80">
        <f>IF(VLOOKUP(B348,TbPiezas[],5,0)="NA",0,VLOOKUP(B348,TbPiezas[],5,0))</f>
        <v>0</v>
      </c>
      <c r="M348" s="81">
        <f>TG[[#This Row],[TOTAL]]*TG[[#This Row],[P.U. (1)]]</f>
        <v>0</v>
      </c>
      <c r="N348" s="82">
        <f>+VLOOKUP(B348,TbPiezas[],6,0)</f>
        <v>219.22199999999998</v>
      </c>
      <c r="O348" s="83">
        <f>TG[[#This Row],[TOTAL]]*TG[[#This Row],[P.U. (2)]]</f>
        <v>0</v>
      </c>
      <c r="P348" s="82">
        <f>+VLOOKUP(B348,TbPiezas[],7,0)</f>
        <v>10.9611</v>
      </c>
      <c r="Q348" s="170">
        <f>ROUND(TG[[#This Row],[TOTAL]]*TG[[#This Row],[P.U. (3)]],2)</f>
        <v>0</v>
      </c>
      <c r="R348" s="326"/>
    </row>
    <row r="349" spans="2:18" hidden="1" x14ac:dyDescent="0.3">
      <c r="B349" s="76" t="s">
        <v>680</v>
      </c>
      <c r="C349" s="76" t="s">
        <v>681</v>
      </c>
      <c r="E349" s="120"/>
      <c r="F349" s="120"/>
      <c r="G349" s="74"/>
      <c r="I349" s="76" t="str">
        <f t="shared" si="10"/>
        <v>EN.2900</v>
      </c>
      <c r="J349" s="121" t="str">
        <f>+IF(B349=TG[[#This Row],[ITEM]],"ok","mal")</f>
        <v>ok</v>
      </c>
      <c r="K349" s="79">
        <f t="shared" si="11"/>
        <v>0</v>
      </c>
      <c r="L349" s="80">
        <f>IF(VLOOKUP(B349,TbPiezas[],5,0)="NA",0,VLOOKUP(B349,TbPiezas[],5,0))</f>
        <v>20.8</v>
      </c>
      <c r="M349" s="81">
        <f>TG[[#This Row],[TOTAL]]*TG[[#This Row],[P.U. (1)]]</f>
        <v>0</v>
      </c>
      <c r="N349" s="82">
        <f>+VLOOKUP(B349,TbPiezas[],6,0)</f>
        <v>254.1</v>
      </c>
      <c r="O349" s="83">
        <f>TG[[#This Row],[TOTAL]]*TG[[#This Row],[P.U. (2)]]</f>
        <v>0</v>
      </c>
      <c r="P349" s="82">
        <f>+VLOOKUP(B349,TbPiezas[],7,0)</f>
        <v>12.705</v>
      </c>
      <c r="Q349" s="170">
        <f>ROUND(TG[[#This Row],[TOTAL]]*TG[[#This Row],[P.U. (3)]],2)</f>
        <v>0</v>
      </c>
      <c r="R349" s="326"/>
    </row>
    <row r="350" spans="2:18" hidden="1" x14ac:dyDescent="0.3">
      <c r="B350" s="76" t="s">
        <v>682</v>
      </c>
      <c r="C350" s="76" t="s">
        <v>683</v>
      </c>
      <c r="E350" s="120"/>
      <c r="F350" s="120"/>
      <c r="G350" s="74"/>
      <c r="I350" s="76" t="str">
        <f t="shared" si="10"/>
        <v>EN.3000</v>
      </c>
      <c r="J350" s="121" t="str">
        <f>+IF(B350=TG[[#This Row],[ITEM]],"ok","mal")</f>
        <v>ok</v>
      </c>
      <c r="K350" s="79">
        <f t="shared" si="11"/>
        <v>0</v>
      </c>
      <c r="L350" s="80">
        <f>IF(VLOOKUP(B350,TbPiezas[],5,0)="NA",0,VLOOKUP(B350,TbPiezas[],5,0))</f>
        <v>23</v>
      </c>
      <c r="M350" s="81">
        <f>TG[[#This Row],[TOTAL]]*TG[[#This Row],[P.U. (1)]]</f>
        <v>0</v>
      </c>
      <c r="N350" s="82">
        <f>+VLOOKUP(B350,TbPiezas[],6,0)</f>
        <v>285.86</v>
      </c>
      <c r="O350" s="83">
        <f>TG[[#This Row],[TOTAL]]*TG[[#This Row],[P.U. (2)]]</f>
        <v>0</v>
      </c>
      <c r="P350" s="82">
        <f>+VLOOKUP(B350,TbPiezas[],7,0)</f>
        <v>14.293000000000001</v>
      </c>
      <c r="Q350" s="170">
        <f>ROUND(TG[[#This Row],[TOTAL]]*TG[[#This Row],[P.U. (3)]],2)</f>
        <v>0</v>
      </c>
      <c r="R350" s="326"/>
    </row>
    <row r="351" spans="2:18" hidden="1" x14ac:dyDescent="0.3">
      <c r="B351" s="76" t="s">
        <v>684</v>
      </c>
      <c r="C351" s="76" t="s">
        <v>685</v>
      </c>
      <c r="E351" s="120"/>
      <c r="F351" s="120"/>
      <c r="G351" s="74"/>
      <c r="I351" s="76" t="str">
        <f t="shared" si="10"/>
        <v>EN.3100</v>
      </c>
      <c r="J351" s="121" t="str">
        <f>+IF(B351=TG[[#This Row],[ITEM]],"ok","mal")</f>
        <v>ok</v>
      </c>
      <c r="K351" s="79">
        <f t="shared" si="11"/>
        <v>0</v>
      </c>
      <c r="L351" s="80">
        <f>IF(VLOOKUP(B351,TbPiezas[],5,0)="NA",0,VLOOKUP(B351,TbPiezas[],5,0))</f>
        <v>25.9</v>
      </c>
      <c r="M351" s="81">
        <f>TG[[#This Row],[TOTAL]]*TG[[#This Row],[P.U. (1)]]</f>
        <v>0</v>
      </c>
      <c r="N351" s="82">
        <f>+VLOOKUP(B351,TbPiezas[],6,0)</f>
        <v>317.63</v>
      </c>
      <c r="O351" s="83">
        <f>TG[[#This Row],[TOTAL]]*TG[[#This Row],[P.U. (2)]]</f>
        <v>0</v>
      </c>
      <c r="P351" s="82">
        <f>+VLOOKUP(B351,TbPiezas[],7,0)</f>
        <v>15.881500000000001</v>
      </c>
      <c r="Q351" s="170">
        <f>ROUND(TG[[#This Row],[TOTAL]]*TG[[#This Row],[P.U. (3)]],2)</f>
        <v>0</v>
      </c>
      <c r="R351" s="326"/>
    </row>
    <row r="352" spans="2:18" hidden="1" x14ac:dyDescent="0.3">
      <c r="B352" s="76" t="s">
        <v>686</v>
      </c>
      <c r="C352" s="76" t="s">
        <v>687</v>
      </c>
      <c r="E352" s="120"/>
      <c r="F352" s="120"/>
      <c r="G352" s="74"/>
      <c r="I352" s="76" t="str">
        <f t="shared" si="10"/>
        <v>EN.3200</v>
      </c>
      <c r="J352" s="121" t="str">
        <f>+IF(B352=TG[[#This Row],[ITEM]],"ok","mal")</f>
        <v>ok</v>
      </c>
      <c r="K352" s="79">
        <f t="shared" si="11"/>
        <v>0</v>
      </c>
      <c r="L352" s="80">
        <f>IF(VLOOKUP(B352,TbPiezas[],5,0)="NA",0,VLOOKUP(B352,TbPiezas[],5,0))</f>
        <v>16.599999999999994</v>
      </c>
      <c r="M352" s="81">
        <f>TG[[#This Row],[TOTAL]]*TG[[#This Row],[P.U. (1)]]</f>
        <v>0</v>
      </c>
      <c r="N352" s="82">
        <f>+VLOOKUP(B352,TbPiezas[],6,0)</f>
        <v>777.67</v>
      </c>
      <c r="O352" s="83">
        <f>TG[[#This Row],[TOTAL]]*TG[[#This Row],[P.U. (2)]]</f>
        <v>0</v>
      </c>
      <c r="P352" s="82">
        <f>+VLOOKUP(B352,TbPiezas[],7,0)</f>
        <v>38.883499999999998</v>
      </c>
      <c r="Q352" s="170">
        <f>ROUND(TG[[#This Row],[TOTAL]]*TG[[#This Row],[P.U. (3)]],2)</f>
        <v>0</v>
      </c>
      <c r="R352" s="326"/>
    </row>
    <row r="353" spans="2:18" hidden="1" x14ac:dyDescent="0.3">
      <c r="B353" s="76" t="s">
        <v>688</v>
      </c>
      <c r="C353" s="76" t="s">
        <v>689</v>
      </c>
      <c r="E353" s="120"/>
      <c r="F353" s="120"/>
      <c r="G353" s="74"/>
      <c r="I353" s="76" t="str">
        <f t="shared" si="10"/>
        <v>EN.3300</v>
      </c>
      <c r="J353" s="121" t="str">
        <f>+IF(B353=TG[[#This Row],[ITEM]],"ok","mal")</f>
        <v>ok</v>
      </c>
      <c r="K353" s="79">
        <f t="shared" si="11"/>
        <v>0</v>
      </c>
      <c r="L353" s="80">
        <f>IF(VLOOKUP(B353,TbPiezas[],5,0)="NA",0,VLOOKUP(B353,TbPiezas[],5,0))</f>
        <v>12.099999999999994</v>
      </c>
      <c r="M353" s="81">
        <f>TG[[#This Row],[TOTAL]]*TG[[#This Row],[P.U. (1)]]</f>
        <v>0</v>
      </c>
      <c r="N353" s="82">
        <f>+VLOOKUP(B353,TbPiezas[],6,0)</f>
        <v>705.81</v>
      </c>
      <c r="O353" s="83">
        <f>TG[[#This Row],[TOTAL]]*TG[[#This Row],[P.U. (2)]]</f>
        <v>0</v>
      </c>
      <c r="P353" s="82">
        <f>+VLOOKUP(B353,TbPiezas[],7,0)</f>
        <v>35.290500000000002</v>
      </c>
      <c r="Q353" s="170">
        <f>ROUND(TG[[#This Row],[TOTAL]]*TG[[#This Row],[P.U. (3)]],2)</f>
        <v>0</v>
      </c>
      <c r="R353" s="326"/>
    </row>
    <row r="354" spans="2:18" hidden="1" x14ac:dyDescent="0.3">
      <c r="B354" s="76" t="s">
        <v>690</v>
      </c>
      <c r="C354" s="76" t="s">
        <v>691</v>
      </c>
      <c r="E354" s="120"/>
      <c r="F354" s="120"/>
      <c r="G354" s="74"/>
      <c r="I354" s="76" t="str">
        <f t="shared" si="10"/>
        <v>EN.3400</v>
      </c>
      <c r="J354" s="121" t="str">
        <f>+IF(B354=TG[[#This Row],[ITEM]],"ok","mal")</f>
        <v>ok</v>
      </c>
      <c r="K354" s="79">
        <f t="shared" si="11"/>
        <v>0</v>
      </c>
      <c r="L354" s="80">
        <f>IF(VLOOKUP(B354,TbPiezas[],5,0)="NA",0,VLOOKUP(B354,TbPiezas[],5,0))</f>
        <v>8.2000000000000028</v>
      </c>
      <c r="M354" s="81">
        <f>TG[[#This Row],[TOTAL]]*TG[[#This Row],[P.U. (1)]]</f>
        <v>0</v>
      </c>
      <c r="N354" s="82">
        <f>+VLOOKUP(B354,TbPiezas[],6,0)</f>
        <v>610.46</v>
      </c>
      <c r="O354" s="83">
        <f>TG[[#This Row],[TOTAL]]*TG[[#This Row],[P.U. (2)]]</f>
        <v>0</v>
      </c>
      <c r="P354" s="82">
        <f>+VLOOKUP(B354,TbPiezas[],7,0)</f>
        <v>30.523000000000003</v>
      </c>
      <c r="Q354" s="170">
        <f>ROUND(TG[[#This Row],[TOTAL]]*TG[[#This Row],[P.U. (3)]],2)</f>
        <v>0</v>
      </c>
      <c r="R354" s="326"/>
    </row>
    <row r="355" spans="2:18" hidden="1" x14ac:dyDescent="0.3">
      <c r="B355" s="76" t="s">
        <v>692</v>
      </c>
      <c r="C355" s="76" t="s">
        <v>693</v>
      </c>
      <c r="E355" s="120"/>
      <c r="F355" s="120"/>
      <c r="G355" s="74"/>
      <c r="I355" s="76" t="str">
        <f t="shared" si="10"/>
        <v>EN.3500</v>
      </c>
      <c r="J355" s="121" t="str">
        <f>+IF(B355=TG[[#This Row],[ITEM]],"ok","mal")</f>
        <v>ok</v>
      </c>
      <c r="K355" s="79">
        <f t="shared" si="11"/>
        <v>0</v>
      </c>
      <c r="L355" s="80">
        <f>IF(VLOOKUP(B355,TbPiezas[],5,0)="NA",0,VLOOKUP(B355,TbPiezas[],5,0))</f>
        <v>11.700000000000003</v>
      </c>
      <c r="M355" s="81">
        <f>TG[[#This Row],[TOTAL]]*TG[[#This Row],[P.U. (1)]]</f>
        <v>0</v>
      </c>
      <c r="N355" s="82">
        <f>+VLOOKUP(B355,TbPiezas[],6,0)</f>
        <v>568.55999999999995</v>
      </c>
      <c r="O355" s="83">
        <f>TG[[#This Row],[TOTAL]]*TG[[#This Row],[P.U. (2)]]</f>
        <v>0</v>
      </c>
      <c r="P355" s="82">
        <f>+VLOOKUP(B355,TbPiezas[],7,0)</f>
        <v>28.427999999999997</v>
      </c>
      <c r="Q355" s="170">
        <f>ROUND(TG[[#This Row],[TOTAL]]*TG[[#This Row],[P.U. (3)]],2)</f>
        <v>0</v>
      </c>
      <c r="R355" s="326"/>
    </row>
    <row r="356" spans="2:18" hidden="1" x14ac:dyDescent="0.3">
      <c r="B356" s="76" t="s">
        <v>694</v>
      </c>
      <c r="C356" s="76" t="s">
        <v>695</v>
      </c>
      <c r="E356" s="120"/>
      <c r="F356" s="120"/>
      <c r="G356" s="74"/>
      <c r="I356" s="76" t="str">
        <f t="shared" si="10"/>
        <v>EN.3600</v>
      </c>
      <c r="J356" s="121" t="str">
        <f>+IF(B356=TG[[#This Row],[ITEM]],"ok","mal")</f>
        <v>ok</v>
      </c>
      <c r="K356" s="79">
        <f t="shared" si="11"/>
        <v>0</v>
      </c>
      <c r="L356" s="80">
        <f>IF(VLOOKUP(B356,TbPiezas[],5,0)="NA",0,VLOOKUP(B356,TbPiezas[],5,0))</f>
        <v>8.5999999999999943</v>
      </c>
      <c r="M356" s="81">
        <f>TG[[#This Row],[TOTAL]]*TG[[#This Row],[P.U. (1)]]</f>
        <v>0</v>
      </c>
      <c r="N356" s="82">
        <f>+VLOOKUP(B356,TbPiezas[],6,0)</f>
        <v>499.23</v>
      </c>
      <c r="O356" s="83">
        <f>TG[[#This Row],[TOTAL]]*TG[[#This Row],[P.U. (2)]]</f>
        <v>0</v>
      </c>
      <c r="P356" s="82">
        <f>+VLOOKUP(B356,TbPiezas[],7,0)</f>
        <v>24.961500000000001</v>
      </c>
      <c r="Q356" s="170">
        <f>ROUND(TG[[#This Row],[TOTAL]]*TG[[#This Row],[P.U. (3)]],2)</f>
        <v>0</v>
      </c>
      <c r="R356" s="326"/>
    </row>
    <row r="357" spans="2:18" hidden="1" x14ac:dyDescent="0.3">
      <c r="B357" s="76" t="s">
        <v>696</v>
      </c>
      <c r="C357" s="76" t="s">
        <v>697</v>
      </c>
      <c r="E357" s="120"/>
      <c r="F357" s="120"/>
      <c r="G357" s="74"/>
      <c r="I357" s="76" t="str">
        <f t="shared" si="10"/>
        <v>EN.3700</v>
      </c>
      <c r="J357" s="121" t="str">
        <f>+IF(B357=TG[[#This Row],[ITEM]],"ok","mal")</f>
        <v>ok</v>
      </c>
      <c r="K357" s="79">
        <f t="shared" si="11"/>
        <v>0</v>
      </c>
      <c r="L357" s="80">
        <f>IF(VLOOKUP(B357,TbPiezas[],5,0)="NA",0,VLOOKUP(B357,TbPiezas[],5,0))</f>
        <v>7.5</v>
      </c>
      <c r="M357" s="81">
        <f>TG[[#This Row],[TOTAL]]*TG[[#This Row],[P.U. (1)]]</f>
        <v>0</v>
      </c>
      <c r="N357" s="82">
        <f>+VLOOKUP(B357,TbPiezas[],6,0)</f>
        <v>423.29</v>
      </c>
      <c r="O357" s="83">
        <f>TG[[#This Row],[TOTAL]]*TG[[#This Row],[P.U. (2)]]</f>
        <v>0</v>
      </c>
      <c r="P357" s="82">
        <f>+VLOOKUP(B357,TbPiezas[],7,0)</f>
        <v>21.164500000000004</v>
      </c>
      <c r="Q357" s="170">
        <f>ROUND(TG[[#This Row],[TOTAL]]*TG[[#This Row],[P.U. (3)]],2)</f>
        <v>0</v>
      </c>
      <c r="R357" s="326"/>
    </row>
    <row r="358" spans="2:18" hidden="1" x14ac:dyDescent="0.3">
      <c r="B358" s="76" t="s">
        <v>698</v>
      </c>
      <c r="C358" s="76" t="s">
        <v>699</v>
      </c>
      <c r="E358" s="120"/>
      <c r="F358" s="120"/>
      <c r="G358" s="74"/>
      <c r="I358" s="76" t="str">
        <f t="shared" si="10"/>
        <v>EN.3800</v>
      </c>
      <c r="J358" s="121" t="str">
        <f>+IF(B358=TG[[#This Row],[ITEM]],"ok","mal")</f>
        <v>ok</v>
      </c>
      <c r="K358" s="79">
        <f t="shared" si="11"/>
        <v>0</v>
      </c>
      <c r="L358" s="80">
        <f>IF(VLOOKUP(B358,TbPiezas[],5,0)="NA",0,VLOOKUP(B358,TbPiezas[],5,0))</f>
        <v>17.599999999999994</v>
      </c>
      <c r="M358" s="81">
        <f>TG[[#This Row],[TOTAL]]*TG[[#This Row],[P.U. (1)]]</f>
        <v>0</v>
      </c>
      <c r="N358" s="82">
        <f>+VLOOKUP(B358,TbPiezas[],6,0)</f>
        <v>923.91</v>
      </c>
      <c r="O358" s="83">
        <f>TG[[#This Row],[TOTAL]]*TG[[#This Row],[P.U. (2)]]</f>
        <v>0</v>
      </c>
      <c r="P358" s="82">
        <f>+VLOOKUP(B358,TbPiezas[],7,0)</f>
        <v>46.195500000000003</v>
      </c>
      <c r="Q358" s="170">
        <f>ROUND(TG[[#This Row],[TOTAL]]*TG[[#This Row],[P.U. (3)]],2)</f>
        <v>0</v>
      </c>
      <c r="R358" s="326"/>
    </row>
    <row r="359" spans="2:18" hidden="1" x14ac:dyDescent="0.3">
      <c r="B359" s="76" t="s">
        <v>700</v>
      </c>
      <c r="C359" s="76" t="s">
        <v>701</v>
      </c>
      <c r="E359" s="120"/>
      <c r="F359" s="120"/>
      <c r="G359" s="74"/>
      <c r="I359" s="76" t="str">
        <f t="shared" si="10"/>
        <v>EN.3900</v>
      </c>
      <c r="J359" s="121" t="str">
        <f>+IF(B359=TG[[#This Row],[ITEM]],"ok","mal")</f>
        <v>ok</v>
      </c>
      <c r="K359" s="79">
        <f t="shared" si="11"/>
        <v>0</v>
      </c>
      <c r="L359" s="80">
        <f>IF(VLOOKUP(B359,TbPiezas[],5,0)="NA",0,VLOOKUP(B359,TbPiezas[],5,0))</f>
        <v>9.2999999999999972</v>
      </c>
      <c r="M359" s="81">
        <f>TG[[#This Row],[TOTAL]]*TG[[#This Row],[P.U. (1)]]</f>
        <v>0</v>
      </c>
      <c r="N359" s="82">
        <f>+VLOOKUP(B359,TbPiezas[],6,0)</f>
        <v>711.4</v>
      </c>
      <c r="O359" s="83">
        <f>TG[[#This Row],[TOTAL]]*TG[[#This Row],[P.U. (2)]]</f>
        <v>0</v>
      </c>
      <c r="P359" s="82">
        <f>+VLOOKUP(B359,TbPiezas[],7,0)</f>
        <v>35.57</v>
      </c>
      <c r="Q359" s="170">
        <f>ROUND(TG[[#This Row],[TOTAL]]*TG[[#This Row],[P.U. (3)]],2)</f>
        <v>0</v>
      </c>
      <c r="R359" s="326"/>
    </row>
    <row r="360" spans="2:18" hidden="1" x14ac:dyDescent="0.3">
      <c r="B360" s="76" t="s">
        <v>702</v>
      </c>
      <c r="C360" s="76" t="s">
        <v>703</v>
      </c>
      <c r="E360" s="120"/>
      <c r="F360" s="120"/>
      <c r="G360" s="74"/>
      <c r="I360" s="76" t="str">
        <f t="shared" si="10"/>
        <v>EN.4000</v>
      </c>
      <c r="J360" s="121" t="str">
        <f>+IF(B360=TG[[#This Row],[ITEM]],"ok","mal")</f>
        <v>ok</v>
      </c>
      <c r="K360" s="79">
        <f t="shared" si="11"/>
        <v>0</v>
      </c>
      <c r="L360" s="80">
        <f>IF(VLOOKUP(B360,TbPiezas[],5,0)="NA",0,VLOOKUP(B360,TbPiezas[],5,0))</f>
        <v>4.2999999999999972</v>
      </c>
      <c r="M360" s="81">
        <f>TG[[#This Row],[TOTAL]]*TG[[#This Row],[P.U. (1)]]</f>
        <v>0</v>
      </c>
      <c r="N360" s="82">
        <f>+VLOOKUP(B360,TbPiezas[],6,0)</f>
        <v>153.97999999999999</v>
      </c>
      <c r="O360" s="83">
        <f>TG[[#This Row],[TOTAL]]*TG[[#This Row],[P.U. (2)]]</f>
        <v>0</v>
      </c>
      <c r="P360" s="82">
        <f>+VLOOKUP(B360,TbPiezas[],7,0)</f>
        <v>7.6989999999999998</v>
      </c>
      <c r="Q360" s="170">
        <f>ROUND(TG[[#This Row],[TOTAL]]*TG[[#This Row],[P.U. (3)]],2)</f>
        <v>0</v>
      </c>
      <c r="R360" s="326"/>
    </row>
    <row r="361" spans="2:18" hidden="1" x14ac:dyDescent="0.3">
      <c r="B361" s="76" t="s">
        <v>704</v>
      </c>
      <c r="C361" s="76" t="s">
        <v>705</v>
      </c>
      <c r="E361" s="120"/>
      <c r="F361" s="120"/>
      <c r="G361" s="74"/>
      <c r="I361" s="76" t="str">
        <f t="shared" si="10"/>
        <v>EN.4100</v>
      </c>
      <c r="J361" s="121" t="str">
        <f>+IF(B361=TG[[#This Row],[ITEM]],"ok","mal")</f>
        <v>ok</v>
      </c>
      <c r="K361" s="79">
        <f t="shared" si="11"/>
        <v>0</v>
      </c>
      <c r="L361" s="80">
        <f>IF(VLOOKUP(B361,TbPiezas[],5,0)="NA",0,VLOOKUP(B361,TbPiezas[],5,0))</f>
        <v>9.6999999999999993</v>
      </c>
      <c r="M361" s="81">
        <f>TG[[#This Row],[TOTAL]]*TG[[#This Row],[P.U. (1)]]</f>
        <v>0</v>
      </c>
      <c r="N361" s="82">
        <f>+VLOOKUP(B361,TbPiezas[],6,0)</f>
        <v>1588.13</v>
      </c>
      <c r="O361" s="83">
        <f>TG[[#This Row],[TOTAL]]*TG[[#This Row],[P.U. (2)]]</f>
        <v>0</v>
      </c>
      <c r="P361" s="82">
        <f>+VLOOKUP(B361,TbPiezas[],7,0)</f>
        <v>79.406500000000008</v>
      </c>
      <c r="Q361" s="170">
        <f>ROUND(TG[[#This Row],[TOTAL]]*TG[[#This Row],[P.U. (3)]],2)</f>
        <v>0</v>
      </c>
      <c r="R361" s="326"/>
    </row>
    <row r="362" spans="2:18" hidden="1" x14ac:dyDescent="0.3">
      <c r="B362" s="76" t="s">
        <v>706</v>
      </c>
      <c r="C362" s="76" t="s">
        <v>707</v>
      </c>
      <c r="E362" s="120"/>
      <c r="F362" s="120"/>
      <c r="G362" s="74"/>
      <c r="I362" s="76" t="str">
        <f t="shared" si="10"/>
        <v>EN.4200</v>
      </c>
      <c r="J362" s="121" t="str">
        <f>+IF(B362=TG[[#This Row],[ITEM]],"ok","mal")</f>
        <v>ok</v>
      </c>
      <c r="K362" s="79">
        <f t="shared" si="11"/>
        <v>0</v>
      </c>
      <c r="L362" s="80">
        <f>IF(VLOOKUP(B362,TbPiezas[],5,0)="NA",0,VLOOKUP(B362,TbPiezas[],5,0))</f>
        <v>3</v>
      </c>
      <c r="M362" s="81">
        <f>TG[[#This Row],[TOTAL]]*TG[[#This Row],[P.U. (1)]]</f>
        <v>0</v>
      </c>
      <c r="N362" s="82">
        <f>+VLOOKUP(B362,TbPiezas[],6,0)</f>
        <v>54</v>
      </c>
      <c r="O362" s="83">
        <f>TG[[#This Row],[TOTAL]]*TG[[#This Row],[P.U. (2)]]</f>
        <v>0</v>
      </c>
      <c r="P362" s="82">
        <f>+VLOOKUP(B362,TbPiezas[],7,0)</f>
        <v>2.7</v>
      </c>
      <c r="Q362" s="170">
        <f>ROUND(TG[[#This Row],[TOTAL]]*TG[[#This Row],[P.U. (3)]],2)</f>
        <v>0</v>
      </c>
      <c r="R362" s="326"/>
    </row>
    <row r="363" spans="2:18" hidden="1" x14ac:dyDescent="0.3">
      <c r="B363" s="76" t="s">
        <v>708</v>
      </c>
      <c r="C363" s="76" t="s">
        <v>709</v>
      </c>
      <c r="E363" s="120"/>
      <c r="F363" s="120"/>
      <c r="G363" s="74"/>
      <c r="I363" s="76" t="str">
        <f t="shared" si="10"/>
        <v>EN.4300</v>
      </c>
      <c r="J363" s="121" t="str">
        <f>+IF(B363=TG[[#This Row],[ITEM]],"ok","mal")</f>
        <v>ok</v>
      </c>
      <c r="K363" s="79">
        <f t="shared" si="11"/>
        <v>0</v>
      </c>
      <c r="L363" s="80">
        <f>IF(VLOOKUP(B363,TbPiezas[],5,0)="NA",0,VLOOKUP(B363,TbPiezas[],5,0))</f>
        <v>7.5</v>
      </c>
      <c r="M363" s="81">
        <f>TG[[#This Row],[TOTAL]]*TG[[#This Row],[P.U. (1)]]</f>
        <v>0</v>
      </c>
      <c r="N363" s="82">
        <f>+VLOOKUP(B363,TbPiezas[],6,0)</f>
        <v>153.97999999999999</v>
      </c>
      <c r="O363" s="83">
        <f>TG[[#This Row],[TOTAL]]*TG[[#This Row],[P.U. (2)]]</f>
        <v>0</v>
      </c>
      <c r="P363" s="82">
        <f>+VLOOKUP(B363,TbPiezas[],7,0)</f>
        <v>7.6989999999999998</v>
      </c>
      <c r="Q363" s="170">
        <f>ROUND(TG[[#This Row],[TOTAL]]*TG[[#This Row],[P.U. (3)]],2)</f>
        <v>0</v>
      </c>
      <c r="R363" s="326"/>
    </row>
    <row r="364" spans="2:18" hidden="1" x14ac:dyDescent="0.3">
      <c r="B364" s="76" t="s">
        <v>710</v>
      </c>
      <c r="C364" s="76" t="s">
        <v>711</v>
      </c>
      <c r="E364" s="120"/>
      <c r="F364" s="120"/>
      <c r="G364" s="74"/>
      <c r="I364" s="76" t="str">
        <f t="shared" si="10"/>
        <v>EN.4400</v>
      </c>
      <c r="J364" s="121" t="str">
        <f>+IF(B364=TG[[#This Row],[ITEM]],"ok","mal")</f>
        <v>ok</v>
      </c>
      <c r="K364" s="79">
        <f t="shared" si="11"/>
        <v>0</v>
      </c>
      <c r="L364" s="80">
        <f>IF(VLOOKUP(B364,TbPiezas[],5,0)="NA",0,VLOOKUP(B364,TbPiezas[],5,0))</f>
        <v>2.2999999999999972</v>
      </c>
      <c r="M364" s="81">
        <f>TG[[#This Row],[TOTAL]]*TG[[#This Row],[P.U. (1)]]</f>
        <v>0</v>
      </c>
      <c r="N364" s="82">
        <f>+VLOOKUP(B364,TbPiezas[],6,0)</f>
        <v>76.87</v>
      </c>
      <c r="O364" s="83">
        <f>TG[[#This Row],[TOTAL]]*TG[[#This Row],[P.U. (2)]]</f>
        <v>0</v>
      </c>
      <c r="P364" s="82">
        <f>+VLOOKUP(B364,TbPiezas[],7,0)</f>
        <v>3.8435000000000006</v>
      </c>
      <c r="Q364" s="170">
        <f>ROUND(TG[[#This Row],[TOTAL]]*TG[[#This Row],[P.U. (3)]],2)</f>
        <v>0</v>
      </c>
      <c r="R364" s="326"/>
    </row>
    <row r="365" spans="2:18" hidden="1" x14ac:dyDescent="0.3">
      <c r="B365" s="76" t="s">
        <v>712</v>
      </c>
      <c r="C365" s="76" t="s">
        <v>713</v>
      </c>
      <c r="E365" s="120"/>
      <c r="F365" s="120"/>
      <c r="G365" s="74"/>
      <c r="I365" s="76" t="str">
        <f t="shared" si="10"/>
        <v>RE.0100</v>
      </c>
      <c r="J365" s="121" t="str">
        <f>+IF(B365=TG[[#This Row],[ITEM]],"ok","mal")</f>
        <v>ok</v>
      </c>
      <c r="K365" s="79">
        <f t="shared" si="11"/>
        <v>0</v>
      </c>
      <c r="L365" s="80">
        <f>IF(VLOOKUP(B365,TbPiezas[],5,0)="NA",0,VLOOKUP(B365,TbPiezas[],5,0))</f>
        <v>15.4</v>
      </c>
      <c r="M365" s="81">
        <f>TG[[#This Row],[TOTAL]]*TG[[#This Row],[P.U. (1)]]</f>
        <v>0</v>
      </c>
      <c r="N365" s="82">
        <f>+VLOOKUP(B365,TbPiezas[],6,0)</f>
        <v>479.16</v>
      </c>
      <c r="O365" s="83">
        <f>TG[[#This Row],[TOTAL]]*TG[[#This Row],[P.U. (2)]]</f>
        <v>0</v>
      </c>
      <c r="P365" s="82">
        <f>+VLOOKUP(B365,TbPiezas[],7,0)</f>
        <v>23.958000000000002</v>
      </c>
      <c r="Q365" s="170">
        <f>ROUND(TG[[#This Row],[TOTAL]]*TG[[#This Row],[P.U. (3)]],2)</f>
        <v>0</v>
      </c>
      <c r="R365" s="326"/>
    </row>
    <row r="366" spans="2:18" hidden="1" x14ac:dyDescent="0.3">
      <c r="B366" s="76" t="s">
        <v>714</v>
      </c>
      <c r="C366" s="76" t="s">
        <v>715</v>
      </c>
      <c r="E366" s="120"/>
      <c r="F366" s="120"/>
      <c r="G366" s="74"/>
      <c r="I366" s="76" t="str">
        <f t="shared" si="10"/>
        <v>RE.0150</v>
      </c>
      <c r="J366" s="121" t="str">
        <f>+IF(B366=TG[[#This Row],[ITEM]],"ok","mal")</f>
        <v>ok</v>
      </c>
      <c r="K366" s="79">
        <f t="shared" si="11"/>
        <v>0</v>
      </c>
      <c r="L366" s="80">
        <f>IF(VLOOKUP(B366,TbPiezas[],5,0)="NA",0,VLOOKUP(B366,TbPiezas[],5,0))</f>
        <v>0</v>
      </c>
      <c r="M366" s="81">
        <f>TG[[#This Row],[TOTAL]]*TG[[#This Row],[P.U. (1)]]</f>
        <v>0</v>
      </c>
      <c r="N366" s="82">
        <f>+VLOOKUP(B366,TbPiezas[],6,0)</f>
        <v>156.78</v>
      </c>
      <c r="O366" s="83">
        <f>TG[[#This Row],[TOTAL]]*TG[[#This Row],[P.U. (2)]]</f>
        <v>0</v>
      </c>
      <c r="P366" s="82">
        <f>+VLOOKUP(B366,TbPiezas[],7,0)</f>
        <v>7.8390000000000004</v>
      </c>
      <c r="Q366" s="170">
        <f>ROUND(TG[[#This Row],[TOTAL]]*TG[[#This Row],[P.U. (3)]],2)</f>
        <v>0</v>
      </c>
      <c r="R366" s="326"/>
    </row>
    <row r="367" spans="2:18" hidden="1" x14ac:dyDescent="0.3">
      <c r="B367" s="76" t="s">
        <v>716</v>
      </c>
      <c r="C367" s="76" t="s">
        <v>717</v>
      </c>
      <c r="E367" s="120"/>
      <c r="F367" s="120"/>
      <c r="G367" s="74"/>
      <c r="I367" s="76" t="str">
        <f t="shared" si="10"/>
        <v>RE.0200</v>
      </c>
      <c r="J367" s="121" t="str">
        <f>+IF(B367=TG[[#This Row],[ITEM]],"ok","mal")</f>
        <v>ok</v>
      </c>
      <c r="K367" s="79">
        <f t="shared" si="11"/>
        <v>0</v>
      </c>
      <c r="L367" s="80">
        <f>IF(VLOOKUP(B367,TbPiezas[],5,0)="NA",0,VLOOKUP(B367,TbPiezas[],5,0))</f>
        <v>19.7</v>
      </c>
      <c r="M367" s="81">
        <f>TG[[#This Row],[TOTAL]]*TG[[#This Row],[P.U. (1)]]</f>
        <v>0</v>
      </c>
      <c r="N367" s="82">
        <f>+VLOOKUP(B367,TbPiezas[],6,0)</f>
        <v>815.76</v>
      </c>
      <c r="O367" s="83">
        <f>TG[[#This Row],[TOTAL]]*TG[[#This Row],[P.U. (2)]]</f>
        <v>0</v>
      </c>
      <c r="P367" s="82">
        <f>+VLOOKUP(B367,TbPiezas[],7,0)</f>
        <v>40.788000000000004</v>
      </c>
      <c r="Q367" s="170">
        <f>ROUND(TG[[#This Row],[TOTAL]]*TG[[#This Row],[P.U. (3)]],2)</f>
        <v>0</v>
      </c>
      <c r="R367" s="326"/>
    </row>
    <row r="368" spans="2:18" hidden="1" x14ac:dyDescent="0.3">
      <c r="B368" s="76" t="s">
        <v>718</v>
      </c>
      <c r="C368" s="76" t="s">
        <v>719</v>
      </c>
      <c r="E368" s="120"/>
      <c r="F368" s="120"/>
      <c r="G368" s="74"/>
      <c r="I368" s="76" t="str">
        <f t="shared" si="10"/>
        <v>RE.0250</v>
      </c>
      <c r="J368" s="121" t="str">
        <f>+IF(B368=TG[[#This Row],[ITEM]],"ok","mal")</f>
        <v>ok</v>
      </c>
      <c r="K368" s="79">
        <f t="shared" si="11"/>
        <v>0</v>
      </c>
      <c r="L368" s="80">
        <f>IF(VLOOKUP(B368,TbPiezas[],5,0)="NA",0,VLOOKUP(B368,TbPiezas[],5,0))</f>
        <v>0</v>
      </c>
      <c r="M368" s="81">
        <f>TG[[#This Row],[TOTAL]]*TG[[#This Row],[P.U. (1)]]</f>
        <v>0</v>
      </c>
      <c r="N368" s="82">
        <f>+VLOOKUP(B368,TbPiezas[],6,0)</f>
        <v>156.78</v>
      </c>
      <c r="O368" s="83">
        <f>TG[[#This Row],[TOTAL]]*TG[[#This Row],[P.U. (2)]]</f>
        <v>0</v>
      </c>
      <c r="P368" s="82">
        <f>+VLOOKUP(B368,TbPiezas[],7,0)</f>
        <v>7.8390000000000004</v>
      </c>
      <c r="Q368" s="170">
        <f>ROUND(TG[[#This Row],[TOTAL]]*TG[[#This Row],[P.U. (3)]],2)</f>
        <v>0</v>
      </c>
      <c r="R368" s="326"/>
    </row>
    <row r="369" spans="2:18" hidden="1" x14ac:dyDescent="0.3">
      <c r="B369" s="76" t="s">
        <v>720</v>
      </c>
      <c r="C369" s="76" t="s">
        <v>721</v>
      </c>
      <c r="E369" s="120"/>
      <c r="F369" s="120"/>
      <c r="G369" s="74"/>
      <c r="I369" s="76" t="str">
        <f t="shared" si="10"/>
        <v>RE.0260</v>
      </c>
      <c r="J369" s="121" t="str">
        <f>+IF(B369=TG[[#This Row],[ITEM]],"ok","mal")</f>
        <v>ok</v>
      </c>
      <c r="K369" s="79">
        <f t="shared" si="11"/>
        <v>0</v>
      </c>
      <c r="L369" s="80">
        <f>IF(VLOOKUP(B369,TbPiezas[],5,0)="NA",0,VLOOKUP(B369,TbPiezas[],5,0))</f>
        <v>0</v>
      </c>
      <c r="M369" s="81">
        <f>TG[[#This Row],[TOTAL]]*TG[[#This Row],[P.U. (1)]]</f>
        <v>0</v>
      </c>
      <c r="N369" s="82">
        <f>+VLOOKUP(B369,TbPiezas[],6,0)</f>
        <v>161.4</v>
      </c>
      <c r="O369" s="83">
        <f>TG[[#This Row],[TOTAL]]*TG[[#This Row],[P.U. (2)]]</f>
        <v>0</v>
      </c>
      <c r="P369" s="82">
        <f>+VLOOKUP(B369,TbPiezas[],7,0)</f>
        <v>8.07</v>
      </c>
      <c r="Q369" s="170">
        <f>ROUND(TG[[#This Row],[TOTAL]]*TG[[#This Row],[P.U. (3)]],2)</f>
        <v>0</v>
      </c>
      <c r="R369" s="326"/>
    </row>
    <row r="370" spans="2:18" hidden="1" x14ac:dyDescent="0.3">
      <c r="B370" s="76" t="s">
        <v>722</v>
      </c>
      <c r="C370" s="76" t="s">
        <v>723</v>
      </c>
      <c r="E370" s="120"/>
      <c r="F370" s="120"/>
      <c r="G370" s="74"/>
      <c r="I370" s="76" t="str">
        <f t="shared" si="10"/>
        <v>RE.0300</v>
      </c>
      <c r="J370" s="121" t="str">
        <f>+IF(B370=TG[[#This Row],[ITEM]],"ok","mal")</f>
        <v>ok</v>
      </c>
      <c r="K370" s="79">
        <f t="shared" si="11"/>
        <v>0</v>
      </c>
      <c r="L370" s="80">
        <f>IF(VLOOKUP(B370,TbPiezas[],5,0)="NA",0,VLOOKUP(B370,TbPiezas[],5,0))</f>
        <v>9.4</v>
      </c>
      <c r="M370" s="81">
        <f>TG[[#This Row],[TOTAL]]*TG[[#This Row],[P.U. (1)]]</f>
        <v>0</v>
      </c>
      <c r="N370" s="82">
        <f>+VLOOKUP(B370,TbPiezas[],6,0)</f>
        <v>1001.88</v>
      </c>
      <c r="O370" s="83">
        <f>TG[[#This Row],[TOTAL]]*TG[[#This Row],[P.U. (2)]]</f>
        <v>0</v>
      </c>
      <c r="P370" s="82">
        <f>+VLOOKUP(B370,TbPiezas[],7,0)</f>
        <v>50.094000000000001</v>
      </c>
      <c r="Q370" s="170">
        <f>ROUND(TG[[#This Row],[TOTAL]]*TG[[#This Row],[P.U. (3)]],2)</f>
        <v>0</v>
      </c>
      <c r="R370" s="326"/>
    </row>
    <row r="371" spans="2:18" hidden="1" x14ac:dyDescent="0.3">
      <c r="B371" s="76" t="s">
        <v>724</v>
      </c>
      <c r="C371" s="76" t="s">
        <v>725</v>
      </c>
      <c r="E371" s="120"/>
      <c r="F371" s="120"/>
      <c r="G371" s="74"/>
      <c r="I371" s="76" t="str">
        <f t="shared" si="10"/>
        <v>RE.0400</v>
      </c>
      <c r="J371" s="121" t="str">
        <f>+IF(B371=TG[[#This Row],[ITEM]],"ok","mal")</f>
        <v>ok</v>
      </c>
      <c r="K371" s="79">
        <f t="shared" si="11"/>
        <v>0</v>
      </c>
      <c r="L371" s="80">
        <f>IF(VLOOKUP(B371,TbPiezas[],5,0)="NA",0,VLOOKUP(B371,TbPiezas[],5,0))</f>
        <v>27.1</v>
      </c>
      <c r="M371" s="81">
        <f>TG[[#This Row],[TOTAL]]*TG[[#This Row],[P.U. (1)]]</f>
        <v>0</v>
      </c>
      <c r="N371" s="82">
        <f>+VLOOKUP(B371,TbPiezas[],6,0)</f>
        <v>1421.64</v>
      </c>
      <c r="O371" s="83">
        <f>TG[[#This Row],[TOTAL]]*TG[[#This Row],[P.U. (2)]]</f>
        <v>0</v>
      </c>
      <c r="P371" s="82">
        <f>+VLOOKUP(B371,TbPiezas[],7,0)</f>
        <v>71.082000000000008</v>
      </c>
      <c r="Q371" s="170">
        <f>ROUND(TG[[#This Row],[TOTAL]]*TG[[#This Row],[P.U. (3)]],2)</f>
        <v>0</v>
      </c>
      <c r="R371" s="326"/>
    </row>
    <row r="372" spans="2:18" hidden="1" x14ac:dyDescent="0.3">
      <c r="B372" s="76" t="s">
        <v>726</v>
      </c>
      <c r="C372" s="76" t="s">
        <v>727</v>
      </c>
      <c r="E372" s="120"/>
      <c r="F372" s="120"/>
      <c r="G372" s="74"/>
      <c r="I372" s="76" t="str">
        <f t="shared" si="10"/>
        <v>RE.0450</v>
      </c>
      <c r="J372" s="121" t="str">
        <f>+IF(B372=TG[[#This Row],[ITEM]],"ok","mal")</f>
        <v>ok</v>
      </c>
      <c r="K372" s="79">
        <f t="shared" si="11"/>
        <v>0</v>
      </c>
      <c r="L372" s="80">
        <f>IF(VLOOKUP(B372,TbPiezas[],5,0)="NA",0,VLOOKUP(B372,TbPiezas[],5,0))</f>
        <v>0</v>
      </c>
      <c r="M372" s="81">
        <f>TG[[#This Row],[TOTAL]]*TG[[#This Row],[P.U. (1)]]</f>
        <v>0</v>
      </c>
      <c r="N372" s="82">
        <f>+VLOOKUP(B372,TbPiezas[],6,0)</f>
        <v>225</v>
      </c>
      <c r="O372" s="83">
        <f>TG[[#This Row],[TOTAL]]*TG[[#This Row],[P.U. (2)]]</f>
        <v>0</v>
      </c>
      <c r="P372" s="82">
        <f>+VLOOKUP(B372,TbPiezas[],7,0)</f>
        <v>11.25</v>
      </c>
      <c r="Q372" s="170">
        <f>ROUND(TG[[#This Row],[TOTAL]]*TG[[#This Row],[P.U. (3)]],2)</f>
        <v>0</v>
      </c>
      <c r="R372" s="326"/>
    </row>
    <row r="373" spans="2:18" hidden="1" x14ac:dyDescent="0.3">
      <c r="B373" s="76" t="s">
        <v>728</v>
      </c>
      <c r="C373" s="76" t="s">
        <v>729</v>
      </c>
      <c r="E373" s="120"/>
      <c r="F373" s="120"/>
      <c r="G373" s="74"/>
      <c r="I373" s="76" t="str">
        <f t="shared" si="10"/>
        <v>RE.0460</v>
      </c>
      <c r="J373" s="121" t="str">
        <f>+IF(B373=TG[[#This Row],[ITEM]],"ok","mal")</f>
        <v>ok</v>
      </c>
      <c r="K373" s="79">
        <f t="shared" si="11"/>
        <v>0</v>
      </c>
      <c r="L373" s="80">
        <f>IF(VLOOKUP(B373,TbPiezas[],5,0)="NA",0,VLOOKUP(B373,TbPiezas[],5,0))</f>
        <v>0</v>
      </c>
      <c r="M373" s="81">
        <f>TG[[#This Row],[TOTAL]]*TG[[#This Row],[P.U. (1)]]</f>
        <v>0</v>
      </c>
      <c r="N373" s="82">
        <f>+VLOOKUP(B373,TbPiezas[],6,0)</f>
        <v>126</v>
      </c>
      <c r="O373" s="83">
        <f>TG[[#This Row],[TOTAL]]*TG[[#This Row],[P.U. (2)]]</f>
        <v>0</v>
      </c>
      <c r="P373" s="82">
        <f>+VLOOKUP(B373,TbPiezas[],7,0)</f>
        <v>6.3000000000000007</v>
      </c>
      <c r="Q373" s="170">
        <f>ROUND(TG[[#This Row],[TOTAL]]*TG[[#This Row],[P.U. (3)]],2)</f>
        <v>0</v>
      </c>
      <c r="R373" s="326"/>
    </row>
    <row r="374" spans="2:18" hidden="1" x14ac:dyDescent="0.3">
      <c r="B374" s="76" t="s">
        <v>730</v>
      </c>
      <c r="C374" s="76" t="s">
        <v>731</v>
      </c>
      <c r="E374" s="120"/>
      <c r="F374" s="120"/>
      <c r="G374" s="74"/>
      <c r="I374" s="76" t="str">
        <f t="shared" si="10"/>
        <v>RE.0470</v>
      </c>
      <c r="J374" s="121" t="str">
        <f>+IF(B374=TG[[#This Row],[ITEM]],"ok","mal")</f>
        <v>ok</v>
      </c>
      <c r="K374" s="79">
        <f t="shared" si="11"/>
        <v>0</v>
      </c>
      <c r="L374" s="80">
        <f>IF(VLOOKUP(B374,TbPiezas[],5,0)="NA",0,VLOOKUP(B374,TbPiezas[],5,0))</f>
        <v>0</v>
      </c>
      <c r="M374" s="81">
        <f>TG[[#This Row],[TOTAL]]*TG[[#This Row],[P.U. (1)]]</f>
        <v>0</v>
      </c>
      <c r="N374" s="82">
        <f>+VLOOKUP(B374,TbPiezas[],6,0)</f>
        <v>161.4</v>
      </c>
      <c r="O374" s="83">
        <f>TG[[#This Row],[TOTAL]]*TG[[#This Row],[P.U. (2)]]</f>
        <v>0</v>
      </c>
      <c r="P374" s="82">
        <f>+VLOOKUP(B374,TbPiezas[],7,0)</f>
        <v>8.07</v>
      </c>
      <c r="Q374" s="170">
        <f>ROUND(TG[[#This Row],[TOTAL]]*TG[[#This Row],[P.U. (3)]],2)</f>
        <v>0</v>
      </c>
      <c r="R374" s="326"/>
    </row>
    <row r="375" spans="2:18" hidden="1" x14ac:dyDescent="0.3">
      <c r="B375" s="76" t="s">
        <v>732</v>
      </c>
      <c r="C375" s="76" t="s">
        <v>733</v>
      </c>
      <c r="E375" s="120"/>
      <c r="F375" s="120"/>
      <c r="G375" s="74"/>
      <c r="I375" s="76" t="str">
        <f t="shared" si="10"/>
        <v>RE.0500</v>
      </c>
      <c r="J375" s="121" t="str">
        <f>+IF(B375=TG[[#This Row],[ITEM]],"ok","mal")</f>
        <v>ok</v>
      </c>
      <c r="K375" s="79">
        <f t="shared" si="11"/>
        <v>0</v>
      </c>
      <c r="L375" s="80">
        <f>IF(VLOOKUP(B375,TbPiezas[],5,0)="NA",0,VLOOKUP(B375,TbPiezas[],5,0))</f>
        <v>1</v>
      </c>
      <c r="M375" s="81">
        <f>TG[[#This Row],[TOTAL]]*TG[[#This Row],[P.U. (1)]]</f>
        <v>0</v>
      </c>
      <c r="N375" s="82">
        <f>+VLOOKUP(B375,TbPiezas[],6,0)</f>
        <v>142.56</v>
      </c>
      <c r="O375" s="83">
        <f>TG[[#This Row],[TOTAL]]*TG[[#This Row],[P.U. (2)]]</f>
        <v>0</v>
      </c>
      <c r="P375" s="82">
        <f>+VLOOKUP(B375,TbPiezas[],7,0)</f>
        <v>7.1280000000000001</v>
      </c>
      <c r="Q375" s="170">
        <f>ROUND(TG[[#This Row],[TOTAL]]*TG[[#This Row],[P.U. (3)]],2)</f>
        <v>0</v>
      </c>
      <c r="R375" s="326"/>
    </row>
    <row r="376" spans="2:18" hidden="1" x14ac:dyDescent="0.3">
      <c r="B376" s="76" t="s">
        <v>734</v>
      </c>
      <c r="C376" s="76" t="s">
        <v>735</v>
      </c>
      <c r="E376" s="120"/>
      <c r="F376" s="120"/>
      <c r="G376" s="74"/>
      <c r="I376" s="76" t="str">
        <f t="shared" si="10"/>
        <v>RE.0600</v>
      </c>
      <c r="J376" s="121" t="str">
        <f>+IF(B376=TG[[#This Row],[ITEM]],"ok","mal")</f>
        <v>ok</v>
      </c>
      <c r="K376" s="79">
        <f t="shared" si="11"/>
        <v>0</v>
      </c>
      <c r="L376" s="80">
        <f>IF(VLOOKUP(B376,TbPiezas[],5,0)="NA",0,VLOOKUP(B376,TbPiezas[],5,0))</f>
        <v>13</v>
      </c>
      <c r="M376" s="81">
        <f>TG[[#This Row],[TOTAL]]*TG[[#This Row],[P.U. (1)]]</f>
        <v>0</v>
      </c>
      <c r="N376" s="82">
        <f>+VLOOKUP(B376,TbPiezas[],6,0)</f>
        <v>2459.16</v>
      </c>
      <c r="O376" s="83">
        <f>TG[[#This Row],[TOTAL]]*TG[[#This Row],[P.U. (2)]]</f>
        <v>0</v>
      </c>
      <c r="P376" s="82">
        <f>+VLOOKUP(B376,TbPiezas[],7,0)</f>
        <v>122.958</v>
      </c>
      <c r="Q376" s="170">
        <f>ROUND(TG[[#This Row],[TOTAL]]*TG[[#This Row],[P.U. (3)]],2)</f>
        <v>0</v>
      </c>
      <c r="R376" s="326"/>
    </row>
    <row r="377" spans="2:18" hidden="1" x14ac:dyDescent="0.3">
      <c r="B377" s="76" t="s">
        <v>736</v>
      </c>
      <c r="C377" s="76" t="s">
        <v>737</v>
      </c>
      <c r="E377" s="120"/>
      <c r="F377" s="120"/>
      <c r="G377" s="74"/>
      <c r="I377" s="76" t="str">
        <f t="shared" si="10"/>
        <v>RE.0700</v>
      </c>
      <c r="J377" s="121" t="str">
        <f>+IF(B377=TG[[#This Row],[ITEM]],"ok","mal")</f>
        <v>ok</v>
      </c>
      <c r="K377" s="79">
        <f t="shared" si="11"/>
        <v>0</v>
      </c>
      <c r="L377" s="80">
        <f>IF(VLOOKUP(B377,TbPiezas[],5,0)="NA",0,VLOOKUP(B377,TbPiezas[],5,0))</f>
        <v>2.5</v>
      </c>
      <c r="M377" s="81">
        <f>TG[[#This Row],[TOTAL]]*TG[[#This Row],[P.U. (1)]]</f>
        <v>0</v>
      </c>
      <c r="N377" s="82">
        <f>+VLOOKUP(B377,TbPiezas[],6,0)</f>
        <v>253.44</v>
      </c>
      <c r="O377" s="83">
        <f>TG[[#This Row],[TOTAL]]*TG[[#This Row],[P.U. (2)]]</f>
        <v>0</v>
      </c>
      <c r="P377" s="82">
        <f>+VLOOKUP(B377,TbPiezas[],7,0)</f>
        <v>12.672000000000001</v>
      </c>
      <c r="Q377" s="170">
        <f>ROUND(TG[[#This Row],[TOTAL]]*TG[[#This Row],[P.U. (3)]],2)</f>
        <v>0</v>
      </c>
      <c r="R377" s="326"/>
    </row>
    <row r="378" spans="2:18" hidden="1" x14ac:dyDescent="0.3">
      <c r="B378" s="76" t="s">
        <v>738</v>
      </c>
      <c r="C378" s="76" t="s">
        <v>739</v>
      </c>
      <c r="E378" s="120"/>
      <c r="F378" s="120"/>
      <c r="G378" s="74"/>
      <c r="I378" s="76" t="str">
        <f t="shared" si="10"/>
        <v>RE.0800</v>
      </c>
      <c r="J378" s="121" t="str">
        <f>+IF(B378=TG[[#This Row],[ITEM]],"ok","mal")</f>
        <v>ok</v>
      </c>
      <c r="K378" s="79">
        <f t="shared" si="11"/>
        <v>0</v>
      </c>
      <c r="L378" s="80">
        <f>IF(VLOOKUP(B378,TbPiezas[],5,0)="NA",0,VLOOKUP(B378,TbPiezas[],5,0))</f>
        <v>0.15</v>
      </c>
      <c r="M378" s="81">
        <f>TG[[#This Row],[TOTAL]]*TG[[#This Row],[P.U. (1)]]</f>
        <v>0</v>
      </c>
      <c r="N378" s="82">
        <f>+VLOOKUP(B378,TbPiezas[],6,0)</f>
        <v>18</v>
      </c>
      <c r="O378" s="83">
        <f>TG[[#This Row],[TOTAL]]*TG[[#This Row],[P.U. (2)]]</f>
        <v>0</v>
      </c>
      <c r="P378" s="82">
        <f>+VLOOKUP(B378,TbPiezas[],7,0)</f>
        <v>0.9</v>
      </c>
      <c r="Q378" s="170">
        <f>ROUND(TG[[#This Row],[TOTAL]]*TG[[#This Row],[P.U. (3)]],2)</f>
        <v>0</v>
      </c>
      <c r="R378" s="326"/>
    </row>
    <row r="379" spans="2:18" hidden="1" x14ac:dyDescent="0.3">
      <c r="B379" s="76" t="s">
        <v>740</v>
      </c>
      <c r="C379" s="76" t="s">
        <v>741</v>
      </c>
      <c r="E379" s="120"/>
      <c r="F379" s="120"/>
      <c r="G379" s="74"/>
      <c r="I379" s="76" t="str">
        <f t="shared" si="10"/>
        <v>RE.0810</v>
      </c>
      <c r="J379" s="121" t="str">
        <f>+IF(B379=TG[[#This Row],[ITEM]],"ok","mal")</f>
        <v>ok</v>
      </c>
      <c r="K379" s="79">
        <f t="shared" si="11"/>
        <v>0</v>
      </c>
      <c r="L379" s="80">
        <f>IF(VLOOKUP(B379,TbPiezas[],5,0)="NA",0,VLOOKUP(B379,TbPiezas[],5,0))</f>
        <v>0.01</v>
      </c>
      <c r="M379" s="81">
        <f>TG[[#This Row],[TOTAL]]*TG[[#This Row],[P.U. (1)]]</f>
        <v>0</v>
      </c>
      <c r="N379" s="82">
        <f>+VLOOKUP(B379,TbPiezas[],6,0)</f>
        <v>2</v>
      </c>
      <c r="O379" s="83">
        <f>TG[[#This Row],[TOTAL]]*TG[[#This Row],[P.U. (2)]]</f>
        <v>0</v>
      </c>
      <c r="P379" s="82">
        <f>+VLOOKUP(B379,TbPiezas[],7,0)</f>
        <v>0.1</v>
      </c>
      <c r="Q379" s="170">
        <f>ROUND(TG[[#This Row],[TOTAL]]*TG[[#This Row],[P.U. (3)]],2)</f>
        <v>0</v>
      </c>
      <c r="R379" s="326"/>
    </row>
    <row r="380" spans="2:18" hidden="1" x14ac:dyDescent="0.3">
      <c r="B380" s="390" t="s">
        <v>742</v>
      </c>
      <c r="C380" s="390" t="s">
        <v>743</v>
      </c>
      <c r="E380" s="120"/>
      <c r="F380" s="120"/>
      <c r="G380" s="74"/>
      <c r="I380" s="76" t="str">
        <f t="shared" si="10"/>
        <v>RE.0900</v>
      </c>
      <c r="J380" s="121" t="str">
        <f>+IF(B380=TG[[#This Row],[ITEM]],"ok","mal")</f>
        <v>ok</v>
      </c>
      <c r="K380" s="79">
        <f t="shared" si="11"/>
        <v>0</v>
      </c>
      <c r="L380" s="80">
        <f>IF(VLOOKUP(B380,TbPiezas[],5,0)="NA",0,VLOOKUP(B380,TbPiezas[],5,0))</f>
        <v>0</v>
      </c>
      <c r="M380" s="81">
        <f>TG[[#This Row],[TOTAL]]*TG[[#This Row],[P.U. (1)]]</f>
        <v>0</v>
      </c>
      <c r="N380" s="82">
        <f>+VLOOKUP(B380,TbPiezas[],6,0)</f>
        <v>249</v>
      </c>
      <c r="O380" s="83">
        <f>TG[[#This Row],[TOTAL]]*TG[[#This Row],[P.U. (2)]]</f>
        <v>0</v>
      </c>
      <c r="P380" s="82">
        <f>+VLOOKUP(B380,TbPiezas[],7,0)</f>
        <v>12.450000000000001</v>
      </c>
      <c r="Q380" s="170">
        <f>ROUND(TG[[#This Row],[TOTAL]]*TG[[#This Row],[P.U. (3)]],2)</f>
        <v>0</v>
      </c>
      <c r="R380" s="326"/>
    </row>
    <row r="381" spans="2:18" hidden="1" x14ac:dyDescent="0.3">
      <c r="B381" s="433" t="s">
        <v>744</v>
      </c>
      <c r="C381" s="240" t="s">
        <v>745</v>
      </c>
      <c r="E381" s="120"/>
      <c r="F381" s="120"/>
      <c r="G381" s="74"/>
      <c r="I381" s="76" t="str">
        <f t="shared" si="10"/>
        <v>EV.0100</v>
      </c>
      <c r="J381" s="121" t="str">
        <f>+IF(B381=TG[[#This Row],[ITEM]],"ok","mal")</f>
        <v>ok</v>
      </c>
      <c r="K381" s="79">
        <f t="shared" si="11"/>
        <v>0</v>
      </c>
      <c r="L381" s="80">
        <f>IF(VLOOKUP(B381,TbPiezas[],5,0)="NA",0,VLOOKUP(B381,TbPiezas[],5,0))</f>
        <v>1100</v>
      </c>
      <c r="M381" s="81">
        <f>TG[[#This Row],[TOTAL]]*TG[[#This Row],[P.U. (1)]]</f>
        <v>0</v>
      </c>
      <c r="N381" s="82">
        <f>+VLOOKUP(B381,TbPiezas[],6,0)</f>
        <v>60984</v>
      </c>
      <c r="O381" s="83">
        <f>TG[[#This Row],[TOTAL]]*TG[[#This Row],[P.U. (2)]]</f>
        <v>0</v>
      </c>
      <c r="P381" s="82">
        <f>+VLOOKUP(B381,TbPiezas[],7,0)</f>
        <v>3049.2000000000003</v>
      </c>
      <c r="Q381" s="170">
        <f>ROUND(TG[[#This Row],[TOTAL]]*TG[[#This Row],[P.U. (3)]],2)</f>
        <v>0</v>
      </c>
      <c r="R381" s="326"/>
    </row>
    <row r="382" spans="2:18" hidden="1" x14ac:dyDescent="0.3">
      <c r="B382" s="433" t="s">
        <v>746</v>
      </c>
      <c r="C382" s="240" t="s">
        <v>747</v>
      </c>
      <c r="E382" s="120"/>
      <c r="F382" s="120"/>
      <c r="G382" s="74"/>
      <c r="I382" s="76" t="str">
        <f t="shared" si="10"/>
        <v>EV.0200</v>
      </c>
      <c r="J382" s="121" t="str">
        <f>+IF(B382=TG[[#This Row],[ITEM]],"ok","mal")</f>
        <v>ok</v>
      </c>
      <c r="K382" s="79">
        <f t="shared" si="11"/>
        <v>0</v>
      </c>
      <c r="L382" s="80">
        <f>IF(VLOOKUP(B382,TbPiezas[],5,0)="NA",0,VLOOKUP(B382,TbPiezas[],5,0))</f>
        <v>1100</v>
      </c>
      <c r="M382" s="81">
        <f>TG[[#This Row],[TOTAL]]*TG[[#This Row],[P.U. (1)]]</f>
        <v>0</v>
      </c>
      <c r="N382" s="82">
        <f>+VLOOKUP(B382,TbPiezas[],6,0)</f>
        <v>60984</v>
      </c>
      <c r="O382" s="83">
        <f>TG[[#This Row],[TOTAL]]*TG[[#This Row],[P.U. (2)]]</f>
        <v>0</v>
      </c>
      <c r="P382" s="82">
        <f>+VLOOKUP(B382,TbPiezas[],7,0)</f>
        <v>3049.2000000000003</v>
      </c>
      <c r="Q382" s="170">
        <f>ROUND(TG[[#This Row],[TOTAL]]*TG[[#This Row],[P.U. (3)]],2)</f>
        <v>0</v>
      </c>
      <c r="R382" s="326"/>
    </row>
    <row r="383" spans="2:18" hidden="1" x14ac:dyDescent="0.3">
      <c r="B383" s="433" t="s">
        <v>1409</v>
      </c>
      <c r="C383" s="240" t="s">
        <v>1405</v>
      </c>
      <c r="E383" s="120"/>
      <c r="F383" s="120"/>
      <c r="G383" s="74"/>
      <c r="I383" s="76" t="str">
        <f t="shared" si="10"/>
        <v>EV.0210</v>
      </c>
      <c r="J383" s="121" t="str">
        <f>+IF(B383=TG[[#This Row],[ITEM]],"ok","mal")</f>
        <v>ok</v>
      </c>
      <c r="K383" s="79">
        <f t="shared" si="11"/>
        <v>0</v>
      </c>
      <c r="L383" s="80">
        <f>IF(VLOOKUP(B383,TbPiezas[],5,0)="NA",0,VLOOKUP(B383,TbPiezas[],5,0))</f>
        <v>0</v>
      </c>
      <c r="M383" s="81">
        <f>TG[[#This Row],[TOTAL]]*TG[[#This Row],[P.U. (1)]]</f>
        <v>0</v>
      </c>
      <c r="N383" s="82">
        <f>+VLOOKUP(B383,TbPiezas[],6,0)</f>
        <v>0</v>
      </c>
      <c r="O383" s="83">
        <f>TG[[#This Row],[TOTAL]]*TG[[#This Row],[P.U. (2)]]</f>
        <v>0</v>
      </c>
      <c r="P383" s="82">
        <f>+VLOOKUP(B383,TbPiezas[],7,0)</f>
        <v>0</v>
      </c>
      <c r="Q383" s="170">
        <f>ROUND(TG[[#This Row],[TOTAL]]*TG[[#This Row],[P.U. (3)]],2)</f>
        <v>0</v>
      </c>
      <c r="R383" s="326"/>
    </row>
    <row r="384" spans="2:18" hidden="1" x14ac:dyDescent="0.3">
      <c r="B384" s="433" t="s">
        <v>1410</v>
      </c>
      <c r="C384" s="240" t="s">
        <v>1406</v>
      </c>
      <c r="E384" s="120"/>
      <c r="F384" s="120"/>
      <c r="G384" s="74"/>
      <c r="I384" s="76" t="str">
        <f t="shared" si="10"/>
        <v>EV.0220</v>
      </c>
      <c r="J384" s="121" t="str">
        <f>+IF(B384=TG[[#This Row],[ITEM]],"ok","mal")</f>
        <v>ok</v>
      </c>
      <c r="K384" s="79">
        <f t="shared" si="11"/>
        <v>0</v>
      </c>
      <c r="L384" s="80">
        <f>IF(VLOOKUP(B384,TbPiezas[],5,0)="NA",0,VLOOKUP(B384,TbPiezas[],5,0))</f>
        <v>0</v>
      </c>
      <c r="M384" s="81">
        <f>TG[[#This Row],[TOTAL]]*TG[[#This Row],[P.U. (1)]]</f>
        <v>0</v>
      </c>
      <c r="N384" s="82">
        <f>+VLOOKUP(B384,TbPiezas[],6,0)</f>
        <v>0</v>
      </c>
      <c r="O384" s="83">
        <f>TG[[#This Row],[TOTAL]]*TG[[#This Row],[P.U. (2)]]</f>
        <v>0</v>
      </c>
      <c r="P384" s="82">
        <f>+VLOOKUP(B384,TbPiezas[],7,0)</f>
        <v>0</v>
      </c>
      <c r="Q384" s="170">
        <f>ROUND(TG[[#This Row],[TOTAL]]*TG[[#This Row],[P.U. (3)]],2)</f>
        <v>0</v>
      </c>
      <c r="R384" s="326"/>
    </row>
    <row r="385" spans="2:18" hidden="1" x14ac:dyDescent="0.3">
      <c r="B385" s="433" t="s">
        <v>1411</v>
      </c>
      <c r="C385" s="240" t="s">
        <v>1407</v>
      </c>
      <c r="E385" s="120"/>
      <c r="F385" s="120"/>
      <c r="G385" s="74"/>
      <c r="I385" s="76" t="str">
        <f t="shared" si="10"/>
        <v>EV.0230</v>
      </c>
      <c r="J385" s="121" t="str">
        <f>+IF(B385=TG[[#This Row],[ITEM]],"ok","mal")</f>
        <v>ok</v>
      </c>
      <c r="K385" s="79">
        <f t="shared" si="11"/>
        <v>0</v>
      </c>
      <c r="L385" s="80">
        <f>IF(VLOOKUP(B385,TbPiezas[],5,0)="NA",0,VLOOKUP(B385,TbPiezas[],5,0))</f>
        <v>0</v>
      </c>
      <c r="M385" s="81">
        <f>TG[[#This Row],[TOTAL]]*TG[[#This Row],[P.U. (1)]]</f>
        <v>0</v>
      </c>
      <c r="N385" s="82">
        <f>+VLOOKUP(B385,TbPiezas[],6,0)</f>
        <v>0</v>
      </c>
      <c r="O385" s="83">
        <f>TG[[#This Row],[TOTAL]]*TG[[#This Row],[P.U. (2)]]</f>
        <v>0</v>
      </c>
      <c r="P385" s="82">
        <f>+VLOOKUP(B385,TbPiezas[],7,0)</f>
        <v>0</v>
      </c>
      <c r="Q385" s="170">
        <f>ROUND(TG[[#This Row],[TOTAL]]*TG[[#This Row],[P.U. (3)]],2)</f>
        <v>0</v>
      </c>
      <c r="R385" s="326"/>
    </row>
    <row r="386" spans="2:18" hidden="1" x14ac:dyDescent="0.3">
      <c r="B386" s="433" t="s">
        <v>1412</v>
      </c>
      <c r="C386" s="240" t="s">
        <v>1408</v>
      </c>
      <c r="E386" s="120"/>
      <c r="F386" s="120"/>
      <c r="G386" s="74"/>
      <c r="I386" s="76" t="str">
        <f t="shared" si="10"/>
        <v>EV.0240</v>
      </c>
      <c r="J386" s="121" t="str">
        <f>+IF(B386=TG[[#This Row],[ITEM]],"ok","mal")</f>
        <v>ok</v>
      </c>
      <c r="K386" s="79">
        <f t="shared" si="11"/>
        <v>0</v>
      </c>
      <c r="L386" s="80">
        <f>IF(VLOOKUP(B386,TbPiezas[],5,0)="NA",0,VLOOKUP(B386,TbPiezas[],5,0))</f>
        <v>0</v>
      </c>
      <c r="M386" s="81">
        <f>TG[[#This Row],[TOTAL]]*TG[[#This Row],[P.U. (1)]]</f>
        <v>0</v>
      </c>
      <c r="N386" s="82">
        <f>+VLOOKUP(B386,TbPiezas[],6,0)</f>
        <v>0</v>
      </c>
      <c r="O386" s="83">
        <f>TG[[#This Row],[TOTAL]]*TG[[#This Row],[P.U. (2)]]</f>
        <v>0</v>
      </c>
      <c r="P386" s="82">
        <f>+VLOOKUP(B386,TbPiezas[],7,0)</f>
        <v>0</v>
      </c>
      <c r="Q386" s="170">
        <f>ROUND(TG[[#This Row],[TOTAL]]*TG[[#This Row],[P.U. (3)]],2)</f>
        <v>0</v>
      </c>
      <c r="R386" s="326"/>
    </row>
    <row r="387" spans="2:18" hidden="1" x14ac:dyDescent="0.3">
      <c r="B387" s="433" t="s">
        <v>748</v>
      </c>
      <c r="C387" s="240" t="s">
        <v>1414</v>
      </c>
      <c r="E387" s="120"/>
      <c r="F387" s="120"/>
      <c r="G387" s="74"/>
      <c r="I387" s="76" t="str">
        <f t="shared" si="10"/>
        <v>EV.0300</v>
      </c>
      <c r="J387" s="121" t="str">
        <f>+IF(B387=TG[[#This Row],[ITEM]],"ok","mal")</f>
        <v>ok</v>
      </c>
      <c r="K387" s="79">
        <f t="shared" si="11"/>
        <v>0</v>
      </c>
      <c r="L387" s="80">
        <f>IF(VLOOKUP(B387,TbPiezas[],5,0)="NA",0,VLOOKUP(B387,TbPiezas[],5,0))</f>
        <v>0</v>
      </c>
      <c r="M387" s="81">
        <f>TG[[#This Row],[TOTAL]]*TG[[#This Row],[P.U. (1)]]</f>
        <v>0</v>
      </c>
      <c r="N387" s="82">
        <f>+VLOOKUP(B387,TbPiezas[],6,0)</f>
        <v>9528.75</v>
      </c>
      <c r="O387" s="83">
        <f>TG[[#This Row],[TOTAL]]*TG[[#This Row],[P.U. (2)]]</f>
        <v>0</v>
      </c>
      <c r="P387" s="82">
        <f>+VLOOKUP(B387,TbPiezas[],7,0)</f>
        <v>476.4375</v>
      </c>
      <c r="Q387" s="170">
        <f>ROUND(TG[[#This Row],[TOTAL]]*TG[[#This Row],[P.U. (3)]],2)</f>
        <v>0</v>
      </c>
      <c r="R387" s="326"/>
    </row>
    <row r="388" spans="2:18" hidden="1" x14ac:dyDescent="0.3">
      <c r="B388" s="433" t="s">
        <v>1415</v>
      </c>
      <c r="C388" s="240" t="s">
        <v>1413</v>
      </c>
      <c r="E388" s="120"/>
      <c r="F388" s="120"/>
      <c r="G388" s="74"/>
      <c r="I388" s="76" t="str">
        <f t="shared" si="10"/>
        <v>EV.0310</v>
      </c>
      <c r="J388" s="121" t="str">
        <f>+IF(B388=TG[[#This Row],[ITEM]],"ok","mal")</f>
        <v>ok</v>
      </c>
      <c r="K388" s="79">
        <f t="shared" si="11"/>
        <v>0</v>
      </c>
      <c r="L388" s="80">
        <f>IF(VLOOKUP(B388,TbPiezas[],5,0)="NA",0,VLOOKUP(B388,TbPiezas[],5,0))</f>
        <v>0</v>
      </c>
      <c r="M388" s="81">
        <f>TG[[#This Row],[TOTAL]]*TG[[#This Row],[P.U. (1)]]</f>
        <v>0</v>
      </c>
      <c r="N388" s="82">
        <f>+VLOOKUP(B388,TbPiezas[],6,0)</f>
        <v>0</v>
      </c>
      <c r="O388" s="83">
        <f>TG[[#This Row],[TOTAL]]*TG[[#This Row],[P.U. (2)]]</f>
        <v>0</v>
      </c>
      <c r="P388" s="82">
        <f>+VLOOKUP(B388,TbPiezas[],7,0)</f>
        <v>0</v>
      </c>
      <c r="Q388" s="170">
        <f>ROUND(TG[[#This Row],[TOTAL]]*TG[[#This Row],[P.U. (3)]],2)</f>
        <v>0</v>
      </c>
      <c r="R388" s="326"/>
    </row>
    <row r="389" spans="2:18" hidden="1" x14ac:dyDescent="0.3">
      <c r="B389" s="433" t="s">
        <v>749</v>
      </c>
      <c r="C389" s="240" t="s">
        <v>750</v>
      </c>
      <c r="E389" s="120"/>
      <c r="F389" s="120"/>
      <c r="G389" s="74"/>
      <c r="I389" s="76" t="str">
        <f t="shared" si="10"/>
        <v>EV.0400</v>
      </c>
      <c r="J389" s="121" t="str">
        <f>+IF(B389=TG[[#This Row],[ITEM]],"ok","mal")</f>
        <v>ok</v>
      </c>
      <c r="K389" s="79">
        <f t="shared" si="11"/>
        <v>0</v>
      </c>
      <c r="L389" s="80">
        <f>IF(VLOOKUP(B389,TbPiezas[],5,0)="NA",0,VLOOKUP(B389,TbPiezas[],5,0))</f>
        <v>0</v>
      </c>
      <c r="M389" s="81">
        <f>TG[[#This Row],[TOTAL]]*TG[[#This Row],[P.U. (1)]]</f>
        <v>0</v>
      </c>
      <c r="N389" s="82">
        <f>+VLOOKUP(B389,TbPiezas[],6,0)</f>
        <v>444.68</v>
      </c>
      <c r="O389" s="83">
        <f>TG[[#This Row],[TOTAL]]*TG[[#This Row],[P.U. (2)]]</f>
        <v>0</v>
      </c>
      <c r="P389" s="82">
        <f>+VLOOKUP(B389,TbPiezas[],7,0)</f>
        <v>22.234000000000002</v>
      </c>
      <c r="Q389" s="170">
        <f>ROUND(TG[[#This Row],[TOTAL]]*TG[[#This Row],[P.U. (3)]],2)</f>
        <v>0</v>
      </c>
      <c r="R389" s="326"/>
    </row>
    <row r="390" spans="2:18" hidden="1" x14ac:dyDescent="0.3">
      <c r="B390" s="433" t="s">
        <v>751</v>
      </c>
      <c r="C390" s="240" t="s">
        <v>752</v>
      </c>
      <c r="E390" s="120"/>
      <c r="F390" s="120"/>
      <c r="G390" s="74"/>
      <c r="I390" s="76" t="str">
        <f t="shared" ref="I390:I453" si="12">+B390</f>
        <v>EV.0500</v>
      </c>
      <c r="J390" s="121" t="str">
        <f>+IF(B390=TG[[#This Row],[ITEM]],"ok","mal")</f>
        <v>ok</v>
      </c>
      <c r="K390" s="79">
        <f t="shared" si="11"/>
        <v>0</v>
      </c>
      <c r="L390" s="80">
        <f>IF(VLOOKUP(B390,TbPiezas[],5,0)="NA",0,VLOOKUP(B390,TbPiezas[],5,0))</f>
        <v>0</v>
      </c>
      <c r="M390" s="81">
        <f>TG[[#This Row],[TOTAL]]*TG[[#This Row],[P.U. (1)]]</f>
        <v>0</v>
      </c>
      <c r="N390" s="82">
        <f>+VLOOKUP(B390,TbPiezas[],6,0)</f>
        <v>4446.75</v>
      </c>
      <c r="O390" s="83">
        <f>TG[[#This Row],[TOTAL]]*TG[[#This Row],[P.U. (2)]]</f>
        <v>0</v>
      </c>
      <c r="P390" s="82">
        <f>+VLOOKUP(B390,TbPiezas[],7,0)</f>
        <v>222.33750000000001</v>
      </c>
      <c r="Q390" s="170">
        <f>ROUND(TG[[#This Row],[TOTAL]]*TG[[#This Row],[P.U. (3)]],2)</f>
        <v>0</v>
      </c>
      <c r="R390" s="326"/>
    </row>
    <row r="391" spans="2:18" hidden="1" x14ac:dyDescent="0.3">
      <c r="B391" s="433" t="s">
        <v>753</v>
      </c>
      <c r="C391" s="240" t="s">
        <v>754</v>
      </c>
      <c r="E391" s="120"/>
      <c r="F391" s="120"/>
      <c r="G391" s="74"/>
      <c r="I391" s="76" t="str">
        <f t="shared" si="12"/>
        <v>EV.0600</v>
      </c>
      <c r="J391" s="121" t="str">
        <f>+IF(B391=TG[[#This Row],[ITEM]],"ok","mal")</f>
        <v>ok</v>
      </c>
      <c r="K391" s="79">
        <f t="shared" si="11"/>
        <v>0</v>
      </c>
      <c r="L391" s="80">
        <f>IF(VLOOKUP(B391,TbPiezas[],5,0)="NA",0,VLOOKUP(B391,TbPiezas[],5,0))</f>
        <v>0</v>
      </c>
      <c r="M391" s="81">
        <f>TG[[#This Row],[TOTAL]]*TG[[#This Row],[P.U. (1)]]</f>
        <v>0</v>
      </c>
      <c r="N391" s="82">
        <f>+VLOOKUP(B391,TbPiezas[],6,0)</f>
        <v>152.46</v>
      </c>
      <c r="O391" s="83">
        <f>TG[[#This Row],[TOTAL]]*TG[[#This Row],[P.U. (2)]]</f>
        <v>0</v>
      </c>
      <c r="P391" s="82">
        <f>+VLOOKUP(B391,TbPiezas[],7,0)</f>
        <v>7.6230000000000011</v>
      </c>
      <c r="Q391" s="170">
        <f>ROUND(TG[[#This Row],[TOTAL]]*TG[[#This Row],[P.U. (3)]],2)</f>
        <v>0</v>
      </c>
      <c r="R391" s="326"/>
    </row>
    <row r="392" spans="2:18" hidden="1" x14ac:dyDescent="0.3">
      <c r="B392" s="433" t="s">
        <v>755</v>
      </c>
      <c r="C392" s="240" t="s">
        <v>756</v>
      </c>
      <c r="E392" s="120"/>
      <c r="F392" s="120"/>
      <c r="G392" s="74"/>
      <c r="I392" s="76" t="str">
        <f t="shared" si="12"/>
        <v>EV.0700</v>
      </c>
      <c r="J392" s="121" t="str">
        <f>+IF(B392=TG[[#This Row],[ITEM]],"ok","mal")</f>
        <v>ok</v>
      </c>
      <c r="K392" s="79">
        <f t="shared" si="11"/>
        <v>0</v>
      </c>
      <c r="L392" s="80">
        <f>IF(VLOOKUP(B392,TbPiezas[],5,0)="NA",0,VLOOKUP(B392,TbPiezas[],5,0))</f>
        <v>0</v>
      </c>
      <c r="M392" s="81">
        <f>TG[[#This Row],[TOTAL]]*TG[[#This Row],[P.U. (1)]]</f>
        <v>0</v>
      </c>
      <c r="N392" s="82">
        <f>+VLOOKUP(B392,TbPiezas[],6,0)</f>
        <v>317.63</v>
      </c>
      <c r="O392" s="83">
        <f>TG[[#This Row],[TOTAL]]*TG[[#This Row],[P.U. (2)]]</f>
        <v>0</v>
      </c>
      <c r="P392" s="82">
        <f>+VLOOKUP(B392,TbPiezas[],7,0)</f>
        <v>15.881500000000001</v>
      </c>
      <c r="Q392" s="170">
        <f>ROUND(TG[[#This Row],[TOTAL]]*TG[[#This Row],[P.U. (3)]],2)</f>
        <v>0</v>
      </c>
      <c r="R392" s="326"/>
    </row>
    <row r="393" spans="2:18" hidden="1" x14ac:dyDescent="0.3">
      <c r="B393" s="433" t="s">
        <v>757</v>
      </c>
      <c r="C393" s="240" t="s">
        <v>758</v>
      </c>
      <c r="E393" s="120"/>
      <c r="F393" s="120"/>
      <c r="G393" s="74"/>
      <c r="I393" s="76" t="str">
        <f t="shared" si="12"/>
        <v>EV.0800</v>
      </c>
      <c r="J393" s="121" t="str">
        <f>+IF(B393=TG[[#This Row],[ITEM]],"ok","mal")</f>
        <v>ok</v>
      </c>
      <c r="K393" s="79">
        <f t="shared" si="11"/>
        <v>0</v>
      </c>
      <c r="L393" s="80">
        <f>IF(VLOOKUP(B393,TbPiezas[],5,0)="NA",0,VLOOKUP(B393,TbPiezas[],5,0))</f>
        <v>0</v>
      </c>
      <c r="M393" s="81">
        <f>TG[[#This Row],[TOTAL]]*TG[[#This Row],[P.U. (1)]]</f>
        <v>0</v>
      </c>
      <c r="N393" s="82">
        <f>+VLOOKUP(B393,TbPiezas[],6,0)</f>
        <v>444.68</v>
      </c>
      <c r="O393" s="83">
        <f>TG[[#This Row],[TOTAL]]*TG[[#This Row],[P.U. (2)]]</f>
        <v>0</v>
      </c>
      <c r="P393" s="82">
        <f>+VLOOKUP(B393,TbPiezas[],7,0)</f>
        <v>22.234000000000002</v>
      </c>
      <c r="Q393" s="170">
        <f>ROUND(TG[[#This Row],[TOTAL]]*TG[[#This Row],[P.U. (3)]],2)</f>
        <v>0</v>
      </c>
      <c r="R393" s="326"/>
    </row>
    <row r="394" spans="2:18" hidden="1" x14ac:dyDescent="0.3">
      <c r="B394" s="433" t="s">
        <v>759</v>
      </c>
      <c r="C394" s="240" t="s">
        <v>760</v>
      </c>
      <c r="E394" s="120"/>
      <c r="F394" s="120"/>
      <c r="G394" s="74"/>
      <c r="I394" s="76" t="str">
        <f t="shared" si="12"/>
        <v>EV.0900</v>
      </c>
      <c r="J394" s="121" t="str">
        <f>+IF(B394=TG[[#This Row],[ITEM]],"ok","mal")</f>
        <v>ok</v>
      </c>
      <c r="K394" s="79">
        <f t="shared" si="11"/>
        <v>0</v>
      </c>
      <c r="L394" s="80">
        <f>IF(VLOOKUP(B394,TbPiezas[],5,0)="NA",0,VLOOKUP(B394,TbPiezas[],5,0))</f>
        <v>0</v>
      </c>
      <c r="M394" s="81">
        <f>TG[[#This Row],[TOTAL]]*TG[[#This Row],[P.U. (1)]]</f>
        <v>0</v>
      </c>
      <c r="N394" s="82">
        <f>+VLOOKUP(B394,TbPiezas[],6,0)</f>
        <v>444.68</v>
      </c>
      <c r="O394" s="83">
        <f>TG[[#This Row],[TOTAL]]*TG[[#This Row],[P.U. (2)]]</f>
        <v>0</v>
      </c>
      <c r="P394" s="82">
        <f>+VLOOKUP(B394,TbPiezas[],7,0)</f>
        <v>22.234000000000002</v>
      </c>
      <c r="Q394" s="170">
        <f>ROUND(TG[[#This Row],[TOTAL]]*TG[[#This Row],[P.U. (3)]],2)</f>
        <v>0</v>
      </c>
      <c r="R394" s="326"/>
    </row>
    <row r="395" spans="2:18" hidden="1" x14ac:dyDescent="0.3">
      <c r="B395" s="435" t="s">
        <v>761</v>
      </c>
      <c r="C395" s="434" t="s">
        <v>762</v>
      </c>
      <c r="E395" s="120"/>
      <c r="F395" s="120"/>
      <c r="G395" s="74"/>
      <c r="I395" s="76" t="str">
        <f t="shared" si="12"/>
        <v>EV.1000</v>
      </c>
      <c r="J395" s="121" t="str">
        <f>+IF(B395=TG[[#This Row],[ITEM]],"ok","mal")</f>
        <v>ok</v>
      </c>
      <c r="K395" s="79">
        <f t="shared" ref="K395:K458" si="13">SUM(D395:H395)</f>
        <v>0</v>
      </c>
      <c r="L395" s="80">
        <f>IF(VLOOKUP(B395,TbPiezas[],5,0)="NA",0,VLOOKUP(B395,TbPiezas[],5,0))</f>
        <v>2</v>
      </c>
      <c r="M395" s="81">
        <f>TG[[#This Row],[TOTAL]]*TG[[#This Row],[P.U. (1)]]</f>
        <v>0</v>
      </c>
      <c r="N395" s="82">
        <f>+VLOOKUP(B395,TbPiezas[],6,0)</f>
        <v>317.63</v>
      </c>
      <c r="O395" s="83">
        <f>TG[[#This Row],[TOTAL]]*TG[[#This Row],[P.U. (2)]]</f>
        <v>0</v>
      </c>
      <c r="P395" s="82">
        <f>+VLOOKUP(B395,TbPiezas[],7,0)</f>
        <v>15.881500000000001</v>
      </c>
      <c r="Q395" s="170">
        <f>ROUND(TG[[#This Row],[TOTAL]]*TG[[#This Row],[P.U. (3)]],2)</f>
        <v>0</v>
      </c>
      <c r="R395" s="326"/>
    </row>
    <row r="396" spans="2:18" hidden="1" x14ac:dyDescent="0.3">
      <c r="B396" s="433" t="s">
        <v>763</v>
      </c>
      <c r="C396" s="240" t="s">
        <v>764</v>
      </c>
      <c r="E396" s="120"/>
      <c r="F396" s="120"/>
      <c r="G396" s="74"/>
      <c r="I396" s="76" t="str">
        <f t="shared" si="12"/>
        <v>EV.1100</v>
      </c>
      <c r="J396" s="121" t="str">
        <f>+IF(B396=TG[[#This Row],[ITEM]],"ok","mal")</f>
        <v>ok</v>
      </c>
      <c r="K396" s="79">
        <f t="shared" si="13"/>
        <v>0</v>
      </c>
      <c r="L396" s="80">
        <f>IF(VLOOKUP(B396,TbPiezas[],5,0)="NA",0,VLOOKUP(B396,TbPiezas[],5,0))</f>
        <v>9.5</v>
      </c>
      <c r="M396" s="81">
        <f>TG[[#This Row],[TOTAL]]*TG[[#This Row],[P.U. (1)]]</f>
        <v>0</v>
      </c>
      <c r="N396" s="82">
        <f>+VLOOKUP(B396,TbPiezas[],6,0)</f>
        <v>827.08</v>
      </c>
      <c r="O396" s="83">
        <f>TG[[#This Row],[TOTAL]]*TG[[#This Row],[P.U. (2)]]</f>
        <v>0</v>
      </c>
      <c r="P396" s="82">
        <f>+VLOOKUP(B396,TbPiezas[],7,0)</f>
        <v>41.354000000000006</v>
      </c>
      <c r="Q396" s="170">
        <f>ROUND(TG[[#This Row],[TOTAL]]*TG[[#This Row],[P.U. (3)]],2)</f>
        <v>0</v>
      </c>
      <c r="R396" s="326"/>
    </row>
    <row r="397" spans="2:18" hidden="1" x14ac:dyDescent="0.3">
      <c r="B397" s="433" t="s">
        <v>1420</v>
      </c>
      <c r="C397" s="240" t="s">
        <v>1416</v>
      </c>
      <c r="E397" s="120"/>
      <c r="F397" s="120"/>
      <c r="G397" s="74"/>
      <c r="I397" s="76" t="str">
        <f t="shared" si="12"/>
        <v>EV.1110</v>
      </c>
      <c r="J397" s="121" t="str">
        <f>+IF(B397=TG[[#This Row],[ITEM]],"ok","mal")</f>
        <v>ok</v>
      </c>
      <c r="K397" s="79">
        <f t="shared" si="13"/>
        <v>0</v>
      </c>
      <c r="L397" s="80">
        <f>IF(VLOOKUP(B397,TbPiezas[],5,0)="NA",0,VLOOKUP(B397,TbPiezas[],5,0))</f>
        <v>0</v>
      </c>
      <c r="M397" s="81">
        <f>TG[[#This Row],[TOTAL]]*TG[[#This Row],[P.U. (1)]]</f>
        <v>0</v>
      </c>
      <c r="N397" s="82">
        <f>+VLOOKUP(B397,TbPiezas[],6,0)</f>
        <v>0</v>
      </c>
      <c r="O397" s="83">
        <f>TG[[#This Row],[TOTAL]]*TG[[#This Row],[P.U. (2)]]</f>
        <v>0</v>
      </c>
      <c r="P397" s="82">
        <f>+VLOOKUP(B397,TbPiezas[],7,0)</f>
        <v>0</v>
      </c>
      <c r="Q397" s="170">
        <f>ROUND(TG[[#This Row],[TOTAL]]*TG[[#This Row],[P.U. (3)]],2)</f>
        <v>0</v>
      </c>
      <c r="R397" s="326"/>
    </row>
    <row r="398" spans="2:18" hidden="1" x14ac:dyDescent="0.3">
      <c r="B398" s="433" t="s">
        <v>1421</v>
      </c>
      <c r="C398" s="240" t="s">
        <v>1417</v>
      </c>
      <c r="E398" s="120"/>
      <c r="F398" s="120"/>
      <c r="G398" s="74"/>
      <c r="I398" s="76" t="str">
        <f t="shared" si="12"/>
        <v>EV.1120</v>
      </c>
      <c r="J398" s="121" t="str">
        <f>+IF(B398=TG[[#This Row],[ITEM]],"ok","mal")</f>
        <v>ok</v>
      </c>
      <c r="K398" s="79">
        <f t="shared" si="13"/>
        <v>0</v>
      </c>
      <c r="L398" s="80">
        <f>IF(VLOOKUP(B398,TbPiezas[],5,0)="NA",0,VLOOKUP(B398,TbPiezas[],5,0))</f>
        <v>0</v>
      </c>
      <c r="M398" s="81">
        <f>TG[[#This Row],[TOTAL]]*TG[[#This Row],[P.U. (1)]]</f>
        <v>0</v>
      </c>
      <c r="N398" s="82">
        <f>+VLOOKUP(B398,TbPiezas[],6,0)</f>
        <v>0</v>
      </c>
      <c r="O398" s="83">
        <f>TG[[#This Row],[TOTAL]]*TG[[#This Row],[P.U. (2)]]</f>
        <v>0</v>
      </c>
      <c r="P398" s="82">
        <f>+VLOOKUP(B398,TbPiezas[],7,0)</f>
        <v>0</v>
      </c>
      <c r="Q398" s="170">
        <f>ROUND(TG[[#This Row],[TOTAL]]*TG[[#This Row],[P.U. (3)]],2)</f>
        <v>0</v>
      </c>
      <c r="R398" s="326"/>
    </row>
    <row r="399" spans="2:18" hidden="1" x14ac:dyDescent="0.3">
      <c r="B399" s="433" t="s">
        <v>1422</v>
      </c>
      <c r="C399" s="240" t="s">
        <v>1418</v>
      </c>
      <c r="E399" s="120"/>
      <c r="F399" s="120"/>
      <c r="G399" s="74"/>
      <c r="I399" s="76" t="str">
        <f t="shared" si="12"/>
        <v>EV.1130</v>
      </c>
      <c r="J399" s="121" t="str">
        <f>+IF(B399=TG[[#This Row],[ITEM]],"ok","mal")</f>
        <v>ok</v>
      </c>
      <c r="K399" s="79">
        <f t="shared" si="13"/>
        <v>0</v>
      </c>
      <c r="L399" s="80">
        <f>IF(VLOOKUP(B399,TbPiezas[],5,0)="NA",0,VLOOKUP(B399,TbPiezas[],5,0))</f>
        <v>0</v>
      </c>
      <c r="M399" s="81">
        <f>TG[[#This Row],[TOTAL]]*TG[[#This Row],[P.U. (1)]]</f>
        <v>0</v>
      </c>
      <c r="N399" s="82">
        <f>+VLOOKUP(B399,TbPiezas[],6,0)</f>
        <v>0</v>
      </c>
      <c r="O399" s="83">
        <f>TG[[#This Row],[TOTAL]]*TG[[#This Row],[P.U. (2)]]</f>
        <v>0</v>
      </c>
      <c r="P399" s="82">
        <f>+VLOOKUP(B399,TbPiezas[],7,0)</f>
        <v>0</v>
      </c>
      <c r="Q399" s="170">
        <f>ROUND(TG[[#This Row],[TOTAL]]*TG[[#This Row],[P.U. (3)]],2)</f>
        <v>0</v>
      </c>
      <c r="R399" s="326"/>
    </row>
    <row r="400" spans="2:18" hidden="1" x14ac:dyDescent="0.3">
      <c r="B400" s="433" t="s">
        <v>1423</v>
      </c>
      <c r="C400" s="240" t="s">
        <v>1419</v>
      </c>
      <c r="E400" s="120"/>
      <c r="F400" s="120"/>
      <c r="G400" s="74"/>
      <c r="I400" s="76" t="str">
        <f t="shared" si="12"/>
        <v>EV.1140</v>
      </c>
      <c r="J400" s="121" t="str">
        <f>+IF(B400=TG[[#This Row],[ITEM]],"ok","mal")</f>
        <v>ok</v>
      </c>
      <c r="K400" s="79">
        <f t="shared" si="13"/>
        <v>0</v>
      </c>
      <c r="L400" s="80">
        <f>IF(VLOOKUP(B400,TbPiezas[],5,0)="NA",0,VLOOKUP(B400,TbPiezas[],5,0))</f>
        <v>0</v>
      </c>
      <c r="M400" s="81">
        <f>TG[[#This Row],[TOTAL]]*TG[[#This Row],[P.U. (1)]]</f>
        <v>0</v>
      </c>
      <c r="N400" s="82">
        <f>+VLOOKUP(B400,TbPiezas[],6,0)</f>
        <v>0</v>
      </c>
      <c r="O400" s="83">
        <f>TG[[#This Row],[TOTAL]]*TG[[#This Row],[P.U. (2)]]</f>
        <v>0</v>
      </c>
      <c r="P400" s="82">
        <f>+VLOOKUP(B400,TbPiezas[],7,0)</f>
        <v>0</v>
      </c>
      <c r="Q400" s="170">
        <f>ROUND(TG[[#This Row],[TOTAL]]*TG[[#This Row],[P.U. (3)]],2)</f>
        <v>0</v>
      </c>
      <c r="R400" s="326"/>
    </row>
    <row r="401" spans="2:18" hidden="1" x14ac:dyDescent="0.3">
      <c r="B401" s="433" t="s">
        <v>765</v>
      </c>
      <c r="C401" s="240" t="s">
        <v>1424</v>
      </c>
      <c r="E401" s="120"/>
      <c r="F401" s="120"/>
      <c r="G401" s="74"/>
      <c r="I401" s="76" t="str">
        <f t="shared" si="12"/>
        <v>EV.1200</v>
      </c>
      <c r="J401" s="121" t="str">
        <f>+IF(B401=TG[[#This Row],[ITEM]],"ok","mal")</f>
        <v>ok</v>
      </c>
      <c r="K401" s="79">
        <f t="shared" si="13"/>
        <v>0</v>
      </c>
      <c r="L401" s="80">
        <f>IF(VLOOKUP(B401,TbPiezas[],5,0)="NA",0,VLOOKUP(B401,TbPiezas[],5,0))</f>
        <v>0</v>
      </c>
      <c r="M401" s="81">
        <f>TG[[#This Row],[TOTAL]]*TG[[#This Row],[P.U. (1)]]</f>
        <v>0</v>
      </c>
      <c r="N401" s="82">
        <f>+VLOOKUP(B401,TbPiezas[],6,0)</f>
        <v>1905.75</v>
      </c>
      <c r="O401" s="83">
        <f>TG[[#This Row],[TOTAL]]*TG[[#This Row],[P.U. (2)]]</f>
        <v>0</v>
      </c>
      <c r="P401" s="82">
        <f>+VLOOKUP(B401,TbPiezas[],7,0)</f>
        <v>95.287500000000009</v>
      </c>
      <c r="Q401" s="170">
        <f>ROUND(TG[[#This Row],[TOTAL]]*TG[[#This Row],[P.U. (3)]],2)</f>
        <v>0</v>
      </c>
      <c r="R401" s="326"/>
    </row>
    <row r="402" spans="2:18" hidden="1" x14ac:dyDescent="0.3">
      <c r="B402" s="433" t="s">
        <v>1426</v>
      </c>
      <c r="C402" s="240" t="s">
        <v>1425</v>
      </c>
      <c r="E402" s="120"/>
      <c r="F402" s="120"/>
      <c r="G402" s="74"/>
      <c r="I402" s="76" t="str">
        <f t="shared" si="12"/>
        <v>EV.1210</v>
      </c>
      <c r="J402" s="121" t="str">
        <f>+IF(B402=TG[[#This Row],[ITEM]],"ok","mal")</f>
        <v>ok</v>
      </c>
      <c r="K402" s="79">
        <f t="shared" si="13"/>
        <v>0</v>
      </c>
      <c r="L402" s="80">
        <f>IF(VLOOKUP(B402,TbPiezas[],5,0)="NA",0,VLOOKUP(B402,TbPiezas[],5,0))</f>
        <v>0</v>
      </c>
      <c r="M402" s="81">
        <f>TG[[#This Row],[TOTAL]]*TG[[#This Row],[P.U. (1)]]</f>
        <v>0</v>
      </c>
      <c r="N402" s="82">
        <f>+VLOOKUP(B402,TbPiezas[],6,0)</f>
        <v>0</v>
      </c>
      <c r="O402" s="83">
        <f>TG[[#This Row],[TOTAL]]*TG[[#This Row],[P.U. (2)]]</f>
        <v>0</v>
      </c>
      <c r="P402" s="82">
        <f>+VLOOKUP(B402,TbPiezas[],7,0)</f>
        <v>0</v>
      </c>
      <c r="Q402" s="170">
        <f>ROUND(TG[[#This Row],[TOTAL]]*TG[[#This Row],[P.U. (3)]],2)</f>
        <v>0</v>
      </c>
      <c r="R402" s="326"/>
    </row>
    <row r="403" spans="2:18" hidden="1" x14ac:dyDescent="0.3">
      <c r="B403" s="433" t="s">
        <v>766</v>
      </c>
      <c r="C403" s="240" t="s">
        <v>767</v>
      </c>
      <c r="E403" s="120"/>
      <c r="F403" s="120"/>
      <c r="G403" s="74"/>
      <c r="I403" s="76" t="str">
        <f t="shared" si="12"/>
        <v>EV.1300</v>
      </c>
      <c r="J403" s="121" t="str">
        <f>+IF(B403=TG[[#This Row],[ITEM]],"ok","mal")</f>
        <v>ok</v>
      </c>
      <c r="K403" s="79">
        <f t="shared" si="13"/>
        <v>0</v>
      </c>
      <c r="L403" s="80">
        <f>IF(VLOOKUP(B403,TbPiezas[],5,0)="NA",0,VLOOKUP(B403,TbPiezas[],5,0))</f>
        <v>10</v>
      </c>
      <c r="M403" s="81">
        <f>TG[[#This Row],[TOTAL]]*TG[[#This Row],[P.U. (1)]]</f>
        <v>0</v>
      </c>
      <c r="N403" s="82">
        <f>+VLOOKUP(B403,TbPiezas[],6,0)</f>
        <v>3176.25</v>
      </c>
      <c r="O403" s="83">
        <f>TG[[#This Row],[TOTAL]]*TG[[#This Row],[P.U. (2)]]</f>
        <v>0</v>
      </c>
      <c r="P403" s="82">
        <f>+VLOOKUP(B403,TbPiezas[],7,0)</f>
        <v>158.8125</v>
      </c>
      <c r="Q403" s="170">
        <f>ROUND(TG[[#This Row],[TOTAL]]*TG[[#This Row],[P.U. (3)]],2)</f>
        <v>0</v>
      </c>
      <c r="R403" s="326"/>
    </row>
    <row r="404" spans="2:18" hidden="1" x14ac:dyDescent="0.3">
      <c r="B404" s="433" t="s">
        <v>768</v>
      </c>
      <c r="C404" s="240" t="s">
        <v>769</v>
      </c>
      <c r="E404" s="120"/>
      <c r="F404" s="120"/>
      <c r="G404" s="74"/>
      <c r="I404" s="76" t="str">
        <f t="shared" si="12"/>
        <v>EV.1400</v>
      </c>
      <c r="J404" s="121" t="str">
        <f>+IF(B404=TG[[#This Row],[ITEM]],"ok","mal")</f>
        <v>ok</v>
      </c>
      <c r="K404" s="79">
        <f t="shared" si="13"/>
        <v>0</v>
      </c>
      <c r="L404" s="80">
        <f>IF(VLOOKUP(B404,TbPiezas[],5,0)="NA",0,VLOOKUP(B404,TbPiezas[],5,0))</f>
        <v>5</v>
      </c>
      <c r="M404" s="81">
        <f>TG[[#This Row],[TOTAL]]*TG[[#This Row],[P.U. (1)]]</f>
        <v>0</v>
      </c>
      <c r="N404" s="82">
        <f>+VLOOKUP(B404,TbPiezas[],6,0)</f>
        <v>2413.9499999999998</v>
      </c>
      <c r="O404" s="83">
        <f>TG[[#This Row],[TOTAL]]*TG[[#This Row],[P.U. (2)]]</f>
        <v>0</v>
      </c>
      <c r="P404" s="82">
        <f>+VLOOKUP(B404,TbPiezas[],7,0)</f>
        <v>120.69749999999999</v>
      </c>
      <c r="Q404" s="170">
        <f>ROUND(TG[[#This Row],[TOTAL]]*TG[[#This Row],[P.U. (3)]],2)</f>
        <v>0</v>
      </c>
      <c r="R404" s="326"/>
    </row>
    <row r="405" spans="2:18" hidden="1" x14ac:dyDescent="0.3">
      <c r="B405" s="433" t="s">
        <v>770</v>
      </c>
      <c r="C405" s="240" t="s">
        <v>771</v>
      </c>
      <c r="E405" s="120"/>
      <c r="F405" s="120"/>
      <c r="G405" s="74"/>
      <c r="I405" s="76" t="str">
        <f t="shared" si="12"/>
        <v>EV.1500</v>
      </c>
      <c r="J405" s="121" t="str">
        <f>+IF(B405=TG[[#This Row],[ITEM]],"ok","mal")</f>
        <v>ok</v>
      </c>
      <c r="K405" s="79">
        <f t="shared" si="13"/>
        <v>0</v>
      </c>
      <c r="L405" s="80">
        <f>IF(VLOOKUP(B405,TbPiezas[],5,0)="NA",0,VLOOKUP(B405,TbPiezas[],5,0))</f>
        <v>0</v>
      </c>
      <c r="M405" s="81">
        <f>TG[[#This Row],[TOTAL]]*TG[[#This Row],[P.U. (1)]]</f>
        <v>0</v>
      </c>
      <c r="N405" s="82">
        <f>+VLOOKUP(B405,TbPiezas[],6,0)</f>
        <v>8639.4</v>
      </c>
      <c r="O405" s="83">
        <f>TG[[#This Row],[TOTAL]]*TG[[#This Row],[P.U. (2)]]</f>
        <v>0</v>
      </c>
      <c r="P405" s="82">
        <f>+VLOOKUP(B405,TbPiezas[],7,0)</f>
        <v>431.97</v>
      </c>
      <c r="Q405" s="170">
        <f>ROUND(TG[[#This Row],[TOTAL]]*TG[[#This Row],[P.U. (3)]],2)</f>
        <v>0</v>
      </c>
      <c r="R405" s="326"/>
    </row>
    <row r="406" spans="2:18" hidden="1" x14ac:dyDescent="0.3">
      <c r="B406" s="433" t="s">
        <v>772</v>
      </c>
      <c r="C406" s="240" t="s">
        <v>773</v>
      </c>
      <c r="E406" s="120"/>
      <c r="F406" s="120"/>
      <c r="G406" s="74"/>
      <c r="I406" s="76" t="str">
        <f t="shared" si="12"/>
        <v>EV.1600</v>
      </c>
      <c r="J406" s="121" t="str">
        <f>+IF(B406=TG[[#This Row],[ITEM]],"ok","mal")</f>
        <v>ok</v>
      </c>
      <c r="K406" s="79">
        <f t="shared" si="13"/>
        <v>0</v>
      </c>
      <c r="L406" s="80">
        <f>IF(VLOOKUP(B406,TbPiezas[],5,0)="NA",0,VLOOKUP(B406,TbPiezas[],5,0))</f>
        <v>0</v>
      </c>
      <c r="M406" s="81">
        <f>TG[[#This Row],[TOTAL]]*TG[[#This Row],[P.U. (1)]]</f>
        <v>0</v>
      </c>
      <c r="N406" s="82">
        <f>+VLOOKUP(B406,TbPiezas[],6,0)</f>
        <v>6987.75</v>
      </c>
      <c r="O406" s="83">
        <f>TG[[#This Row],[TOTAL]]*TG[[#This Row],[P.U. (2)]]</f>
        <v>0</v>
      </c>
      <c r="P406" s="82">
        <f>+VLOOKUP(B406,TbPiezas[],7,0)</f>
        <v>349.38750000000005</v>
      </c>
      <c r="Q406" s="170">
        <f>ROUND(TG[[#This Row],[TOTAL]]*TG[[#This Row],[P.U. (3)]],2)</f>
        <v>0</v>
      </c>
      <c r="R406" s="326"/>
    </row>
    <row r="407" spans="2:18" hidden="1" x14ac:dyDescent="0.3">
      <c r="B407" s="433" t="s">
        <v>774</v>
      </c>
      <c r="C407" s="240" t="s">
        <v>775</v>
      </c>
      <c r="E407" s="120"/>
      <c r="F407" s="120"/>
      <c r="G407" s="74"/>
      <c r="I407" s="76" t="str">
        <f t="shared" si="12"/>
        <v>EV.1700</v>
      </c>
      <c r="J407" s="121" t="str">
        <f>+IF(B407=TG[[#This Row],[ITEM]],"ok","mal")</f>
        <v>ok</v>
      </c>
      <c r="K407" s="79">
        <f t="shared" si="13"/>
        <v>0</v>
      </c>
      <c r="L407" s="80">
        <f>IF(VLOOKUP(B407,TbPiezas[],5,0)="NA",0,VLOOKUP(B407,TbPiezas[],5,0))</f>
        <v>6</v>
      </c>
      <c r="M407" s="81">
        <f>TG[[#This Row],[TOTAL]]*TG[[#This Row],[P.U. (1)]]</f>
        <v>0</v>
      </c>
      <c r="N407" s="82">
        <f>+VLOOKUP(B407,TbPiezas[],6,0)</f>
        <v>825.83</v>
      </c>
      <c r="O407" s="83">
        <f>TG[[#This Row],[TOTAL]]*TG[[#This Row],[P.U. (2)]]</f>
        <v>0</v>
      </c>
      <c r="P407" s="82">
        <f>+VLOOKUP(B407,TbPiezas[],7,0)</f>
        <v>41.291500000000006</v>
      </c>
      <c r="Q407" s="170">
        <f>ROUND(TG[[#This Row],[TOTAL]]*TG[[#This Row],[P.U. (3)]],2)</f>
        <v>0</v>
      </c>
      <c r="R407" s="326"/>
    </row>
    <row r="408" spans="2:18" hidden="1" x14ac:dyDescent="0.3">
      <c r="B408" s="433" t="s">
        <v>776</v>
      </c>
      <c r="C408" s="240" t="s">
        <v>777</v>
      </c>
      <c r="E408" s="120"/>
      <c r="F408" s="120"/>
      <c r="G408" s="74"/>
      <c r="I408" s="76" t="str">
        <f t="shared" si="12"/>
        <v>EV.1800</v>
      </c>
      <c r="J408" s="121" t="str">
        <f>+IF(B408=TG[[#This Row],[ITEM]],"ok","mal")</f>
        <v>ok</v>
      </c>
      <c r="K408" s="79">
        <f t="shared" si="13"/>
        <v>0</v>
      </c>
      <c r="L408" s="80">
        <f>IF(VLOOKUP(B408,TbPiezas[],5,0)="NA",0,VLOOKUP(B408,TbPiezas[],5,0))</f>
        <v>5.2</v>
      </c>
      <c r="M408" s="81">
        <f>TG[[#This Row],[TOTAL]]*TG[[#This Row],[P.U. (1)]]</f>
        <v>0</v>
      </c>
      <c r="N408" s="82">
        <f>+VLOOKUP(B408,TbPiezas[],6,0)</f>
        <v>825.83</v>
      </c>
      <c r="O408" s="83">
        <f>TG[[#This Row],[TOTAL]]*TG[[#This Row],[P.U. (2)]]</f>
        <v>0</v>
      </c>
      <c r="P408" s="82">
        <f>+VLOOKUP(B408,TbPiezas[],7,0)</f>
        <v>41.291500000000006</v>
      </c>
      <c r="Q408" s="170">
        <f>ROUND(TG[[#This Row],[TOTAL]]*TG[[#This Row],[P.U. (3)]],2)</f>
        <v>0</v>
      </c>
      <c r="R408" s="326"/>
    </row>
    <row r="409" spans="2:18" hidden="1" x14ac:dyDescent="0.3">
      <c r="B409" s="433" t="s">
        <v>778</v>
      </c>
      <c r="C409" s="240" t="s">
        <v>779</v>
      </c>
      <c r="E409" s="120"/>
      <c r="F409" s="120"/>
      <c r="G409" s="74"/>
      <c r="I409" s="76" t="str">
        <f t="shared" si="12"/>
        <v>EV.1900</v>
      </c>
      <c r="J409" s="121" t="str">
        <f>+IF(B409=TG[[#This Row],[ITEM]],"ok","mal")</f>
        <v>ok</v>
      </c>
      <c r="K409" s="79">
        <f t="shared" si="13"/>
        <v>0</v>
      </c>
      <c r="L409" s="80">
        <f>IF(VLOOKUP(B409,TbPiezas[],5,0)="NA",0,VLOOKUP(B409,TbPiezas[],5,0))</f>
        <v>1.8</v>
      </c>
      <c r="M409" s="81">
        <f>TG[[#This Row],[TOTAL]]*TG[[#This Row],[P.U. (1)]]</f>
        <v>0</v>
      </c>
      <c r="N409" s="82">
        <f>+VLOOKUP(B409,TbPiezas[],6,0)</f>
        <v>381.15</v>
      </c>
      <c r="O409" s="83">
        <f>TG[[#This Row],[TOTAL]]*TG[[#This Row],[P.U. (2)]]</f>
        <v>0</v>
      </c>
      <c r="P409" s="82">
        <f>+VLOOKUP(B409,TbPiezas[],7,0)</f>
        <v>19.057500000000001</v>
      </c>
      <c r="Q409" s="170">
        <f>ROUND(TG[[#This Row],[TOTAL]]*TG[[#This Row],[P.U. (3)]],2)</f>
        <v>0</v>
      </c>
      <c r="R409" s="326"/>
    </row>
    <row r="410" spans="2:18" hidden="1" x14ac:dyDescent="0.3">
      <c r="B410" s="433" t="s">
        <v>780</v>
      </c>
      <c r="C410" s="240" t="s">
        <v>1427</v>
      </c>
      <c r="E410" s="120"/>
      <c r="F410" s="120"/>
      <c r="G410" s="74"/>
      <c r="I410" s="76" t="str">
        <f t="shared" si="12"/>
        <v>EV.2000</v>
      </c>
      <c r="J410" s="121" t="str">
        <f>+IF(B410=TG[[#This Row],[ITEM]],"ok","mal")</f>
        <v>ok</v>
      </c>
      <c r="K410" s="79">
        <f t="shared" si="13"/>
        <v>0</v>
      </c>
      <c r="L410" s="80">
        <f>IF(VLOOKUP(B410,TbPiezas[],5,0)="NA",0,VLOOKUP(B410,TbPiezas[],5,0))</f>
        <v>70</v>
      </c>
      <c r="M410" s="81">
        <f>TG[[#This Row],[TOTAL]]*TG[[#This Row],[P.U. (1)]]</f>
        <v>0</v>
      </c>
      <c r="N410" s="82">
        <f>+VLOOKUP(B410,TbPiezas[],6,0)</f>
        <v>23698.639999999999</v>
      </c>
      <c r="O410" s="83">
        <f>TG[[#This Row],[TOTAL]]*TG[[#This Row],[P.U. (2)]]</f>
        <v>0</v>
      </c>
      <c r="P410" s="82">
        <f>+VLOOKUP(B410,TbPiezas[],7,0)</f>
        <v>1184.932</v>
      </c>
      <c r="Q410" s="170">
        <f>ROUND(TG[[#This Row],[TOTAL]]*TG[[#This Row],[P.U. (3)]],2)</f>
        <v>0</v>
      </c>
      <c r="R410" s="326"/>
    </row>
    <row r="411" spans="2:18" hidden="1" x14ac:dyDescent="0.3">
      <c r="B411" s="436" t="s">
        <v>1429</v>
      </c>
      <c r="C411" s="434" t="s">
        <v>1428</v>
      </c>
      <c r="E411" s="120"/>
      <c r="F411" s="120"/>
      <c r="G411" s="74"/>
      <c r="I411" s="76" t="str">
        <f t="shared" si="12"/>
        <v>EV.2050</v>
      </c>
      <c r="J411" s="121" t="str">
        <f>+IF(B411=TG[[#This Row],[ITEM]],"ok","mal")</f>
        <v>ok</v>
      </c>
      <c r="K411" s="79">
        <f t="shared" si="13"/>
        <v>0</v>
      </c>
      <c r="L411" s="80">
        <f>IF(VLOOKUP(B411,TbPiezas[],5,0)="NA",0,VLOOKUP(B411,TbPiezas[],5,0))</f>
        <v>0</v>
      </c>
      <c r="M411" s="81">
        <f>TG[[#This Row],[TOTAL]]*TG[[#This Row],[P.U. (1)]]</f>
        <v>0</v>
      </c>
      <c r="N411" s="82">
        <f>+VLOOKUP(B411,TbPiezas[],6,0)</f>
        <v>0</v>
      </c>
      <c r="O411" s="83">
        <f>TG[[#This Row],[TOTAL]]*TG[[#This Row],[P.U. (2)]]</f>
        <v>0</v>
      </c>
      <c r="P411" s="82">
        <f>+VLOOKUP(B411,TbPiezas[],7,0)</f>
        <v>0</v>
      </c>
      <c r="Q411" s="170">
        <f>ROUND(TG[[#This Row],[TOTAL]]*TG[[#This Row],[P.U. (3)]],2)</f>
        <v>0</v>
      </c>
      <c r="R411" s="326"/>
    </row>
    <row r="412" spans="2:18" hidden="1" x14ac:dyDescent="0.3">
      <c r="B412" s="433" t="s">
        <v>781</v>
      </c>
      <c r="C412" s="240" t="s">
        <v>1430</v>
      </c>
      <c r="E412" s="120"/>
      <c r="F412" s="120"/>
      <c r="G412" s="74"/>
      <c r="I412" s="76" t="str">
        <f t="shared" si="12"/>
        <v>EV.2100</v>
      </c>
      <c r="J412" s="121" t="str">
        <f>+IF(B412=TG[[#This Row],[ITEM]],"ok","mal")</f>
        <v>ok</v>
      </c>
      <c r="K412" s="79">
        <f t="shared" si="13"/>
        <v>0</v>
      </c>
      <c r="L412" s="80">
        <f>IF(VLOOKUP(B412,TbPiezas[],5,0)="NA",0,VLOOKUP(B412,TbPiezas[],5,0))</f>
        <v>16</v>
      </c>
      <c r="M412" s="81">
        <f>TG[[#This Row],[TOTAL]]*TG[[#This Row],[P.U. (1)]]</f>
        <v>0</v>
      </c>
      <c r="N412" s="82">
        <f>+VLOOKUP(B412,TbPiezas[],6,0)</f>
        <v>3176.25</v>
      </c>
      <c r="O412" s="83">
        <f>TG[[#This Row],[TOTAL]]*TG[[#This Row],[P.U. (2)]]</f>
        <v>0</v>
      </c>
      <c r="P412" s="82">
        <f>+VLOOKUP(B412,TbPiezas[],7,0)</f>
        <v>158.8125</v>
      </c>
      <c r="Q412" s="170">
        <f>ROUND(TG[[#This Row],[TOTAL]]*TG[[#This Row],[P.U. (3)]],2)</f>
        <v>0</v>
      </c>
      <c r="R412" s="326"/>
    </row>
    <row r="413" spans="2:18" hidden="1" x14ac:dyDescent="0.3">
      <c r="B413" s="433" t="s">
        <v>1432</v>
      </c>
      <c r="C413" s="240" t="s">
        <v>1431</v>
      </c>
      <c r="E413" s="120"/>
      <c r="F413" s="120"/>
      <c r="G413" s="74"/>
      <c r="I413" s="76" t="str">
        <f t="shared" si="12"/>
        <v>EV.2110</v>
      </c>
      <c r="J413" s="121" t="str">
        <f>+IF(B413=TG[[#This Row],[ITEM]],"ok","mal")</f>
        <v>ok</v>
      </c>
      <c r="K413" s="79">
        <f t="shared" si="13"/>
        <v>0</v>
      </c>
      <c r="L413" s="80">
        <f>IF(VLOOKUP(B413,TbPiezas[],5,0)="NA",0,VLOOKUP(B413,TbPiezas[],5,0))</f>
        <v>0</v>
      </c>
      <c r="M413" s="81">
        <f>TG[[#This Row],[TOTAL]]*TG[[#This Row],[P.U. (1)]]</f>
        <v>0</v>
      </c>
      <c r="N413" s="82">
        <f>+VLOOKUP(B413,TbPiezas[],6,0)</f>
        <v>0</v>
      </c>
      <c r="O413" s="83">
        <f>TG[[#This Row],[TOTAL]]*TG[[#This Row],[P.U. (2)]]</f>
        <v>0</v>
      </c>
      <c r="P413" s="82">
        <f>+VLOOKUP(B413,TbPiezas[],7,0)</f>
        <v>0</v>
      </c>
      <c r="Q413" s="170">
        <f>ROUND(TG[[#This Row],[TOTAL]]*TG[[#This Row],[P.U. (3)]],2)</f>
        <v>0</v>
      </c>
      <c r="R413" s="326"/>
    </row>
    <row r="414" spans="2:18" hidden="1" x14ac:dyDescent="0.3">
      <c r="B414" s="435" t="s">
        <v>782</v>
      </c>
      <c r="C414" s="434" t="s">
        <v>783</v>
      </c>
      <c r="E414" s="120"/>
      <c r="F414" s="120"/>
      <c r="G414" s="74"/>
      <c r="I414" s="76" t="str">
        <f t="shared" si="12"/>
        <v>EV.2200</v>
      </c>
      <c r="J414" s="121" t="str">
        <f>+IF(B414=TG[[#This Row],[ITEM]],"ok","mal")</f>
        <v>ok</v>
      </c>
      <c r="K414" s="79">
        <f t="shared" si="13"/>
        <v>0</v>
      </c>
      <c r="L414" s="80">
        <f>IF(VLOOKUP(B414,TbPiezas[],5,0)="NA",0,VLOOKUP(B414,TbPiezas[],5,0))</f>
        <v>400</v>
      </c>
      <c r="M414" s="81">
        <f>TG[[#This Row],[TOTAL]]*TG[[#This Row],[P.U. (1)]]</f>
        <v>0</v>
      </c>
      <c r="N414" s="82">
        <f>+VLOOKUP(B414,TbPiezas[],6,0)</f>
        <v>2413.9499999999998</v>
      </c>
      <c r="O414" s="83">
        <f>TG[[#This Row],[TOTAL]]*TG[[#This Row],[P.U. (2)]]</f>
        <v>0</v>
      </c>
      <c r="P414" s="82">
        <f>+VLOOKUP(B414,TbPiezas[],7,0)</f>
        <v>120.69749999999999</v>
      </c>
      <c r="Q414" s="170">
        <f>ROUND(TG[[#This Row],[TOTAL]]*TG[[#This Row],[P.U. (3)]],2)</f>
        <v>0</v>
      </c>
      <c r="R414" s="326"/>
    </row>
    <row r="415" spans="2:18" hidden="1" x14ac:dyDescent="0.3">
      <c r="B415" s="433" t="s">
        <v>784</v>
      </c>
      <c r="C415" s="240" t="s">
        <v>785</v>
      </c>
      <c r="E415" s="120"/>
      <c r="F415" s="120"/>
      <c r="G415" s="74"/>
      <c r="I415" s="76" t="str">
        <f t="shared" si="12"/>
        <v>EV.2300</v>
      </c>
      <c r="J415" s="121" t="str">
        <f>+IF(B415=TG[[#This Row],[ITEM]],"ok","mal")</f>
        <v>ok</v>
      </c>
      <c r="K415" s="79">
        <f t="shared" si="13"/>
        <v>0</v>
      </c>
      <c r="L415" s="80">
        <f>IF(VLOOKUP(B415,TbPiezas[],5,0)="NA",0,VLOOKUP(B415,TbPiezas[],5,0))</f>
        <v>17.8</v>
      </c>
      <c r="M415" s="81">
        <f>TG[[#This Row],[TOTAL]]*TG[[#This Row],[P.U. (1)]]</f>
        <v>0</v>
      </c>
      <c r="N415" s="82">
        <f>+VLOOKUP(B415,TbPiezas[],6,0)</f>
        <v>3176.25</v>
      </c>
      <c r="O415" s="83">
        <f>TG[[#This Row],[TOTAL]]*TG[[#This Row],[P.U. (2)]]</f>
        <v>0</v>
      </c>
      <c r="P415" s="82">
        <f>+VLOOKUP(B415,TbPiezas[],7,0)</f>
        <v>158.8125</v>
      </c>
      <c r="Q415" s="170">
        <f>ROUND(TG[[#This Row],[TOTAL]]*TG[[#This Row],[P.U. (3)]],2)</f>
        <v>0</v>
      </c>
      <c r="R415" s="326"/>
    </row>
    <row r="416" spans="2:18" hidden="1" x14ac:dyDescent="0.3">
      <c r="B416" s="433" t="s">
        <v>1434</v>
      </c>
      <c r="C416" s="240" t="s">
        <v>1433</v>
      </c>
      <c r="E416" s="120"/>
      <c r="F416" s="120"/>
      <c r="G416" s="74"/>
      <c r="I416" s="76" t="str">
        <f t="shared" si="12"/>
        <v>EV.2310</v>
      </c>
      <c r="J416" s="121" t="str">
        <f>+IF(B416=TG[[#This Row],[ITEM]],"ok","mal")</f>
        <v>ok</v>
      </c>
      <c r="K416" s="79">
        <f t="shared" si="13"/>
        <v>0</v>
      </c>
      <c r="L416" s="80">
        <f>IF(VLOOKUP(B416,TbPiezas[],5,0)="NA",0,VLOOKUP(B416,TbPiezas[],5,0))</f>
        <v>0</v>
      </c>
      <c r="M416" s="81">
        <f>TG[[#This Row],[TOTAL]]*TG[[#This Row],[P.U. (1)]]</f>
        <v>0</v>
      </c>
      <c r="N416" s="82">
        <f>+VLOOKUP(B416,TbPiezas[],6,0)</f>
        <v>0</v>
      </c>
      <c r="O416" s="83">
        <f>TG[[#This Row],[TOTAL]]*TG[[#This Row],[P.U. (2)]]</f>
        <v>0</v>
      </c>
      <c r="P416" s="82">
        <f>+VLOOKUP(B416,TbPiezas[],7,0)</f>
        <v>0</v>
      </c>
      <c r="Q416" s="170">
        <f>ROUND(TG[[#This Row],[TOTAL]]*TG[[#This Row],[P.U. (3)]],2)</f>
        <v>0</v>
      </c>
      <c r="R416" s="326"/>
    </row>
    <row r="417" spans="2:18" hidden="1" x14ac:dyDescent="0.3">
      <c r="B417" s="433" t="s">
        <v>786</v>
      </c>
      <c r="C417" s="240" t="s">
        <v>787</v>
      </c>
      <c r="E417" s="120"/>
      <c r="F417" s="120"/>
      <c r="G417" s="74"/>
      <c r="I417" s="76" t="str">
        <f t="shared" si="12"/>
        <v>EV.2400</v>
      </c>
      <c r="J417" s="121" t="str">
        <f>+IF(B417=TG[[#This Row],[ITEM]],"ok","mal")</f>
        <v>ok</v>
      </c>
      <c r="K417" s="79">
        <f t="shared" si="13"/>
        <v>0</v>
      </c>
      <c r="L417" s="80">
        <f>IF(VLOOKUP(B417,TbPiezas[],5,0)="NA",0,VLOOKUP(B417,TbPiezas[],5,0))</f>
        <v>0.1</v>
      </c>
      <c r="M417" s="81">
        <f>TG[[#This Row],[TOTAL]]*TG[[#This Row],[P.U. (1)]]</f>
        <v>0</v>
      </c>
      <c r="N417" s="82">
        <f>+VLOOKUP(B417,TbPiezas[],6,0)</f>
        <v>190.58</v>
      </c>
      <c r="O417" s="83">
        <f>TG[[#This Row],[TOTAL]]*TG[[#This Row],[P.U. (2)]]</f>
        <v>0</v>
      </c>
      <c r="P417" s="82">
        <f>+VLOOKUP(B417,TbPiezas[],7,0)</f>
        <v>9.5290000000000017</v>
      </c>
      <c r="Q417" s="170">
        <f>ROUND(TG[[#This Row],[TOTAL]]*TG[[#This Row],[P.U. (3)]],2)</f>
        <v>0</v>
      </c>
      <c r="R417" s="326"/>
    </row>
    <row r="418" spans="2:18" hidden="1" x14ac:dyDescent="0.3">
      <c r="B418" s="433" t="s">
        <v>788</v>
      </c>
      <c r="C418" s="240" t="s">
        <v>1435</v>
      </c>
      <c r="E418" s="120"/>
      <c r="F418" s="120"/>
      <c r="G418" s="74"/>
      <c r="I418" s="76" t="str">
        <f t="shared" si="12"/>
        <v>EV.2500</v>
      </c>
      <c r="J418" s="121" t="str">
        <f>+IF(B418=TG[[#This Row],[ITEM]],"ok","mal")</f>
        <v>ok</v>
      </c>
      <c r="K418" s="79">
        <f t="shared" si="13"/>
        <v>0</v>
      </c>
      <c r="L418" s="80">
        <f>IF(VLOOKUP(B418,TbPiezas[],5,0)="NA",0,VLOOKUP(B418,TbPiezas[],5,0))</f>
        <v>146</v>
      </c>
      <c r="M418" s="81">
        <f>TG[[#This Row],[TOTAL]]*TG[[#This Row],[P.U. (1)]]</f>
        <v>0</v>
      </c>
      <c r="N418" s="82">
        <f>+VLOOKUP(B418,TbPiezas[],6,0)</f>
        <v>6327.09</v>
      </c>
      <c r="O418" s="83">
        <f>TG[[#This Row],[TOTAL]]*TG[[#This Row],[P.U. (2)]]</f>
        <v>0</v>
      </c>
      <c r="P418" s="82">
        <f>+VLOOKUP(B418,TbPiezas[],7,0)</f>
        <v>316.35450000000003</v>
      </c>
      <c r="Q418" s="170">
        <f>ROUND(TG[[#This Row],[TOTAL]]*TG[[#This Row],[P.U. (3)]],2)</f>
        <v>0</v>
      </c>
      <c r="R418" s="326"/>
    </row>
    <row r="419" spans="2:18" hidden="1" x14ac:dyDescent="0.3">
      <c r="B419" s="433" t="s">
        <v>1437</v>
      </c>
      <c r="C419" s="240" t="s">
        <v>1436</v>
      </c>
      <c r="E419" s="120"/>
      <c r="F419" s="120"/>
      <c r="G419" s="74"/>
      <c r="I419" s="76" t="str">
        <f t="shared" si="12"/>
        <v>EV.2510</v>
      </c>
      <c r="J419" s="121" t="str">
        <f>+IF(B419=TG[[#This Row],[ITEM]],"ok","mal")</f>
        <v>ok</v>
      </c>
      <c r="K419" s="79">
        <f t="shared" si="13"/>
        <v>0</v>
      </c>
      <c r="L419" s="80">
        <f>IF(VLOOKUP(B419,TbPiezas[],5,0)="NA",0,VLOOKUP(B419,TbPiezas[],5,0))</f>
        <v>0</v>
      </c>
      <c r="M419" s="81">
        <f>TG[[#This Row],[TOTAL]]*TG[[#This Row],[P.U. (1)]]</f>
        <v>0</v>
      </c>
      <c r="N419" s="82">
        <f>+VLOOKUP(B419,TbPiezas[],6,0)</f>
        <v>0</v>
      </c>
      <c r="O419" s="83">
        <f>TG[[#This Row],[TOTAL]]*TG[[#This Row],[P.U. (2)]]</f>
        <v>0</v>
      </c>
      <c r="P419" s="82">
        <f>+VLOOKUP(B419,TbPiezas[],7,0)</f>
        <v>0</v>
      </c>
      <c r="Q419" s="170">
        <f>ROUND(TG[[#This Row],[TOTAL]]*TG[[#This Row],[P.U. (3)]],2)</f>
        <v>0</v>
      </c>
      <c r="R419" s="326"/>
    </row>
    <row r="420" spans="2:18" hidden="1" x14ac:dyDescent="0.3">
      <c r="B420" s="433" t="s">
        <v>789</v>
      </c>
      <c r="C420" s="240" t="s">
        <v>790</v>
      </c>
      <c r="E420" s="120"/>
      <c r="F420" s="120"/>
      <c r="G420" s="74"/>
      <c r="I420" s="76" t="str">
        <f t="shared" si="12"/>
        <v>EV.2600</v>
      </c>
      <c r="J420" s="121" t="str">
        <f>+IF(B420=TG[[#This Row],[ITEM]],"ok","mal")</f>
        <v>ok</v>
      </c>
      <c r="K420" s="79">
        <f t="shared" si="13"/>
        <v>0</v>
      </c>
      <c r="L420" s="80">
        <f>IF(VLOOKUP(B420,TbPiezas[],5,0)="NA",0,VLOOKUP(B420,TbPiezas[],5,0))</f>
        <v>18.3</v>
      </c>
      <c r="M420" s="81">
        <f>TG[[#This Row],[TOTAL]]*TG[[#This Row],[P.U. (1)]]</f>
        <v>0</v>
      </c>
      <c r="N420" s="82">
        <f>+VLOOKUP(B420,TbPiezas[],6,0)</f>
        <v>8258.25</v>
      </c>
      <c r="O420" s="83">
        <f>TG[[#This Row],[TOTAL]]*TG[[#This Row],[P.U. (2)]]</f>
        <v>0</v>
      </c>
      <c r="P420" s="82">
        <f>+VLOOKUP(B420,TbPiezas[],7,0)</f>
        <v>412.91250000000002</v>
      </c>
      <c r="Q420" s="170">
        <f>ROUND(TG[[#This Row],[TOTAL]]*TG[[#This Row],[P.U. (3)]],2)</f>
        <v>0</v>
      </c>
      <c r="R420" s="326"/>
    </row>
    <row r="421" spans="2:18" hidden="1" x14ac:dyDescent="0.3">
      <c r="B421" s="433" t="s">
        <v>791</v>
      </c>
      <c r="C421" s="240" t="s">
        <v>792</v>
      </c>
      <c r="E421" s="120"/>
      <c r="F421" s="120"/>
      <c r="G421" s="74"/>
      <c r="I421" s="76" t="str">
        <f t="shared" si="12"/>
        <v>EV.2700</v>
      </c>
      <c r="J421" s="121" t="str">
        <f>+IF(B421=TG[[#This Row],[ITEM]],"ok","mal")</f>
        <v>ok</v>
      </c>
      <c r="K421" s="79">
        <f t="shared" si="13"/>
        <v>0</v>
      </c>
      <c r="L421" s="80">
        <f>IF(VLOOKUP(B421,TbPiezas[],5,0)="NA",0,VLOOKUP(B421,TbPiezas[],5,0))</f>
        <v>29.7</v>
      </c>
      <c r="M421" s="81">
        <f>TG[[#This Row],[TOTAL]]*TG[[#This Row],[P.U. (1)]]</f>
        <v>0</v>
      </c>
      <c r="N421" s="82">
        <f>+VLOOKUP(B421,TbPiezas[],6,0)</f>
        <v>1206.98</v>
      </c>
      <c r="O421" s="83">
        <f>TG[[#This Row],[TOTAL]]*TG[[#This Row],[P.U. (2)]]</f>
        <v>0</v>
      </c>
      <c r="P421" s="82">
        <f>+VLOOKUP(B421,TbPiezas[],7,0)</f>
        <v>60.349000000000004</v>
      </c>
      <c r="Q421" s="170">
        <f>ROUND(TG[[#This Row],[TOTAL]]*TG[[#This Row],[P.U. (3)]],2)</f>
        <v>0</v>
      </c>
      <c r="R421" s="326"/>
    </row>
    <row r="422" spans="2:18" hidden="1" x14ac:dyDescent="0.3">
      <c r="B422" s="435" t="s">
        <v>793</v>
      </c>
      <c r="C422" s="434" t="s">
        <v>794</v>
      </c>
      <c r="E422" s="120"/>
      <c r="F422" s="120"/>
      <c r="G422" s="74"/>
      <c r="I422" s="76" t="str">
        <f t="shared" si="12"/>
        <v>EV.2800</v>
      </c>
      <c r="J422" s="121" t="str">
        <f>+IF(B422=TG[[#This Row],[ITEM]],"ok","mal")</f>
        <v>ok</v>
      </c>
      <c r="K422" s="79">
        <f t="shared" si="13"/>
        <v>0</v>
      </c>
      <c r="L422" s="80">
        <f>IF(VLOOKUP(B422,TbPiezas[],5,0)="NA",0,VLOOKUP(B422,TbPiezas[],5,0))</f>
        <v>0.7</v>
      </c>
      <c r="M422" s="81">
        <f>TG[[#This Row],[TOTAL]]*TG[[#This Row],[P.U. (1)]]</f>
        <v>0</v>
      </c>
      <c r="N422" s="82">
        <f>+VLOOKUP(B422,TbPiezas[],6,0)</f>
        <v>444.68</v>
      </c>
      <c r="O422" s="83">
        <f>TG[[#This Row],[TOTAL]]*TG[[#This Row],[P.U. (2)]]</f>
        <v>0</v>
      </c>
      <c r="P422" s="82">
        <f>+VLOOKUP(B422,TbPiezas[],7,0)</f>
        <v>22.234000000000002</v>
      </c>
      <c r="Q422" s="170">
        <f>ROUND(TG[[#This Row],[TOTAL]]*TG[[#This Row],[P.U. (3)]],2)</f>
        <v>0</v>
      </c>
      <c r="R422" s="326"/>
    </row>
    <row r="423" spans="2:18" hidden="1" x14ac:dyDescent="0.3">
      <c r="B423" s="435" t="s">
        <v>795</v>
      </c>
      <c r="C423" s="434" t="s">
        <v>796</v>
      </c>
      <c r="E423" s="120"/>
      <c r="F423" s="120"/>
      <c r="G423" s="74"/>
      <c r="I423" s="76" t="str">
        <f t="shared" si="12"/>
        <v>EV.2900</v>
      </c>
      <c r="J423" s="121" t="str">
        <f>+IF(B423=TG[[#This Row],[ITEM]],"ok","mal")</f>
        <v>ok</v>
      </c>
      <c r="K423" s="79">
        <f t="shared" si="13"/>
        <v>0</v>
      </c>
      <c r="L423" s="80">
        <f>IF(VLOOKUP(B423,TbPiezas[],5,0)="NA",0,VLOOKUP(B423,TbPiezas[],5,0))</f>
        <v>0</v>
      </c>
      <c r="M423" s="81">
        <f>TG[[#This Row],[TOTAL]]*TG[[#This Row],[P.U. (1)]]</f>
        <v>0</v>
      </c>
      <c r="N423" s="82">
        <f>+VLOOKUP(B423,TbPiezas[],6,0)</f>
        <v>190.58</v>
      </c>
      <c r="O423" s="83">
        <f>TG[[#This Row],[TOTAL]]*TG[[#This Row],[P.U. (2)]]</f>
        <v>0</v>
      </c>
      <c r="P423" s="82">
        <f>+VLOOKUP(B423,TbPiezas[],7,0)</f>
        <v>9.5290000000000017</v>
      </c>
      <c r="Q423" s="170">
        <f>ROUND(TG[[#This Row],[TOTAL]]*TG[[#This Row],[P.U. (3)]],2)</f>
        <v>0</v>
      </c>
      <c r="R423" s="326"/>
    </row>
    <row r="424" spans="2:18" hidden="1" x14ac:dyDescent="0.3">
      <c r="B424" s="433" t="s">
        <v>1441</v>
      </c>
      <c r="C424" s="240" t="s">
        <v>1438</v>
      </c>
      <c r="E424" s="120"/>
      <c r="F424" s="120"/>
      <c r="G424" s="74"/>
      <c r="I424" s="76" t="str">
        <f t="shared" si="12"/>
        <v>EV.2910</v>
      </c>
      <c r="J424" s="121" t="str">
        <f>+IF(B424=TG[[#This Row],[ITEM]],"ok","mal")</f>
        <v>ok</v>
      </c>
      <c r="K424" s="79">
        <f t="shared" si="13"/>
        <v>0</v>
      </c>
      <c r="L424" s="80">
        <f>IF(VLOOKUP(B424,TbPiezas[],5,0)="NA",0,VLOOKUP(B424,TbPiezas[],5,0))</f>
        <v>0</v>
      </c>
      <c r="M424" s="81">
        <f>TG[[#This Row],[TOTAL]]*TG[[#This Row],[P.U. (1)]]</f>
        <v>0</v>
      </c>
      <c r="N424" s="82">
        <f>+VLOOKUP(B424,TbPiezas[],6,0)</f>
        <v>0</v>
      </c>
      <c r="O424" s="83">
        <f>TG[[#This Row],[TOTAL]]*TG[[#This Row],[P.U. (2)]]</f>
        <v>0</v>
      </c>
      <c r="P424" s="82">
        <f>+VLOOKUP(B424,TbPiezas[],7,0)</f>
        <v>0</v>
      </c>
      <c r="Q424" s="170">
        <f>ROUND(TG[[#This Row],[TOTAL]]*TG[[#This Row],[P.U. (3)]],2)</f>
        <v>0</v>
      </c>
      <c r="R424" s="326"/>
    </row>
    <row r="425" spans="2:18" hidden="1" x14ac:dyDescent="0.3">
      <c r="B425" s="433" t="s">
        <v>1441</v>
      </c>
      <c r="C425" s="240" t="s">
        <v>1439</v>
      </c>
      <c r="E425" s="120"/>
      <c r="F425" s="120"/>
      <c r="G425" s="74"/>
      <c r="I425" s="76" t="str">
        <f t="shared" si="12"/>
        <v>EV.2910</v>
      </c>
      <c r="J425" s="121" t="str">
        <f>+IF(B425=TG[[#This Row],[ITEM]],"ok","mal")</f>
        <v>ok</v>
      </c>
      <c r="K425" s="79">
        <f t="shared" si="13"/>
        <v>0</v>
      </c>
      <c r="L425" s="80">
        <f>IF(VLOOKUP(B425,TbPiezas[],5,0)="NA",0,VLOOKUP(B425,TbPiezas[],5,0))</f>
        <v>0</v>
      </c>
      <c r="M425" s="81">
        <f>TG[[#This Row],[TOTAL]]*TG[[#This Row],[P.U. (1)]]</f>
        <v>0</v>
      </c>
      <c r="N425" s="82">
        <f>+VLOOKUP(B425,TbPiezas[],6,0)</f>
        <v>0</v>
      </c>
      <c r="O425" s="83">
        <f>TG[[#This Row],[TOTAL]]*TG[[#This Row],[P.U. (2)]]</f>
        <v>0</v>
      </c>
      <c r="P425" s="82">
        <f>+VLOOKUP(B425,TbPiezas[],7,0)</f>
        <v>0</v>
      </c>
      <c r="Q425" s="170">
        <f>ROUND(TG[[#This Row],[TOTAL]]*TG[[#This Row],[P.U. (3)]],2)</f>
        <v>0</v>
      </c>
      <c r="R425" s="326"/>
    </row>
    <row r="426" spans="2:18" hidden="1" x14ac:dyDescent="0.3">
      <c r="B426" s="433" t="s">
        <v>1442</v>
      </c>
      <c r="C426" s="240" t="s">
        <v>1440</v>
      </c>
      <c r="E426" s="120"/>
      <c r="F426" s="120"/>
      <c r="G426" s="74"/>
      <c r="I426" s="76" t="str">
        <f t="shared" si="12"/>
        <v>EV.2911</v>
      </c>
      <c r="J426" s="121" t="str">
        <f>+IF(B426=TG[[#This Row],[ITEM]],"ok","mal")</f>
        <v>ok</v>
      </c>
      <c r="K426" s="79">
        <f t="shared" si="13"/>
        <v>0</v>
      </c>
      <c r="L426" s="80">
        <f>IF(VLOOKUP(B426,TbPiezas[],5,0)="NA",0,VLOOKUP(B426,TbPiezas[],5,0))</f>
        <v>0</v>
      </c>
      <c r="M426" s="81">
        <f>TG[[#This Row],[TOTAL]]*TG[[#This Row],[P.U. (1)]]</f>
        <v>0</v>
      </c>
      <c r="N426" s="82">
        <f>+VLOOKUP(B426,TbPiezas[],6,0)</f>
        <v>0</v>
      </c>
      <c r="O426" s="83">
        <f>TG[[#This Row],[TOTAL]]*TG[[#This Row],[P.U. (2)]]</f>
        <v>0</v>
      </c>
      <c r="P426" s="82">
        <f>+VLOOKUP(B426,TbPiezas[],7,0)</f>
        <v>0</v>
      </c>
      <c r="Q426" s="170">
        <f>ROUND(TG[[#This Row],[TOTAL]]*TG[[#This Row],[P.U. (3)]],2)</f>
        <v>0</v>
      </c>
      <c r="R426" s="326"/>
    </row>
    <row r="427" spans="2:18" hidden="1" x14ac:dyDescent="0.3">
      <c r="B427" s="433" t="s">
        <v>797</v>
      </c>
      <c r="C427" s="240" t="s">
        <v>798</v>
      </c>
      <c r="E427" s="120"/>
      <c r="F427" s="120"/>
      <c r="G427" s="74"/>
      <c r="I427" s="76" t="str">
        <f t="shared" si="12"/>
        <v>EV.3000</v>
      </c>
      <c r="J427" s="121" t="str">
        <f>+IF(B427=TG[[#This Row],[ITEM]],"ok","mal")</f>
        <v>ok</v>
      </c>
      <c r="K427" s="79">
        <f t="shared" si="13"/>
        <v>0</v>
      </c>
      <c r="L427" s="80">
        <f>IF(VLOOKUP(B427,TbPiezas[],5,0)="NA",0,VLOOKUP(B427,TbPiezas[],5,0))</f>
        <v>123</v>
      </c>
      <c r="M427" s="81">
        <f>TG[[#This Row],[TOTAL]]*TG[[#This Row],[P.U. (1)]]</f>
        <v>0</v>
      </c>
      <c r="N427" s="82">
        <f>+VLOOKUP(B427,TbPiezas[],6,0)</f>
        <v>2096.33</v>
      </c>
      <c r="O427" s="83">
        <f>TG[[#This Row],[TOTAL]]*TG[[#This Row],[P.U. (2)]]</f>
        <v>0</v>
      </c>
      <c r="P427" s="82">
        <f>+VLOOKUP(B427,TbPiezas[],7,0)</f>
        <v>104.8165</v>
      </c>
      <c r="Q427" s="170">
        <f>ROUND(TG[[#This Row],[TOTAL]]*TG[[#This Row],[P.U. (3)]],2)</f>
        <v>0</v>
      </c>
      <c r="R427" s="326"/>
    </row>
    <row r="428" spans="2:18" hidden="1" x14ac:dyDescent="0.3">
      <c r="B428" s="433" t="s">
        <v>1447</v>
      </c>
      <c r="C428" s="240" t="s">
        <v>1443</v>
      </c>
      <c r="E428" s="120"/>
      <c r="F428" s="120"/>
      <c r="G428" s="74"/>
      <c r="I428" s="76" t="str">
        <f t="shared" si="12"/>
        <v>EV.3010</v>
      </c>
      <c r="J428" s="121" t="str">
        <f>+IF(B428=TG[[#This Row],[ITEM]],"ok","mal")</f>
        <v>ok</v>
      </c>
      <c r="K428" s="79">
        <f t="shared" si="13"/>
        <v>0</v>
      </c>
      <c r="L428" s="80">
        <f>IF(VLOOKUP(B428,TbPiezas[],5,0)="NA",0,VLOOKUP(B428,TbPiezas[],5,0))</f>
        <v>0</v>
      </c>
      <c r="M428" s="81">
        <f>TG[[#This Row],[TOTAL]]*TG[[#This Row],[P.U. (1)]]</f>
        <v>0</v>
      </c>
      <c r="N428" s="82">
        <f>+VLOOKUP(B428,TbPiezas[],6,0)</f>
        <v>0</v>
      </c>
      <c r="O428" s="83">
        <f>TG[[#This Row],[TOTAL]]*TG[[#This Row],[P.U. (2)]]</f>
        <v>0</v>
      </c>
      <c r="P428" s="82">
        <f>+VLOOKUP(B428,TbPiezas[],7,0)</f>
        <v>0</v>
      </c>
      <c r="Q428" s="170">
        <f>ROUND(TG[[#This Row],[TOTAL]]*TG[[#This Row],[P.U. (3)]],2)</f>
        <v>0</v>
      </c>
      <c r="R428" s="326"/>
    </row>
    <row r="429" spans="2:18" hidden="1" x14ac:dyDescent="0.3">
      <c r="B429" s="433" t="s">
        <v>1448</v>
      </c>
      <c r="C429" s="240" t="s">
        <v>1444</v>
      </c>
      <c r="E429" s="120"/>
      <c r="F429" s="120"/>
      <c r="G429" s="74"/>
      <c r="I429" s="76" t="str">
        <f t="shared" si="12"/>
        <v>EV.3020</v>
      </c>
      <c r="J429" s="121" t="str">
        <f>+IF(B429=TG[[#This Row],[ITEM]],"ok","mal")</f>
        <v>ok</v>
      </c>
      <c r="K429" s="79">
        <f t="shared" si="13"/>
        <v>0</v>
      </c>
      <c r="L429" s="80">
        <f>IF(VLOOKUP(B429,TbPiezas[],5,0)="NA",0,VLOOKUP(B429,TbPiezas[],5,0))</f>
        <v>0</v>
      </c>
      <c r="M429" s="81">
        <f>TG[[#This Row],[TOTAL]]*TG[[#This Row],[P.U. (1)]]</f>
        <v>0</v>
      </c>
      <c r="N429" s="82">
        <f>+VLOOKUP(B429,TbPiezas[],6,0)</f>
        <v>0</v>
      </c>
      <c r="O429" s="83">
        <f>TG[[#This Row],[TOTAL]]*TG[[#This Row],[P.U. (2)]]</f>
        <v>0</v>
      </c>
      <c r="P429" s="82">
        <f>+VLOOKUP(B429,TbPiezas[],7,0)</f>
        <v>0</v>
      </c>
      <c r="Q429" s="170">
        <f>ROUND(TG[[#This Row],[TOTAL]]*TG[[#This Row],[P.U. (3)]],2)</f>
        <v>0</v>
      </c>
      <c r="R429" s="326"/>
    </row>
    <row r="430" spans="2:18" hidden="1" x14ac:dyDescent="0.3">
      <c r="B430" s="433" t="s">
        <v>1449</v>
      </c>
      <c r="C430" s="240" t="s">
        <v>1445</v>
      </c>
      <c r="E430" s="120"/>
      <c r="F430" s="120"/>
      <c r="G430" s="74"/>
      <c r="I430" s="76" t="str">
        <f t="shared" si="12"/>
        <v>EV.3030</v>
      </c>
      <c r="J430" s="121" t="str">
        <f>+IF(B430=TG[[#This Row],[ITEM]],"ok","mal")</f>
        <v>ok</v>
      </c>
      <c r="K430" s="79">
        <f t="shared" si="13"/>
        <v>0</v>
      </c>
      <c r="L430" s="80">
        <f>IF(VLOOKUP(B430,TbPiezas[],5,0)="NA",0,VLOOKUP(B430,TbPiezas[],5,0))</f>
        <v>0</v>
      </c>
      <c r="M430" s="81">
        <f>TG[[#This Row],[TOTAL]]*TG[[#This Row],[P.U. (1)]]</f>
        <v>0</v>
      </c>
      <c r="N430" s="82">
        <f>+VLOOKUP(B430,TbPiezas[],6,0)</f>
        <v>0</v>
      </c>
      <c r="O430" s="83">
        <f>TG[[#This Row],[TOTAL]]*TG[[#This Row],[P.U. (2)]]</f>
        <v>0</v>
      </c>
      <c r="P430" s="82">
        <f>+VLOOKUP(B430,TbPiezas[],7,0)</f>
        <v>0</v>
      </c>
      <c r="Q430" s="170">
        <f>ROUND(TG[[#This Row],[TOTAL]]*TG[[#This Row],[P.U. (3)]],2)</f>
        <v>0</v>
      </c>
      <c r="R430" s="326"/>
    </row>
    <row r="431" spans="2:18" hidden="1" x14ac:dyDescent="0.3">
      <c r="B431" s="433" t="s">
        <v>1450</v>
      </c>
      <c r="C431" s="240" t="s">
        <v>1446</v>
      </c>
      <c r="E431" s="120"/>
      <c r="F431" s="120"/>
      <c r="G431" s="74"/>
      <c r="I431" s="76" t="str">
        <f t="shared" si="12"/>
        <v>EV.3040</v>
      </c>
      <c r="J431" s="121" t="str">
        <f>+IF(B431=TG[[#This Row],[ITEM]],"ok","mal")</f>
        <v>ok</v>
      </c>
      <c r="K431" s="79">
        <f t="shared" si="13"/>
        <v>0</v>
      </c>
      <c r="L431" s="80">
        <f>IF(VLOOKUP(B431,TbPiezas[],5,0)="NA",0,VLOOKUP(B431,TbPiezas[],5,0))</f>
        <v>0</v>
      </c>
      <c r="M431" s="81">
        <f>TG[[#This Row],[TOTAL]]*TG[[#This Row],[P.U. (1)]]</f>
        <v>0</v>
      </c>
      <c r="N431" s="82">
        <f>+VLOOKUP(B431,TbPiezas[],6,0)</f>
        <v>0</v>
      </c>
      <c r="O431" s="83">
        <f>TG[[#This Row],[TOTAL]]*TG[[#This Row],[P.U. (2)]]</f>
        <v>0</v>
      </c>
      <c r="P431" s="82">
        <f>+VLOOKUP(B431,TbPiezas[],7,0)</f>
        <v>0</v>
      </c>
      <c r="Q431" s="170">
        <f>ROUND(TG[[#This Row],[TOTAL]]*TG[[#This Row],[P.U. (3)]],2)</f>
        <v>0</v>
      </c>
      <c r="R431" s="326"/>
    </row>
    <row r="432" spans="2:18" hidden="1" x14ac:dyDescent="0.3">
      <c r="B432" s="433" t="s">
        <v>799</v>
      </c>
      <c r="C432" s="240" t="s">
        <v>800</v>
      </c>
      <c r="E432" s="120"/>
      <c r="F432" s="120"/>
      <c r="G432" s="74"/>
      <c r="I432" s="76" t="str">
        <f t="shared" si="12"/>
        <v>EV.3100</v>
      </c>
      <c r="J432" s="121" t="str">
        <f>+IF(B432=TG[[#This Row],[ITEM]],"ok","mal")</f>
        <v>ok</v>
      </c>
      <c r="K432" s="79">
        <f t="shared" si="13"/>
        <v>0</v>
      </c>
      <c r="L432" s="80">
        <f>IF(VLOOKUP(B432,TbPiezas[],5,0)="NA",0,VLOOKUP(B432,TbPiezas[],5,0))</f>
        <v>56.4</v>
      </c>
      <c r="M432" s="81">
        <f>TG[[#This Row],[TOTAL]]*TG[[#This Row],[P.U. (1)]]</f>
        <v>0</v>
      </c>
      <c r="N432" s="82">
        <f>+VLOOKUP(B432,TbPiezas[],6,0)</f>
        <v>2032.8</v>
      </c>
      <c r="O432" s="83">
        <f>TG[[#This Row],[TOTAL]]*TG[[#This Row],[P.U. (2)]]</f>
        <v>0</v>
      </c>
      <c r="P432" s="82">
        <f>+VLOOKUP(B432,TbPiezas[],7,0)</f>
        <v>101.64</v>
      </c>
      <c r="Q432" s="170">
        <f>ROUND(TG[[#This Row],[TOTAL]]*TG[[#This Row],[P.U. (3)]],2)</f>
        <v>0</v>
      </c>
      <c r="R432" s="326"/>
    </row>
    <row r="433" spans="2:18" hidden="1" x14ac:dyDescent="0.3">
      <c r="B433" s="433" t="s">
        <v>801</v>
      </c>
      <c r="C433" s="240" t="s">
        <v>802</v>
      </c>
      <c r="E433" s="120"/>
      <c r="F433" s="120"/>
      <c r="G433" s="74"/>
      <c r="I433" s="76" t="str">
        <f t="shared" si="12"/>
        <v>EV.3200</v>
      </c>
      <c r="J433" s="121" t="str">
        <f>+IF(B433=TG[[#This Row],[ITEM]],"ok","mal")</f>
        <v>ok</v>
      </c>
      <c r="K433" s="79">
        <f t="shared" si="13"/>
        <v>0</v>
      </c>
      <c r="L433" s="80">
        <f>IF(VLOOKUP(B433,TbPiezas[],5,0)="NA",0,VLOOKUP(B433,TbPiezas[],5,0))</f>
        <v>26.8</v>
      </c>
      <c r="M433" s="81">
        <f>TG[[#This Row],[TOTAL]]*TG[[#This Row],[P.U. (1)]]</f>
        <v>0</v>
      </c>
      <c r="N433" s="82">
        <f>+VLOOKUP(B433,TbPiezas[],6,0)</f>
        <v>1887.84</v>
      </c>
      <c r="O433" s="83">
        <f>TG[[#This Row],[TOTAL]]*TG[[#This Row],[P.U. (2)]]</f>
        <v>0</v>
      </c>
      <c r="P433" s="82">
        <f>+VLOOKUP(B433,TbPiezas[],7,0)</f>
        <v>94.391999999999996</v>
      </c>
      <c r="Q433" s="170">
        <f>ROUND(TG[[#This Row],[TOTAL]]*TG[[#This Row],[P.U. (3)]],2)</f>
        <v>0</v>
      </c>
      <c r="R433" s="326"/>
    </row>
    <row r="434" spans="2:18" hidden="1" x14ac:dyDescent="0.3">
      <c r="B434" s="433" t="s">
        <v>1453</v>
      </c>
      <c r="C434" s="240" t="s">
        <v>1451</v>
      </c>
      <c r="E434" s="120"/>
      <c r="F434" s="120"/>
      <c r="G434" s="74"/>
      <c r="I434" s="76" t="str">
        <f t="shared" si="12"/>
        <v>EV.3210</v>
      </c>
      <c r="J434" s="121" t="str">
        <f>+IF(B434=TG[[#This Row],[ITEM]],"ok","mal")</f>
        <v>ok</v>
      </c>
      <c r="K434" s="79">
        <f t="shared" si="13"/>
        <v>0</v>
      </c>
      <c r="L434" s="80">
        <f>IF(VLOOKUP(B434,TbPiezas[],5,0)="NA",0,VLOOKUP(B434,TbPiezas[],5,0))</f>
        <v>0</v>
      </c>
      <c r="M434" s="81">
        <f>TG[[#This Row],[TOTAL]]*TG[[#This Row],[P.U. (1)]]</f>
        <v>0</v>
      </c>
      <c r="N434" s="82">
        <f>+VLOOKUP(B434,TbPiezas[],6,0)</f>
        <v>0</v>
      </c>
      <c r="O434" s="83">
        <f>TG[[#This Row],[TOTAL]]*TG[[#This Row],[P.U. (2)]]</f>
        <v>0</v>
      </c>
      <c r="P434" s="82">
        <f>+VLOOKUP(B434,TbPiezas[],7,0)</f>
        <v>0</v>
      </c>
      <c r="Q434" s="170">
        <f>ROUND(TG[[#This Row],[TOTAL]]*TG[[#This Row],[P.U. (3)]],2)</f>
        <v>0</v>
      </c>
      <c r="R434" s="326"/>
    </row>
    <row r="435" spans="2:18" hidden="1" x14ac:dyDescent="0.3">
      <c r="B435" s="433" t="s">
        <v>1454</v>
      </c>
      <c r="C435" s="240" t="s">
        <v>1452</v>
      </c>
      <c r="E435" s="120"/>
      <c r="F435" s="120"/>
      <c r="G435" s="74"/>
      <c r="I435" s="76" t="str">
        <f t="shared" si="12"/>
        <v>EV.3220</v>
      </c>
      <c r="J435" s="121" t="str">
        <f>+IF(B435=TG[[#This Row],[ITEM]],"ok","mal")</f>
        <v>ok</v>
      </c>
      <c r="K435" s="79">
        <f t="shared" si="13"/>
        <v>0</v>
      </c>
      <c r="L435" s="80">
        <f>IF(VLOOKUP(B435,TbPiezas[],5,0)="NA",0,VLOOKUP(B435,TbPiezas[],5,0))</f>
        <v>0</v>
      </c>
      <c r="M435" s="81">
        <f>TG[[#This Row],[TOTAL]]*TG[[#This Row],[P.U. (1)]]</f>
        <v>0</v>
      </c>
      <c r="N435" s="82">
        <f>+VLOOKUP(B435,TbPiezas[],6,0)</f>
        <v>0</v>
      </c>
      <c r="O435" s="83">
        <f>TG[[#This Row],[TOTAL]]*TG[[#This Row],[P.U. (2)]]</f>
        <v>0</v>
      </c>
      <c r="P435" s="82">
        <f>+VLOOKUP(B435,TbPiezas[],7,0)</f>
        <v>0</v>
      </c>
      <c r="Q435" s="170">
        <f>ROUND(TG[[#This Row],[TOTAL]]*TG[[#This Row],[P.U. (3)]],2)</f>
        <v>0</v>
      </c>
      <c r="R435" s="326"/>
    </row>
    <row r="436" spans="2:18" hidden="1" x14ac:dyDescent="0.3">
      <c r="B436" s="433" t="s">
        <v>803</v>
      </c>
      <c r="C436" s="240" t="s">
        <v>804</v>
      </c>
      <c r="E436" s="120"/>
      <c r="F436" s="120"/>
      <c r="G436" s="74"/>
      <c r="I436" s="76" t="str">
        <f t="shared" si="12"/>
        <v>EV.3300</v>
      </c>
      <c r="J436" s="121" t="str">
        <f>+IF(B436=TG[[#This Row],[ITEM]],"ok","mal")</f>
        <v>ok</v>
      </c>
      <c r="K436" s="79">
        <f t="shared" si="13"/>
        <v>0</v>
      </c>
      <c r="L436" s="80">
        <f>IF(VLOOKUP(B436,TbPiezas[],5,0)="NA",0,VLOOKUP(B436,TbPiezas[],5,0))</f>
        <v>10.9</v>
      </c>
      <c r="M436" s="81">
        <f>TG[[#This Row],[TOTAL]]*TG[[#This Row],[P.U. (1)]]</f>
        <v>0</v>
      </c>
      <c r="N436" s="82">
        <f>+VLOOKUP(B436,TbPiezas[],6,0)</f>
        <v>679.72</v>
      </c>
      <c r="O436" s="83">
        <f>TG[[#This Row],[TOTAL]]*TG[[#This Row],[P.U. (2)]]</f>
        <v>0</v>
      </c>
      <c r="P436" s="82">
        <f>+VLOOKUP(B436,TbPiezas[],7,0)</f>
        <v>33.986000000000004</v>
      </c>
      <c r="Q436" s="170">
        <f>ROUND(TG[[#This Row],[TOTAL]]*TG[[#This Row],[P.U. (3)]],2)</f>
        <v>0</v>
      </c>
      <c r="R436" s="326"/>
    </row>
    <row r="437" spans="2:18" hidden="1" x14ac:dyDescent="0.3">
      <c r="B437" s="433" t="s">
        <v>805</v>
      </c>
      <c r="C437" s="240" t="s">
        <v>806</v>
      </c>
      <c r="E437" s="120"/>
      <c r="F437" s="120"/>
      <c r="G437" s="74"/>
      <c r="I437" s="76" t="str">
        <f t="shared" si="12"/>
        <v>EV.3400</v>
      </c>
      <c r="J437" s="121" t="str">
        <f>+IF(B437=TG[[#This Row],[ITEM]],"ok","mal")</f>
        <v>ok</v>
      </c>
      <c r="K437" s="79">
        <f t="shared" si="13"/>
        <v>0</v>
      </c>
      <c r="L437" s="80">
        <f>IF(VLOOKUP(B437,TbPiezas[],5,0)="NA",0,VLOOKUP(B437,TbPiezas[],5,0))</f>
        <v>13</v>
      </c>
      <c r="M437" s="81">
        <f>TG[[#This Row],[TOTAL]]*TG[[#This Row],[P.U. (1)]]</f>
        <v>0</v>
      </c>
      <c r="N437" s="82">
        <f>+VLOOKUP(B437,TbPiezas[],6,0)</f>
        <v>3176.25</v>
      </c>
      <c r="O437" s="83">
        <f>TG[[#This Row],[TOTAL]]*TG[[#This Row],[P.U. (2)]]</f>
        <v>0</v>
      </c>
      <c r="P437" s="82">
        <f>+VLOOKUP(B437,TbPiezas[],7,0)</f>
        <v>158.8125</v>
      </c>
      <c r="Q437" s="170">
        <f>ROUND(TG[[#This Row],[TOTAL]]*TG[[#This Row],[P.U. (3)]],2)</f>
        <v>0</v>
      </c>
      <c r="R437" s="326"/>
    </row>
    <row r="438" spans="2:18" hidden="1" x14ac:dyDescent="0.3">
      <c r="B438" s="433" t="s">
        <v>807</v>
      </c>
      <c r="C438" s="240" t="s">
        <v>808</v>
      </c>
      <c r="E438" s="120"/>
      <c r="F438" s="120"/>
      <c r="G438" s="74"/>
      <c r="I438" s="76" t="str">
        <f t="shared" si="12"/>
        <v>EV.3500</v>
      </c>
      <c r="J438" s="121" t="str">
        <f>+IF(B438=TG[[#This Row],[ITEM]],"ok","mal")</f>
        <v>ok</v>
      </c>
      <c r="K438" s="79">
        <f t="shared" si="13"/>
        <v>0</v>
      </c>
      <c r="L438" s="80">
        <f>IF(VLOOKUP(B438,TbPiezas[],5,0)="NA",0,VLOOKUP(B438,TbPiezas[],5,0))</f>
        <v>20.5</v>
      </c>
      <c r="M438" s="81">
        <f>TG[[#This Row],[TOTAL]]*TG[[#This Row],[P.U. (1)]]</f>
        <v>0</v>
      </c>
      <c r="N438" s="82">
        <f>+VLOOKUP(B438,TbPiezas[],6,0)</f>
        <v>5717.25</v>
      </c>
      <c r="O438" s="83">
        <f>TG[[#This Row],[TOTAL]]*TG[[#This Row],[P.U. (2)]]</f>
        <v>0</v>
      </c>
      <c r="P438" s="82">
        <f>+VLOOKUP(B438,TbPiezas[],7,0)</f>
        <v>285.86250000000001</v>
      </c>
      <c r="Q438" s="170">
        <f>ROUND(TG[[#This Row],[TOTAL]]*TG[[#This Row],[P.U. (3)]],2)</f>
        <v>0</v>
      </c>
      <c r="R438" s="326"/>
    </row>
    <row r="439" spans="2:18" hidden="1" x14ac:dyDescent="0.3">
      <c r="B439" s="433" t="s">
        <v>809</v>
      </c>
      <c r="C439" s="240" t="s">
        <v>810</v>
      </c>
      <c r="E439" s="120"/>
      <c r="F439" s="120"/>
      <c r="G439" s="74"/>
      <c r="I439" s="76" t="str">
        <f t="shared" si="12"/>
        <v>EV.3600</v>
      </c>
      <c r="J439" s="121" t="str">
        <f>+IF(B439=TG[[#This Row],[ITEM]],"ok","mal")</f>
        <v>ok</v>
      </c>
      <c r="K439" s="79">
        <f t="shared" si="13"/>
        <v>0</v>
      </c>
      <c r="L439" s="80">
        <f>IF(VLOOKUP(B439,TbPiezas[],5,0)="NA",0,VLOOKUP(B439,TbPiezas[],5,0))</f>
        <v>15.2</v>
      </c>
      <c r="M439" s="81">
        <f>TG[[#This Row],[TOTAL]]*TG[[#This Row],[P.U. (1)]]</f>
        <v>0</v>
      </c>
      <c r="N439" s="82">
        <f>+VLOOKUP(B439,TbPiezas[],6,0)</f>
        <v>1041.81</v>
      </c>
      <c r="O439" s="83">
        <f>TG[[#This Row],[TOTAL]]*TG[[#This Row],[P.U. (2)]]</f>
        <v>0</v>
      </c>
      <c r="P439" s="82">
        <f>+VLOOKUP(B439,TbPiezas[],7,0)</f>
        <v>52.090499999999999</v>
      </c>
      <c r="Q439" s="170">
        <f>ROUND(TG[[#This Row],[TOTAL]]*TG[[#This Row],[P.U. (3)]],2)</f>
        <v>0</v>
      </c>
      <c r="R439" s="326"/>
    </row>
    <row r="440" spans="2:18" hidden="1" x14ac:dyDescent="0.3">
      <c r="B440" s="433" t="s">
        <v>811</v>
      </c>
      <c r="C440" s="240" t="s">
        <v>812</v>
      </c>
      <c r="E440" s="120"/>
      <c r="F440" s="120"/>
      <c r="G440" s="74"/>
      <c r="I440" s="76" t="str">
        <f t="shared" si="12"/>
        <v>EV.3700</v>
      </c>
      <c r="J440" s="121" t="str">
        <f>+IF(B440=TG[[#This Row],[ITEM]],"ok","mal")</f>
        <v>ok</v>
      </c>
      <c r="K440" s="79">
        <f t="shared" si="13"/>
        <v>0</v>
      </c>
      <c r="L440" s="80">
        <f>IF(VLOOKUP(B440,TbPiezas[],5,0)="NA",0,VLOOKUP(B440,TbPiezas[],5,0))</f>
        <v>9.8000000000000007</v>
      </c>
      <c r="M440" s="81">
        <f>TG[[#This Row],[TOTAL]]*TG[[#This Row],[P.U. (1)]]</f>
        <v>0</v>
      </c>
      <c r="N440" s="82">
        <f>+VLOOKUP(B440,TbPiezas[],6,0)</f>
        <v>813.12</v>
      </c>
      <c r="O440" s="83">
        <f>TG[[#This Row],[TOTAL]]*TG[[#This Row],[P.U. (2)]]</f>
        <v>0</v>
      </c>
      <c r="P440" s="82">
        <f>+VLOOKUP(B440,TbPiezas[],7,0)</f>
        <v>40.656000000000006</v>
      </c>
      <c r="Q440" s="170">
        <f>ROUND(TG[[#This Row],[TOTAL]]*TG[[#This Row],[P.U. (3)]],2)</f>
        <v>0</v>
      </c>
      <c r="R440" s="326"/>
    </row>
    <row r="441" spans="2:18" hidden="1" x14ac:dyDescent="0.3">
      <c r="B441" s="433" t="s">
        <v>1457</v>
      </c>
      <c r="C441" s="240" t="s">
        <v>1455</v>
      </c>
      <c r="E441" s="120"/>
      <c r="F441" s="120"/>
      <c r="G441" s="74"/>
      <c r="I441" s="76" t="str">
        <f t="shared" si="12"/>
        <v>EV.3710</v>
      </c>
      <c r="J441" s="121" t="str">
        <f>+IF(B441=TG[[#This Row],[ITEM]],"ok","mal")</f>
        <v>ok</v>
      </c>
      <c r="K441" s="79">
        <f t="shared" si="13"/>
        <v>0</v>
      </c>
      <c r="L441" s="80">
        <f>IF(VLOOKUP(B441,TbPiezas[],5,0)="NA",0,VLOOKUP(B441,TbPiezas[],5,0))</f>
        <v>0</v>
      </c>
      <c r="M441" s="81">
        <f>TG[[#This Row],[TOTAL]]*TG[[#This Row],[P.U. (1)]]</f>
        <v>0</v>
      </c>
      <c r="N441" s="82">
        <f>+VLOOKUP(B441,TbPiezas[],6,0)</f>
        <v>0</v>
      </c>
      <c r="O441" s="83">
        <f>TG[[#This Row],[TOTAL]]*TG[[#This Row],[P.U. (2)]]</f>
        <v>0</v>
      </c>
      <c r="P441" s="82">
        <f>+VLOOKUP(B441,TbPiezas[],7,0)</f>
        <v>0</v>
      </c>
      <c r="Q441" s="170">
        <f>ROUND(TG[[#This Row],[TOTAL]]*TG[[#This Row],[P.U. (3)]],2)</f>
        <v>0</v>
      </c>
      <c r="R441" s="326"/>
    </row>
    <row r="442" spans="2:18" hidden="1" x14ac:dyDescent="0.3">
      <c r="B442" s="433" t="s">
        <v>1458</v>
      </c>
      <c r="C442" s="240" t="s">
        <v>1456</v>
      </c>
      <c r="E442" s="120"/>
      <c r="F442" s="120"/>
      <c r="G442" s="74"/>
      <c r="I442" s="76" t="str">
        <f t="shared" si="12"/>
        <v>EV.3720</v>
      </c>
      <c r="J442" s="121" t="str">
        <f>+IF(B442=TG[[#This Row],[ITEM]],"ok","mal")</f>
        <v>ok</v>
      </c>
      <c r="K442" s="79">
        <f t="shared" si="13"/>
        <v>0</v>
      </c>
      <c r="L442" s="80">
        <f>IF(VLOOKUP(B442,TbPiezas[],5,0)="NA",0,VLOOKUP(B442,TbPiezas[],5,0))</f>
        <v>0</v>
      </c>
      <c r="M442" s="81">
        <f>TG[[#This Row],[TOTAL]]*TG[[#This Row],[P.U. (1)]]</f>
        <v>0</v>
      </c>
      <c r="N442" s="82">
        <f>+VLOOKUP(B442,TbPiezas[],6,0)</f>
        <v>0</v>
      </c>
      <c r="O442" s="83">
        <f>TG[[#This Row],[TOTAL]]*TG[[#This Row],[P.U. (2)]]</f>
        <v>0</v>
      </c>
      <c r="P442" s="82">
        <f>+VLOOKUP(B442,TbPiezas[],7,0)</f>
        <v>0</v>
      </c>
      <c r="Q442" s="170">
        <f>ROUND(TG[[#This Row],[TOTAL]]*TG[[#This Row],[P.U. (3)]],2)</f>
        <v>0</v>
      </c>
      <c r="R442" s="326"/>
    </row>
    <row r="443" spans="2:18" hidden="1" x14ac:dyDescent="0.3">
      <c r="B443" s="433" t="s">
        <v>813</v>
      </c>
      <c r="C443" s="240" t="s">
        <v>814</v>
      </c>
      <c r="E443" s="120"/>
      <c r="F443" s="120"/>
      <c r="G443" s="74"/>
      <c r="I443" s="76" t="str">
        <f t="shared" si="12"/>
        <v>EV.3800</v>
      </c>
      <c r="J443" s="121" t="str">
        <f>+IF(B443=TG[[#This Row],[ITEM]],"ok","mal")</f>
        <v>ok</v>
      </c>
      <c r="K443" s="79">
        <f t="shared" si="13"/>
        <v>0</v>
      </c>
      <c r="L443" s="80">
        <f>IF(VLOOKUP(B443,TbPiezas[],5,0)="NA",0,VLOOKUP(B443,TbPiezas[],5,0))</f>
        <v>9.8000000000000007</v>
      </c>
      <c r="M443" s="81">
        <f>TG[[#This Row],[TOTAL]]*TG[[#This Row],[P.U. (1)]]</f>
        <v>0</v>
      </c>
      <c r="N443" s="82">
        <f>+VLOOKUP(B443,TbPiezas[],6,0)</f>
        <v>1041.81</v>
      </c>
      <c r="O443" s="83">
        <f>TG[[#This Row],[TOTAL]]*TG[[#This Row],[P.U. (2)]]</f>
        <v>0</v>
      </c>
      <c r="P443" s="82">
        <f>+VLOOKUP(B443,TbPiezas[],7,0)</f>
        <v>52.090499999999999</v>
      </c>
      <c r="Q443" s="170">
        <f>ROUND(TG[[#This Row],[TOTAL]]*TG[[#This Row],[P.U. (3)]],2)</f>
        <v>0</v>
      </c>
      <c r="R443" s="326"/>
    </row>
    <row r="444" spans="2:18" hidden="1" x14ac:dyDescent="0.3">
      <c r="B444" s="433" t="s">
        <v>815</v>
      </c>
      <c r="C444" s="240" t="s">
        <v>816</v>
      </c>
      <c r="E444" s="120"/>
      <c r="F444" s="120"/>
      <c r="G444" s="74"/>
      <c r="I444" s="76" t="str">
        <f t="shared" si="12"/>
        <v>EV.3900</v>
      </c>
      <c r="J444" s="121" t="str">
        <f>+IF(B444=TG[[#This Row],[ITEM]],"ok","mal")</f>
        <v>ok</v>
      </c>
      <c r="K444" s="79">
        <f t="shared" si="13"/>
        <v>0</v>
      </c>
      <c r="L444" s="80">
        <f>IF(VLOOKUP(B444,TbPiezas[],5,0)="NA",0,VLOOKUP(B444,TbPiezas[],5,0))</f>
        <v>9.8000000000000007</v>
      </c>
      <c r="M444" s="81">
        <f>TG[[#This Row],[TOTAL]]*TG[[#This Row],[P.U. (1)]]</f>
        <v>0</v>
      </c>
      <c r="N444" s="82">
        <f>+VLOOKUP(B444,TbPiezas[],6,0)</f>
        <v>813.12</v>
      </c>
      <c r="O444" s="83">
        <f>TG[[#This Row],[TOTAL]]*TG[[#This Row],[P.U. (2)]]</f>
        <v>0</v>
      </c>
      <c r="P444" s="82">
        <f>+VLOOKUP(B444,TbPiezas[],7,0)</f>
        <v>40.656000000000006</v>
      </c>
      <c r="Q444" s="170">
        <f>ROUND(TG[[#This Row],[TOTAL]]*TG[[#This Row],[P.U. (3)]],2)</f>
        <v>0</v>
      </c>
      <c r="R444" s="326"/>
    </row>
    <row r="445" spans="2:18" hidden="1" x14ac:dyDescent="0.3">
      <c r="B445" s="433" t="s">
        <v>817</v>
      </c>
      <c r="C445" s="240" t="s">
        <v>818</v>
      </c>
      <c r="E445" s="120"/>
      <c r="F445" s="120"/>
      <c r="G445" s="74"/>
      <c r="I445" s="76" t="str">
        <f t="shared" si="12"/>
        <v>EV.4000</v>
      </c>
      <c r="J445" s="121" t="str">
        <f>+IF(B445=TG[[#This Row],[ITEM]],"ok","mal")</f>
        <v>ok</v>
      </c>
      <c r="K445" s="79">
        <f t="shared" si="13"/>
        <v>0</v>
      </c>
      <c r="L445" s="80">
        <f>IF(VLOOKUP(B445,TbPiezas[],5,0)="NA",0,VLOOKUP(B445,TbPiezas[],5,0))</f>
        <v>11.7</v>
      </c>
      <c r="M445" s="81">
        <f>TG[[#This Row],[TOTAL]]*TG[[#This Row],[P.U. (1)]]</f>
        <v>0</v>
      </c>
      <c r="N445" s="82">
        <f>+VLOOKUP(B445,TbPiezas[],6,0)</f>
        <v>1003.7</v>
      </c>
      <c r="O445" s="83">
        <f>TG[[#This Row],[TOTAL]]*TG[[#This Row],[P.U. (2)]]</f>
        <v>0</v>
      </c>
      <c r="P445" s="82">
        <f>+VLOOKUP(B445,TbPiezas[],7,0)</f>
        <v>50.185000000000002</v>
      </c>
      <c r="Q445" s="170">
        <f>ROUND(TG[[#This Row],[TOTAL]]*TG[[#This Row],[P.U. (3)]],2)</f>
        <v>0</v>
      </c>
      <c r="R445" s="326"/>
    </row>
    <row r="446" spans="2:18" hidden="1" x14ac:dyDescent="0.3">
      <c r="B446" s="433" t="s">
        <v>1460</v>
      </c>
      <c r="C446" s="240" t="s">
        <v>1459</v>
      </c>
      <c r="E446" s="120"/>
      <c r="F446" s="120"/>
      <c r="G446" s="74"/>
      <c r="I446" s="76" t="str">
        <f t="shared" si="12"/>
        <v>EV.4010</v>
      </c>
      <c r="J446" s="121" t="str">
        <f>+IF(B446=TG[[#This Row],[ITEM]],"ok","mal")</f>
        <v>ok</v>
      </c>
      <c r="K446" s="79">
        <f t="shared" si="13"/>
        <v>0</v>
      </c>
      <c r="L446" s="80">
        <f>IF(VLOOKUP(B446,TbPiezas[],5,0)="NA",0,VLOOKUP(B446,TbPiezas[],5,0))</f>
        <v>0</v>
      </c>
      <c r="M446" s="81">
        <f>TG[[#This Row],[TOTAL]]*TG[[#This Row],[P.U. (1)]]</f>
        <v>0</v>
      </c>
      <c r="N446" s="82">
        <f>+VLOOKUP(B446,TbPiezas[],6,0)</f>
        <v>0</v>
      </c>
      <c r="O446" s="83">
        <f>TG[[#This Row],[TOTAL]]*TG[[#This Row],[P.U. (2)]]</f>
        <v>0</v>
      </c>
      <c r="P446" s="82">
        <f>+VLOOKUP(B446,TbPiezas[],7,0)</f>
        <v>0</v>
      </c>
      <c r="Q446" s="170">
        <f>ROUND(TG[[#This Row],[TOTAL]]*TG[[#This Row],[P.U. (3)]],2)</f>
        <v>0</v>
      </c>
      <c r="R446" s="326"/>
    </row>
    <row r="447" spans="2:18" hidden="1" x14ac:dyDescent="0.3">
      <c r="B447" s="433" t="s">
        <v>819</v>
      </c>
      <c r="C447" s="240" t="s">
        <v>820</v>
      </c>
      <c r="E447" s="120"/>
      <c r="F447" s="120"/>
      <c r="G447" s="74"/>
      <c r="I447" s="76" t="str">
        <f t="shared" si="12"/>
        <v>EV.4100</v>
      </c>
      <c r="J447" s="121" t="str">
        <f>+IF(B447=TG[[#This Row],[ITEM]],"ok","mal")</f>
        <v>ok</v>
      </c>
      <c r="K447" s="79">
        <f t="shared" si="13"/>
        <v>0</v>
      </c>
      <c r="L447" s="80">
        <f>IF(VLOOKUP(B447,TbPiezas[],5,0)="NA",0,VLOOKUP(B447,TbPiezas[],5,0))</f>
        <v>30</v>
      </c>
      <c r="M447" s="81">
        <f>TG[[#This Row],[TOTAL]]*TG[[#This Row],[P.U. (1)]]</f>
        <v>0</v>
      </c>
      <c r="N447" s="82">
        <f>+VLOOKUP(B447,TbPiezas[],6,0)</f>
        <v>6352.5</v>
      </c>
      <c r="O447" s="83">
        <f>TG[[#This Row],[TOTAL]]*TG[[#This Row],[P.U. (2)]]</f>
        <v>0</v>
      </c>
      <c r="P447" s="82">
        <f>+VLOOKUP(B447,TbPiezas[],7,0)</f>
        <v>317.625</v>
      </c>
      <c r="Q447" s="170">
        <f>ROUND(TG[[#This Row],[TOTAL]]*TG[[#This Row],[P.U. (3)]],2)</f>
        <v>0</v>
      </c>
      <c r="R447" s="326"/>
    </row>
    <row r="448" spans="2:18" hidden="1" x14ac:dyDescent="0.3">
      <c r="B448" s="433" t="s">
        <v>1464</v>
      </c>
      <c r="C448" s="240" t="s">
        <v>1461</v>
      </c>
      <c r="E448" s="120"/>
      <c r="F448" s="120"/>
      <c r="G448" s="74"/>
      <c r="I448" s="76" t="str">
        <f t="shared" si="12"/>
        <v>EV.4110</v>
      </c>
      <c r="J448" s="121" t="str">
        <f>+IF(B448=TG[[#This Row],[ITEM]],"ok","mal")</f>
        <v>ok</v>
      </c>
      <c r="K448" s="79">
        <f t="shared" si="13"/>
        <v>0</v>
      </c>
      <c r="L448" s="80">
        <f>IF(VLOOKUP(B448,TbPiezas[],5,0)="NA",0,VLOOKUP(B448,TbPiezas[],5,0))</f>
        <v>0</v>
      </c>
      <c r="M448" s="81">
        <f>TG[[#This Row],[TOTAL]]*TG[[#This Row],[P.U. (1)]]</f>
        <v>0</v>
      </c>
      <c r="N448" s="82">
        <f>+VLOOKUP(B448,TbPiezas[],6,0)</f>
        <v>0</v>
      </c>
      <c r="O448" s="83">
        <f>TG[[#This Row],[TOTAL]]*TG[[#This Row],[P.U. (2)]]</f>
        <v>0</v>
      </c>
      <c r="P448" s="82">
        <f>+VLOOKUP(B448,TbPiezas[],7,0)</f>
        <v>0</v>
      </c>
      <c r="Q448" s="170">
        <f>ROUND(TG[[#This Row],[TOTAL]]*TG[[#This Row],[P.U. (3)]],2)</f>
        <v>0</v>
      </c>
      <c r="R448" s="326"/>
    </row>
    <row r="449" spans="2:18" hidden="1" x14ac:dyDescent="0.3">
      <c r="B449" s="433" t="s">
        <v>1465</v>
      </c>
      <c r="C449" s="240" t="s">
        <v>1462</v>
      </c>
      <c r="E449" s="120"/>
      <c r="F449" s="120"/>
      <c r="G449" s="74"/>
      <c r="I449" s="76" t="str">
        <f t="shared" si="12"/>
        <v>EV.4120</v>
      </c>
      <c r="J449" s="121" t="str">
        <f>+IF(B449=TG[[#This Row],[ITEM]],"ok","mal")</f>
        <v>ok</v>
      </c>
      <c r="K449" s="79">
        <f t="shared" si="13"/>
        <v>0</v>
      </c>
      <c r="L449" s="80">
        <f>IF(VLOOKUP(B449,TbPiezas[],5,0)="NA",0,VLOOKUP(B449,TbPiezas[],5,0))</f>
        <v>0</v>
      </c>
      <c r="M449" s="81">
        <f>TG[[#This Row],[TOTAL]]*TG[[#This Row],[P.U. (1)]]</f>
        <v>0</v>
      </c>
      <c r="N449" s="82">
        <f>+VLOOKUP(B449,TbPiezas[],6,0)</f>
        <v>0</v>
      </c>
      <c r="O449" s="83">
        <f>TG[[#This Row],[TOTAL]]*TG[[#This Row],[P.U. (2)]]</f>
        <v>0</v>
      </c>
      <c r="P449" s="82">
        <f>+VLOOKUP(B449,TbPiezas[],7,0)</f>
        <v>0</v>
      </c>
      <c r="Q449" s="170">
        <f>ROUND(TG[[#This Row],[TOTAL]]*TG[[#This Row],[P.U. (3)]],2)</f>
        <v>0</v>
      </c>
      <c r="R449" s="326"/>
    </row>
    <row r="450" spans="2:18" hidden="1" x14ac:dyDescent="0.3">
      <c r="B450" s="433" t="s">
        <v>1466</v>
      </c>
      <c r="C450" s="240" t="s">
        <v>1463</v>
      </c>
      <c r="E450" s="120"/>
      <c r="F450" s="120"/>
      <c r="G450" s="74"/>
      <c r="I450" s="76" t="str">
        <f t="shared" si="12"/>
        <v>EV.4130</v>
      </c>
      <c r="J450" s="121" t="str">
        <f>+IF(B450=TG[[#This Row],[ITEM]],"ok","mal")</f>
        <v>ok</v>
      </c>
      <c r="K450" s="79">
        <f t="shared" si="13"/>
        <v>0</v>
      </c>
      <c r="L450" s="80">
        <f>IF(VLOOKUP(B450,TbPiezas[],5,0)="NA",0,VLOOKUP(B450,TbPiezas[],5,0))</f>
        <v>0</v>
      </c>
      <c r="M450" s="81">
        <f>TG[[#This Row],[TOTAL]]*TG[[#This Row],[P.U. (1)]]</f>
        <v>0</v>
      </c>
      <c r="N450" s="82">
        <f>+VLOOKUP(B450,TbPiezas[],6,0)</f>
        <v>0</v>
      </c>
      <c r="O450" s="83">
        <f>TG[[#This Row],[TOTAL]]*TG[[#This Row],[P.U. (2)]]</f>
        <v>0</v>
      </c>
      <c r="P450" s="82">
        <f>+VLOOKUP(B450,TbPiezas[],7,0)</f>
        <v>0</v>
      </c>
      <c r="Q450" s="170">
        <f>ROUND(TG[[#This Row],[TOTAL]]*TG[[#This Row],[P.U. (3)]],2)</f>
        <v>0</v>
      </c>
      <c r="R450" s="326"/>
    </row>
    <row r="451" spans="2:18" hidden="1" x14ac:dyDescent="0.3">
      <c r="B451" s="433" t="s">
        <v>1467</v>
      </c>
      <c r="C451" s="240" t="s">
        <v>1463</v>
      </c>
      <c r="E451" s="120"/>
      <c r="F451" s="120"/>
      <c r="G451" s="74"/>
      <c r="I451" s="76" t="str">
        <f t="shared" si="12"/>
        <v>EV.4140</v>
      </c>
      <c r="J451" s="121" t="str">
        <f>+IF(B451=TG[[#This Row],[ITEM]],"ok","mal")</f>
        <v>ok</v>
      </c>
      <c r="K451" s="79">
        <f t="shared" si="13"/>
        <v>0</v>
      </c>
      <c r="L451" s="80">
        <f>IF(VLOOKUP(B451,TbPiezas[],5,0)="NA",0,VLOOKUP(B451,TbPiezas[],5,0))</f>
        <v>0</v>
      </c>
      <c r="M451" s="81">
        <f>TG[[#This Row],[TOTAL]]*TG[[#This Row],[P.U. (1)]]</f>
        <v>0</v>
      </c>
      <c r="N451" s="82">
        <f>+VLOOKUP(B451,TbPiezas[],6,0)</f>
        <v>0</v>
      </c>
      <c r="O451" s="83">
        <f>TG[[#This Row],[TOTAL]]*TG[[#This Row],[P.U. (2)]]</f>
        <v>0</v>
      </c>
      <c r="P451" s="82">
        <f>+VLOOKUP(B451,TbPiezas[],7,0)</f>
        <v>0</v>
      </c>
      <c r="Q451" s="170">
        <f>ROUND(TG[[#This Row],[TOTAL]]*TG[[#This Row],[P.U. (3)]],2)</f>
        <v>0</v>
      </c>
      <c r="R451" s="326"/>
    </row>
    <row r="452" spans="2:18" hidden="1" x14ac:dyDescent="0.3">
      <c r="B452" s="435" t="s">
        <v>821</v>
      </c>
      <c r="C452" s="434" t="s">
        <v>822</v>
      </c>
      <c r="E452" s="120"/>
      <c r="F452" s="120"/>
      <c r="G452" s="74"/>
      <c r="I452" s="76" t="str">
        <f t="shared" si="12"/>
        <v>EV.4200</v>
      </c>
      <c r="J452" s="121" t="str">
        <f>+IF(B452=TG[[#This Row],[ITEM]],"ok","mal")</f>
        <v>ok</v>
      </c>
      <c r="K452" s="79">
        <f t="shared" si="13"/>
        <v>0</v>
      </c>
      <c r="L452" s="80">
        <f>IF(VLOOKUP(B452,TbPiezas[],5,0)="NA",0,VLOOKUP(B452,TbPiezas[],5,0))</f>
        <v>29.3</v>
      </c>
      <c r="M452" s="81">
        <f>TG[[#This Row],[TOTAL]]*TG[[#This Row],[P.U. (1)]]</f>
        <v>0</v>
      </c>
      <c r="N452" s="82">
        <f>+VLOOKUP(B452,TbPiezas[],6,0)</f>
        <v>6352.5</v>
      </c>
      <c r="O452" s="83">
        <f>TG[[#This Row],[TOTAL]]*TG[[#This Row],[P.U. (2)]]</f>
        <v>0</v>
      </c>
      <c r="P452" s="82">
        <f>+VLOOKUP(B452,TbPiezas[],7,0)</f>
        <v>317.625</v>
      </c>
      <c r="Q452" s="170">
        <f>ROUND(TG[[#This Row],[TOTAL]]*TG[[#This Row],[P.U. (3)]],2)</f>
        <v>0</v>
      </c>
      <c r="R452" s="326"/>
    </row>
    <row r="453" spans="2:18" hidden="1" x14ac:dyDescent="0.3">
      <c r="B453" s="435" t="s">
        <v>823</v>
      </c>
      <c r="C453" s="434" t="s">
        <v>824</v>
      </c>
      <c r="E453" s="120"/>
      <c r="F453" s="120"/>
      <c r="G453" s="74"/>
      <c r="I453" s="76" t="str">
        <f t="shared" si="12"/>
        <v>EV.4300</v>
      </c>
      <c r="J453" s="121" t="str">
        <f>+IF(B453=TG[[#This Row],[ITEM]],"ok","mal")</f>
        <v>ok</v>
      </c>
      <c r="K453" s="79">
        <f t="shared" si="13"/>
        <v>0</v>
      </c>
      <c r="L453" s="80">
        <f>IF(VLOOKUP(B453,TbPiezas[],5,0)="NA",0,VLOOKUP(B453,TbPiezas[],5,0))</f>
        <v>42</v>
      </c>
      <c r="M453" s="81">
        <f>TG[[#This Row],[TOTAL]]*TG[[#This Row],[P.U. (1)]]</f>
        <v>0</v>
      </c>
      <c r="N453" s="82">
        <f>+VLOOKUP(B453,TbPiezas[],6,0)</f>
        <v>6352.5</v>
      </c>
      <c r="O453" s="83">
        <f>TG[[#This Row],[TOTAL]]*TG[[#This Row],[P.U. (2)]]</f>
        <v>0</v>
      </c>
      <c r="P453" s="82">
        <f>+VLOOKUP(B453,TbPiezas[],7,0)</f>
        <v>317.625</v>
      </c>
      <c r="Q453" s="170">
        <f>ROUND(TG[[#This Row],[TOTAL]]*TG[[#This Row],[P.U. (3)]],2)</f>
        <v>0</v>
      </c>
      <c r="R453" s="326"/>
    </row>
    <row r="454" spans="2:18" hidden="1" x14ac:dyDescent="0.3">
      <c r="B454" s="433" t="s">
        <v>1472</v>
      </c>
      <c r="C454" s="240" t="s">
        <v>1468</v>
      </c>
      <c r="E454" s="120"/>
      <c r="F454" s="120"/>
      <c r="G454" s="74"/>
      <c r="I454" s="76" t="str">
        <f t="shared" ref="I454:I517" si="14">+B454</f>
        <v>EV.4310</v>
      </c>
      <c r="J454" s="121" t="str">
        <f>+IF(B454=TG[[#This Row],[ITEM]],"ok","mal")</f>
        <v>ok</v>
      </c>
      <c r="K454" s="79">
        <f t="shared" si="13"/>
        <v>0</v>
      </c>
      <c r="L454" s="80">
        <f>IF(VLOOKUP(B454,TbPiezas[],5,0)="NA",0,VLOOKUP(B454,TbPiezas[],5,0))</f>
        <v>0</v>
      </c>
      <c r="M454" s="81">
        <f>TG[[#This Row],[TOTAL]]*TG[[#This Row],[P.U. (1)]]</f>
        <v>0</v>
      </c>
      <c r="N454" s="82">
        <f>+VLOOKUP(B454,TbPiezas[],6,0)</f>
        <v>0</v>
      </c>
      <c r="O454" s="83">
        <f>TG[[#This Row],[TOTAL]]*TG[[#This Row],[P.U. (2)]]</f>
        <v>0</v>
      </c>
      <c r="P454" s="82">
        <f>+VLOOKUP(B454,TbPiezas[],7,0)</f>
        <v>0</v>
      </c>
      <c r="Q454" s="170">
        <f>ROUND(TG[[#This Row],[TOTAL]]*TG[[#This Row],[P.U. (3)]],2)</f>
        <v>0</v>
      </c>
      <c r="R454" s="326"/>
    </row>
    <row r="455" spans="2:18" hidden="1" x14ac:dyDescent="0.3">
      <c r="B455" s="433" t="s">
        <v>1473</v>
      </c>
      <c r="C455" s="240" t="s">
        <v>1469</v>
      </c>
      <c r="E455" s="120"/>
      <c r="F455" s="120"/>
      <c r="G455" s="74"/>
      <c r="I455" s="76" t="str">
        <f t="shared" si="14"/>
        <v>EV.4320</v>
      </c>
      <c r="J455" s="121" t="str">
        <f>+IF(B455=TG[[#This Row],[ITEM]],"ok","mal")</f>
        <v>ok</v>
      </c>
      <c r="K455" s="79">
        <f t="shared" si="13"/>
        <v>0</v>
      </c>
      <c r="L455" s="80">
        <f>IF(VLOOKUP(B455,TbPiezas[],5,0)="NA",0,VLOOKUP(B455,TbPiezas[],5,0))</f>
        <v>0</v>
      </c>
      <c r="M455" s="81">
        <f>TG[[#This Row],[TOTAL]]*TG[[#This Row],[P.U. (1)]]</f>
        <v>0</v>
      </c>
      <c r="N455" s="82">
        <f>+VLOOKUP(B455,TbPiezas[],6,0)</f>
        <v>0</v>
      </c>
      <c r="O455" s="83">
        <f>TG[[#This Row],[TOTAL]]*TG[[#This Row],[P.U. (2)]]</f>
        <v>0</v>
      </c>
      <c r="P455" s="82">
        <f>+VLOOKUP(B455,TbPiezas[],7,0)</f>
        <v>0</v>
      </c>
      <c r="Q455" s="170">
        <f>ROUND(TG[[#This Row],[TOTAL]]*TG[[#This Row],[P.U. (3)]],2)</f>
        <v>0</v>
      </c>
      <c r="R455" s="326"/>
    </row>
    <row r="456" spans="2:18" hidden="1" x14ac:dyDescent="0.3">
      <c r="B456" s="433" t="s">
        <v>1472</v>
      </c>
      <c r="C456" s="240" t="s">
        <v>1470</v>
      </c>
      <c r="E456" s="120"/>
      <c r="F456" s="120"/>
      <c r="G456" s="74"/>
      <c r="I456" s="76" t="str">
        <f t="shared" si="14"/>
        <v>EV.4310</v>
      </c>
      <c r="J456" s="121" t="str">
        <f>+IF(B456=TG[[#This Row],[ITEM]],"ok","mal")</f>
        <v>ok</v>
      </c>
      <c r="K456" s="79">
        <f t="shared" si="13"/>
        <v>0</v>
      </c>
      <c r="L456" s="80">
        <f>IF(VLOOKUP(B456,TbPiezas[],5,0)="NA",0,VLOOKUP(B456,TbPiezas[],5,0))</f>
        <v>0</v>
      </c>
      <c r="M456" s="81">
        <f>TG[[#This Row],[TOTAL]]*TG[[#This Row],[P.U. (1)]]</f>
        <v>0</v>
      </c>
      <c r="N456" s="82">
        <f>+VLOOKUP(B456,TbPiezas[],6,0)</f>
        <v>0</v>
      </c>
      <c r="O456" s="83">
        <f>TG[[#This Row],[TOTAL]]*TG[[#This Row],[P.U. (2)]]</f>
        <v>0</v>
      </c>
      <c r="P456" s="82">
        <f>+VLOOKUP(B456,TbPiezas[],7,0)</f>
        <v>0</v>
      </c>
      <c r="Q456" s="170">
        <f>ROUND(TG[[#This Row],[TOTAL]]*TG[[#This Row],[P.U. (3)]],2)</f>
        <v>0</v>
      </c>
      <c r="R456" s="326"/>
    </row>
    <row r="457" spans="2:18" hidden="1" x14ac:dyDescent="0.3">
      <c r="B457" s="435" t="s">
        <v>1473</v>
      </c>
      <c r="C457" s="434" t="s">
        <v>1471</v>
      </c>
      <c r="E457" s="120"/>
      <c r="F457" s="120"/>
      <c r="G457" s="74"/>
      <c r="I457" s="76" t="str">
        <f t="shared" si="14"/>
        <v>EV.4320</v>
      </c>
      <c r="J457" s="121" t="str">
        <f>+IF(B457=TG[[#This Row],[ITEM]],"ok","mal")</f>
        <v>ok</v>
      </c>
      <c r="K457" s="79">
        <f t="shared" si="13"/>
        <v>0</v>
      </c>
      <c r="L457" s="80">
        <f>IF(VLOOKUP(B457,TbPiezas[],5,0)="NA",0,VLOOKUP(B457,TbPiezas[],5,0))</f>
        <v>0</v>
      </c>
      <c r="M457" s="81">
        <f>TG[[#This Row],[TOTAL]]*TG[[#This Row],[P.U. (1)]]</f>
        <v>0</v>
      </c>
      <c r="N457" s="82">
        <f>+VLOOKUP(B457,TbPiezas[],6,0)</f>
        <v>0</v>
      </c>
      <c r="O457" s="83">
        <f>TG[[#This Row],[TOTAL]]*TG[[#This Row],[P.U. (2)]]</f>
        <v>0</v>
      </c>
      <c r="P457" s="82">
        <f>+VLOOKUP(B457,TbPiezas[],7,0)</f>
        <v>0</v>
      </c>
      <c r="Q457" s="170">
        <f>ROUND(TG[[#This Row],[TOTAL]]*TG[[#This Row],[P.U. (3)]],2)</f>
        <v>0</v>
      </c>
      <c r="R457" s="326"/>
    </row>
    <row r="458" spans="2:18" hidden="1" x14ac:dyDescent="0.3">
      <c r="B458" s="435" t="s">
        <v>825</v>
      </c>
      <c r="C458" s="434" t="s">
        <v>826</v>
      </c>
      <c r="E458" s="120"/>
      <c r="F458" s="120"/>
      <c r="G458" s="74"/>
      <c r="I458" s="76" t="str">
        <f t="shared" si="14"/>
        <v>EV.4400</v>
      </c>
      <c r="J458" s="121" t="str">
        <f>+IF(B458=TG[[#This Row],[ITEM]],"ok","mal")</f>
        <v>ok</v>
      </c>
      <c r="K458" s="79">
        <f t="shared" si="13"/>
        <v>0</v>
      </c>
      <c r="L458" s="80">
        <f>IF(VLOOKUP(B458,TbPiezas[],5,0)="NA",0,VLOOKUP(B458,TbPiezas[],5,0))</f>
        <v>42</v>
      </c>
      <c r="M458" s="81">
        <f>TG[[#This Row],[TOTAL]]*TG[[#This Row],[P.U. (1)]]</f>
        <v>0</v>
      </c>
      <c r="N458" s="82">
        <f>+VLOOKUP(B458,TbPiezas[],6,0)</f>
        <v>6352.5</v>
      </c>
      <c r="O458" s="83">
        <f>TG[[#This Row],[TOTAL]]*TG[[#This Row],[P.U. (2)]]</f>
        <v>0</v>
      </c>
      <c r="P458" s="82">
        <f>+VLOOKUP(B458,TbPiezas[],7,0)</f>
        <v>317.625</v>
      </c>
      <c r="Q458" s="170">
        <f>ROUND(TG[[#This Row],[TOTAL]]*TG[[#This Row],[P.U. (3)]],2)</f>
        <v>0</v>
      </c>
      <c r="R458" s="326"/>
    </row>
    <row r="459" spans="2:18" hidden="1" x14ac:dyDescent="0.3">
      <c r="B459" s="433" t="s">
        <v>827</v>
      </c>
      <c r="C459" s="240" t="s">
        <v>828</v>
      </c>
      <c r="E459" s="120"/>
      <c r="F459" s="120"/>
      <c r="G459" s="74"/>
      <c r="I459" s="76" t="str">
        <f t="shared" si="14"/>
        <v>EV.4500</v>
      </c>
      <c r="J459" s="121" t="str">
        <f>+IF(B459=TG[[#This Row],[ITEM]],"ok","mal")</f>
        <v>ok</v>
      </c>
      <c r="K459" s="79">
        <f t="shared" ref="K459:K497" si="15">SUM(D459:H459)</f>
        <v>0</v>
      </c>
      <c r="L459" s="80">
        <f>IF(VLOOKUP(B459,TbPiezas[],5,0)="NA",0,VLOOKUP(B459,TbPiezas[],5,0))</f>
        <v>28.7</v>
      </c>
      <c r="M459" s="81">
        <f>TG[[#This Row],[TOTAL]]*TG[[#This Row],[P.U. (1)]]</f>
        <v>0</v>
      </c>
      <c r="N459" s="82">
        <f>+VLOOKUP(B459,TbPiezas[],6,0)</f>
        <v>6352.5</v>
      </c>
      <c r="O459" s="83">
        <f>TG[[#This Row],[TOTAL]]*TG[[#This Row],[P.U. (2)]]</f>
        <v>0</v>
      </c>
      <c r="P459" s="82">
        <f>+VLOOKUP(B459,TbPiezas[],7,0)</f>
        <v>317.625</v>
      </c>
      <c r="Q459" s="170">
        <f>ROUND(TG[[#This Row],[TOTAL]]*TG[[#This Row],[P.U. (3)]],2)</f>
        <v>0</v>
      </c>
      <c r="R459" s="326"/>
    </row>
    <row r="460" spans="2:18" hidden="1" x14ac:dyDescent="0.3">
      <c r="B460" s="433" t="s">
        <v>829</v>
      </c>
      <c r="C460" s="240" t="s">
        <v>830</v>
      </c>
      <c r="E460" s="120"/>
      <c r="F460" s="120"/>
      <c r="G460" s="74"/>
      <c r="I460" s="76" t="str">
        <f t="shared" si="14"/>
        <v>EV.4600</v>
      </c>
      <c r="J460" s="121" t="str">
        <f>+IF(B460=TG[[#This Row],[ITEM]],"ok","mal")</f>
        <v>ok</v>
      </c>
      <c r="K460" s="79">
        <f t="shared" si="15"/>
        <v>0</v>
      </c>
      <c r="L460" s="80">
        <f>IF(VLOOKUP(B460,TbPiezas[],5,0)="NA",0,VLOOKUP(B460,TbPiezas[],5,0))</f>
        <v>28.7</v>
      </c>
      <c r="M460" s="81">
        <f>TG[[#This Row],[TOTAL]]*TG[[#This Row],[P.U. (1)]]</f>
        <v>0</v>
      </c>
      <c r="N460" s="82">
        <f>+VLOOKUP(B460,TbPiezas[],6,0)</f>
        <v>6352.5</v>
      </c>
      <c r="O460" s="83">
        <f>TG[[#This Row],[TOTAL]]*TG[[#This Row],[P.U. (2)]]</f>
        <v>0</v>
      </c>
      <c r="P460" s="82">
        <f>+VLOOKUP(B460,TbPiezas[],7,0)</f>
        <v>317.625</v>
      </c>
      <c r="Q460" s="170">
        <f>ROUND(TG[[#This Row],[TOTAL]]*TG[[#This Row],[P.U. (3)]],2)</f>
        <v>0</v>
      </c>
      <c r="R460" s="326"/>
    </row>
    <row r="461" spans="2:18" hidden="1" x14ac:dyDescent="0.3">
      <c r="B461" s="433" t="s">
        <v>831</v>
      </c>
      <c r="C461" s="240" t="s">
        <v>832</v>
      </c>
      <c r="E461" s="120"/>
      <c r="F461" s="120"/>
      <c r="G461" s="74"/>
      <c r="I461" s="76" t="str">
        <f t="shared" si="14"/>
        <v>EV.4700</v>
      </c>
      <c r="J461" s="121" t="str">
        <f>+IF(B461=TG[[#This Row],[ITEM]],"ok","mal")</f>
        <v>ok</v>
      </c>
      <c r="K461" s="79">
        <f t="shared" si="15"/>
        <v>0</v>
      </c>
      <c r="L461" s="80">
        <f>IF(VLOOKUP(B461,TbPiezas[],5,0)="NA",0,VLOOKUP(B461,TbPiezas[],5,0))</f>
        <v>148</v>
      </c>
      <c r="M461" s="81">
        <f>TG[[#This Row],[TOTAL]]*TG[[#This Row],[P.U. (1)]]</f>
        <v>0</v>
      </c>
      <c r="N461" s="82">
        <f>+VLOOKUP(B461,TbPiezas[],6,0)</f>
        <v>8258.25</v>
      </c>
      <c r="O461" s="83">
        <f>TG[[#This Row],[TOTAL]]*TG[[#This Row],[P.U. (2)]]</f>
        <v>0</v>
      </c>
      <c r="P461" s="82">
        <f>+VLOOKUP(B461,TbPiezas[],7,0)</f>
        <v>412.91250000000002</v>
      </c>
      <c r="Q461" s="170">
        <f>ROUND(TG[[#This Row],[TOTAL]]*TG[[#This Row],[P.U. (3)]],2)</f>
        <v>0</v>
      </c>
      <c r="R461" s="326"/>
    </row>
    <row r="462" spans="2:18" hidden="1" x14ac:dyDescent="0.3">
      <c r="B462" s="433" t="s">
        <v>833</v>
      </c>
      <c r="C462" s="240" t="s">
        <v>834</v>
      </c>
      <c r="E462" s="120"/>
      <c r="F462" s="120"/>
      <c r="G462" s="74"/>
      <c r="I462" s="76" t="str">
        <f t="shared" si="14"/>
        <v>EV.4800</v>
      </c>
      <c r="J462" s="121" t="str">
        <f>+IF(B462=TG[[#This Row],[ITEM]],"ok","mal")</f>
        <v>ok</v>
      </c>
      <c r="K462" s="79">
        <f t="shared" si="15"/>
        <v>0</v>
      </c>
      <c r="L462" s="80">
        <f>IF(VLOOKUP(B462,TbPiezas[],5,0)="NA",0,VLOOKUP(B462,TbPiezas[],5,0))</f>
        <v>148</v>
      </c>
      <c r="M462" s="81">
        <f>TG[[#This Row],[TOTAL]]*TG[[#This Row],[P.U. (1)]]</f>
        <v>0</v>
      </c>
      <c r="N462" s="82">
        <f>+VLOOKUP(B462,TbPiezas[],6,0)</f>
        <v>8258.25</v>
      </c>
      <c r="O462" s="83">
        <f>TG[[#This Row],[TOTAL]]*TG[[#This Row],[P.U. (2)]]</f>
        <v>0</v>
      </c>
      <c r="P462" s="82">
        <f>+VLOOKUP(B462,TbPiezas[],7,0)</f>
        <v>412.91250000000002</v>
      </c>
      <c r="Q462" s="170">
        <f>ROUND(TG[[#This Row],[TOTAL]]*TG[[#This Row],[P.U. (3)]],2)</f>
        <v>0</v>
      </c>
      <c r="R462" s="326"/>
    </row>
    <row r="463" spans="2:18" hidden="1" x14ac:dyDescent="0.3">
      <c r="B463" s="433" t="s">
        <v>835</v>
      </c>
      <c r="C463" s="240" t="s">
        <v>836</v>
      </c>
      <c r="E463" s="120"/>
      <c r="F463" s="120"/>
      <c r="G463" s="74"/>
      <c r="I463" s="76" t="str">
        <f t="shared" si="14"/>
        <v>EV.4900</v>
      </c>
      <c r="J463" s="121" t="str">
        <f>+IF(B463=TG[[#This Row],[ITEM]],"ok","mal")</f>
        <v>ok</v>
      </c>
      <c r="K463" s="79">
        <f t="shared" si="15"/>
        <v>0</v>
      </c>
      <c r="L463" s="80">
        <f>IF(VLOOKUP(B463,TbPiezas[],5,0)="NA",0,VLOOKUP(B463,TbPiezas[],5,0))</f>
        <v>35.9</v>
      </c>
      <c r="M463" s="81">
        <f>TG[[#This Row],[TOTAL]]*TG[[#This Row],[P.U. (1)]]</f>
        <v>0</v>
      </c>
      <c r="N463" s="82">
        <f>+VLOOKUP(B463,TbPiezas[],6,0)</f>
        <v>3049.2</v>
      </c>
      <c r="O463" s="83">
        <f>TG[[#This Row],[TOTAL]]*TG[[#This Row],[P.U. (2)]]</f>
        <v>0</v>
      </c>
      <c r="P463" s="82">
        <f>+VLOOKUP(B463,TbPiezas[],7,0)</f>
        <v>152.46</v>
      </c>
      <c r="Q463" s="170">
        <f>ROUND(TG[[#This Row],[TOTAL]]*TG[[#This Row],[P.U. (3)]],2)</f>
        <v>0</v>
      </c>
      <c r="R463" s="326"/>
    </row>
    <row r="464" spans="2:18" hidden="1" x14ac:dyDescent="0.3">
      <c r="B464" s="433" t="s">
        <v>837</v>
      </c>
      <c r="C464" s="240" t="s">
        <v>838</v>
      </c>
      <c r="E464" s="120"/>
      <c r="F464" s="120"/>
      <c r="G464" s="74"/>
      <c r="I464" s="76" t="str">
        <f t="shared" si="14"/>
        <v>EV.5000</v>
      </c>
      <c r="J464" s="121" t="str">
        <f>+IF(B464=TG[[#This Row],[ITEM]],"ok","mal")</f>
        <v>ok</v>
      </c>
      <c r="K464" s="79">
        <f t="shared" si="15"/>
        <v>0</v>
      </c>
      <c r="L464" s="80">
        <f>IF(VLOOKUP(B464,TbPiezas[],5,0)="NA",0,VLOOKUP(B464,TbPiezas[],5,0))</f>
        <v>35.9</v>
      </c>
      <c r="M464" s="81">
        <f>TG[[#This Row],[TOTAL]]*TG[[#This Row],[P.U. (1)]]</f>
        <v>0</v>
      </c>
      <c r="N464" s="82">
        <f>+VLOOKUP(B464,TbPiezas[],6,0)</f>
        <v>3049.2</v>
      </c>
      <c r="O464" s="83">
        <f>TG[[#This Row],[TOTAL]]*TG[[#This Row],[P.U. (2)]]</f>
        <v>0</v>
      </c>
      <c r="P464" s="82">
        <f>+VLOOKUP(B464,TbPiezas[],7,0)</f>
        <v>152.46</v>
      </c>
      <c r="Q464" s="170">
        <f>ROUND(TG[[#This Row],[TOTAL]]*TG[[#This Row],[P.U. (3)]],2)</f>
        <v>0</v>
      </c>
      <c r="R464" s="326"/>
    </row>
    <row r="465" spans="2:18" hidden="1" x14ac:dyDescent="0.3">
      <c r="B465" s="433" t="s">
        <v>839</v>
      </c>
      <c r="C465" s="240" t="s">
        <v>840</v>
      </c>
      <c r="E465" s="120"/>
      <c r="F465" s="120"/>
      <c r="G465" s="74"/>
      <c r="I465" s="76" t="str">
        <f t="shared" si="14"/>
        <v>EV.5100</v>
      </c>
      <c r="J465" s="121" t="str">
        <f>+IF(B465=TG[[#This Row],[ITEM]],"ok","mal")</f>
        <v>ok</v>
      </c>
      <c r="K465" s="79">
        <f t="shared" si="15"/>
        <v>0</v>
      </c>
      <c r="L465" s="80">
        <f>IF(VLOOKUP(B465,TbPiezas[],5,0)="NA",0,VLOOKUP(B465,TbPiezas[],5,0))</f>
        <v>26.6</v>
      </c>
      <c r="M465" s="81">
        <f>TG[[#This Row],[TOTAL]]*TG[[#This Row],[P.U. (1)]]</f>
        <v>0</v>
      </c>
      <c r="N465" s="82">
        <f>+VLOOKUP(B465,TbPiezas[],6,0)</f>
        <v>4446.75</v>
      </c>
      <c r="O465" s="83">
        <f>TG[[#This Row],[TOTAL]]*TG[[#This Row],[P.U. (2)]]</f>
        <v>0</v>
      </c>
      <c r="P465" s="82">
        <f>+VLOOKUP(B465,TbPiezas[],7,0)</f>
        <v>222.33750000000001</v>
      </c>
      <c r="Q465" s="170">
        <f>ROUND(TG[[#This Row],[TOTAL]]*TG[[#This Row],[P.U. (3)]],2)</f>
        <v>0</v>
      </c>
      <c r="R465" s="326"/>
    </row>
    <row r="466" spans="2:18" hidden="1" x14ac:dyDescent="0.3">
      <c r="B466" s="433" t="s">
        <v>841</v>
      </c>
      <c r="C466" s="240" t="s">
        <v>842</v>
      </c>
      <c r="E466" s="120"/>
      <c r="F466" s="120"/>
      <c r="G466" s="74"/>
      <c r="I466" s="76" t="str">
        <f t="shared" si="14"/>
        <v>EV.5200</v>
      </c>
      <c r="J466" s="121" t="str">
        <f>+IF(B466=TG[[#This Row],[ITEM]],"ok","mal")</f>
        <v>ok</v>
      </c>
      <c r="K466" s="79">
        <f t="shared" si="15"/>
        <v>0</v>
      </c>
      <c r="L466" s="80">
        <f>IF(VLOOKUP(B466,TbPiezas[],5,0)="NA",0,VLOOKUP(B466,TbPiezas[],5,0))</f>
        <v>20.2</v>
      </c>
      <c r="M466" s="81">
        <f>TG[[#This Row],[TOTAL]]*TG[[#This Row],[P.U. (1)]]</f>
        <v>0</v>
      </c>
      <c r="N466" s="82">
        <f>+VLOOKUP(B466,TbPiezas[],6,0)</f>
        <v>4446.75</v>
      </c>
      <c r="O466" s="83">
        <f>TG[[#This Row],[TOTAL]]*TG[[#This Row],[P.U. (2)]]</f>
        <v>0</v>
      </c>
      <c r="P466" s="82">
        <f>+VLOOKUP(B466,TbPiezas[],7,0)</f>
        <v>222.33750000000001</v>
      </c>
      <c r="Q466" s="170">
        <f>ROUND(TG[[#This Row],[TOTAL]]*TG[[#This Row],[P.U. (3)]],2)</f>
        <v>0</v>
      </c>
      <c r="R466" s="326"/>
    </row>
    <row r="467" spans="2:18" hidden="1" x14ac:dyDescent="0.3">
      <c r="B467" s="433" t="s">
        <v>843</v>
      </c>
      <c r="C467" s="240" t="s">
        <v>844</v>
      </c>
      <c r="E467" s="120"/>
      <c r="F467" s="120"/>
      <c r="G467" s="74"/>
      <c r="I467" s="76" t="str">
        <f t="shared" si="14"/>
        <v>EV.5300</v>
      </c>
      <c r="J467" s="121" t="str">
        <f>+IF(B467=TG[[#This Row],[ITEM]],"ok","mal")</f>
        <v>ok</v>
      </c>
      <c r="K467" s="79">
        <f t="shared" si="15"/>
        <v>0</v>
      </c>
      <c r="L467" s="80">
        <f>IF(VLOOKUP(B467,TbPiezas[],5,0)="NA",0,VLOOKUP(B467,TbPiezas[],5,0))</f>
        <v>26.6</v>
      </c>
      <c r="M467" s="81">
        <f>TG[[#This Row],[TOTAL]]*TG[[#This Row],[P.U. (1)]]</f>
        <v>0</v>
      </c>
      <c r="N467" s="82">
        <f>+VLOOKUP(B467,TbPiezas[],6,0)</f>
        <v>4446.75</v>
      </c>
      <c r="O467" s="83">
        <f>TG[[#This Row],[TOTAL]]*TG[[#This Row],[P.U. (2)]]</f>
        <v>0</v>
      </c>
      <c r="P467" s="82">
        <f>+VLOOKUP(B467,TbPiezas[],7,0)</f>
        <v>222.33750000000001</v>
      </c>
      <c r="Q467" s="170">
        <f>ROUND(TG[[#This Row],[TOTAL]]*TG[[#This Row],[P.U. (3)]],2)</f>
        <v>0</v>
      </c>
      <c r="R467" s="326"/>
    </row>
    <row r="468" spans="2:18" hidden="1" x14ac:dyDescent="0.3">
      <c r="B468" s="435" t="s">
        <v>845</v>
      </c>
      <c r="C468" s="434" t="s">
        <v>846</v>
      </c>
      <c r="E468" s="120"/>
      <c r="F468" s="120"/>
      <c r="G468" s="74"/>
      <c r="I468" s="76" t="str">
        <f t="shared" si="14"/>
        <v>EV.5400</v>
      </c>
      <c r="J468" s="121" t="str">
        <f>+IF(B468=TG[[#This Row],[ITEM]],"ok","mal")</f>
        <v>ok</v>
      </c>
      <c r="K468" s="79">
        <f t="shared" si="15"/>
        <v>0</v>
      </c>
      <c r="L468" s="80">
        <f>IF(VLOOKUP(B468,TbPiezas[],5,0)="NA",0,VLOOKUP(B468,TbPiezas[],5,0))</f>
        <v>20.2</v>
      </c>
      <c r="M468" s="81">
        <f>TG[[#This Row],[TOTAL]]*TG[[#This Row],[P.U. (1)]]</f>
        <v>0</v>
      </c>
      <c r="N468" s="82">
        <f>+VLOOKUP(B468,TbPiezas[],6,0)</f>
        <v>4446.75</v>
      </c>
      <c r="O468" s="83">
        <f>TG[[#This Row],[TOTAL]]*TG[[#This Row],[P.U. (2)]]</f>
        <v>0</v>
      </c>
      <c r="P468" s="82">
        <f>+VLOOKUP(B468,TbPiezas[],7,0)</f>
        <v>222.33750000000001</v>
      </c>
      <c r="Q468" s="170">
        <f>ROUND(TG[[#This Row],[TOTAL]]*TG[[#This Row],[P.U. (3)]],2)</f>
        <v>0</v>
      </c>
      <c r="R468" s="326"/>
    </row>
    <row r="469" spans="2:18" hidden="1" x14ac:dyDescent="0.3">
      <c r="B469" s="433" t="s">
        <v>1480</v>
      </c>
      <c r="C469" s="240" t="s">
        <v>1474</v>
      </c>
      <c r="E469" s="120"/>
      <c r="F469" s="120"/>
      <c r="G469" s="74"/>
      <c r="I469" s="76" t="str">
        <f t="shared" si="14"/>
        <v>EV.5410</v>
      </c>
      <c r="J469" s="121" t="str">
        <f>+IF(B469=TG[[#This Row],[ITEM]],"ok","mal")</f>
        <v>ok</v>
      </c>
      <c r="K469" s="79">
        <f t="shared" si="15"/>
        <v>0</v>
      </c>
      <c r="L469" s="80">
        <f>IF(VLOOKUP(B469,TbPiezas[],5,0)="NA",0,VLOOKUP(B469,TbPiezas[],5,0))</f>
        <v>0</v>
      </c>
      <c r="M469" s="81">
        <f>TG[[#This Row],[TOTAL]]*TG[[#This Row],[P.U. (1)]]</f>
        <v>0</v>
      </c>
      <c r="N469" s="82">
        <f>+VLOOKUP(B469,TbPiezas[],6,0)</f>
        <v>0</v>
      </c>
      <c r="O469" s="83">
        <f>TG[[#This Row],[TOTAL]]*TG[[#This Row],[P.U. (2)]]</f>
        <v>0</v>
      </c>
      <c r="P469" s="82">
        <f>+VLOOKUP(B469,TbPiezas[],7,0)</f>
        <v>0</v>
      </c>
      <c r="Q469" s="170">
        <f>ROUND(TG[[#This Row],[TOTAL]]*TG[[#This Row],[P.U. (3)]],2)</f>
        <v>0</v>
      </c>
      <c r="R469" s="326"/>
    </row>
    <row r="470" spans="2:18" hidden="1" x14ac:dyDescent="0.3">
      <c r="B470" s="433" t="s">
        <v>1481</v>
      </c>
      <c r="C470" s="240" t="s">
        <v>1475</v>
      </c>
      <c r="E470" s="120"/>
      <c r="F470" s="120"/>
      <c r="G470" s="74"/>
      <c r="I470" s="76" t="str">
        <f t="shared" si="14"/>
        <v>EV.5420</v>
      </c>
      <c r="J470" s="121" t="str">
        <f>+IF(B470=TG[[#This Row],[ITEM]],"ok","mal")</f>
        <v>ok</v>
      </c>
      <c r="K470" s="79">
        <f t="shared" si="15"/>
        <v>0</v>
      </c>
      <c r="L470" s="80">
        <f>IF(VLOOKUP(B470,TbPiezas[],5,0)="NA",0,VLOOKUP(B470,TbPiezas[],5,0))</f>
        <v>0</v>
      </c>
      <c r="M470" s="81">
        <f>TG[[#This Row],[TOTAL]]*TG[[#This Row],[P.U. (1)]]</f>
        <v>0</v>
      </c>
      <c r="N470" s="82">
        <f>+VLOOKUP(B470,TbPiezas[],6,0)</f>
        <v>0</v>
      </c>
      <c r="O470" s="83">
        <f>TG[[#This Row],[TOTAL]]*TG[[#This Row],[P.U. (2)]]</f>
        <v>0</v>
      </c>
      <c r="P470" s="82">
        <f>+VLOOKUP(B470,TbPiezas[],7,0)</f>
        <v>0</v>
      </c>
      <c r="Q470" s="170">
        <f>ROUND(TG[[#This Row],[TOTAL]]*TG[[#This Row],[P.U. (3)]],2)</f>
        <v>0</v>
      </c>
      <c r="R470" s="326"/>
    </row>
    <row r="471" spans="2:18" hidden="1" x14ac:dyDescent="0.3">
      <c r="B471" s="433" t="s">
        <v>1482</v>
      </c>
      <c r="C471" s="240" t="s">
        <v>1476</v>
      </c>
      <c r="E471" s="120"/>
      <c r="F471" s="120"/>
      <c r="G471" s="74"/>
      <c r="I471" s="76" t="str">
        <f t="shared" si="14"/>
        <v>EV.5430</v>
      </c>
      <c r="J471" s="121" t="str">
        <f>+IF(B471=TG[[#This Row],[ITEM]],"ok","mal")</f>
        <v>ok</v>
      </c>
      <c r="K471" s="79">
        <f t="shared" si="15"/>
        <v>0</v>
      </c>
      <c r="L471" s="80">
        <f>IF(VLOOKUP(B471,TbPiezas[],5,0)="NA",0,VLOOKUP(B471,TbPiezas[],5,0))</f>
        <v>0</v>
      </c>
      <c r="M471" s="81">
        <f>TG[[#This Row],[TOTAL]]*TG[[#This Row],[P.U. (1)]]</f>
        <v>0</v>
      </c>
      <c r="N471" s="82">
        <f>+VLOOKUP(B471,TbPiezas[],6,0)</f>
        <v>0</v>
      </c>
      <c r="O471" s="83">
        <f>TG[[#This Row],[TOTAL]]*TG[[#This Row],[P.U. (2)]]</f>
        <v>0</v>
      </c>
      <c r="P471" s="82">
        <f>+VLOOKUP(B471,TbPiezas[],7,0)</f>
        <v>0</v>
      </c>
      <c r="Q471" s="170">
        <f>ROUND(TG[[#This Row],[TOTAL]]*TG[[#This Row],[P.U. (3)]],2)</f>
        <v>0</v>
      </c>
      <c r="R471" s="326"/>
    </row>
    <row r="472" spans="2:18" hidden="1" x14ac:dyDescent="0.3">
      <c r="B472" s="433" t="s">
        <v>1483</v>
      </c>
      <c r="C472" s="240" t="s">
        <v>1477</v>
      </c>
      <c r="E472" s="120"/>
      <c r="F472" s="120"/>
      <c r="G472" s="74"/>
      <c r="I472" s="76" t="str">
        <f t="shared" si="14"/>
        <v>EV.5440</v>
      </c>
      <c r="J472" s="121" t="str">
        <f>+IF(B472=TG[[#This Row],[ITEM]],"ok","mal")</f>
        <v>ok</v>
      </c>
      <c r="K472" s="79">
        <f t="shared" si="15"/>
        <v>0</v>
      </c>
      <c r="L472" s="80">
        <f>IF(VLOOKUP(B472,TbPiezas[],5,0)="NA",0,VLOOKUP(B472,TbPiezas[],5,0))</f>
        <v>0</v>
      </c>
      <c r="M472" s="81">
        <f>TG[[#This Row],[TOTAL]]*TG[[#This Row],[P.U. (1)]]</f>
        <v>0</v>
      </c>
      <c r="N472" s="82">
        <f>+VLOOKUP(B472,TbPiezas[],6,0)</f>
        <v>0</v>
      </c>
      <c r="O472" s="83">
        <f>TG[[#This Row],[TOTAL]]*TG[[#This Row],[P.U. (2)]]</f>
        <v>0</v>
      </c>
      <c r="P472" s="82">
        <f>+VLOOKUP(B472,TbPiezas[],7,0)</f>
        <v>0</v>
      </c>
      <c r="Q472" s="170">
        <f>ROUND(TG[[#This Row],[TOTAL]]*TG[[#This Row],[P.U. (3)]],2)</f>
        <v>0</v>
      </c>
      <c r="R472" s="326"/>
    </row>
    <row r="473" spans="2:18" hidden="1" x14ac:dyDescent="0.3">
      <c r="B473" s="433" t="s">
        <v>1484</v>
      </c>
      <c r="C473" s="240" t="s">
        <v>1478</v>
      </c>
      <c r="E473" s="120"/>
      <c r="F473" s="120"/>
      <c r="G473" s="74"/>
      <c r="I473" s="76" t="str">
        <f t="shared" si="14"/>
        <v>EV.5450</v>
      </c>
      <c r="J473" s="121" t="str">
        <f>+IF(B473=TG[[#This Row],[ITEM]],"ok","mal")</f>
        <v>ok</v>
      </c>
      <c r="K473" s="79">
        <f t="shared" si="15"/>
        <v>0</v>
      </c>
      <c r="L473" s="80">
        <f>IF(VLOOKUP(B473,TbPiezas[],5,0)="NA",0,VLOOKUP(B473,TbPiezas[],5,0))</f>
        <v>0</v>
      </c>
      <c r="M473" s="81">
        <f>TG[[#This Row],[TOTAL]]*TG[[#This Row],[P.U. (1)]]</f>
        <v>0</v>
      </c>
      <c r="N473" s="82">
        <f>+VLOOKUP(B473,TbPiezas[],6,0)</f>
        <v>0</v>
      </c>
      <c r="O473" s="83">
        <f>TG[[#This Row],[TOTAL]]*TG[[#This Row],[P.U. (2)]]</f>
        <v>0</v>
      </c>
      <c r="P473" s="82">
        <f>+VLOOKUP(B473,TbPiezas[],7,0)</f>
        <v>0</v>
      </c>
      <c r="Q473" s="170">
        <f>ROUND(TG[[#This Row],[TOTAL]]*TG[[#This Row],[P.U. (3)]],2)</f>
        <v>0</v>
      </c>
      <c r="R473" s="326"/>
    </row>
    <row r="474" spans="2:18" hidden="1" x14ac:dyDescent="0.3">
      <c r="B474" s="433" t="s">
        <v>1485</v>
      </c>
      <c r="C474" s="240" t="s">
        <v>1479</v>
      </c>
      <c r="E474" s="120"/>
      <c r="F474" s="120"/>
      <c r="G474" s="74"/>
      <c r="I474" s="76" t="str">
        <f t="shared" si="14"/>
        <v>EV.5460</v>
      </c>
      <c r="J474" s="121" t="str">
        <f>+IF(B474=TG[[#This Row],[ITEM]],"ok","mal")</f>
        <v>ok</v>
      </c>
      <c r="K474" s="79">
        <f t="shared" si="15"/>
        <v>0</v>
      </c>
      <c r="L474" s="80">
        <f>IF(VLOOKUP(B474,TbPiezas[],5,0)="NA",0,VLOOKUP(B474,TbPiezas[],5,0))</f>
        <v>0</v>
      </c>
      <c r="M474" s="81">
        <f>TG[[#This Row],[TOTAL]]*TG[[#This Row],[P.U. (1)]]</f>
        <v>0</v>
      </c>
      <c r="N474" s="82">
        <f>+VLOOKUP(B474,TbPiezas[],6,0)</f>
        <v>0</v>
      </c>
      <c r="O474" s="83">
        <f>TG[[#This Row],[TOTAL]]*TG[[#This Row],[P.U. (2)]]</f>
        <v>0</v>
      </c>
      <c r="P474" s="82">
        <f>+VLOOKUP(B474,TbPiezas[],7,0)</f>
        <v>0</v>
      </c>
      <c r="Q474" s="170">
        <f>ROUND(TG[[#This Row],[TOTAL]]*TG[[#This Row],[P.U. (3)]],2)</f>
        <v>0</v>
      </c>
      <c r="R474" s="326"/>
    </row>
    <row r="475" spans="2:18" hidden="1" x14ac:dyDescent="0.3">
      <c r="B475" s="433" t="s">
        <v>847</v>
      </c>
      <c r="C475" s="240" t="s">
        <v>848</v>
      </c>
      <c r="E475" s="120"/>
      <c r="F475" s="120"/>
      <c r="G475" s="74"/>
      <c r="I475" s="76" t="str">
        <f t="shared" si="14"/>
        <v>EV.5500</v>
      </c>
      <c r="J475" s="121" t="str">
        <f>+IF(B475=TG[[#This Row],[ITEM]],"ok","mal")</f>
        <v>ok</v>
      </c>
      <c r="K475" s="79">
        <f t="shared" si="15"/>
        <v>0</v>
      </c>
      <c r="L475" s="80">
        <f>IF(VLOOKUP(B475,TbPiezas[],5,0)="NA",0,VLOOKUP(B475,TbPiezas[],5,0))</f>
        <v>0.7</v>
      </c>
      <c r="M475" s="81">
        <f>TG[[#This Row],[TOTAL]]*TG[[#This Row],[P.U. (1)]]</f>
        <v>0</v>
      </c>
      <c r="N475" s="82">
        <f>+VLOOKUP(B475,TbPiezas[],6,0)</f>
        <v>2032.8</v>
      </c>
      <c r="O475" s="83">
        <f>TG[[#This Row],[TOTAL]]*TG[[#This Row],[P.U. (2)]]</f>
        <v>0</v>
      </c>
      <c r="P475" s="82">
        <f>+VLOOKUP(B475,TbPiezas[],7,0)</f>
        <v>101.64</v>
      </c>
      <c r="Q475" s="170">
        <f>ROUND(TG[[#This Row],[TOTAL]]*TG[[#This Row],[P.U. (3)]],2)</f>
        <v>0</v>
      </c>
      <c r="R475" s="326"/>
    </row>
    <row r="476" spans="2:18" hidden="1" x14ac:dyDescent="0.3">
      <c r="B476" s="433" t="s">
        <v>849</v>
      </c>
      <c r="C476" s="240" t="s">
        <v>1486</v>
      </c>
      <c r="E476" s="120"/>
      <c r="F476" s="120"/>
      <c r="G476" s="74"/>
      <c r="I476" s="76" t="str">
        <f t="shared" si="14"/>
        <v>EV.5600</v>
      </c>
      <c r="J476" s="121" t="str">
        <f>+IF(B476=TG[[#This Row],[ITEM]],"ok","mal")</f>
        <v>ok</v>
      </c>
      <c r="K476" s="79">
        <f t="shared" si="15"/>
        <v>0</v>
      </c>
      <c r="L476" s="80">
        <f>IF(VLOOKUP(B476,TbPiezas[],5,0)="NA",0,VLOOKUP(B476,TbPiezas[],5,0))</f>
        <v>8.1999999999999993</v>
      </c>
      <c r="M476" s="81">
        <f>TG[[#This Row],[TOTAL]]*TG[[#This Row],[P.U. (1)]]</f>
        <v>0</v>
      </c>
      <c r="N476" s="82">
        <f>+VLOOKUP(B476,TbPiezas[],6,0)</f>
        <v>1079.93</v>
      </c>
      <c r="O476" s="83">
        <f>TG[[#This Row],[TOTAL]]*TG[[#This Row],[P.U. (2)]]</f>
        <v>0</v>
      </c>
      <c r="P476" s="82">
        <f>+VLOOKUP(B476,TbPiezas[],7,0)</f>
        <v>53.996500000000005</v>
      </c>
      <c r="Q476" s="170">
        <f>ROUND(TG[[#This Row],[TOTAL]]*TG[[#This Row],[P.U. (3)]],2)</f>
        <v>0</v>
      </c>
      <c r="R476" s="326"/>
    </row>
    <row r="477" spans="2:18" hidden="1" x14ac:dyDescent="0.3">
      <c r="B477" s="433" t="s">
        <v>1488</v>
      </c>
      <c r="C477" s="240" t="s">
        <v>1487</v>
      </c>
      <c r="E477" s="120"/>
      <c r="F477" s="120"/>
      <c r="G477" s="74"/>
      <c r="I477" s="76" t="str">
        <f t="shared" si="14"/>
        <v>EV.5610</v>
      </c>
      <c r="J477" s="121" t="str">
        <f>+IF(B477=TG[[#This Row],[ITEM]],"ok","mal")</f>
        <v>ok</v>
      </c>
      <c r="K477" s="79">
        <f t="shared" si="15"/>
        <v>0</v>
      </c>
      <c r="L477" s="80">
        <f>IF(VLOOKUP(B477,TbPiezas[],5,0)="NA",0,VLOOKUP(B477,TbPiezas[],5,0))</f>
        <v>0</v>
      </c>
      <c r="M477" s="81">
        <f>TG[[#This Row],[TOTAL]]*TG[[#This Row],[P.U. (1)]]</f>
        <v>0</v>
      </c>
      <c r="N477" s="82">
        <f>+VLOOKUP(B477,TbPiezas[],6,0)</f>
        <v>0</v>
      </c>
      <c r="O477" s="83">
        <f>TG[[#This Row],[TOTAL]]*TG[[#This Row],[P.U. (2)]]</f>
        <v>0</v>
      </c>
      <c r="P477" s="82">
        <f>+VLOOKUP(B477,TbPiezas[],7,0)</f>
        <v>0</v>
      </c>
      <c r="Q477" s="170">
        <f>ROUND(TG[[#This Row],[TOTAL]]*TG[[#This Row],[P.U. (3)]],2)</f>
        <v>0</v>
      </c>
      <c r="R477" s="326"/>
    </row>
    <row r="478" spans="2:18" hidden="1" x14ac:dyDescent="0.3">
      <c r="B478" s="433" t="s">
        <v>850</v>
      </c>
      <c r="C478" s="240" t="s">
        <v>1489</v>
      </c>
      <c r="E478" s="120"/>
      <c r="F478" s="120"/>
      <c r="G478" s="74"/>
      <c r="I478" s="76" t="str">
        <f t="shared" si="14"/>
        <v>EV.5700</v>
      </c>
      <c r="J478" s="121" t="str">
        <f>+IF(B478=TG[[#This Row],[ITEM]],"ok","mal")</f>
        <v>ok</v>
      </c>
      <c r="K478" s="79">
        <f t="shared" si="15"/>
        <v>0</v>
      </c>
      <c r="L478" s="80">
        <f>IF(VLOOKUP(B478,TbPiezas[],5,0)="NA",0,VLOOKUP(B478,TbPiezas[],5,0))</f>
        <v>20</v>
      </c>
      <c r="M478" s="81">
        <f>TG[[#This Row],[TOTAL]]*TG[[#This Row],[P.U. (1)]]</f>
        <v>0</v>
      </c>
      <c r="N478" s="82">
        <f>+VLOOKUP(B478,TbPiezas[],6,0)</f>
        <v>571.73</v>
      </c>
      <c r="O478" s="83">
        <f>TG[[#This Row],[TOTAL]]*TG[[#This Row],[P.U. (2)]]</f>
        <v>0</v>
      </c>
      <c r="P478" s="82">
        <f>+VLOOKUP(B478,TbPiezas[],7,0)</f>
        <v>28.586500000000001</v>
      </c>
      <c r="Q478" s="170">
        <f>ROUND(TG[[#This Row],[TOTAL]]*TG[[#This Row],[P.U. (3)]],2)</f>
        <v>0</v>
      </c>
      <c r="R478" s="326"/>
    </row>
    <row r="479" spans="2:18" hidden="1" x14ac:dyDescent="0.3">
      <c r="B479" s="433" t="s">
        <v>1490</v>
      </c>
      <c r="C479" s="240" t="s">
        <v>1511</v>
      </c>
      <c r="E479" s="120"/>
      <c r="F479" s="120"/>
      <c r="G479" s="74"/>
      <c r="I479" s="76" t="str">
        <f t="shared" si="14"/>
        <v>EV.5710</v>
      </c>
      <c r="J479" s="121" t="str">
        <f>+IF(B479=TG[[#This Row],[ITEM]],"ok","mal")</f>
        <v>ok</v>
      </c>
      <c r="K479" s="79">
        <f t="shared" si="15"/>
        <v>0</v>
      </c>
      <c r="L479" s="80">
        <f>IF(VLOOKUP(B479,TbPiezas[],5,0)="NA",0,VLOOKUP(B479,TbPiezas[],5,0))</f>
        <v>0</v>
      </c>
      <c r="M479" s="81">
        <f>TG[[#This Row],[TOTAL]]*TG[[#This Row],[P.U. (1)]]</f>
        <v>0</v>
      </c>
      <c r="N479" s="82">
        <f>+VLOOKUP(B479,TbPiezas[],6,0)</f>
        <v>0</v>
      </c>
      <c r="O479" s="83">
        <f>TG[[#This Row],[TOTAL]]*TG[[#This Row],[P.U. (2)]]</f>
        <v>0</v>
      </c>
      <c r="P479" s="82">
        <f>+VLOOKUP(B479,TbPiezas[],7,0)</f>
        <v>0</v>
      </c>
      <c r="Q479" s="170">
        <f>ROUND(TG[[#This Row],[TOTAL]]*TG[[#This Row],[P.U. (3)]],2)</f>
        <v>0</v>
      </c>
      <c r="R479" s="326"/>
    </row>
    <row r="480" spans="2:18" hidden="1" x14ac:dyDescent="0.3">
      <c r="B480" s="433" t="s">
        <v>851</v>
      </c>
      <c r="C480" s="240" t="s">
        <v>1491</v>
      </c>
      <c r="E480" s="120"/>
      <c r="F480" s="120"/>
      <c r="G480" s="74"/>
      <c r="I480" s="76" t="str">
        <f t="shared" si="14"/>
        <v>EV.5800</v>
      </c>
      <c r="J480" s="121" t="str">
        <f>+IF(B480=TG[[#This Row],[ITEM]],"ok","mal")</f>
        <v>ok</v>
      </c>
      <c r="K480" s="79">
        <f t="shared" si="15"/>
        <v>0</v>
      </c>
      <c r="L480" s="80">
        <f>IF(VLOOKUP(B480,TbPiezas[],5,0)="NA",0,VLOOKUP(B480,TbPiezas[],5,0))</f>
        <v>3.3</v>
      </c>
      <c r="M480" s="81">
        <f>TG[[#This Row],[TOTAL]]*TG[[#This Row],[P.U. (1)]]</f>
        <v>0</v>
      </c>
      <c r="N480" s="82">
        <f>+VLOOKUP(B480,TbPiezas[],6,0)</f>
        <v>228.69</v>
      </c>
      <c r="O480" s="83">
        <f>TG[[#This Row],[TOTAL]]*TG[[#This Row],[P.U. (2)]]</f>
        <v>0</v>
      </c>
      <c r="P480" s="82">
        <f>+VLOOKUP(B480,TbPiezas[],7,0)</f>
        <v>11.4345</v>
      </c>
      <c r="Q480" s="170">
        <f>ROUND(TG[[#This Row],[TOTAL]]*TG[[#This Row],[P.U. (3)]],2)</f>
        <v>0</v>
      </c>
      <c r="R480" s="326"/>
    </row>
    <row r="481" spans="2:18" hidden="1" x14ac:dyDescent="0.3">
      <c r="B481" s="433" t="s">
        <v>852</v>
      </c>
      <c r="C481" s="240" t="s">
        <v>1492</v>
      </c>
      <c r="E481" s="120"/>
      <c r="F481" s="120"/>
      <c r="G481" s="74"/>
      <c r="I481" s="76" t="str">
        <f t="shared" si="14"/>
        <v>EV.5900</v>
      </c>
      <c r="J481" s="121" t="str">
        <f>+IF(B481=TG[[#This Row],[ITEM]],"ok","mal")</f>
        <v>ok</v>
      </c>
      <c r="K481" s="79">
        <f t="shared" si="15"/>
        <v>0</v>
      </c>
      <c r="L481" s="80">
        <f>IF(VLOOKUP(B481,TbPiezas[],5,0)="NA",0,VLOOKUP(B481,TbPiezas[],5,0))</f>
        <v>3.3</v>
      </c>
      <c r="M481" s="81">
        <f>TG[[#This Row],[TOTAL]]*TG[[#This Row],[P.U. (1)]]</f>
        <v>0</v>
      </c>
      <c r="N481" s="82">
        <f>+VLOOKUP(B481,TbPiezas[],6,0)</f>
        <v>228.69</v>
      </c>
      <c r="O481" s="83">
        <f>TG[[#This Row],[TOTAL]]*TG[[#This Row],[P.U. (2)]]</f>
        <v>0</v>
      </c>
      <c r="P481" s="82">
        <f>+VLOOKUP(B481,TbPiezas[],7,0)</f>
        <v>11.4345</v>
      </c>
      <c r="Q481" s="170">
        <f>ROUND(TG[[#This Row],[TOTAL]]*TG[[#This Row],[P.U. (3)]],2)</f>
        <v>0</v>
      </c>
      <c r="R481" s="326"/>
    </row>
    <row r="482" spans="2:18" hidden="1" x14ac:dyDescent="0.3">
      <c r="B482" s="433" t="s">
        <v>853</v>
      </c>
      <c r="C482" s="240" t="s">
        <v>854</v>
      </c>
      <c r="E482" s="120"/>
      <c r="F482" s="120"/>
      <c r="G482" s="74"/>
      <c r="I482" s="76" t="str">
        <f t="shared" si="14"/>
        <v>EV.6000</v>
      </c>
      <c r="J482" s="121" t="str">
        <f>+IF(B482=TG[[#This Row],[ITEM]],"ok","mal")</f>
        <v>ok</v>
      </c>
      <c r="K482" s="79">
        <f t="shared" si="15"/>
        <v>0</v>
      </c>
      <c r="L482" s="80">
        <f>IF(VLOOKUP(B482,TbPiezas[],5,0)="NA",0,VLOOKUP(B482,TbPiezas[],5,0))</f>
        <v>0.2</v>
      </c>
      <c r="M482" s="81">
        <f>TG[[#This Row],[TOTAL]]*TG[[#This Row],[P.U. (1)]]</f>
        <v>0</v>
      </c>
      <c r="N482" s="82">
        <f>+VLOOKUP(B482,TbPiezas[],6,0)</f>
        <v>228.69</v>
      </c>
      <c r="O482" s="83">
        <f>TG[[#This Row],[TOTAL]]*TG[[#This Row],[P.U. (2)]]</f>
        <v>0</v>
      </c>
      <c r="P482" s="82">
        <f>+VLOOKUP(B482,TbPiezas[],7,0)</f>
        <v>11.4345</v>
      </c>
      <c r="Q482" s="170">
        <f>ROUND(TG[[#This Row],[TOTAL]]*TG[[#This Row],[P.U. (3)]],2)</f>
        <v>0</v>
      </c>
      <c r="R482" s="326"/>
    </row>
    <row r="483" spans="2:18" hidden="1" x14ac:dyDescent="0.3">
      <c r="B483" s="433" t="s">
        <v>855</v>
      </c>
      <c r="C483" s="240" t="s">
        <v>856</v>
      </c>
      <c r="E483" s="120"/>
      <c r="F483" s="120"/>
      <c r="G483" s="74"/>
      <c r="I483" s="76" t="str">
        <f t="shared" si="14"/>
        <v>EV.6100</v>
      </c>
      <c r="J483" s="121" t="str">
        <f>+IF(B483=TG[[#This Row],[ITEM]],"ok","mal")</f>
        <v>ok</v>
      </c>
      <c r="K483" s="79">
        <f t="shared" si="15"/>
        <v>0</v>
      </c>
      <c r="L483" s="80">
        <f>IF(VLOOKUP(B483,TbPiezas[],5,0)="NA",0,VLOOKUP(B483,TbPiezas[],5,0))</f>
        <v>3</v>
      </c>
      <c r="M483" s="81">
        <f>TG[[#This Row],[TOTAL]]*TG[[#This Row],[P.U. (1)]]</f>
        <v>0</v>
      </c>
      <c r="N483" s="82">
        <f>+VLOOKUP(B483,TbPiezas[],6,0)</f>
        <v>228.69</v>
      </c>
      <c r="O483" s="83">
        <f>TG[[#This Row],[TOTAL]]*TG[[#This Row],[P.U. (2)]]</f>
        <v>0</v>
      </c>
      <c r="P483" s="82">
        <f>+VLOOKUP(B483,TbPiezas[],7,0)</f>
        <v>11.4345</v>
      </c>
      <c r="Q483" s="170">
        <f>ROUND(TG[[#This Row],[TOTAL]]*TG[[#This Row],[P.U. (3)]],2)</f>
        <v>0</v>
      </c>
      <c r="R483" s="326"/>
    </row>
    <row r="484" spans="2:18" hidden="1" x14ac:dyDescent="0.3">
      <c r="B484" s="433" t="s">
        <v>857</v>
      </c>
      <c r="C484" s="240" t="s">
        <v>858</v>
      </c>
      <c r="E484" s="120"/>
      <c r="F484" s="120"/>
      <c r="G484" s="74"/>
      <c r="I484" s="76" t="str">
        <f t="shared" si="14"/>
        <v>EV.6200</v>
      </c>
      <c r="J484" s="121" t="str">
        <f>+IF(B484=TG[[#This Row],[ITEM]],"ok","mal")</f>
        <v>ok</v>
      </c>
      <c r="K484" s="79">
        <f t="shared" si="15"/>
        <v>0</v>
      </c>
      <c r="L484" s="80">
        <f>IF(VLOOKUP(B484,TbPiezas[],5,0)="NA",0,VLOOKUP(B484,TbPiezas[],5,0))</f>
        <v>3</v>
      </c>
      <c r="M484" s="81">
        <f>TG[[#This Row],[TOTAL]]*TG[[#This Row],[P.U. (1)]]</f>
        <v>0</v>
      </c>
      <c r="N484" s="82">
        <f>+VLOOKUP(B484,TbPiezas[],6,0)</f>
        <v>228.69</v>
      </c>
      <c r="O484" s="83">
        <f>TG[[#This Row],[TOTAL]]*TG[[#This Row],[P.U. (2)]]</f>
        <v>0</v>
      </c>
      <c r="P484" s="82">
        <f>+VLOOKUP(B484,TbPiezas[],7,0)</f>
        <v>11.4345</v>
      </c>
      <c r="Q484" s="170">
        <f>ROUND(TG[[#This Row],[TOTAL]]*TG[[#This Row],[P.U. (3)]],2)</f>
        <v>0</v>
      </c>
      <c r="R484" s="326"/>
    </row>
    <row r="485" spans="2:18" hidden="1" x14ac:dyDescent="0.3">
      <c r="B485" s="433" t="s">
        <v>859</v>
      </c>
      <c r="C485" s="240" t="s">
        <v>860</v>
      </c>
      <c r="E485" s="120"/>
      <c r="F485" s="120"/>
      <c r="G485" s="74"/>
      <c r="I485" s="76" t="str">
        <f t="shared" si="14"/>
        <v>EV.6300</v>
      </c>
      <c r="J485" s="121" t="str">
        <f>+IF(B485=TG[[#This Row],[ITEM]],"ok","mal")</f>
        <v>ok</v>
      </c>
      <c r="K485" s="79">
        <f t="shared" si="15"/>
        <v>0</v>
      </c>
      <c r="L485" s="80">
        <f>IF(VLOOKUP(B485,TbPiezas[],5,0)="NA",0,VLOOKUP(B485,TbPiezas[],5,0))</f>
        <v>4.5999999999999996</v>
      </c>
      <c r="M485" s="81">
        <f>TG[[#This Row],[TOTAL]]*TG[[#This Row],[P.U. (1)]]</f>
        <v>0</v>
      </c>
      <c r="N485" s="82">
        <f>+VLOOKUP(B485,TbPiezas[],6,0)</f>
        <v>571.73</v>
      </c>
      <c r="O485" s="83">
        <f>TG[[#This Row],[TOTAL]]*TG[[#This Row],[P.U. (2)]]</f>
        <v>0</v>
      </c>
      <c r="P485" s="82">
        <f>+VLOOKUP(B485,TbPiezas[],7,0)</f>
        <v>28.586500000000001</v>
      </c>
      <c r="Q485" s="170">
        <f>ROUND(TG[[#This Row],[TOTAL]]*TG[[#This Row],[P.U. (3)]],2)</f>
        <v>0</v>
      </c>
      <c r="R485" s="326"/>
    </row>
    <row r="486" spans="2:18" hidden="1" x14ac:dyDescent="0.3">
      <c r="B486" s="433" t="s">
        <v>861</v>
      </c>
      <c r="C486" s="240" t="s">
        <v>862</v>
      </c>
      <c r="E486" s="120"/>
      <c r="F486" s="120"/>
      <c r="G486" s="74"/>
      <c r="I486" s="76" t="str">
        <f t="shared" si="14"/>
        <v>EV.6400</v>
      </c>
      <c r="J486" s="121" t="str">
        <f>+IF(B486=TG[[#This Row],[ITEM]],"ok","mal")</f>
        <v>ok</v>
      </c>
      <c r="K486" s="79">
        <f t="shared" si="15"/>
        <v>0</v>
      </c>
      <c r="L486" s="80">
        <f>IF(VLOOKUP(B486,TbPiezas[],5,0)="NA",0,VLOOKUP(B486,TbPiezas[],5,0))</f>
        <v>1.2</v>
      </c>
      <c r="M486" s="81">
        <f>TG[[#This Row],[TOTAL]]*TG[[#This Row],[P.U. (1)]]</f>
        <v>0</v>
      </c>
      <c r="N486" s="82">
        <f>+VLOOKUP(B486,TbPiezas[],6,0)</f>
        <v>228.69</v>
      </c>
      <c r="O486" s="83">
        <f>TG[[#This Row],[TOTAL]]*TG[[#This Row],[P.U. (2)]]</f>
        <v>0</v>
      </c>
      <c r="P486" s="82">
        <f>+VLOOKUP(B486,TbPiezas[],7,0)</f>
        <v>11.4345</v>
      </c>
      <c r="Q486" s="170">
        <f>ROUND(TG[[#This Row],[TOTAL]]*TG[[#This Row],[P.U. (3)]],2)</f>
        <v>0</v>
      </c>
      <c r="R486" s="326"/>
    </row>
    <row r="487" spans="2:18" hidden="1" x14ac:dyDescent="0.3">
      <c r="B487" s="433" t="s">
        <v>863</v>
      </c>
      <c r="C487" s="240" t="s">
        <v>864</v>
      </c>
      <c r="E487" s="120"/>
      <c r="F487" s="120"/>
      <c r="G487" s="74"/>
      <c r="I487" s="76" t="str">
        <f t="shared" si="14"/>
        <v>EV.6500</v>
      </c>
      <c r="J487" s="121" t="str">
        <f>+IF(B487=TG[[#This Row],[ITEM]],"ok","mal")</f>
        <v>ok</v>
      </c>
      <c r="K487" s="79">
        <f t="shared" si="15"/>
        <v>0</v>
      </c>
      <c r="L487" s="80">
        <f>IF(VLOOKUP(B487,TbPiezas[],5,0)="NA",0,VLOOKUP(B487,TbPiezas[],5,0))</f>
        <v>39</v>
      </c>
      <c r="M487" s="81">
        <f>TG[[#This Row],[TOTAL]]*TG[[#This Row],[P.U. (1)]]</f>
        <v>0</v>
      </c>
      <c r="N487" s="82">
        <f>+VLOOKUP(B487,TbPiezas[],6,0)</f>
        <v>2032.8</v>
      </c>
      <c r="O487" s="83">
        <f>TG[[#This Row],[TOTAL]]*TG[[#This Row],[P.U. (2)]]</f>
        <v>0</v>
      </c>
      <c r="P487" s="82">
        <f>+VLOOKUP(B487,TbPiezas[],7,0)</f>
        <v>101.64</v>
      </c>
      <c r="Q487" s="170">
        <f>ROUND(TG[[#This Row],[TOTAL]]*TG[[#This Row],[P.U. (3)]],2)</f>
        <v>0</v>
      </c>
      <c r="R487" s="326"/>
    </row>
    <row r="488" spans="2:18" hidden="1" x14ac:dyDescent="0.3">
      <c r="B488" s="433" t="s">
        <v>865</v>
      </c>
      <c r="C488" s="240" t="s">
        <v>866</v>
      </c>
      <c r="E488" s="120"/>
      <c r="F488" s="120"/>
      <c r="G488" s="74"/>
      <c r="I488" s="76" t="str">
        <f t="shared" si="14"/>
        <v>EV.6600</v>
      </c>
      <c r="J488" s="121" t="str">
        <f>+IF(B488=TG[[#This Row],[ITEM]],"ok","mal")</f>
        <v>ok</v>
      </c>
      <c r="K488" s="79">
        <f t="shared" si="15"/>
        <v>0</v>
      </c>
      <c r="L488" s="80">
        <f>IF(VLOOKUP(B488,TbPiezas[],5,0)="NA",0,VLOOKUP(B488,TbPiezas[],5,0))</f>
        <v>104</v>
      </c>
      <c r="M488" s="81">
        <f>TG[[#This Row],[TOTAL]]*TG[[#This Row],[P.U. (1)]]</f>
        <v>0</v>
      </c>
      <c r="N488" s="82">
        <f>+VLOOKUP(B488,TbPiezas[],6,0)</f>
        <v>4446.75</v>
      </c>
      <c r="O488" s="83">
        <f>TG[[#This Row],[TOTAL]]*TG[[#This Row],[P.U. (2)]]</f>
        <v>0</v>
      </c>
      <c r="P488" s="82">
        <f>+VLOOKUP(B488,TbPiezas[],7,0)</f>
        <v>222.33750000000001</v>
      </c>
      <c r="Q488" s="170">
        <f>ROUND(TG[[#This Row],[TOTAL]]*TG[[#This Row],[P.U. (3)]],2)</f>
        <v>0</v>
      </c>
      <c r="R488" s="326"/>
    </row>
    <row r="489" spans="2:18" hidden="1" x14ac:dyDescent="0.3">
      <c r="B489" s="433" t="s">
        <v>867</v>
      </c>
      <c r="C489" s="240" t="s">
        <v>868</v>
      </c>
      <c r="E489" s="120"/>
      <c r="F489" s="120"/>
      <c r="G489" s="74"/>
      <c r="I489" s="76" t="str">
        <f t="shared" si="14"/>
        <v>EV.6700</v>
      </c>
      <c r="J489" s="121" t="str">
        <f>+IF(B489=TG[[#This Row],[ITEM]],"ok","mal")</f>
        <v>ok</v>
      </c>
      <c r="K489" s="79">
        <f t="shared" si="15"/>
        <v>0</v>
      </c>
      <c r="L489" s="80">
        <f>IF(VLOOKUP(B489,TbPiezas[],5,0)="NA",0,VLOOKUP(B489,TbPiezas[],5,0))</f>
        <v>154</v>
      </c>
      <c r="M489" s="81">
        <f>TG[[#This Row],[TOTAL]]*TG[[#This Row],[P.U. (1)]]</f>
        <v>0</v>
      </c>
      <c r="N489" s="82">
        <f>+VLOOKUP(B489,TbPiezas[],6,0)</f>
        <v>4954.95</v>
      </c>
      <c r="O489" s="83">
        <f>TG[[#This Row],[TOTAL]]*TG[[#This Row],[P.U. (2)]]</f>
        <v>0</v>
      </c>
      <c r="P489" s="82">
        <f>+VLOOKUP(B489,TbPiezas[],7,0)</f>
        <v>247.7475</v>
      </c>
      <c r="Q489" s="170">
        <f>ROUND(TG[[#This Row],[TOTAL]]*TG[[#This Row],[P.U. (3)]],2)</f>
        <v>0</v>
      </c>
      <c r="R489" s="326"/>
    </row>
    <row r="490" spans="2:18" hidden="1" x14ac:dyDescent="0.3">
      <c r="B490" s="433" t="s">
        <v>869</v>
      </c>
      <c r="C490" s="240" t="s">
        <v>870</v>
      </c>
      <c r="E490" s="120"/>
      <c r="F490" s="120"/>
      <c r="G490" s="74"/>
      <c r="I490" s="76" t="str">
        <f t="shared" si="14"/>
        <v>EV.6800</v>
      </c>
      <c r="J490" s="121" t="str">
        <f>+IF(B490=TG[[#This Row],[ITEM]],"ok","mal")</f>
        <v>ok</v>
      </c>
      <c r="K490" s="79">
        <f t="shared" si="15"/>
        <v>0</v>
      </c>
      <c r="L490" s="80">
        <f>IF(VLOOKUP(B490,TbPiezas[],5,0)="NA",0,VLOOKUP(B490,TbPiezas[],5,0))</f>
        <v>104</v>
      </c>
      <c r="M490" s="81">
        <f>TG[[#This Row],[TOTAL]]*TG[[#This Row],[P.U. (1)]]</f>
        <v>0</v>
      </c>
      <c r="N490" s="82">
        <f>+VLOOKUP(B490,TbPiezas[],6,0)</f>
        <v>4446.75</v>
      </c>
      <c r="O490" s="83">
        <f>TG[[#This Row],[TOTAL]]*TG[[#This Row],[P.U. (2)]]</f>
        <v>0</v>
      </c>
      <c r="P490" s="82">
        <f>+VLOOKUP(B490,TbPiezas[],7,0)</f>
        <v>222.33750000000001</v>
      </c>
      <c r="Q490" s="170">
        <f>ROUND(TG[[#This Row],[TOTAL]]*TG[[#This Row],[P.U. (3)]],2)</f>
        <v>0</v>
      </c>
      <c r="R490" s="326"/>
    </row>
    <row r="491" spans="2:18" hidden="1" x14ac:dyDescent="0.3">
      <c r="B491" s="433" t="s">
        <v>871</v>
      </c>
      <c r="C491" s="240" t="s">
        <v>872</v>
      </c>
      <c r="E491" s="120"/>
      <c r="F491" s="120"/>
      <c r="G491" s="74"/>
      <c r="I491" s="76" t="str">
        <f t="shared" si="14"/>
        <v>EV.6850</v>
      </c>
      <c r="J491" s="121" t="str">
        <f>+IF(B491=TG[[#This Row],[ITEM]],"ok","mal")</f>
        <v>ok</v>
      </c>
      <c r="K491" s="79">
        <f t="shared" si="15"/>
        <v>0</v>
      </c>
      <c r="L491" s="80">
        <f>IF(VLOOKUP(B491,TbPiezas[],5,0)="NA",0,VLOOKUP(B491,TbPiezas[],5,0))</f>
        <v>31.8</v>
      </c>
      <c r="M491" s="81">
        <f>TG[[#This Row],[TOTAL]]*TG[[#This Row],[P.U. (1)]]</f>
        <v>0</v>
      </c>
      <c r="N491" s="82">
        <f>+VLOOKUP(B491,TbPiezas[],6,0)</f>
        <v>1626.24</v>
      </c>
      <c r="O491" s="83">
        <f>TG[[#This Row],[TOTAL]]*TG[[#This Row],[P.U. (2)]]</f>
        <v>0</v>
      </c>
      <c r="P491" s="82">
        <f>+VLOOKUP(B491,TbPiezas[],7,0)</f>
        <v>81.312000000000012</v>
      </c>
      <c r="Q491" s="170">
        <f>ROUND(TG[[#This Row],[TOTAL]]*TG[[#This Row],[P.U. (3)]],2)</f>
        <v>0</v>
      </c>
      <c r="R491" s="326"/>
    </row>
    <row r="492" spans="2:18" hidden="1" x14ac:dyDescent="0.3">
      <c r="B492" s="433" t="s">
        <v>873</v>
      </c>
      <c r="C492" s="240" t="s">
        <v>874</v>
      </c>
      <c r="E492" s="120"/>
      <c r="F492" s="120"/>
      <c r="G492" s="74"/>
      <c r="I492" s="76" t="str">
        <f t="shared" si="14"/>
        <v>EV.6900</v>
      </c>
      <c r="J492" s="121" t="str">
        <f>+IF(B492=TG[[#This Row],[ITEM]],"ok","mal")</f>
        <v>ok</v>
      </c>
      <c r="K492" s="79">
        <f t="shared" si="15"/>
        <v>0</v>
      </c>
      <c r="L492" s="80">
        <f>IF(VLOOKUP(B492,TbPiezas[],5,0)="NA",0,VLOOKUP(B492,TbPiezas[],5,0))</f>
        <v>41.4</v>
      </c>
      <c r="M492" s="81">
        <f>TG[[#This Row],[TOTAL]]*TG[[#This Row],[P.U. (1)]]</f>
        <v>0</v>
      </c>
      <c r="N492" s="82">
        <f>+VLOOKUP(B492,TbPiezas[],6,0)</f>
        <v>8258.25</v>
      </c>
      <c r="O492" s="83">
        <f>TG[[#This Row],[TOTAL]]*TG[[#This Row],[P.U. (2)]]</f>
        <v>0</v>
      </c>
      <c r="P492" s="82">
        <f>+VLOOKUP(B492,TbPiezas[],7,0)</f>
        <v>412.91250000000002</v>
      </c>
      <c r="Q492" s="170">
        <f>ROUND(TG[[#This Row],[TOTAL]]*TG[[#This Row],[P.U. (3)]],2)</f>
        <v>0</v>
      </c>
      <c r="R492" s="326"/>
    </row>
    <row r="493" spans="2:18" hidden="1" x14ac:dyDescent="0.3">
      <c r="B493" s="433" t="s">
        <v>875</v>
      </c>
      <c r="C493" s="240" t="s">
        <v>876</v>
      </c>
      <c r="E493" s="120"/>
      <c r="F493" s="120"/>
      <c r="G493" s="74"/>
      <c r="I493" s="76" t="str">
        <f t="shared" si="14"/>
        <v>EV.6925</v>
      </c>
      <c r="J493" s="121" t="str">
        <f>+IF(B493=TG[[#This Row],[ITEM]],"ok","mal")</f>
        <v>ok</v>
      </c>
      <c r="K493" s="79">
        <f t="shared" si="15"/>
        <v>0</v>
      </c>
      <c r="L493" s="80">
        <f>IF(VLOOKUP(B493,TbPiezas[],5,0)="NA",0,VLOOKUP(B493,TbPiezas[],5,0))</f>
        <v>4.9000000000000004</v>
      </c>
      <c r="M493" s="81">
        <f>TG[[#This Row],[TOTAL]]*TG[[#This Row],[P.U. (1)]]</f>
        <v>0</v>
      </c>
      <c r="N493" s="82">
        <f>+VLOOKUP(B493,TbPiezas[],6,0)</f>
        <v>368.08</v>
      </c>
      <c r="O493" s="83">
        <f>TG[[#This Row],[TOTAL]]*TG[[#This Row],[P.U. (2)]]</f>
        <v>0</v>
      </c>
      <c r="P493" s="82">
        <f>+VLOOKUP(B493,TbPiezas[],7,0)</f>
        <v>18.404</v>
      </c>
      <c r="Q493" s="170">
        <f>ROUND(TG[[#This Row],[TOTAL]]*TG[[#This Row],[P.U. (3)]],2)</f>
        <v>0</v>
      </c>
      <c r="R493" s="326"/>
    </row>
    <row r="494" spans="2:18" hidden="1" x14ac:dyDescent="0.3">
      <c r="B494" s="433" t="s">
        <v>877</v>
      </c>
      <c r="C494" s="240" t="s">
        <v>878</v>
      </c>
      <c r="E494" s="120"/>
      <c r="F494" s="120"/>
      <c r="G494" s="74"/>
      <c r="I494" s="76" t="str">
        <f t="shared" si="14"/>
        <v>EV.6950</v>
      </c>
      <c r="J494" s="121" t="str">
        <f>+IF(B494=TG[[#This Row],[ITEM]],"ok","mal")</f>
        <v>ok</v>
      </c>
      <c r="K494" s="79">
        <f t="shared" si="15"/>
        <v>0</v>
      </c>
      <c r="L494" s="80">
        <f>IF(VLOOKUP(B494,TbPiezas[],5,0)="NA",0,VLOOKUP(B494,TbPiezas[],5,0))</f>
        <v>10</v>
      </c>
      <c r="M494" s="81">
        <f>TG[[#This Row],[TOTAL]]*TG[[#This Row],[P.U. (1)]]</f>
        <v>0</v>
      </c>
      <c r="N494" s="82">
        <f>+VLOOKUP(B494,TbPiezas[],6,0)</f>
        <v>329.57</v>
      </c>
      <c r="O494" s="83">
        <f>TG[[#This Row],[TOTAL]]*TG[[#This Row],[P.U. (2)]]</f>
        <v>0</v>
      </c>
      <c r="P494" s="82">
        <f>+VLOOKUP(B494,TbPiezas[],7,0)</f>
        <v>16.4785</v>
      </c>
      <c r="Q494" s="170">
        <f>ROUND(TG[[#This Row],[TOTAL]]*TG[[#This Row],[P.U. (3)]],2)</f>
        <v>0</v>
      </c>
      <c r="R494" s="326"/>
    </row>
    <row r="495" spans="2:18" hidden="1" x14ac:dyDescent="0.3">
      <c r="B495" s="433" t="s">
        <v>879</v>
      </c>
      <c r="C495" s="240" t="s">
        <v>880</v>
      </c>
      <c r="E495" s="120"/>
      <c r="F495" s="120"/>
      <c r="G495" s="74"/>
      <c r="I495" s="76" t="str">
        <f t="shared" si="14"/>
        <v>EV.7000</v>
      </c>
      <c r="J495" s="121" t="str">
        <f>+IF(B495=TG[[#This Row],[ITEM]],"ok","mal")</f>
        <v>ok</v>
      </c>
      <c r="K495" s="79">
        <f t="shared" si="15"/>
        <v>0</v>
      </c>
      <c r="L495" s="80">
        <f>IF(VLOOKUP(B495,TbPiezas[],5,0)="NA",0,VLOOKUP(B495,TbPiezas[],5,0))</f>
        <v>13.3</v>
      </c>
      <c r="M495" s="81">
        <f>TG[[#This Row],[TOTAL]]*TG[[#This Row],[P.U. (1)]]</f>
        <v>0</v>
      </c>
      <c r="N495" s="82">
        <f>+VLOOKUP(B495,TbPiezas[],6,0)</f>
        <v>825.83</v>
      </c>
      <c r="O495" s="83">
        <f>TG[[#This Row],[TOTAL]]*TG[[#This Row],[P.U. (2)]]</f>
        <v>0</v>
      </c>
      <c r="P495" s="82">
        <f>+VLOOKUP(B495,TbPiezas[],7,0)</f>
        <v>41.291500000000006</v>
      </c>
      <c r="Q495" s="170">
        <f>ROUND(TG[[#This Row],[TOTAL]]*TG[[#This Row],[P.U. (3)]],2)</f>
        <v>0</v>
      </c>
      <c r="R495" s="326"/>
    </row>
    <row r="496" spans="2:18" hidden="1" x14ac:dyDescent="0.3">
      <c r="B496" s="433" t="s">
        <v>881</v>
      </c>
      <c r="C496" s="240" t="s">
        <v>1493</v>
      </c>
      <c r="E496" s="120"/>
      <c r="F496" s="120"/>
      <c r="G496" s="74"/>
      <c r="I496" s="76" t="str">
        <f t="shared" si="14"/>
        <v>EV.7025</v>
      </c>
      <c r="J496" s="121" t="str">
        <f>+IF(B496=TG[[#This Row],[ITEM]],"ok","mal")</f>
        <v>ok</v>
      </c>
      <c r="K496" s="79">
        <f t="shared" si="15"/>
        <v>0</v>
      </c>
      <c r="L496" s="80">
        <f>IF(VLOOKUP(B496,TbPiezas[],5,0)="NA",0,VLOOKUP(B496,TbPiezas[],5,0))</f>
        <v>3</v>
      </c>
      <c r="M496" s="81">
        <f>TG[[#This Row],[TOTAL]]*TG[[#This Row],[P.U. (1)]]</f>
        <v>0</v>
      </c>
      <c r="N496" s="82">
        <f>+VLOOKUP(B496,TbPiezas[],6,0)</f>
        <v>271.04000000000002</v>
      </c>
      <c r="O496" s="83">
        <f>TG[[#This Row],[TOTAL]]*TG[[#This Row],[P.U. (2)]]</f>
        <v>0</v>
      </c>
      <c r="P496" s="82">
        <f>+VLOOKUP(B496,TbPiezas[],7,0)</f>
        <v>13.552000000000001</v>
      </c>
      <c r="Q496" s="170">
        <f>ROUND(TG[[#This Row],[TOTAL]]*TG[[#This Row],[P.U. (3)]],2)</f>
        <v>0</v>
      </c>
      <c r="R496" s="326"/>
    </row>
    <row r="497" spans="2:18" hidden="1" x14ac:dyDescent="0.3">
      <c r="B497" s="433" t="s">
        <v>883</v>
      </c>
      <c r="C497" s="240" t="s">
        <v>1494</v>
      </c>
      <c r="E497" s="120"/>
      <c r="F497" s="120"/>
      <c r="G497" s="74"/>
      <c r="I497" s="76" t="str">
        <f t="shared" si="14"/>
        <v>EV.7050</v>
      </c>
      <c r="J497" s="121" t="str">
        <f>+IF(B497=TG[[#This Row],[ITEM]],"ok","mal")</f>
        <v>ok</v>
      </c>
      <c r="K497" s="79">
        <f t="shared" si="15"/>
        <v>0</v>
      </c>
      <c r="L497" s="80">
        <f>IF(VLOOKUP(B497,TbPiezas[],5,0)="NA",0,VLOOKUP(B497,TbPiezas[],5,0))</f>
        <v>4</v>
      </c>
      <c r="M497" s="81">
        <f>TG[[#This Row],[TOTAL]]*TG[[#This Row],[P.U. (1)]]</f>
        <v>0</v>
      </c>
      <c r="N497" s="82">
        <f>+VLOOKUP(B497,TbPiezas[],6,0)</f>
        <v>298.14</v>
      </c>
      <c r="O497" s="83">
        <f>TG[[#This Row],[TOTAL]]*TG[[#This Row],[P.U. (2)]]</f>
        <v>0</v>
      </c>
      <c r="P497" s="82">
        <f>+VLOOKUP(B497,TbPiezas[],7,0)</f>
        <v>14.907</v>
      </c>
      <c r="Q497" s="170">
        <f>ROUND(TG[[#This Row],[TOTAL]]*TG[[#This Row],[P.U. (3)]],2)</f>
        <v>0</v>
      </c>
      <c r="R497" s="326"/>
    </row>
    <row r="498" spans="2:18" hidden="1" x14ac:dyDescent="0.3">
      <c r="B498" s="435" t="s">
        <v>885</v>
      </c>
      <c r="C498" s="434" t="s">
        <v>886</v>
      </c>
      <c r="E498" s="120"/>
      <c r="F498" s="120"/>
      <c r="G498" s="74"/>
      <c r="I498" s="410" t="str">
        <f t="shared" si="14"/>
        <v>EV.7100</v>
      </c>
      <c r="J498" s="121" t="str">
        <f>+IF(B498=TG[[#This Row],[ITEM]],"ok","mal")</f>
        <v>ok</v>
      </c>
      <c r="K498" s="79">
        <f t="shared" ref="K498:K529" si="16">SUM(D498:H498)</f>
        <v>0</v>
      </c>
      <c r="L498" s="80">
        <f>IF(VLOOKUP(B498,TbPiezas[],5,0)="NA",0,VLOOKUP(B498,TbPiezas[],5,0))</f>
        <v>7.5</v>
      </c>
      <c r="M498" s="81">
        <f>TG[[#This Row],[TOTAL]]*TG[[#This Row],[P.U. (1)]]</f>
        <v>0</v>
      </c>
      <c r="N498" s="82">
        <f>+VLOOKUP(B498,TbPiezas[],6,0)</f>
        <v>1905.75</v>
      </c>
      <c r="O498" s="411">
        <f>TG[[#This Row],[TOTAL]]*TG[[#This Row],[P.U. (2)]]</f>
        <v>0</v>
      </c>
      <c r="P498" s="82">
        <f>+VLOOKUP(B498,TbPiezas[],7,0)</f>
        <v>95.287500000000009</v>
      </c>
      <c r="Q498" s="296">
        <f>ROUND(TG[[#This Row],[TOTAL]]*TG[[#This Row],[P.U. (3)]],2)</f>
        <v>0</v>
      </c>
      <c r="R498" s="326"/>
    </row>
    <row r="499" spans="2:18" hidden="1" x14ac:dyDescent="0.3">
      <c r="B499" s="433" t="s">
        <v>1499</v>
      </c>
      <c r="C499" s="240" t="s">
        <v>1495</v>
      </c>
      <c r="E499" s="120"/>
      <c r="F499" s="120"/>
      <c r="G499" s="74"/>
      <c r="I499" s="410" t="str">
        <f t="shared" si="14"/>
        <v>EV.7110</v>
      </c>
      <c r="J499" s="121" t="str">
        <f>+IF(B499=TG[[#This Row],[ITEM]],"ok","mal")</f>
        <v>ok</v>
      </c>
      <c r="K499" s="79">
        <f t="shared" si="16"/>
        <v>0</v>
      </c>
      <c r="L499" s="80">
        <f>IF(VLOOKUP(B499,TbPiezas[],5,0)="NA",0,VLOOKUP(B499,TbPiezas[],5,0))</f>
        <v>0</v>
      </c>
      <c r="M499" s="81">
        <f>TG[[#This Row],[TOTAL]]*TG[[#This Row],[P.U. (1)]]</f>
        <v>0</v>
      </c>
      <c r="N499" s="82">
        <f>+VLOOKUP(B499,TbPiezas[],6,0)</f>
        <v>0</v>
      </c>
      <c r="O499" s="411">
        <f>TG[[#This Row],[TOTAL]]*TG[[#This Row],[P.U. (2)]]</f>
        <v>0</v>
      </c>
      <c r="P499" s="82">
        <f>+VLOOKUP(B499,TbPiezas[],7,0)</f>
        <v>0</v>
      </c>
      <c r="Q499" s="296">
        <f>ROUND(TG[[#This Row],[TOTAL]]*TG[[#This Row],[P.U. (3)]],2)</f>
        <v>0</v>
      </c>
      <c r="R499" s="326"/>
    </row>
    <row r="500" spans="2:18" hidden="1" x14ac:dyDescent="0.3">
      <c r="B500" s="433" t="s">
        <v>1500</v>
      </c>
      <c r="C500" s="240" t="s">
        <v>887</v>
      </c>
      <c r="E500" s="120"/>
      <c r="F500" s="120"/>
      <c r="G500" s="74"/>
      <c r="I500" s="410" t="str">
        <f t="shared" si="14"/>
        <v>EV.7120</v>
      </c>
      <c r="J500" s="121" t="str">
        <f>+IF(B500=TG[[#This Row],[ITEM]],"ok","mal")</f>
        <v>ok</v>
      </c>
      <c r="K500" s="79">
        <f t="shared" si="16"/>
        <v>0</v>
      </c>
      <c r="L500" s="80">
        <f>IF(VLOOKUP(B500,TbPiezas[],5,0)="NA",0,VLOOKUP(B500,TbPiezas[],5,0))</f>
        <v>12.4</v>
      </c>
      <c r="M500" s="81">
        <f>TG[[#This Row],[TOTAL]]*TG[[#This Row],[P.U. (1)]]</f>
        <v>0</v>
      </c>
      <c r="N500" s="82">
        <f>+VLOOKUP(B500,TbPiezas[],6,0)</f>
        <v>1727.88</v>
      </c>
      <c r="O500" s="411">
        <f>TG[[#This Row],[TOTAL]]*TG[[#This Row],[P.U. (2)]]</f>
        <v>0</v>
      </c>
      <c r="P500" s="82">
        <f>+VLOOKUP(B500,TbPiezas[],7,0)</f>
        <v>86.394000000000005</v>
      </c>
      <c r="Q500" s="296">
        <f>ROUND(TG[[#This Row],[TOTAL]]*TG[[#This Row],[P.U. (3)]],2)</f>
        <v>0</v>
      </c>
      <c r="R500" s="326"/>
    </row>
    <row r="501" spans="2:18" hidden="1" x14ac:dyDescent="0.3">
      <c r="B501" s="433" t="s">
        <v>888</v>
      </c>
      <c r="C501" s="240" t="s">
        <v>1501</v>
      </c>
      <c r="E501" s="120"/>
      <c r="F501" s="120"/>
      <c r="G501" s="74"/>
      <c r="I501" s="410" t="str">
        <f t="shared" si="14"/>
        <v>EV.7300</v>
      </c>
      <c r="J501" s="121" t="str">
        <f>+IF(B501=TG[[#This Row],[ITEM]],"ok","mal")</f>
        <v>ok</v>
      </c>
      <c r="K501" s="79">
        <f t="shared" si="16"/>
        <v>0</v>
      </c>
      <c r="L501" s="80">
        <f>IF(VLOOKUP(B501,TbPiezas[],5,0)="NA",0,VLOOKUP(B501,TbPiezas[],5,0))</f>
        <v>6.8</v>
      </c>
      <c r="M501" s="81">
        <f>TG[[#This Row],[TOTAL]]*TG[[#This Row],[P.U. (1)]]</f>
        <v>0</v>
      </c>
      <c r="N501" s="82">
        <f>+VLOOKUP(B501,TbPiezas[],6,0)</f>
        <v>1727.88</v>
      </c>
      <c r="O501" s="411">
        <f>TG[[#This Row],[TOTAL]]*TG[[#This Row],[P.U. (2)]]</f>
        <v>0</v>
      </c>
      <c r="P501" s="82">
        <f>+VLOOKUP(B501,TbPiezas[],7,0)</f>
        <v>86.394000000000005</v>
      </c>
      <c r="Q501" s="296">
        <f>ROUND(TG[[#This Row],[TOTAL]]*TG[[#This Row],[P.U. (3)]],2)</f>
        <v>0</v>
      </c>
      <c r="R501" s="326"/>
    </row>
    <row r="502" spans="2:18" hidden="1" x14ac:dyDescent="0.3">
      <c r="B502" s="433" t="s">
        <v>1503</v>
      </c>
      <c r="C502" s="240" t="s">
        <v>1502</v>
      </c>
      <c r="E502" s="120"/>
      <c r="F502" s="120"/>
      <c r="G502" s="74"/>
      <c r="I502" s="410" t="str">
        <f t="shared" si="14"/>
        <v>EV.7310</v>
      </c>
      <c r="J502" s="121" t="str">
        <f>+IF(B502=TG[[#This Row],[ITEM]],"ok","mal")</f>
        <v>ok</v>
      </c>
      <c r="K502" s="79">
        <f t="shared" si="16"/>
        <v>0</v>
      </c>
      <c r="L502" s="80">
        <f>IF(VLOOKUP(B502,TbPiezas[],5,0)="NA",0,VLOOKUP(B502,TbPiezas[],5,0))</f>
        <v>0</v>
      </c>
      <c r="M502" s="81">
        <f>TG[[#This Row],[TOTAL]]*TG[[#This Row],[P.U. (1)]]</f>
        <v>0</v>
      </c>
      <c r="N502" s="82">
        <f>+VLOOKUP(B502,TbPiezas[],6,0)</f>
        <v>0</v>
      </c>
      <c r="O502" s="411">
        <f>TG[[#This Row],[TOTAL]]*TG[[#This Row],[P.U. (2)]]</f>
        <v>0</v>
      </c>
      <c r="P502" s="82">
        <f>+VLOOKUP(B502,TbPiezas[],7,0)</f>
        <v>0</v>
      </c>
      <c r="Q502" s="296">
        <f>ROUND(TG[[#This Row],[TOTAL]]*TG[[#This Row],[P.U. (3)]],2)</f>
        <v>0</v>
      </c>
      <c r="R502" s="326"/>
    </row>
    <row r="503" spans="2:18" hidden="1" x14ac:dyDescent="0.3">
      <c r="B503" s="433" t="s">
        <v>889</v>
      </c>
      <c r="C503" s="240" t="s">
        <v>1496</v>
      </c>
      <c r="E503" s="120"/>
      <c r="F503" s="120"/>
      <c r="G503" s="74"/>
      <c r="I503" s="410" t="str">
        <f t="shared" si="14"/>
        <v>EV.7400</v>
      </c>
      <c r="J503" s="121" t="str">
        <f>+IF(B503=TG[[#This Row],[ITEM]],"ok","mal")</f>
        <v>ok</v>
      </c>
      <c r="K503" s="79">
        <f t="shared" si="16"/>
        <v>0</v>
      </c>
      <c r="L503" s="80">
        <f>IF(VLOOKUP(B503,TbPiezas[],5,0)="NA",0,VLOOKUP(B503,TbPiezas[],5,0))</f>
        <v>8.4</v>
      </c>
      <c r="M503" s="81">
        <f>TG[[#This Row],[TOTAL]]*TG[[#This Row],[P.U. (1)]]</f>
        <v>0</v>
      </c>
      <c r="N503" s="82">
        <f>+VLOOKUP(B503,TbPiezas[],6,0)</f>
        <v>4446.75</v>
      </c>
      <c r="O503" s="411">
        <f>TG[[#This Row],[TOTAL]]*TG[[#This Row],[P.U. (2)]]</f>
        <v>0</v>
      </c>
      <c r="P503" s="82">
        <f>+VLOOKUP(B503,TbPiezas[],7,0)</f>
        <v>222.33750000000001</v>
      </c>
      <c r="Q503" s="296">
        <f>ROUND(TG[[#This Row],[TOTAL]]*TG[[#This Row],[P.U. (3)]],2)</f>
        <v>0</v>
      </c>
      <c r="R503" s="326"/>
    </row>
    <row r="504" spans="2:18" hidden="1" x14ac:dyDescent="0.3">
      <c r="B504" s="433" t="s">
        <v>1498</v>
      </c>
      <c r="C504" s="240" t="s">
        <v>1497</v>
      </c>
      <c r="E504" s="120"/>
      <c r="F504" s="120"/>
      <c r="G504" s="74"/>
      <c r="I504" s="410" t="str">
        <f t="shared" si="14"/>
        <v>EV.7410</v>
      </c>
      <c r="J504" s="121" t="str">
        <f>+IF(B504=TG[[#This Row],[ITEM]],"ok","mal")</f>
        <v>ok</v>
      </c>
      <c r="K504" s="79">
        <f t="shared" si="16"/>
        <v>0</v>
      </c>
      <c r="L504" s="80">
        <f>IF(VLOOKUP(B504,TbPiezas[],5,0)="NA",0,VLOOKUP(B504,TbPiezas[],5,0))</f>
        <v>0</v>
      </c>
      <c r="M504" s="81">
        <f>TG[[#This Row],[TOTAL]]*TG[[#This Row],[P.U. (1)]]</f>
        <v>0</v>
      </c>
      <c r="N504" s="82">
        <f>+VLOOKUP(B504,TbPiezas[],6,0)</f>
        <v>0</v>
      </c>
      <c r="O504" s="411">
        <f>TG[[#This Row],[TOTAL]]*TG[[#This Row],[P.U. (2)]]</f>
        <v>0</v>
      </c>
      <c r="P504" s="82">
        <f>+VLOOKUP(B504,TbPiezas[],7,0)</f>
        <v>0</v>
      </c>
      <c r="Q504" s="296">
        <f>ROUND(TG[[#This Row],[TOTAL]]*TG[[#This Row],[P.U. (3)]],2)</f>
        <v>0</v>
      </c>
      <c r="R504" s="326"/>
    </row>
    <row r="505" spans="2:18" hidden="1" x14ac:dyDescent="0.3">
      <c r="B505" s="433" t="s">
        <v>890</v>
      </c>
      <c r="C505" s="240" t="s">
        <v>891</v>
      </c>
      <c r="E505" s="120"/>
      <c r="F505" s="120"/>
      <c r="G505" s="74"/>
      <c r="I505" s="410" t="str">
        <f t="shared" si="14"/>
        <v>EV.7500</v>
      </c>
      <c r="J505" s="121" t="str">
        <f>+IF(B505=TG[[#This Row],[ITEM]],"ok","mal")</f>
        <v>ok</v>
      </c>
      <c r="K505" s="79">
        <f t="shared" si="16"/>
        <v>0</v>
      </c>
      <c r="L505" s="80">
        <f>IF(VLOOKUP(B505,TbPiezas[],5,0)="NA",0,VLOOKUP(B505,TbPiezas[],5,0))</f>
        <v>3.6</v>
      </c>
      <c r="M505" s="81">
        <f>TG[[#This Row],[TOTAL]]*TG[[#This Row],[P.U. (1)]]</f>
        <v>0</v>
      </c>
      <c r="N505" s="82">
        <f>+VLOOKUP(B505,TbPiezas[],6,0)</f>
        <v>2286.9</v>
      </c>
      <c r="O505" s="411">
        <f>TG[[#This Row],[TOTAL]]*TG[[#This Row],[P.U. (2)]]</f>
        <v>0</v>
      </c>
      <c r="P505" s="82">
        <f>+VLOOKUP(B505,TbPiezas[],7,0)</f>
        <v>114.34500000000001</v>
      </c>
      <c r="Q505" s="296">
        <f>ROUND(TG[[#This Row],[TOTAL]]*TG[[#This Row],[P.U. (3)]],2)</f>
        <v>0</v>
      </c>
      <c r="R505" s="326"/>
    </row>
    <row r="506" spans="2:18" hidden="1" x14ac:dyDescent="0.3">
      <c r="B506" s="435" t="s">
        <v>892</v>
      </c>
      <c r="C506" s="434" t="s">
        <v>893</v>
      </c>
      <c r="E506" s="120"/>
      <c r="F506" s="120"/>
      <c r="G506" s="74"/>
      <c r="I506" s="410" t="str">
        <f t="shared" si="14"/>
        <v>EV.7600</v>
      </c>
      <c r="J506" s="121" t="str">
        <f>+IF(B506=TG[[#This Row],[ITEM]],"ok","mal")</f>
        <v>ok</v>
      </c>
      <c r="K506" s="79">
        <f t="shared" si="16"/>
        <v>0</v>
      </c>
      <c r="L506" s="80">
        <f>IF(VLOOKUP(B506,TbPiezas[],5,0)="NA",0,VLOOKUP(B506,TbPiezas[],5,0))</f>
        <v>4.8</v>
      </c>
      <c r="M506" s="81">
        <f>TG[[#This Row],[TOTAL]]*TG[[#This Row],[P.U. (1)]]</f>
        <v>0</v>
      </c>
      <c r="N506" s="82">
        <f>+VLOOKUP(B506,TbPiezas[],6,0)</f>
        <v>444.68</v>
      </c>
      <c r="O506" s="411">
        <f>TG[[#This Row],[TOTAL]]*TG[[#This Row],[P.U. (2)]]</f>
        <v>0</v>
      </c>
      <c r="P506" s="82">
        <f>+VLOOKUP(B506,TbPiezas[],7,0)</f>
        <v>22.234000000000002</v>
      </c>
      <c r="Q506" s="296">
        <f>ROUND(TG[[#This Row],[TOTAL]]*TG[[#This Row],[P.U. (3)]],2)</f>
        <v>0</v>
      </c>
      <c r="R506" s="326"/>
    </row>
    <row r="507" spans="2:18" hidden="1" x14ac:dyDescent="0.3">
      <c r="B507" s="433" t="s">
        <v>894</v>
      </c>
      <c r="C507" s="240" t="s">
        <v>895</v>
      </c>
      <c r="E507" s="120"/>
      <c r="F507" s="120"/>
      <c r="G507" s="74"/>
      <c r="I507" s="410" t="str">
        <f t="shared" si="14"/>
        <v>EV.7700</v>
      </c>
      <c r="J507" s="121" t="str">
        <f>+IF(B507=TG[[#This Row],[ITEM]],"ok","mal")</f>
        <v>ok</v>
      </c>
      <c r="K507" s="79">
        <f t="shared" si="16"/>
        <v>0</v>
      </c>
      <c r="L507" s="80">
        <f>IF(VLOOKUP(B507,TbPiezas[],5,0)="NA",0,VLOOKUP(B507,TbPiezas[],5,0))</f>
        <v>3.5</v>
      </c>
      <c r="M507" s="81">
        <f>TG[[#This Row],[TOTAL]]*TG[[#This Row],[P.U. (1)]]</f>
        <v>0</v>
      </c>
      <c r="N507" s="82">
        <f>+VLOOKUP(B507,TbPiezas[],6,0)</f>
        <v>444.68</v>
      </c>
      <c r="O507" s="411">
        <f>TG[[#This Row],[TOTAL]]*TG[[#This Row],[P.U. (2)]]</f>
        <v>0</v>
      </c>
      <c r="P507" s="82">
        <f>+VLOOKUP(B507,TbPiezas[],7,0)</f>
        <v>22.234000000000002</v>
      </c>
      <c r="Q507" s="296">
        <f>ROUND(TG[[#This Row],[TOTAL]]*TG[[#This Row],[P.U. (3)]],2)</f>
        <v>0</v>
      </c>
      <c r="R507" s="326"/>
    </row>
    <row r="508" spans="2:18" hidden="1" x14ac:dyDescent="0.3">
      <c r="B508" s="433" t="s">
        <v>896</v>
      </c>
      <c r="C508" s="240" t="s">
        <v>897</v>
      </c>
      <c r="E508" s="120"/>
      <c r="F508" s="120"/>
      <c r="G508" s="74"/>
      <c r="I508" s="410" t="str">
        <f t="shared" si="14"/>
        <v>EV.7800</v>
      </c>
      <c r="J508" s="121" t="str">
        <f>+IF(B508=TG[[#This Row],[ITEM]],"ok","mal")</f>
        <v>ok</v>
      </c>
      <c r="K508" s="79">
        <f t="shared" si="16"/>
        <v>0</v>
      </c>
      <c r="L508" s="80">
        <f>IF(VLOOKUP(B508,TbPiezas[],5,0)="NA",0,VLOOKUP(B508,TbPiezas[],5,0))</f>
        <v>4.2</v>
      </c>
      <c r="M508" s="81">
        <f>TG[[#This Row],[TOTAL]]*TG[[#This Row],[P.U. (1)]]</f>
        <v>0</v>
      </c>
      <c r="N508" s="82">
        <f>+VLOOKUP(B508,TbPiezas[],6,0)</f>
        <v>444.68</v>
      </c>
      <c r="O508" s="411">
        <f>TG[[#This Row],[TOTAL]]*TG[[#This Row],[P.U. (2)]]</f>
        <v>0</v>
      </c>
      <c r="P508" s="82">
        <f>+VLOOKUP(B508,TbPiezas[],7,0)</f>
        <v>22.234000000000002</v>
      </c>
      <c r="Q508" s="296">
        <f>ROUND(TG[[#This Row],[TOTAL]]*TG[[#This Row],[P.U. (3)]],2)</f>
        <v>0</v>
      </c>
      <c r="R508" s="326"/>
    </row>
    <row r="509" spans="2:18" hidden="1" x14ac:dyDescent="0.3">
      <c r="B509" s="433" t="s">
        <v>898</v>
      </c>
      <c r="C509" s="240" t="s">
        <v>899</v>
      </c>
      <c r="E509" s="120"/>
      <c r="F509" s="120"/>
      <c r="G509" s="74"/>
      <c r="I509" s="410" t="str">
        <f t="shared" si="14"/>
        <v>EV.7900</v>
      </c>
      <c r="J509" s="121" t="str">
        <f>+IF(B509=TG[[#This Row],[ITEM]],"ok","mal")</f>
        <v>ok</v>
      </c>
      <c r="K509" s="79">
        <f t="shared" si="16"/>
        <v>0</v>
      </c>
      <c r="L509" s="80">
        <f>IF(VLOOKUP(B509,TbPiezas[],5,0)="NA",0,VLOOKUP(B509,TbPiezas[],5,0))</f>
        <v>250</v>
      </c>
      <c r="M509" s="81">
        <f>TG[[#This Row],[TOTAL]]*TG[[#This Row],[P.U. (1)]]</f>
        <v>0</v>
      </c>
      <c r="N509" s="82">
        <f>+VLOOKUP(B509,TbPiezas[],6,0)</f>
        <v>22869</v>
      </c>
      <c r="O509" s="411">
        <f>TG[[#This Row],[TOTAL]]*TG[[#This Row],[P.U. (2)]]</f>
        <v>0</v>
      </c>
      <c r="P509" s="82">
        <f>+VLOOKUP(B509,TbPiezas[],7,0)</f>
        <v>1143.45</v>
      </c>
      <c r="Q509" s="296">
        <f>ROUND(TG[[#This Row],[TOTAL]]*TG[[#This Row],[P.U. (3)]],2)</f>
        <v>0</v>
      </c>
      <c r="R509" s="326"/>
    </row>
    <row r="510" spans="2:18" hidden="1" x14ac:dyDescent="0.3">
      <c r="B510" s="433" t="s">
        <v>900</v>
      </c>
      <c r="C510" s="240" t="s">
        <v>901</v>
      </c>
      <c r="E510" s="120"/>
      <c r="F510" s="120"/>
      <c r="G510" s="74"/>
      <c r="I510" s="410" t="str">
        <f t="shared" si="14"/>
        <v>EV.8000</v>
      </c>
      <c r="J510" s="121" t="str">
        <f>+IF(B510=TG[[#This Row],[ITEM]],"ok","mal")</f>
        <v>ok</v>
      </c>
      <c r="K510" s="79">
        <f t="shared" si="16"/>
        <v>0</v>
      </c>
      <c r="L510" s="80">
        <f>IF(VLOOKUP(B510,TbPiezas[],5,0)="NA",0,VLOOKUP(B510,TbPiezas[],5,0))</f>
        <v>300</v>
      </c>
      <c r="M510" s="81">
        <f>TG[[#This Row],[TOTAL]]*TG[[#This Row],[P.U. (1)]]</f>
        <v>0</v>
      </c>
      <c r="N510" s="82">
        <f>+VLOOKUP(B510,TbPiezas[],6,0)</f>
        <v>22869</v>
      </c>
      <c r="O510" s="411">
        <f>TG[[#This Row],[TOTAL]]*TG[[#This Row],[P.U. (2)]]</f>
        <v>0</v>
      </c>
      <c r="P510" s="82">
        <f>+VLOOKUP(B510,TbPiezas[],7,0)</f>
        <v>1143.45</v>
      </c>
      <c r="Q510" s="296">
        <f>ROUND(TG[[#This Row],[TOTAL]]*TG[[#This Row],[P.U. (3)]],2)</f>
        <v>0</v>
      </c>
      <c r="R510" s="326"/>
    </row>
    <row r="511" spans="2:18" hidden="1" x14ac:dyDescent="0.3">
      <c r="B511" s="433"/>
      <c r="C511" s="240" t="s">
        <v>1504</v>
      </c>
      <c r="E511" s="120"/>
      <c r="F511" s="120"/>
      <c r="G511" s="74"/>
      <c r="I511" s="410">
        <f t="shared" si="14"/>
        <v>0</v>
      </c>
      <c r="J511" s="121" t="str">
        <f>+IF(B511=TG[[#This Row],[ITEM]],"ok","mal")</f>
        <v>ok</v>
      </c>
      <c r="K511" s="79">
        <f t="shared" si="16"/>
        <v>0</v>
      </c>
      <c r="L511" s="80"/>
      <c r="M511" s="81"/>
      <c r="N511" s="82"/>
      <c r="O511" s="411"/>
      <c r="P511" s="82"/>
      <c r="Q511" s="296"/>
      <c r="R511" s="326"/>
    </row>
    <row r="512" spans="2:18" hidden="1" x14ac:dyDescent="0.3">
      <c r="B512" s="433" t="s">
        <v>902</v>
      </c>
      <c r="C512" s="240" t="s">
        <v>905</v>
      </c>
      <c r="E512" s="120"/>
      <c r="F512" s="120"/>
      <c r="G512" s="74"/>
      <c r="I512" s="410" t="str">
        <f t="shared" si="14"/>
        <v>EV.8100</v>
      </c>
      <c r="J512" s="121" t="str">
        <f>+IF(B512=TG[[#This Row],[ITEM]],"ok","mal")</f>
        <v>ok</v>
      </c>
      <c r="K512" s="79">
        <f t="shared" si="16"/>
        <v>0</v>
      </c>
      <c r="L512" s="80">
        <f>IF(VLOOKUP(B512,TbPiezas[],5,0)="NA",0,VLOOKUP(B512,TbPiezas[],5,0))</f>
        <v>150</v>
      </c>
      <c r="M512" s="81">
        <f>TG[[#This Row],[TOTAL]]*TG[[#This Row],[P.U. (1)]]</f>
        <v>0</v>
      </c>
      <c r="N512" s="82">
        <f>+VLOOKUP(B512,TbPiezas[],6,0)</f>
        <v>14157</v>
      </c>
      <c r="O512" s="411">
        <f>TG[[#This Row],[TOTAL]]*TG[[#This Row],[P.U. (2)]]</f>
        <v>0</v>
      </c>
      <c r="P512" s="82">
        <f>+VLOOKUP(B512,TbPiezas[],7,0)</f>
        <v>707.85</v>
      </c>
      <c r="Q512" s="296">
        <f>ROUND(TG[[#This Row],[TOTAL]]*TG[[#This Row],[P.U. (3)]],2)</f>
        <v>0</v>
      </c>
      <c r="R512" s="326"/>
    </row>
    <row r="513" spans="2:18" hidden="1" x14ac:dyDescent="0.3">
      <c r="B513" s="433" t="s">
        <v>904</v>
      </c>
      <c r="C513" s="240" t="s">
        <v>1505</v>
      </c>
      <c r="E513" s="120"/>
      <c r="F513" s="120"/>
      <c r="G513" s="74"/>
      <c r="I513" s="410" t="str">
        <f t="shared" si="14"/>
        <v>EV.8150</v>
      </c>
      <c r="J513" s="121" t="str">
        <f>+IF(B513=TG[[#This Row],[ITEM]],"ok","mal")</f>
        <v>ok</v>
      </c>
      <c r="K513" s="79">
        <f t="shared" si="16"/>
        <v>0</v>
      </c>
      <c r="L513" s="80">
        <f>IF(VLOOKUP(B513,TbPiezas[],5,0)="NA",0,VLOOKUP(B513,TbPiezas[],5,0))</f>
        <v>0</v>
      </c>
      <c r="M513" s="81">
        <f>TG[[#This Row],[TOTAL]]*TG[[#This Row],[P.U. (1)]]</f>
        <v>0</v>
      </c>
      <c r="N513" s="82">
        <f>+VLOOKUP(B513,TbPiezas[],6,0)</f>
        <v>0</v>
      </c>
      <c r="O513" s="411">
        <f>TG[[#This Row],[TOTAL]]*TG[[#This Row],[P.U. (2)]]</f>
        <v>0</v>
      </c>
      <c r="P513" s="82">
        <f>+VLOOKUP(B513,TbPiezas[],7,0)</f>
        <v>0</v>
      </c>
      <c r="Q513" s="296">
        <f>ROUND(TG[[#This Row],[TOTAL]]*TG[[#This Row],[P.U. (3)]],2)</f>
        <v>0</v>
      </c>
      <c r="R513" s="326"/>
    </row>
    <row r="514" spans="2:18" hidden="1" x14ac:dyDescent="0.3">
      <c r="B514" s="433" t="s">
        <v>1506</v>
      </c>
      <c r="C514" s="240" t="s">
        <v>907</v>
      </c>
      <c r="E514" s="120"/>
      <c r="F514" s="120"/>
      <c r="G514" s="74"/>
      <c r="I514" s="410" t="str">
        <f t="shared" si="14"/>
        <v>EV.8160</v>
      </c>
      <c r="J514" s="121" t="str">
        <f>+IF(B514=TG[[#This Row],[ITEM]],"ok","mal")</f>
        <v>ok</v>
      </c>
      <c r="K514" s="79">
        <f t="shared" si="16"/>
        <v>0</v>
      </c>
      <c r="L514" s="80">
        <f>IF(VLOOKUP(B514,TbPiezas[],5,0)="NA",0,VLOOKUP(B514,TbPiezas[],5,0))</f>
        <v>86.8</v>
      </c>
      <c r="M514" s="81">
        <f>TG[[#This Row],[TOTAL]]*TG[[#This Row],[P.U. (1)]]</f>
        <v>0</v>
      </c>
      <c r="N514" s="82">
        <f>+VLOOKUP(B514,TbPiezas[],6,0)</f>
        <v>8258.25</v>
      </c>
      <c r="O514" s="411">
        <f>TG[[#This Row],[TOTAL]]*TG[[#This Row],[P.U. (2)]]</f>
        <v>0</v>
      </c>
      <c r="P514" s="82">
        <f>+VLOOKUP(B514,TbPiezas[],7,0)</f>
        <v>412.91250000000002</v>
      </c>
      <c r="Q514" s="296">
        <f>ROUND(TG[[#This Row],[TOTAL]]*TG[[#This Row],[P.U. (3)]],2)</f>
        <v>0</v>
      </c>
      <c r="R514" s="326"/>
    </row>
    <row r="515" spans="2:18" hidden="1" x14ac:dyDescent="0.3">
      <c r="B515" s="433" t="s">
        <v>906</v>
      </c>
      <c r="C515" s="240" t="s">
        <v>909</v>
      </c>
      <c r="E515" s="120"/>
      <c r="F515" s="120"/>
      <c r="G515" s="74"/>
      <c r="I515" s="410" t="str">
        <f t="shared" si="14"/>
        <v>EV.8200</v>
      </c>
      <c r="J515" s="121" t="str">
        <f>+IF(B515=TG[[#This Row],[ITEM]],"ok","mal")</f>
        <v>ok</v>
      </c>
      <c r="K515" s="79">
        <f t="shared" si="16"/>
        <v>0</v>
      </c>
      <c r="L515" s="80">
        <f>IF(VLOOKUP(B515,TbPiezas[],5,0)="NA",0,VLOOKUP(B515,TbPiezas[],5,0))</f>
        <v>12.4</v>
      </c>
      <c r="M515" s="81">
        <f>TG[[#This Row],[TOTAL]]*TG[[#This Row],[P.U. (1)]]</f>
        <v>0</v>
      </c>
      <c r="N515" s="82">
        <f>+VLOOKUP(B515,TbPiezas[],6,0)</f>
        <v>1181.57</v>
      </c>
      <c r="O515" s="411">
        <f>TG[[#This Row],[TOTAL]]*TG[[#This Row],[P.U. (2)]]</f>
        <v>0</v>
      </c>
      <c r="P515" s="82">
        <f>+VLOOKUP(B515,TbPiezas[],7,0)</f>
        <v>59.078499999999998</v>
      </c>
      <c r="Q515" s="296">
        <f>ROUND(TG[[#This Row],[TOTAL]]*TG[[#This Row],[P.U. (3)]],2)</f>
        <v>0</v>
      </c>
      <c r="R515" s="326"/>
    </row>
    <row r="516" spans="2:18" hidden="1" x14ac:dyDescent="0.3">
      <c r="B516" s="433" t="s">
        <v>908</v>
      </c>
      <c r="C516" s="240" t="s">
        <v>903</v>
      </c>
      <c r="E516" s="120"/>
      <c r="F516" s="120"/>
      <c r="G516" s="74"/>
      <c r="I516" s="410" t="str">
        <f t="shared" si="14"/>
        <v>EV.8300</v>
      </c>
      <c r="J516" s="121" t="str">
        <f>+IF(B516=TG[[#This Row],[ITEM]],"ok","mal")</f>
        <v>ok</v>
      </c>
      <c r="K516" s="79">
        <f t="shared" si="16"/>
        <v>0</v>
      </c>
      <c r="L516" s="80">
        <f>IF(VLOOKUP(B516,TbPiezas[],5,0)="NA",0,VLOOKUP(B516,TbPiezas[],5,0))</f>
        <v>6.2</v>
      </c>
      <c r="M516" s="81">
        <f>TG[[#This Row],[TOTAL]]*TG[[#This Row],[P.U. (1)]]</f>
        <v>0</v>
      </c>
      <c r="N516" s="82">
        <f>+VLOOKUP(B516,TbPiezas[],6,0)</f>
        <v>190.58</v>
      </c>
      <c r="O516" s="411">
        <f>TG[[#This Row],[TOTAL]]*TG[[#This Row],[P.U. (2)]]</f>
        <v>0</v>
      </c>
      <c r="P516" s="82">
        <f>+VLOOKUP(B516,TbPiezas[],7,0)</f>
        <v>9.5290000000000017</v>
      </c>
      <c r="Q516" s="296">
        <f>ROUND(TG[[#This Row],[TOTAL]]*TG[[#This Row],[P.U. (3)]],2)</f>
        <v>0</v>
      </c>
      <c r="R516" s="326"/>
    </row>
    <row r="517" spans="2:18" hidden="1" x14ac:dyDescent="0.3">
      <c r="B517" s="435" t="s">
        <v>910</v>
      </c>
      <c r="C517" s="434" t="s">
        <v>911</v>
      </c>
      <c r="E517" s="120"/>
      <c r="F517" s="120"/>
      <c r="G517" s="74"/>
      <c r="I517" s="410" t="str">
        <f t="shared" si="14"/>
        <v>EV.8400</v>
      </c>
      <c r="J517" s="121" t="str">
        <f>+IF(B517=TG[[#This Row],[ITEM]],"ok","mal")</f>
        <v>ok</v>
      </c>
      <c r="K517" s="79">
        <f t="shared" si="16"/>
        <v>0</v>
      </c>
      <c r="L517" s="80">
        <f>IF(VLOOKUP(B517,TbPiezas[],5,0)="NA",0,VLOOKUP(B517,TbPiezas[],5,0))</f>
        <v>0</v>
      </c>
      <c r="M517" s="81">
        <f>TG[[#This Row],[TOTAL]]*TG[[#This Row],[P.U. (1)]]</f>
        <v>0</v>
      </c>
      <c r="N517" s="82">
        <f>+VLOOKUP(B517,TbPiezas[],6,0)</f>
        <v>171.52</v>
      </c>
      <c r="O517" s="411">
        <f>TG[[#This Row],[TOTAL]]*TG[[#This Row],[P.U. (2)]]</f>
        <v>0</v>
      </c>
      <c r="P517" s="82">
        <f>+VLOOKUP(B517,TbPiezas[],7,0)</f>
        <v>8.5760000000000005</v>
      </c>
      <c r="Q517" s="296">
        <f>ROUND(TG[[#This Row],[TOTAL]]*TG[[#This Row],[P.U. (3)]],2)</f>
        <v>0</v>
      </c>
      <c r="R517" s="326"/>
    </row>
    <row r="518" spans="2:18" hidden="1" x14ac:dyDescent="0.3">
      <c r="B518" s="433" t="s">
        <v>912</v>
      </c>
      <c r="C518" s="240" t="s">
        <v>913</v>
      </c>
      <c r="E518" s="120"/>
      <c r="F518" s="120"/>
      <c r="G518" s="74"/>
      <c r="I518" s="410" t="str">
        <f t="shared" ref="I518:I552" si="17">+B518</f>
        <v>EV.8500</v>
      </c>
      <c r="J518" s="121" t="str">
        <f>+IF(B518=TG[[#This Row],[ITEM]],"ok","mal")</f>
        <v>ok</v>
      </c>
      <c r="K518" s="79">
        <f t="shared" si="16"/>
        <v>0</v>
      </c>
      <c r="L518" s="80">
        <f>IF(VLOOKUP(B518,TbPiezas[],5,0)="NA",0,VLOOKUP(B518,TbPiezas[],5,0))</f>
        <v>54.1</v>
      </c>
      <c r="M518" s="81">
        <f>TG[[#This Row],[TOTAL]]*TG[[#This Row],[P.U. (1)]]</f>
        <v>0</v>
      </c>
      <c r="N518" s="82">
        <f>+VLOOKUP(B518,TbPiezas[],6,0)</f>
        <v>1245.0899999999999</v>
      </c>
      <c r="O518" s="411">
        <f>TG[[#This Row],[TOTAL]]*TG[[#This Row],[P.U. (2)]]</f>
        <v>0</v>
      </c>
      <c r="P518" s="82">
        <f>+VLOOKUP(B518,TbPiezas[],7,0)</f>
        <v>62.2545</v>
      </c>
      <c r="Q518" s="296">
        <f>ROUND(TG[[#This Row],[TOTAL]]*TG[[#This Row],[P.U. (3)]],2)</f>
        <v>0</v>
      </c>
      <c r="R518" s="326"/>
    </row>
    <row r="519" spans="2:18" hidden="1" x14ac:dyDescent="0.3">
      <c r="B519" s="433" t="s">
        <v>1509</v>
      </c>
      <c r="C519" s="240" t="s">
        <v>1507</v>
      </c>
      <c r="E519" s="120"/>
      <c r="F519" s="120"/>
      <c r="G519" s="74"/>
      <c r="I519" s="410" t="str">
        <f t="shared" si="17"/>
        <v>EV.8510</v>
      </c>
      <c r="J519" s="121" t="str">
        <f>+IF(B519=TG[[#This Row],[ITEM]],"ok","mal")</f>
        <v>ok</v>
      </c>
      <c r="K519" s="79">
        <f t="shared" si="16"/>
        <v>0</v>
      </c>
      <c r="L519" s="80">
        <f>IF(VLOOKUP(B519,TbPiezas[],5,0)="NA",0,VLOOKUP(B519,TbPiezas[],5,0))</f>
        <v>0</v>
      </c>
      <c r="M519" s="81">
        <f>TG[[#This Row],[TOTAL]]*TG[[#This Row],[P.U. (1)]]</f>
        <v>0</v>
      </c>
      <c r="N519" s="82">
        <f>+VLOOKUP(B519,TbPiezas[],6,0)</f>
        <v>0</v>
      </c>
      <c r="O519" s="411">
        <f>TG[[#This Row],[TOTAL]]*TG[[#This Row],[P.U. (2)]]</f>
        <v>0</v>
      </c>
      <c r="P519" s="82">
        <f>+VLOOKUP(B519,TbPiezas[],7,0)</f>
        <v>0</v>
      </c>
      <c r="Q519" s="296">
        <f>ROUND(TG[[#This Row],[TOTAL]]*TG[[#This Row],[P.U. (3)]],2)</f>
        <v>0</v>
      </c>
      <c r="R519" s="326"/>
    </row>
    <row r="520" spans="2:18" hidden="1" x14ac:dyDescent="0.3">
      <c r="B520" s="433" t="s">
        <v>1510</v>
      </c>
      <c r="C520" s="240" t="s">
        <v>1508</v>
      </c>
      <c r="E520" s="120"/>
      <c r="F520" s="120"/>
      <c r="G520" s="74"/>
      <c r="I520" s="410" t="str">
        <f t="shared" si="17"/>
        <v>EV.8520</v>
      </c>
      <c r="J520" s="121" t="str">
        <f>+IF(B520=TG[[#This Row],[ITEM]],"ok","mal")</f>
        <v>ok</v>
      </c>
      <c r="K520" s="79">
        <f t="shared" si="16"/>
        <v>0</v>
      </c>
      <c r="L520" s="80">
        <f>IF(VLOOKUP(B520,TbPiezas[],5,0)="NA",0,VLOOKUP(B520,TbPiezas[],5,0))</f>
        <v>0</v>
      </c>
      <c r="M520" s="81">
        <f>TG[[#This Row],[TOTAL]]*TG[[#This Row],[P.U. (1)]]</f>
        <v>0</v>
      </c>
      <c r="N520" s="82">
        <f>+VLOOKUP(B520,TbPiezas[],6,0)</f>
        <v>0</v>
      </c>
      <c r="O520" s="411">
        <f>TG[[#This Row],[TOTAL]]*TG[[#This Row],[P.U. (2)]]</f>
        <v>0</v>
      </c>
      <c r="P520" s="82">
        <f>+VLOOKUP(B520,TbPiezas[],7,0)</f>
        <v>0</v>
      </c>
      <c r="Q520" s="296">
        <f>ROUND(TG[[#This Row],[TOTAL]]*TG[[#This Row],[P.U. (3)]],2)</f>
        <v>0</v>
      </c>
      <c r="R520" s="326"/>
    </row>
    <row r="521" spans="2:18" hidden="1" x14ac:dyDescent="0.3">
      <c r="B521" s="433" t="s">
        <v>914</v>
      </c>
      <c r="C521" s="240" t="s">
        <v>915</v>
      </c>
      <c r="E521" s="120"/>
      <c r="F521" s="120"/>
      <c r="G521" s="74"/>
      <c r="I521" s="410" t="str">
        <f t="shared" si="17"/>
        <v>EV.8600</v>
      </c>
      <c r="J521" s="121" t="str">
        <f>+IF(B521=TG[[#This Row],[ITEM]],"ok","mal")</f>
        <v>ok</v>
      </c>
      <c r="K521" s="79">
        <f t="shared" si="16"/>
        <v>0</v>
      </c>
      <c r="L521" s="80">
        <f>IF(VLOOKUP(B521,TbPiezas[],5,0)="NA",0,VLOOKUP(B521,TbPiezas[],5,0))</f>
        <v>3</v>
      </c>
      <c r="M521" s="81">
        <f>TG[[#This Row],[TOTAL]]*TG[[#This Row],[P.U. (1)]]</f>
        <v>0</v>
      </c>
      <c r="N521" s="82">
        <f>+VLOOKUP(B521,TbPiezas[],6,0)</f>
        <v>317.63</v>
      </c>
      <c r="O521" s="411">
        <f>TG[[#This Row],[TOTAL]]*TG[[#This Row],[P.U. (2)]]</f>
        <v>0</v>
      </c>
      <c r="P521" s="82">
        <f>+VLOOKUP(B521,TbPiezas[],7,0)</f>
        <v>15.881500000000001</v>
      </c>
      <c r="Q521" s="296">
        <f>ROUND(TG[[#This Row],[TOTAL]]*TG[[#This Row],[P.U. (3)]],2)</f>
        <v>0</v>
      </c>
      <c r="R521" s="326"/>
    </row>
    <row r="522" spans="2:18" hidden="1" x14ac:dyDescent="0.3">
      <c r="B522" s="433" t="s">
        <v>916</v>
      </c>
      <c r="C522" s="240" t="s">
        <v>917</v>
      </c>
      <c r="E522" s="120"/>
      <c r="F522" s="120"/>
      <c r="G522" s="74"/>
      <c r="I522" s="410" t="str">
        <f t="shared" si="17"/>
        <v>EV.8700</v>
      </c>
      <c r="J522" s="121" t="str">
        <f>+IF(B522=TG[[#This Row],[ITEM]],"ok","mal")</f>
        <v>ok</v>
      </c>
      <c r="K522" s="79">
        <f t="shared" si="16"/>
        <v>0</v>
      </c>
      <c r="L522" s="80">
        <f>IF(VLOOKUP(B522,TbPiezas[],5,0)="NA",0,VLOOKUP(B522,TbPiezas[],5,0))</f>
        <v>3</v>
      </c>
      <c r="M522" s="81">
        <f>TG[[#This Row],[TOTAL]]*TG[[#This Row],[P.U. (1)]]</f>
        <v>0</v>
      </c>
      <c r="N522" s="82">
        <f>+VLOOKUP(B522,TbPiezas[],6,0)</f>
        <v>190.58</v>
      </c>
      <c r="O522" s="411">
        <f>TG[[#This Row],[TOTAL]]*TG[[#This Row],[P.U. (2)]]</f>
        <v>0</v>
      </c>
      <c r="P522" s="82">
        <f>+VLOOKUP(B522,TbPiezas[],7,0)</f>
        <v>9.5290000000000017</v>
      </c>
      <c r="Q522" s="296">
        <f>ROUND(TG[[#This Row],[TOTAL]]*TG[[#This Row],[P.U. (3)]],2)</f>
        <v>0</v>
      </c>
      <c r="R522" s="326"/>
    </row>
    <row r="523" spans="2:18" hidden="1" x14ac:dyDescent="0.3">
      <c r="B523" s="433" t="s">
        <v>918</v>
      </c>
      <c r="C523" s="240" t="s">
        <v>919</v>
      </c>
      <c r="E523" s="120"/>
      <c r="F523" s="120"/>
      <c r="G523" s="74"/>
      <c r="I523" s="410" t="str">
        <f t="shared" si="17"/>
        <v>EV.8800</v>
      </c>
      <c r="J523" s="121" t="str">
        <f>+IF(B523=TG[[#This Row],[ITEM]],"ok","mal")</f>
        <v>ok</v>
      </c>
      <c r="K523" s="79">
        <f t="shared" si="16"/>
        <v>0</v>
      </c>
      <c r="L523" s="80">
        <f>IF(VLOOKUP(B523,TbPiezas[],5,0)="NA",0,VLOOKUP(B523,TbPiezas[],5,0))</f>
        <v>1</v>
      </c>
      <c r="M523" s="81">
        <f>TG[[#This Row],[TOTAL]]*TG[[#This Row],[P.U. (1)]]</f>
        <v>0</v>
      </c>
      <c r="N523" s="82">
        <f>+VLOOKUP(B523,TbPiezas[],6,0)</f>
        <v>101.64</v>
      </c>
      <c r="O523" s="411">
        <f>TG[[#This Row],[TOTAL]]*TG[[#This Row],[P.U. (2)]]</f>
        <v>0</v>
      </c>
      <c r="P523" s="82">
        <f>+VLOOKUP(B523,TbPiezas[],7,0)</f>
        <v>5.0820000000000007</v>
      </c>
      <c r="Q523" s="296">
        <f>ROUND(TG[[#This Row],[TOTAL]]*TG[[#This Row],[P.U. (3)]],2)</f>
        <v>0</v>
      </c>
      <c r="R523" s="326"/>
    </row>
    <row r="524" spans="2:18" hidden="1" x14ac:dyDescent="0.3">
      <c r="B524" s="433" t="s">
        <v>920</v>
      </c>
      <c r="C524" s="240" t="s">
        <v>921</v>
      </c>
      <c r="E524" s="120"/>
      <c r="F524" s="120"/>
      <c r="G524" s="74"/>
      <c r="I524" s="410" t="str">
        <f t="shared" si="17"/>
        <v>EV.8900</v>
      </c>
      <c r="J524" s="121" t="str">
        <f>+IF(B524=TG[[#This Row],[ITEM]],"ok","mal")</f>
        <v>ok</v>
      </c>
      <c r="K524" s="79">
        <f t="shared" si="16"/>
        <v>0</v>
      </c>
      <c r="L524" s="80">
        <f>IF(VLOOKUP(B524,TbPiezas[],5,0)="NA",0,VLOOKUP(B524,TbPiezas[],5,0))</f>
        <v>0.4</v>
      </c>
      <c r="M524" s="81">
        <f>TG[[#This Row],[TOTAL]]*TG[[#This Row],[P.U. (1)]]</f>
        <v>0</v>
      </c>
      <c r="N524" s="82">
        <f>+VLOOKUP(B524,TbPiezas[],6,0)</f>
        <v>825.83</v>
      </c>
      <c r="O524" s="411">
        <f>TG[[#This Row],[TOTAL]]*TG[[#This Row],[P.U. (2)]]</f>
        <v>0</v>
      </c>
      <c r="P524" s="82">
        <f>+VLOOKUP(B524,TbPiezas[],7,0)</f>
        <v>41.291500000000006</v>
      </c>
      <c r="Q524" s="296">
        <f>ROUND(TG[[#This Row],[TOTAL]]*TG[[#This Row],[P.U. (3)]],2)</f>
        <v>0</v>
      </c>
      <c r="R524" s="326"/>
    </row>
    <row r="525" spans="2:18" hidden="1" x14ac:dyDescent="0.3">
      <c r="B525" s="433" t="s">
        <v>922</v>
      </c>
      <c r="C525" s="240" t="s">
        <v>923</v>
      </c>
      <c r="E525" s="120"/>
      <c r="F525" s="120"/>
      <c r="G525" s="74"/>
      <c r="I525" s="410" t="str">
        <f t="shared" si="17"/>
        <v>EV.9000</v>
      </c>
      <c r="J525" s="121" t="str">
        <f>+IF(B525=TG[[#This Row],[ITEM]],"ok","mal")</f>
        <v>ok</v>
      </c>
      <c r="K525" s="79">
        <f t="shared" si="16"/>
        <v>0</v>
      </c>
      <c r="L525" s="80">
        <f>IF(VLOOKUP(B525,TbPiezas[],5,0)="NA",0,VLOOKUP(B525,TbPiezas[],5,0))</f>
        <v>0.7</v>
      </c>
      <c r="M525" s="81">
        <f>TG[[#This Row],[TOTAL]]*TG[[#This Row],[P.U. (1)]]</f>
        <v>0</v>
      </c>
      <c r="N525" s="82">
        <f>+VLOOKUP(B525,TbPiezas[],6,0)</f>
        <v>317.63</v>
      </c>
      <c r="O525" s="411">
        <f>TG[[#This Row],[TOTAL]]*TG[[#This Row],[P.U. (2)]]</f>
        <v>0</v>
      </c>
      <c r="P525" s="82">
        <f>+VLOOKUP(B525,TbPiezas[],7,0)</f>
        <v>15.881500000000001</v>
      </c>
      <c r="Q525" s="296">
        <f>ROUND(TG[[#This Row],[TOTAL]]*TG[[#This Row],[P.U. (3)]],2)</f>
        <v>0</v>
      </c>
      <c r="R525" s="326"/>
    </row>
    <row r="526" spans="2:18" hidden="1" x14ac:dyDescent="0.3">
      <c r="B526" s="433" t="s">
        <v>924</v>
      </c>
      <c r="C526" s="240" t="s">
        <v>925</v>
      </c>
      <c r="E526" s="120"/>
      <c r="F526" s="120"/>
      <c r="G526" s="74"/>
      <c r="I526" s="410" t="str">
        <f t="shared" si="17"/>
        <v>EV.9050</v>
      </c>
      <c r="J526" s="121" t="str">
        <f>+IF(B526=TG[[#This Row],[ITEM]],"ok","mal")</f>
        <v>ok</v>
      </c>
      <c r="K526" s="79">
        <f t="shared" si="16"/>
        <v>0</v>
      </c>
      <c r="L526" s="80">
        <f>IF(VLOOKUP(B526,TbPiezas[],5,0)="NA",0,VLOOKUP(B526,TbPiezas[],5,0))</f>
        <v>2</v>
      </c>
      <c r="M526" s="81">
        <f>TG[[#This Row],[TOTAL]]*TG[[#This Row],[P.U. (1)]]</f>
        <v>0</v>
      </c>
      <c r="N526" s="82">
        <f>+VLOOKUP(B526,TbPiezas[],6,0)</f>
        <v>45.1</v>
      </c>
      <c r="O526" s="411">
        <f>TG[[#This Row],[TOTAL]]*TG[[#This Row],[P.U. (2)]]</f>
        <v>0</v>
      </c>
      <c r="P526" s="82">
        <f>+VLOOKUP(B526,TbPiezas[],7,0)</f>
        <v>2.2550000000000003</v>
      </c>
      <c r="Q526" s="296">
        <f>ROUND(TG[[#This Row],[TOTAL]]*TG[[#This Row],[P.U. (3)]],2)</f>
        <v>0</v>
      </c>
      <c r="R526" s="326"/>
    </row>
    <row r="527" spans="2:18" hidden="1" x14ac:dyDescent="0.3">
      <c r="B527" s="433" t="s">
        <v>926</v>
      </c>
      <c r="C527" s="240" t="s">
        <v>927</v>
      </c>
      <c r="E527" s="120"/>
      <c r="F527" s="120"/>
      <c r="G527" s="74"/>
      <c r="I527" s="410" t="str">
        <f t="shared" si="17"/>
        <v>EV.9100</v>
      </c>
      <c r="J527" s="121" t="str">
        <f>+IF(B527=TG[[#This Row],[ITEM]],"ok","mal")</f>
        <v>ok</v>
      </c>
      <c r="K527" s="79">
        <f t="shared" si="16"/>
        <v>0</v>
      </c>
      <c r="L527" s="80">
        <f>IF(VLOOKUP(B527,TbPiezas[],5,0)="NA",0,VLOOKUP(B527,TbPiezas[],5,0))</f>
        <v>0.72899999999999998</v>
      </c>
      <c r="M527" s="81">
        <f>TG[[#This Row],[TOTAL]]*TG[[#This Row],[P.U. (1)]]</f>
        <v>0</v>
      </c>
      <c r="N527" s="82">
        <f>+VLOOKUP(B527,TbPiezas[],6,0)</f>
        <v>19.059999999999999</v>
      </c>
      <c r="O527" s="411">
        <f>TG[[#This Row],[TOTAL]]*TG[[#This Row],[P.U. (2)]]</f>
        <v>0</v>
      </c>
      <c r="P527" s="82">
        <f>+VLOOKUP(B527,TbPiezas[],7,0)</f>
        <v>0.95299999999999996</v>
      </c>
      <c r="Q527" s="296">
        <f>ROUND(TG[[#This Row],[TOTAL]]*TG[[#This Row],[P.U. (3)]],2)</f>
        <v>0</v>
      </c>
      <c r="R527" s="326"/>
    </row>
    <row r="528" spans="2:18" hidden="1" x14ac:dyDescent="0.3">
      <c r="B528" s="435" t="s">
        <v>928</v>
      </c>
      <c r="C528" s="434" t="s">
        <v>929</v>
      </c>
      <c r="E528" s="120"/>
      <c r="F528" s="120"/>
      <c r="G528" s="74"/>
      <c r="I528" s="410" t="str">
        <f t="shared" si="17"/>
        <v>EV.9200</v>
      </c>
      <c r="J528" s="121" t="str">
        <f>+IF(B528=TG[[#This Row],[ITEM]],"ok","mal")</f>
        <v>ok</v>
      </c>
      <c r="K528" s="79">
        <f t="shared" si="16"/>
        <v>0</v>
      </c>
      <c r="L528" s="80">
        <f>IF(VLOOKUP(B528,TbPiezas[],5,0)="NA",0,VLOOKUP(B528,TbPiezas[],5,0))</f>
        <v>1.1000000000000001</v>
      </c>
      <c r="M528" s="81">
        <f>TG[[#This Row],[TOTAL]]*TG[[#This Row],[P.U. (1)]]</f>
        <v>0</v>
      </c>
      <c r="N528" s="82">
        <f>+VLOOKUP(B528,TbPiezas[],6,0)</f>
        <v>31.76</v>
      </c>
      <c r="O528" s="411">
        <f>TG[[#This Row],[TOTAL]]*TG[[#This Row],[P.U. (2)]]</f>
        <v>0</v>
      </c>
      <c r="P528" s="82">
        <f>+VLOOKUP(B528,TbPiezas[],7,0)</f>
        <v>1.5880000000000001</v>
      </c>
      <c r="Q528" s="296">
        <f>ROUND(TG[[#This Row],[TOTAL]]*TG[[#This Row],[P.U. (3)]],2)</f>
        <v>0</v>
      </c>
      <c r="R528" s="326"/>
    </row>
    <row r="529" spans="2:18" hidden="1" x14ac:dyDescent="0.3">
      <c r="B529" s="433" t="s">
        <v>930</v>
      </c>
      <c r="C529" s="240" t="s">
        <v>931</v>
      </c>
      <c r="E529" s="120"/>
      <c r="F529" s="120"/>
      <c r="G529" s="74"/>
      <c r="I529" s="410" t="str">
        <f t="shared" si="17"/>
        <v>EV.9300</v>
      </c>
      <c r="J529" s="121" t="str">
        <f>+IF(B529=TG[[#This Row],[ITEM]],"ok","mal")</f>
        <v>ok</v>
      </c>
      <c r="K529" s="79">
        <f t="shared" si="16"/>
        <v>0</v>
      </c>
      <c r="L529" s="80">
        <f>IF(VLOOKUP(B529,TbPiezas[],5,0)="NA",0,VLOOKUP(B529,TbPiezas[],5,0))</f>
        <v>0.7</v>
      </c>
      <c r="M529" s="81">
        <f>TG[[#This Row],[TOTAL]]*TG[[#This Row],[P.U. (1)]]</f>
        <v>0</v>
      </c>
      <c r="N529" s="82">
        <f>+VLOOKUP(B529,TbPiezas[],6,0)</f>
        <v>19.059999999999999</v>
      </c>
      <c r="O529" s="411">
        <f>TG[[#This Row],[TOTAL]]*TG[[#This Row],[P.U. (2)]]</f>
        <v>0</v>
      </c>
      <c r="P529" s="82">
        <f>+VLOOKUP(B529,TbPiezas[],7,0)</f>
        <v>0.95299999999999996</v>
      </c>
      <c r="Q529" s="296">
        <f>ROUND(TG[[#This Row],[TOTAL]]*TG[[#This Row],[P.U. (3)]],2)</f>
        <v>0</v>
      </c>
      <c r="R529" s="326"/>
    </row>
    <row r="530" spans="2:18" hidden="1" x14ac:dyDescent="0.3">
      <c r="B530" s="433" t="s">
        <v>932</v>
      </c>
      <c r="C530" s="240" t="s">
        <v>933</v>
      </c>
      <c r="E530" s="120"/>
      <c r="F530" s="120"/>
      <c r="G530" s="74"/>
      <c r="I530" s="410" t="str">
        <f t="shared" si="17"/>
        <v>EV.9400</v>
      </c>
      <c r="J530" s="121" t="str">
        <f>+IF(B530=TG[[#This Row],[ITEM]],"ok","mal")</f>
        <v>ok</v>
      </c>
      <c r="K530" s="79">
        <f t="shared" ref="K530:K546" si="18">SUM(D530:H530)</f>
        <v>0</v>
      </c>
      <c r="L530" s="80">
        <f>IF(VLOOKUP(B530,TbPiezas[],5,0)="NA",0,VLOOKUP(B530,TbPiezas[],5,0))</f>
        <v>0.3</v>
      </c>
      <c r="M530" s="81">
        <f>TG[[#This Row],[TOTAL]]*TG[[#This Row],[P.U. (1)]]</f>
        <v>0</v>
      </c>
      <c r="N530" s="82">
        <f>+VLOOKUP(B530,TbPiezas[],6,0)</f>
        <v>19.059999999999999</v>
      </c>
      <c r="O530" s="411">
        <f>TG[[#This Row],[TOTAL]]*TG[[#This Row],[P.U. (2)]]</f>
        <v>0</v>
      </c>
      <c r="P530" s="82">
        <f>+VLOOKUP(B530,TbPiezas[],7,0)</f>
        <v>0.95299999999999996</v>
      </c>
      <c r="Q530" s="296">
        <f>ROUND(TG[[#This Row],[TOTAL]]*TG[[#This Row],[P.U. (3)]],2)</f>
        <v>0</v>
      </c>
      <c r="R530" s="326"/>
    </row>
    <row r="531" spans="2:18" hidden="1" x14ac:dyDescent="0.3">
      <c r="B531" s="433" t="s">
        <v>934</v>
      </c>
      <c r="C531" s="240" t="s">
        <v>935</v>
      </c>
      <c r="E531" s="120"/>
      <c r="F531" s="120"/>
      <c r="G531" s="74"/>
      <c r="I531" s="410" t="str">
        <f t="shared" si="17"/>
        <v>EV.9500</v>
      </c>
      <c r="J531" s="121" t="str">
        <f>+IF(B531=TG[[#This Row],[ITEM]],"ok","mal")</f>
        <v>ok</v>
      </c>
      <c r="K531" s="79">
        <f t="shared" si="18"/>
        <v>0</v>
      </c>
      <c r="L531" s="80">
        <f>IF(VLOOKUP(B531,TbPiezas[],5,0)="NA",0,VLOOKUP(B531,TbPiezas[],5,0))</f>
        <v>0.5</v>
      </c>
      <c r="M531" s="81">
        <f>TG[[#This Row],[TOTAL]]*TG[[#This Row],[P.U. (1)]]</f>
        <v>0</v>
      </c>
      <c r="N531" s="82">
        <f>+VLOOKUP(B531,TbPiezas[],6,0)</f>
        <v>19.059999999999999</v>
      </c>
      <c r="O531" s="411">
        <f>TG[[#This Row],[TOTAL]]*TG[[#This Row],[P.U. (2)]]</f>
        <v>0</v>
      </c>
      <c r="P531" s="82">
        <f>+VLOOKUP(B531,TbPiezas[],7,0)</f>
        <v>0.95299999999999996</v>
      </c>
      <c r="Q531" s="296">
        <f>ROUND(TG[[#This Row],[TOTAL]]*TG[[#This Row],[P.U. (3)]],2)</f>
        <v>0</v>
      </c>
      <c r="R531" s="326"/>
    </row>
    <row r="532" spans="2:18" hidden="1" x14ac:dyDescent="0.3">
      <c r="B532" s="433" t="s">
        <v>936</v>
      </c>
      <c r="C532" s="240" t="s">
        <v>937</v>
      </c>
      <c r="E532" s="120"/>
      <c r="F532" s="120"/>
      <c r="G532" s="74"/>
      <c r="I532" s="410" t="str">
        <f t="shared" si="17"/>
        <v>EV.9600</v>
      </c>
      <c r="J532" s="121" t="str">
        <f>+IF(B532=TG[[#This Row],[ITEM]],"ok","mal")</f>
        <v>ok</v>
      </c>
      <c r="K532" s="79">
        <f t="shared" si="18"/>
        <v>0</v>
      </c>
      <c r="L532" s="80">
        <f>IF(VLOOKUP(B532,TbPiezas[],5,0)="NA",0,VLOOKUP(B532,TbPiezas[],5,0))</f>
        <v>6.7000000000000004E-2</v>
      </c>
      <c r="M532" s="81">
        <f>TG[[#This Row],[TOTAL]]*TG[[#This Row],[P.U. (1)]]</f>
        <v>0</v>
      </c>
      <c r="N532" s="82">
        <f>+VLOOKUP(B532,TbPiezas[],6,0)</f>
        <v>19.059999999999999</v>
      </c>
      <c r="O532" s="411">
        <f>TG[[#This Row],[TOTAL]]*TG[[#This Row],[P.U. (2)]]</f>
        <v>0</v>
      </c>
      <c r="P532" s="82">
        <f>+VLOOKUP(B532,TbPiezas[],7,0)</f>
        <v>0.95299999999999996</v>
      </c>
      <c r="Q532" s="296">
        <f>ROUND(TG[[#This Row],[TOTAL]]*TG[[#This Row],[P.U. (3)]],2)</f>
        <v>0</v>
      </c>
      <c r="R532" s="326"/>
    </row>
    <row r="533" spans="2:18" hidden="1" x14ac:dyDescent="0.3">
      <c r="B533" s="433" t="s">
        <v>938</v>
      </c>
      <c r="C533" s="240" t="s">
        <v>939</v>
      </c>
      <c r="E533" s="120"/>
      <c r="F533" s="120"/>
      <c r="G533" s="74"/>
      <c r="I533" s="410" t="str">
        <f t="shared" si="17"/>
        <v>EV.9700</v>
      </c>
      <c r="J533" s="121" t="str">
        <f>+IF(B533=TG[[#This Row],[ITEM]],"ok","mal")</f>
        <v>ok</v>
      </c>
      <c r="K533" s="79">
        <f t="shared" si="18"/>
        <v>0</v>
      </c>
      <c r="L533" s="80">
        <f>IF(VLOOKUP(B533,TbPiezas[],5,0)="NA",0,VLOOKUP(B533,TbPiezas[],5,0))</f>
        <v>0.06</v>
      </c>
      <c r="M533" s="81">
        <f>TG[[#This Row],[TOTAL]]*TG[[#This Row],[P.U. (1)]]</f>
        <v>0</v>
      </c>
      <c r="N533" s="82">
        <f>+VLOOKUP(B533,TbPiezas[],6,0)</f>
        <v>19.059999999999999</v>
      </c>
      <c r="O533" s="411">
        <f>TG[[#This Row],[TOTAL]]*TG[[#This Row],[P.U. (2)]]</f>
        <v>0</v>
      </c>
      <c r="P533" s="82">
        <f>+VLOOKUP(B533,TbPiezas[],7,0)</f>
        <v>0.95299999999999996</v>
      </c>
      <c r="Q533" s="296">
        <f>ROUND(TG[[#This Row],[TOTAL]]*TG[[#This Row],[P.U. (3)]],2)</f>
        <v>0</v>
      </c>
      <c r="R533" s="326"/>
    </row>
    <row r="534" spans="2:18" hidden="1" x14ac:dyDescent="0.3">
      <c r="B534" s="433" t="s">
        <v>940</v>
      </c>
      <c r="C534" s="240" t="s">
        <v>941</v>
      </c>
      <c r="E534" s="120"/>
      <c r="F534" s="120"/>
      <c r="G534" s="74"/>
      <c r="I534" s="410" t="str">
        <f t="shared" si="17"/>
        <v>EV.9800</v>
      </c>
      <c r="J534" s="121" t="str">
        <f>+IF(B534=TG[[#This Row],[ITEM]],"ok","mal")</f>
        <v>ok</v>
      </c>
      <c r="K534" s="79">
        <f t="shared" si="18"/>
        <v>0</v>
      </c>
      <c r="L534" s="80">
        <f>IF(VLOOKUP(B534,TbPiezas[],5,0)="NA",0,VLOOKUP(B534,TbPiezas[],5,0))</f>
        <v>9.5000000000000001E-2</v>
      </c>
      <c r="M534" s="81">
        <f>TG[[#This Row],[TOTAL]]*TG[[#This Row],[P.U. (1)]]</f>
        <v>0</v>
      </c>
      <c r="N534" s="82">
        <f>+VLOOKUP(B534,TbPiezas[],6,0)</f>
        <v>19.059999999999999</v>
      </c>
      <c r="O534" s="411">
        <f>TG[[#This Row],[TOTAL]]*TG[[#This Row],[P.U. (2)]]</f>
        <v>0</v>
      </c>
      <c r="P534" s="82">
        <f>+VLOOKUP(B534,TbPiezas[],7,0)</f>
        <v>0.95299999999999996</v>
      </c>
      <c r="Q534" s="296">
        <f>ROUND(TG[[#This Row],[TOTAL]]*TG[[#This Row],[P.U. (3)]],2)</f>
        <v>0</v>
      </c>
      <c r="R534" s="326"/>
    </row>
    <row r="535" spans="2:18" hidden="1" x14ac:dyDescent="0.3">
      <c r="B535" s="433" t="s">
        <v>942</v>
      </c>
      <c r="C535" s="240" t="s">
        <v>943</v>
      </c>
      <c r="E535" s="120"/>
      <c r="F535" s="120"/>
      <c r="G535" s="74"/>
      <c r="I535" s="410" t="str">
        <f t="shared" si="17"/>
        <v>EV.9900</v>
      </c>
      <c r="J535" s="121" t="str">
        <f>+IF(B535=TG[[#This Row],[ITEM]],"ok","mal")</f>
        <v>ok</v>
      </c>
      <c r="K535" s="79">
        <f t="shared" si="18"/>
        <v>0</v>
      </c>
      <c r="L535" s="80">
        <f>IF(VLOOKUP(B535,TbPiezas[],5,0)="NA",0,VLOOKUP(B535,TbPiezas[],5,0))</f>
        <v>0.1</v>
      </c>
      <c r="M535" s="81">
        <f>TG[[#This Row],[TOTAL]]*TG[[#This Row],[P.U. (1)]]</f>
        <v>0</v>
      </c>
      <c r="N535" s="82">
        <f>+VLOOKUP(B535,TbPiezas[],6,0)</f>
        <v>19.059999999999999</v>
      </c>
      <c r="O535" s="411">
        <f>TG[[#This Row],[TOTAL]]*TG[[#This Row],[P.U. (2)]]</f>
        <v>0</v>
      </c>
      <c r="P535" s="82">
        <f>+VLOOKUP(B535,TbPiezas[],7,0)</f>
        <v>0.95299999999999996</v>
      </c>
      <c r="Q535" s="296">
        <f>ROUND(TG[[#This Row],[TOTAL]]*TG[[#This Row],[P.U. (3)]],2)</f>
        <v>0</v>
      </c>
      <c r="R535" s="326"/>
    </row>
    <row r="536" spans="2:18" hidden="1" x14ac:dyDescent="0.3">
      <c r="B536" s="433" t="s">
        <v>944</v>
      </c>
      <c r="C536" s="240" t="s">
        <v>945</v>
      </c>
      <c r="E536" s="120"/>
      <c r="F536" s="120"/>
      <c r="G536" s="74"/>
      <c r="I536" s="410" t="str">
        <f t="shared" si="17"/>
        <v>EV.10000</v>
      </c>
      <c r="J536" s="121" t="str">
        <f>+IF(B536=TG[[#This Row],[ITEM]],"ok","mal")</f>
        <v>ok</v>
      </c>
      <c r="K536" s="79">
        <f t="shared" si="18"/>
        <v>0</v>
      </c>
      <c r="L536" s="80">
        <f>IF(VLOOKUP(B536,TbPiezas[],5,0)="NA",0,VLOOKUP(B536,TbPiezas[],5,0))</f>
        <v>3.5000000000000003E-2</v>
      </c>
      <c r="M536" s="81">
        <f>TG[[#This Row],[TOTAL]]*TG[[#This Row],[P.U. (1)]]</f>
        <v>0</v>
      </c>
      <c r="N536" s="82">
        <f>+VLOOKUP(B536,TbPiezas[],6,0)</f>
        <v>31.76</v>
      </c>
      <c r="O536" s="411">
        <f>TG[[#This Row],[TOTAL]]*TG[[#This Row],[P.U. (2)]]</f>
        <v>0</v>
      </c>
      <c r="P536" s="82">
        <f>+VLOOKUP(B536,TbPiezas[],7,0)</f>
        <v>1.5880000000000001</v>
      </c>
      <c r="Q536" s="296">
        <f>ROUND(TG[[#This Row],[TOTAL]]*TG[[#This Row],[P.U. (3)]],2)</f>
        <v>0</v>
      </c>
      <c r="R536" s="326"/>
    </row>
    <row r="537" spans="2:18" hidden="1" x14ac:dyDescent="0.3">
      <c r="B537" s="433" t="s">
        <v>946</v>
      </c>
      <c r="C537" s="240" t="s">
        <v>947</v>
      </c>
      <c r="E537" s="120"/>
      <c r="F537" s="120"/>
      <c r="G537" s="74"/>
      <c r="I537" s="410" t="str">
        <f t="shared" si="17"/>
        <v>EV.10100</v>
      </c>
      <c r="J537" s="121" t="str">
        <f>+IF(B537=TG[[#This Row],[ITEM]],"ok","mal")</f>
        <v>ok</v>
      </c>
      <c r="K537" s="79">
        <f t="shared" si="18"/>
        <v>0</v>
      </c>
      <c r="L537" s="80">
        <f>IF(VLOOKUP(B537,TbPiezas[],5,0)="NA",0,VLOOKUP(B537,TbPiezas[],5,0))</f>
        <v>0.02</v>
      </c>
      <c r="M537" s="81">
        <f>TG[[#This Row],[TOTAL]]*TG[[#This Row],[P.U. (1)]]</f>
        <v>0</v>
      </c>
      <c r="N537" s="82">
        <f>+VLOOKUP(B537,TbPiezas[],6,0)</f>
        <v>19.059999999999999</v>
      </c>
      <c r="O537" s="411">
        <f>TG[[#This Row],[TOTAL]]*TG[[#This Row],[P.U. (2)]]</f>
        <v>0</v>
      </c>
      <c r="P537" s="82">
        <f>+VLOOKUP(B537,TbPiezas[],7,0)</f>
        <v>0.95299999999999996</v>
      </c>
      <c r="Q537" s="296">
        <f>ROUND(TG[[#This Row],[TOTAL]]*TG[[#This Row],[P.U. (3)]],2)</f>
        <v>0</v>
      </c>
      <c r="R537" s="326"/>
    </row>
    <row r="538" spans="2:18" hidden="1" x14ac:dyDescent="0.3">
      <c r="B538" s="433" t="s">
        <v>948</v>
      </c>
      <c r="C538" s="240" t="s">
        <v>949</v>
      </c>
      <c r="E538" s="120"/>
      <c r="F538" s="120"/>
      <c r="G538" s="74"/>
      <c r="I538" s="410" t="str">
        <f t="shared" si="17"/>
        <v>EV.10200</v>
      </c>
      <c r="J538" s="121" t="str">
        <f>+IF(B538=TG[[#This Row],[ITEM]],"ok","mal")</f>
        <v>ok</v>
      </c>
      <c r="K538" s="79">
        <f t="shared" si="18"/>
        <v>0</v>
      </c>
      <c r="L538" s="80">
        <f>IF(VLOOKUP(B538,TbPiezas[],5,0)="NA",0,VLOOKUP(B538,TbPiezas[],5,0))</f>
        <v>2.3E-2</v>
      </c>
      <c r="M538" s="81">
        <f>TG[[#This Row],[TOTAL]]*TG[[#This Row],[P.U. (1)]]</f>
        <v>0</v>
      </c>
      <c r="N538" s="82">
        <f>+VLOOKUP(B538,TbPiezas[],6,0)</f>
        <v>19.059999999999999</v>
      </c>
      <c r="O538" s="411">
        <f>TG[[#This Row],[TOTAL]]*TG[[#This Row],[P.U. (2)]]</f>
        <v>0</v>
      </c>
      <c r="P538" s="82">
        <f>+VLOOKUP(B538,TbPiezas[],7,0)</f>
        <v>0.95299999999999996</v>
      </c>
      <c r="Q538" s="296">
        <f>ROUND(TG[[#This Row],[TOTAL]]*TG[[#This Row],[P.U. (3)]],2)</f>
        <v>0</v>
      </c>
      <c r="R538" s="326"/>
    </row>
    <row r="539" spans="2:18" hidden="1" x14ac:dyDescent="0.3">
      <c r="B539" s="433" t="s">
        <v>950</v>
      </c>
      <c r="C539" s="240" t="s">
        <v>951</v>
      </c>
      <c r="E539" s="120"/>
      <c r="F539" s="120"/>
      <c r="G539" s="74"/>
      <c r="I539" s="410" t="str">
        <f t="shared" si="17"/>
        <v>EV.10300</v>
      </c>
      <c r="J539" s="121" t="str">
        <f>+IF(B539=TG[[#This Row],[ITEM]],"ok","mal")</f>
        <v>ok</v>
      </c>
      <c r="K539" s="79">
        <f t="shared" si="18"/>
        <v>0</v>
      </c>
      <c r="L539" s="80">
        <f>IF(VLOOKUP(B539,TbPiezas[],5,0)="NA",0,VLOOKUP(B539,TbPiezas[],5,0))</f>
        <v>0.72499999999999998</v>
      </c>
      <c r="M539" s="81">
        <f>TG[[#This Row],[TOTAL]]*TG[[#This Row],[P.U. (1)]]</f>
        <v>0</v>
      </c>
      <c r="N539" s="82">
        <f>+VLOOKUP(B539,TbPiezas[],6,0)</f>
        <v>19.059999999999999</v>
      </c>
      <c r="O539" s="411">
        <f>TG[[#This Row],[TOTAL]]*TG[[#This Row],[P.U. (2)]]</f>
        <v>0</v>
      </c>
      <c r="P539" s="82">
        <f>+VLOOKUP(B539,TbPiezas[],7,0)</f>
        <v>0.95299999999999996</v>
      </c>
      <c r="Q539" s="296">
        <f>ROUND(TG[[#This Row],[TOTAL]]*TG[[#This Row],[P.U. (3)]],2)</f>
        <v>0</v>
      </c>
      <c r="R539" s="326"/>
    </row>
    <row r="540" spans="2:18" hidden="1" x14ac:dyDescent="0.3">
      <c r="B540" s="433" t="s">
        <v>952</v>
      </c>
      <c r="C540" s="240" t="s">
        <v>953</v>
      </c>
      <c r="E540" s="120"/>
      <c r="F540" s="120"/>
      <c r="G540" s="74"/>
      <c r="I540" s="410" t="str">
        <f t="shared" si="17"/>
        <v>EV.10400</v>
      </c>
      <c r="J540" s="121" t="str">
        <f>+IF(B540=TG[[#This Row],[ITEM]],"ok","mal")</f>
        <v>ok</v>
      </c>
      <c r="K540" s="79">
        <f t="shared" si="18"/>
        <v>0</v>
      </c>
      <c r="L540" s="80">
        <f>IF(VLOOKUP(B540,TbPiezas[],5,0)="NA",0,VLOOKUP(B540,TbPiezas[],5,0))</f>
        <v>1</v>
      </c>
      <c r="M540" s="81">
        <f>TG[[#This Row],[TOTAL]]*TG[[#This Row],[P.U. (1)]]</f>
        <v>0</v>
      </c>
      <c r="N540" s="82">
        <f>+VLOOKUP(B540,TbPiezas[],6,0)</f>
        <v>190.58</v>
      </c>
      <c r="O540" s="411">
        <f>TG[[#This Row],[TOTAL]]*TG[[#This Row],[P.U. (2)]]</f>
        <v>0</v>
      </c>
      <c r="P540" s="82">
        <f>+VLOOKUP(B540,TbPiezas[],7,0)</f>
        <v>9.5290000000000017</v>
      </c>
      <c r="Q540" s="296">
        <f>ROUND(TG[[#This Row],[TOTAL]]*TG[[#This Row],[P.U. (3)]],2)</f>
        <v>0</v>
      </c>
      <c r="R540" s="326"/>
    </row>
    <row r="541" spans="2:18" hidden="1" x14ac:dyDescent="0.3">
      <c r="B541" s="433" t="s">
        <v>954</v>
      </c>
      <c r="C541" s="240" t="s">
        <v>955</v>
      </c>
      <c r="E541" s="120"/>
      <c r="F541" s="120"/>
      <c r="G541" s="74"/>
      <c r="I541" s="410" t="str">
        <f t="shared" si="17"/>
        <v>EV.10500</v>
      </c>
      <c r="J541" s="121" t="str">
        <f>+IF(B541=TG[[#This Row],[ITEM]],"ok","mal")</f>
        <v>ok</v>
      </c>
      <c r="K541" s="79">
        <f t="shared" si="18"/>
        <v>0</v>
      </c>
      <c r="L541" s="80">
        <f>IF(VLOOKUP(B541,TbPiezas[],5,0)="NA",0,VLOOKUP(B541,TbPiezas[],5,0))</f>
        <v>0.3</v>
      </c>
      <c r="M541" s="81">
        <f>TG[[#This Row],[TOTAL]]*TG[[#This Row],[P.U. (1)]]</f>
        <v>0</v>
      </c>
      <c r="N541" s="82">
        <f>+VLOOKUP(B541,TbPiezas[],6,0)</f>
        <v>190.58</v>
      </c>
      <c r="O541" s="411">
        <f>TG[[#This Row],[TOTAL]]*TG[[#This Row],[P.U. (2)]]</f>
        <v>0</v>
      </c>
      <c r="P541" s="82">
        <f>+VLOOKUP(B541,TbPiezas[],7,0)</f>
        <v>9.5290000000000017</v>
      </c>
      <c r="Q541" s="296">
        <f>ROUND(TG[[#This Row],[TOTAL]]*TG[[#This Row],[P.U. (3)]],2)</f>
        <v>0</v>
      </c>
      <c r="R541" s="326"/>
    </row>
    <row r="542" spans="2:18" hidden="1" x14ac:dyDescent="0.3">
      <c r="B542" s="433" t="s">
        <v>956</v>
      </c>
      <c r="C542" s="240" t="s">
        <v>957</v>
      </c>
      <c r="E542" s="120"/>
      <c r="F542" s="120"/>
      <c r="G542" s="74"/>
      <c r="I542" s="410" t="str">
        <f t="shared" si="17"/>
        <v>EV.10600</v>
      </c>
      <c r="J542" s="121" t="str">
        <f>+IF(B542=TG[[#This Row],[ITEM]],"ok","mal")</f>
        <v>ok</v>
      </c>
      <c r="K542" s="79">
        <f t="shared" si="18"/>
        <v>0</v>
      </c>
      <c r="L542" s="80">
        <f>IF(VLOOKUP(B542,TbPiezas[],5,0)="NA",0,VLOOKUP(B542,TbPiezas[],5,0))</f>
        <v>2.5</v>
      </c>
      <c r="M542" s="81">
        <f>TG[[#This Row],[TOTAL]]*TG[[#This Row],[P.U. (1)]]</f>
        <v>0</v>
      </c>
      <c r="N542" s="82">
        <f>+VLOOKUP(B542,TbPiezas[],6,0)</f>
        <v>158.69</v>
      </c>
      <c r="O542" s="411">
        <f>TG[[#This Row],[TOTAL]]*TG[[#This Row],[P.U. (2)]]</f>
        <v>0</v>
      </c>
      <c r="P542" s="82">
        <f>+VLOOKUP(B542,TbPiezas[],7,0)</f>
        <v>7.9344999999999999</v>
      </c>
      <c r="Q542" s="296">
        <f>ROUND(TG[[#This Row],[TOTAL]]*TG[[#This Row],[P.U. (3)]],2)</f>
        <v>0</v>
      </c>
      <c r="R542" s="326"/>
    </row>
    <row r="543" spans="2:18" hidden="1" x14ac:dyDescent="0.3">
      <c r="B543" s="433" t="s">
        <v>958</v>
      </c>
      <c r="C543" s="240" t="s">
        <v>959</v>
      </c>
      <c r="E543" s="120"/>
      <c r="F543" s="120"/>
      <c r="G543" s="74"/>
      <c r="I543" s="410" t="str">
        <f t="shared" si="17"/>
        <v>EV.10700</v>
      </c>
      <c r="J543" s="121" t="str">
        <f>+IF(B543=TG[[#This Row],[ITEM]],"ok","mal")</f>
        <v>ok</v>
      </c>
      <c r="K543" s="79">
        <f t="shared" si="18"/>
        <v>0</v>
      </c>
      <c r="L543" s="80">
        <f>IF(VLOOKUP(B543,TbPiezas[],5,0)="NA",0,VLOOKUP(B543,TbPiezas[],5,0))</f>
        <v>0.5</v>
      </c>
      <c r="M543" s="81">
        <f>TG[[#This Row],[TOTAL]]*TG[[#This Row],[P.U. (1)]]</f>
        <v>0</v>
      </c>
      <c r="N543" s="82">
        <f>+VLOOKUP(B543,TbPiezas[],6,0)</f>
        <v>158.69</v>
      </c>
      <c r="O543" s="411">
        <f>TG[[#This Row],[TOTAL]]*TG[[#This Row],[P.U. (2)]]</f>
        <v>0</v>
      </c>
      <c r="P543" s="82">
        <f>+VLOOKUP(B543,TbPiezas[],7,0)</f>
        <v>7.9344999999999999</v>
      </c>
      <c r="Q543" s="296">
        <f>ROUND(TG[[#This Row],[TOTAL]]*TG[[#This Row],[P.U. (3)]],2)</f>
        <v>0</v>
      </c>
      <c r="R543" s="326"/>
    </row>
    <row r="544" spans="2:18" hidden="1" x14ac:dyDescent="0.3">
      <c r="B544" s="433" t="s">
        <v>960</v>
      </c>
      <c r="C544" s="240" t="s">
        <v>961</v>
      </c>
      <c r="E544" s="120"/>
      <c r="F544" s="120"/>
      <c r="G544" s="74"/>
      <c r="I544" s="410" t="str">
        <f t="shared" si="17"/>
        <v>EV.10750</v>
      </c>
      <c r="J544" s="121" t="str">
        <f>+IF(B544=TG[[#This Row],[ITEM]],"ok","mal")</f>
        <v>ok</v>
      </c>
      <c r="K544" s="79">
        <f t="shared" si="18"/>
        <v>0</v>
      </c>
      <c r="L544" s="80">
        <f>IF(VLOOKUP(B544,TbPiezas[],5,0)="NA",0,VLOOKUP(B544,TbPiezas[],5,0))</f>
        <v>0.26200000000000001</v>
      </c>
      <c r="M544" s="81">
        <f>TG[[#This Row],[TOTAL]]*TG[[#This Row],[P.U. (1)]]</f>
        <v>0</v>
      </c>
      <c r="N544" s="82">
        <f>+VLOOKUP(B544,TbPiezas[],6,0)</f>
        <v>45.1</v>
      </c>
      <c r="O544" s="411">
        <f>TG[[#This Row],[TOTAL]]*TG[[#This Row],[P.U. (2)]]</f>
        <v>0</v>
      </c>
      <c r="P544" s="82">
        <f>+VLOOKUP(B544,TbPiezas[],7,0)</f>
        <v>2.2550000000000003</v>
      </c>
      <c r="Q544" s="296">
        <f>ROUND(TG[[#This Row],[TOTAL]]*TG[[#This Row],[P.U. (3)]],2)</f>
        <v>0</v>
      </c>
      <c r="R544" s="326"/>
    </row>
    <row r="545" spans="2:18" hidden="1" x14ac:dyDescent="0.3">
      <c r="B545" s="433" t="s">
        <v>962</v>
      </c>
      <c r="C545" s="240" t="s">
        <v>963</v>
      </c>
      <c r="E545" s="120"/>
      <c r="F545" s="120"/>
      <c r="G545" s="74"/>
      <c r="I545" s="410" t="str">
        <f t="shared" si="17"/>
        <v>EV.10800</v>
      </c>
      <c r="J545" s="121" t="str">
        <f>+IF(B545=TG[[#This Row],[ITEM]],"ok","mal")</f>
        <v>ok</v>
      </c>
      <c r="K545" s="79">
        <f t="shared" si="18"/>
        <v>0</v>
      </c>
      <c r="L545" s="80">
        <f>IF(VLOOKUP(B545,TbPiezas[],5,0)="NA",0,VLOOKUP(B545,TbPiezas[],5,0))</f>
        <v>0.2</v>
      </c>
      <c r="M545" s="81">
        <f>TG[[#This Row],[TOTAL]]*TG[[#This Row],[P.U. (1)]]</f>
        <v>0</v>
      </c>
      <c r="N545" s="82">
        <f>+VLOOKUP(B545,TbPiezas[],6,0)</f>
        <v>45.1</v>
      </c>
      <c r="O545" s="411">
        <f>TG[[#This Row],[TOTAL]]*TG[[#This Row],[P.U. (2)]]</f>
        <v>0</v>
      </c>
      <c r="P545" s="82">
        <f>+VLOOKUP(B545,TbPiezas[],7,0)</f>
        <v>2.2550000000000003</v>
      </c>
      <c r="Q545" s="296">
        <f>ROUND(TG[[#This Row],[TOTAL]]*TG[[#This Row],[P.U. (3)]],2)</f>
        <v>0</v>
      </c>
      <c r="R545" s="326"/>
    </row>
    <row r="546" spans="2:18" hidden="1" x14ac:dyDescent="0.3">
      <c r="B546" s="433" t="s">
        <v>964</v>
      </c>
      <c r="C546" s="240" t="s">
        <v>965</v>
      </c>
      <c r="E546" s="120"/>
      <c r="F546" s="120"/>
      <c r="G546" s="74"/>
      <c r="I546" s="410" t="str">
        <f t="shared" si="17"/>
        <v>EV.10900</v>
      </c>
      <c r="J546" s="121" t="str">
        <f>+IF(B546=TG[[#This Row],[ITEM]],"ok","mal")</f>
        <v>ok</v>
      </c>
      <c r="K546" s="79">
        <f t="shared" si="18"/>
        <v>0</v>
      </c>
      <c r="L546" s="80">
        <f>IF(VLOOKUP(B546,TbPiezas[],5,0)="NA",0,VLOOKUP(B546,TbPiezas[],5,0))</f>
        <v>0.2</v>
      </c>
      <c r="M546" s="81">
        <f>TG[[#This Row],[TOTAL]]*TG[[#This Row],[P.U. (1)]]</f>
        <v>0</v>
      </c>
      <c r="N546" s="82">
        <f>+VLOOKUP(B546,TbPiezas[],6,0)</f>
        <v>45.1</v>
      </c>
      <c r="O546" s="411">
        <f>TG[[#This Row],[TOTAL]]*TG[[#This Row],[P.U. (2)]]</f>
        <v>0</v>
      </c>
      <c r="P546" s="82">
        <f>+VLOOKUP(B546,TbPiezas[],7,0)</f>
        <v>2.2550000000000003</v>
      </c>
      <c r="Q546" s="296">
        <f>ROUND(TG[[#This Row],[TOTAL]]*TG[[#This Row],[P.U. (3)]],2)</f>
        <v>0</v>
      </c>
      <c r="R546" s="326"/>
    </row>
    <row r="547" spans="2:18" hidden="1" x14ac:dyDescent="0.3">
      <c r="B547" s="433" t="s">
        <v>966</v>
      </c>
      <c r="C547" s="240" t="s">
        <v>967</v>
      </c>
      <c r="E547" s="120"/>
      <c r="F547" s="120"/>
      <c r="G547" s="74"/>
      <c r="I547" s="76" t="str">
        <f t="shared" si="17"/>
        <v>EV.10950</v>
      </c>
      <c r="J547" s="121" t="str">
        <f>+IF(B547=TG[[#This Row],[ITEM]],"ok","mal")</f>
        <v>ok</v>
      </c>
      <c r="K547" s="79">
        <f t="shared" ref="K547:K552" si="19">SUM(D547:H547)</f>
        <v>0</v>
      </c>
      <c r="L547" s="80">
        <f>IF(VLOOKUP(B547,TbPiezas[],5,0)="NA",0,VLOOKUP(B547,TbPiezas[],5,0))</f>
        <v>0.2</v>
      </c>
      <c r="M547" s="81">
        <f>TG[[#This Row],[TOTAL]]*TG[[#This Row],[P.U. (1)]]</f>
        <v>0</v>
      </c>
      <c r="N547" s="82">
        <f>+VLOOKUP(B547,TbPiezas[],6,0)</f>
        <v>45.1</v>
      </c>
      <c r="O547" s="83">
        <f>TG[[#This Row],[TOTAL]]*TG[[#This Row],[P.U. (2)]]</f>
        <v>0</v>
      </c>
      <c r="P547" s="82">
        <f>+VLOOKUP(B547,TbPiezas[],7,0)</f>
        <v>2.2550000000000003</v>
      </c>
      <c r="Q547" s="170">
        <f>ROUND(TG[[#This Row],[TOTAL]]*TG[[#This Row],[P.U. (3)]],2)</f>
        <v>0</v>
      </c>
      <c r="R547" s="326"/>
    </row>
    <row r="548" spans="2:18" hidden="1" x14ac:dyDescent="0.3">
      <c r="B548" s="76" t="s">
        <v>968</v>
      </c>
      <c r="C548" s="76" t="s">
        <v>969</v>
      </c>
      <c r="E548" s="120"/>
      <c r="F548" s="120"/>
      <c r="G548" s="74"/>
      <c r="I548" s="76" t="str">
        <f t="shared" si="17"/>
        <v>MA.0100</v>
      </c>
      <c r="J548" s="121" t="str">
        <f>+IF(B548=TG[[#This Row],[ITEM]],"ok","mal")</f>
        <v>ok</v>
      </c>
      <c r="K548" s="79">
        <f t="shared" si="19"/>
        <v>0</v>
      </c>
      <c r="L548" s="80">
        <f>IF(VLOOKUP(B548,TbPiezas[],5,0)="NA",0,VLOOKUP(B548,TbPiezas[],5,0))</f>
        <v>27.2</v>
      </c>
      <c r="M548" s="81">
        <f>TG[[#This Row],[TOTAL]]*TG[[#This Row],[P.U. (1)]]</f>
        <v>0</v>
      </c>
      <c r="N548" s="82">
        <f>+VLOOKUP(B548,TbPiezas[],6,0)</f>
        <v>127.05</v>
      </c>
      <c r="O548" s="83">
        <f>TG[[#This Row],[TOTAL]]*TG[[#This Row],[P.U. (2)]]</f>
        <v>0</v>
      </c>
      <c r="P548" s="82">
        <f>+VLOOKUP(B548,TbPiezas[],7,0)</f>
        <v>6.3525</v>
      </c>
      <c r="Q548" s="170">
        <f>ROUND(TG[[#This Row],[TOTAL]]*TG[[#This Row],[P.U. (3)]],2)</f>
        <v>0</v>
      </c>
      <c r="R548" s="326"/>
    </row>
    <row r="549" spans="2:18" hidden="1" x14ac:dyDescent="0.3">
      <c r="B549" s="76" t="s">
        <v>970</v>
      </c>
      <c r="C549" s="76" t="s">
        <v>971</v>
      </c>
      <c r="E549" s="120"/>
      <c r="F549" s="120"/>
      <c r="G549" s="74"/>
      <c r="I549" s="76" t="str">
        <f t="shared" si="17"/>
        <v>MA.0200</v>
      </c>
      <c r="J549" s="121" t="str">
        <f>+IF(B549=TG[[#This Row],[ITEM]],"ok","mal")</f>
        <v>ok</v>
      </c>
      <c r="K549" s="79">
        <f t="shared" si="19"/>
        <v>0</v>
      </c>
      <c r="L549" s="80">
        <f>IF(VLOOKUP(B549,TbPiezas[],5,0)="NA",0,VLOOKUP(B549,TbPiezas[],5,0))</f>
        <v>2.52</v>
      </c>
      <c r="M549" s="81">
        <f>TG[[#This Row],[TOTAL]]*TG[[#This Row],[P.U. (1)]]</f>
        <v>0</v>
      </c>
      <c r="N549" s="82">
        <f>+VLOOKUP(B549,TbPiezas[],6,0)</f>
        <v>12.71</v>
      </c>
      <c r="O549" s="83">
        <f>TG[[#This Row],[TOTAL]]*TG[[#This Row],[P.U. (2)]]</f>
        <v>0</v>
      </c>
      <c r="P549" s="82">
        <f>+VLOOKUP(B549,TbPiezas[],7,0)</f>
        <v>0.63550000000000006</v>
      </c>
      <c r="Q549" s="170">
        <f>ROUND(TG[[#This Row],[TOTAL]]*TG[[#This Row],[P.U. (3)]],2)</f>
        <v>0</v>
      </c>
      <c r="R549" s="326"/>
    </row>
    <row r="550" spans="2:18" hidden="1" x14ac:dyDescent="0.3">
      <c r="B550" s="76" t="s">
        <v>972</v>
      </c>
      <c r="C550" s="76" t="s">
        <v>973</v>
      </c>
      <c r="E550" s="120"/>
      <c r="F550" s="120"/>
      <c r="G550" s="74"/>
      <c r="I550" s="76" t="str">
        <f t="shared" si="17"/>
        <v>MA.0250</v>
      </c>
      <c r="J550" s="121" t="str">
        <f>+IF(B550=TG[[#This Row],[ITEM]],"ok","mal")</f>
        <v>ok</v>
      </c>
      <c r="K550" s="79">
        <f t="shared" si="19"/>
        <v>0</v>
      </c>
      <c r="L550" s="80">
        <f>IF(VLOOKUP(B550,TbPiezas[],5,0)="NA",0,VLOOKUP(B550,TbPiezas[],5,0))</f>
        <v>0.63600000000000001</v>
      </c>
      <c r="M550" s="81">
        <f>TG[[#This Row],[TOTAL]]*TG[[#This Row],[P.U. (1)]]</f>
        <v>0</v>
      </c>
      <c r="N550" s="82">
        <f>+VLOOKUP(B550,TbPiezas[],6,0)</f>
        <v>50.82</v>
      </c>
      <c r="O550" s="83">
        <f>TG[[#This Row],[TOTAL]]*TG[[#This Row],[P.U. (2)]]</f>
        <v>0</v>
      </c>
      <c r="P550" s="82">
        <f>+VLOOKUP(B550,TbPiezas[],7,0)</f>
        <v>2.5410000000000004</v>
      </c>
      <c r="Q550" s="170">
        <f>ROUND(TG[[#This Row],[TOTAL]]*TG[[#This Row],[P.U. (3)]],2)</f>
        <v>0</v>
      </c>
      <c r="R550" s="326"/>
    </row>
    <row r="551" spans="2:18" hidden="1" x14ac:dyDescent="0.3">
      <c r="B551" s="76" t="s">
        <v>974</v>
      </c>
      <c r="C551" s="76" t="s">
        <v>975</v>
      </c>
      <c r="E551" s="120"/>
      <c r="F551" s="120"/>
      <c r="G551" s="74"/>
      <c r="I551" s="76" t="str">
        <f t="shared" si="17"/>
        <v>MA.0300</v>
      </c>
      <c r="J551" s="121" t="str">
        <f>+IF(B551=TG[[#This Row],[ITEM]],"ok","mal")</f>
        <v>ok</v>
      </c>
      <c r="K551" s="79">
        <f t="shared" si="19"/>
        <v>0</v>
      </c>
      <c r="L551" s="80">
        <f>IF(VLOOKUP(B551,TbPiezas[],5,0)="NA",0,VLOOKUP(B551,TbPiezas[],5,0))</f>
        <v>70</v>
      </c>
      <c r="M551" s="81">
        <f>TG[[#This Row],[TOTAL]]*TG[[#This Row],[P.U. (1)]]</f>
        <v>0</v>
      </c>
      <c r="N551" s="82">
        <f>+VLOOKUP(B551,TbPiezas[],6,0)</f>
        <v>1079.93</v>
      </c>
      <c r="O551" s="83">
        <f>TG[[#This Row],[TOTAL]]*TG[[#This Row],[P.U. (2)]]</f>
        <v>0</v>
      </c>
      <c r="P551" s="82">
        <f>+VLOOKUP(B551,TbPiezas[],7,0)</f>
        <v>53.996500000000005</v>
      </c>
      <c r="Q551" s="170">
        <f>ROUND(TG[[#This Row],[TOTAL]]*TG[[#This Row],[P.U. (3)]],2)</f>
        <v>0</v>
      </c>
      <c r="R551" s="326"/>
    </row>
    <row r="552" spans="2:18" hidden="1" x14ac:dyDescent="0.3">
      <c r="B552" s="76" t="s">
        <v>976</v>
      </c>
      <c r="C552" s="76" t="s">
        <v>977</v>
      </c>
      <c r="E552" s="120"/>
      <c r="F552" s="120"/>
      <c r="G552" s="74"/>
      <c r="I552" s="76" t="str">
        <f t="shared" si="17"/>
        <v>MA.0400</v>
      </c>
      <c r="J552" s="121" t="str">
        <f>+IF(B552=TG[[#This Row],[ITEM]],"ok","mal")</f>
        <v>ok</v>
      </c>
      <c r="K552" s="79">
        <f t="shared" si="19"/>
        <v>0</v>
      </c>
      <c r="L552" s="80">
        <f>IF(VLOOKUP(B552,TbPiezas[],5,0)="NA",0,VLOOKUP(B552,TbPiezas[],5,0))</f>
        <v>65</v>
      </c>
      <c r="M552" s="81">
        <f>TG[[#This Row],[TOTAL]]*TG[[#This Row],[P.U. (1)]]</f>
        <v>0</v>
      </c>
      <c r="N552" s="82">
        <f>+VLOOKUP(B552,TbPiezas[],6,0)</f>
        <v>1715.18</v>
      </c>
      <c r="O552" s="83">
        <f>TG[[#This Row],[TOTAL]]*TG[[#This Row],[P.U. (2)]]</f>
        <v>0</v>
      </c>
      <c r="P552" s="82">
        <f>+VLOOKUP(B552,TbPiezas[],7,0)</f>
        <v>85.759000000000015</v>
      </c>
      <c r="Q552" s="170">
        <f>ROUND(TG[[#This Row],[TOTAL]]*TG[[#This Row],[P.U. (3)]],2)</f>
        <v>0</v>
      </c>
      <c r="R552" s="326"/>
    </row>
    <row r="553" spans="2:18" ht="7.5" customHeight="1" x14ac:dyDescent="0.3">
      <c r="C553" s="42"/>
      <c r="E553" s="8"/>
      <c r="F553" s="8"/>
      <c r="G553" s="122"/>
      <c r="I553" s="42"/>
      <c r="J553" s="42"/>
      <c r="K553" s="42"/>
    </row>
    <row r="554" spans="2:18" ht="15" customHeight="1" x14ac:dyDescent="0.3">
      <c r="C554" s="42"/>
      <c r="E554" s="8"/>
      <c r="F554" s="8"/>
      <c r="G554" s="122"/>
      <c r="I554" s="42"/>
      <c r="J554" s="42"/>
      <c r="K554" s="42"/>
      <c r="L554" s="328" t="s">
        <v>1169</v>
      </c>
      <c r="M554" s="89">
        <f>SUM(M5:M553)</f>
        <v>563.39999999999986</v>
      </c>
      <c r="N554" s="346" t="s">
        <v>1170</v>
      </c>
      <c r="O554" s="91">
        <f>SUM(O5:O553)</f>
        <v>20696.400000000001</v>
      </c>
      <c r="P554" s="92" t="s">
        <v>1170</v>
      </c>
      <c r="Q554" s="93">
        <f>SUM(Q5:Q553)</f>
        <v>876.81999999999994</v>
      </c>
    </row>
    <row r="555" spans="2:18" ht="15" customHeight="1" x14ac:dyDescent="0.3">
      <c r="C555" s="42"/>
      <c r="E555" s="8"/>
      <c r="F555" s="8"/>
      <c r="G555" s="122"/>
      <c r="I555" s="42"/>
      <c r="J555" s="42"/>
      <c r="K555" s="42"/>
      <c r="L555" s="491" t="s">
        <v>1286</v>
      </c>
      <c r="M555" s="492">
        <f>+M554/1000</f>
        <v>0.5633999999999999</v>
      </c>
      <c r="N555" s="344" t="s">
        <v>1289</v>
      </c>
      <c r="O555" s="449">
        <f>-O554*N556</f>
        <v>0</v>
      </c>
      <c r="P555" s="95" t="s">
        <v>1289</v>
      </c>
      <c r="Q555" s="450">
        <f>-Q554*P556</f>
        <v>0</v>
      </c>
    </row>
    <row r="556" spans="2:18" x14ac:dyDescent="0.3">
      <c r="C556" s="42"/>
      <c r="E556" s="8"/>
      <c r="F556" s="8"/>
      <c r="G556" s="122"/>
      <c r="I556" s="42"/>
      <c r="J556" s="42"/>
      <c r="K556" s="42"/>
      <c r="L556" s="491"/>
      <c r="M556" s="492"/>
      <c r="N556" s="345"/>
      <c r="O556" s="449"/>
      <c r="P556" s="97"/>
      <c r="Q556" s="450"/>
    </row>
    <row r="557" spans="2:18" ht="7.5" customHeight="1" x14ac:dyDescent="0.3">
      <c r="C557" s="42"/>
      <c r="E557" s="122"/>
      <c r="F557" s="122"/>
      <c r="G557" s="122"/>
      <c r="I557" s="42"/>
      <c r="J557" s="42"/>
      <c r="K557" s="42"/>
      <c r="L557" s="2"/>
      <c r="M557" s="2"/>
    </row>
    <row r="558" spans="2:18" ht="15" customHeight="1" x14ac:dyDescent="0.3">
      <c r="C558" s="42"/>
      <c r="E558" s="122"/>
      <c r="F558" s="122"/>
      <c r="G558" s="122"/>
      <c r="I558" s="42"/>
      <c r="J558" s="42"/>
      <c r="K558" s="42"/>
      <c r="L558" s="489" t="s">
        <v>1173</v>
      </c>
      <c r="M558" s="83">
        <v>0</v>
      </c>
      <c r="N558" s="98" t="s">
        <v>1170</v>
      </c>
      <c r="O558" s="83">
        <f>O554+O555</f>
        <v>20696.400000000001</v>
      </c>
      <c r="P558" s="82" t="s">
        <v>1170</v>
      </c>
      <c r="Q558" s="84">
        <f>Q554+Q555</f>
        <v>876.81999999999994</v>
      </c>
    </row>
    <row r="559" spans="2:18" x14ac:dyDescent="0.3">
      <c r="C559" s="42"/>
      <c r="E559" s="122"/>
      <c r="F559" s="122"/>
      <c r="I559" s="42"/>
      <c r="J559" s="42"/>
      <c r="K559" s="42"/>
      <c r="L559" s="489"/>
      <c r="M559" s="83">
        <v>0</v>
      </c>
      <c r="N559" s="98" t="s">
        <v>1174</v>
      </c>
      <c r="O559" s="83">
        <f>0.18*O558</f>
        <v>3725.3520000000003</v>
      </c>
      <c r="P559" s="82" t="s">
        <v>1174</v>
      </c>
      <c r="Q559" s="84">
        <f>0.18*Q558</f>
        <v>157.82759999999999</v>
      </c>
    </row>
    <row r="560" spans="2:18" ht="7.5" customHeight="1" x14ac:dyDescent="0.3">
      <c r="C560" s="42"/>
      <c r="E560" s="122"/>
      <c r="F560" s="122"/>
      <c r="G560" s="122"/>
      <c r="I560" s="42"/>
      <c r="J560" s="42"/>
      <c r="K560" s="42"/>
      <c r="L560" s="2"/>
      <c r="M560" s="2"/>
    </row>
    <row r="561" spans="2:17" x14ac:dyDescent="0.3">
      <c r="C561" s="42"/>
      <c r="E561" s="122"/>
      <c r="F561" s="122"/>
      <c r="G561" s="122"/>
      <c r="I561" s="42"/>
      <c r="J561" s="42"/>
      <c r="K561" s="42"/>
      <c r="L561" s="2"/>
      <c r="M561" s="99"/>
      <c r="N561" s="100" t="s">
        <v>1162</v>
      </c>
      <c r="O561" s="101">
        <f>+O558+O559</f>
        <v>24421.752</v>
      </c>
      <c r="P561" s="100" t="s">
        <v>1162</v>
      </c>
      <c r="Q561" s="102">
        <f>+Q558+Q559</f>
        <v>1034.6476</v>
      </c>
    </row>
    <row r="562" spans="2:17" x14ac:dyDescent="0.3">
      <c r="B562" s="42"/>
      <c r="C562" s="42"/>
      <c r="D562" s="42"/>
      <c r="E562" s="122"/>
      <c r="F562" s="122"/>
      <c r="G562" s="122"/>
      <c r="H562" s="42"/>
      <c r="I562" s="42"/>
      <c r="J562" s="42"/>
      <c r="K562" s="42"/>
    </row>
    <row r="563" spans="2:17" x14ac:dyDescent="0.3">
      <c r="B563" s="42"/>
      <c r="C563" s="42"/>
      <c r="D563" s="42"/>
      <c r="E563" s="122"/>
      <c r="F563" s="122"/>
      <c r="G563" s="122"/>
      <c r="H563" s="42"/>
      <c r="I563" s="42"/>
      <c r="J563" s="42"/>
      <c r="K563" s="42"/>
    </row>
    <row r="564" spans="2:17" x14ac:dyDescent="0.3">
      <c r="B564" s="42"/>
      <c r="C564" s="42"/>
      <c r="D564" s="42"/>
      <c r="E564" s="122"/>
      <c r="F564" s="122"/>
      <c r="G564" s="122"/>
      <c r="H564" s="42"/>
      <c r="I564" s="42"/>
      <c r="J564" s="42"/>
      <c r="K564" s="42"/>
    </row>
    <row r="565" spans="2:17" x14ac:dyDescent="0.3">
      <c r="B565" s="42"/>
      <c r="C565" s="42"/>
      <c r="D565" s="42"/>
      <c r="E565" s="122"/>
      <c r="F565" s="122"/>
      <c r="G565" s="122"/>
      <c r="H565" s="42"/>
      <c r="I565" s="42"/>
      <c r="J565" s="42"/>
      <c r="K565" s="42"/>
    </row>
    <row r="566" spans="2:17" x14ac:dyDescent="0.3">
      <c r="B566" s="42"/>
      <c r="C566" s="42"/>
      <c r="D566" s="42"/>
      <c r="E566" s="123"/>
      <c r="F566" s="123"/>
      <c r="G566" s="42"/>
      <c r="H566" s="42"/>
      <c r="I566" s="42"/>
      <c r="J566" s="42"/>
      <c r="K566" s="42"/>
    </row>
    <row r="567" spans="2:17" x14ac:dyDescent="0.3">
      <c r="B567" s="42"/>
      <c r="C567" s="42"/>
      <c r="D567" s="42"/>
      <c r="E567" s="123"/>
      <c r="F567" s="123"/>
      <c r="G567" s="42"/>
      <c r="H567" s="42"/>
      <c r="I567" s="42"/>
      <c r="J567" s="42"/>
      <c r="K567" s="42"/>
    </row>
    <row r="568" spans="2:17" x14ac:dyDescent="0.3">
      <c r="B568" s="42"/>
      <c r="C568" s="42"/>
      <c r="D568" s="42"/>
      <c r="E568" s="123"/>
      <c r="F568" s="123"/>
      <c r="G568" s="42"/>
      <c r="H568" s="42"/>
      <c r="I568" s="42"/>
      <c r="J568" s="42"/>
      <c r="K568" s="42"/>
    </row>
    <row r="569" spans="2:17" x14ac:dyDescent="0.3">
      <c r="B569" s="42"/>
      <c r="C569" s="42"/>
      <c r="D569" s="42"/>
      <c r="E569" s="123"/>
      <c r="F569" s="123"/>
      <c r="G569" s="42"/>
      <c r="H569" s="42"/>
      <c r="I569" s="42"/>
      <c r="J569" s="42"/>
      <c r="K569" s="42"/>
    </row>
    <row r="570" spans="2:17" ht="2.85" customHeight="1" x14ac:dyDescent="0.3"/>
  </sheetData>
  <autoFilter ref="B5:G552" xr:uid="{E88DD6C1-15E5-4B85-9BAC-BDEDBAE22A9F}"/>
  <mergeCells count="8">
    <mergeCell ref="L558:L559"/>
    <mergeCell ref="L4:M4"/>
    <mergeCell ref="N4:O4"/>
    <mergeCell ref="P4:Q4"/>
    <mergeCell ref="L555:L556"/>
    <mergeCell ref="M555:M556"/>
    <mergeCell ref="O555:O556"/>
    <mergeCell ref="Q555:Q556"/>
  </mergeCells>
  <pageMargins left="0.70866141732283472" right="0.70866141732283472" top="0.74803149606299213" bottom="0.74803149606299213" header="0.31496062992125984" footer="0.31496062992125984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2340B-BF9E-44A6-8FC9-F7DD93F42316}">
  <sheetPr codeName="Hoja19">
    <tabColor rgb="FFFFC000"/>
  </sheetPr>
  <dimension ref="B1:AC126"/>
  <sheetViews>
    <sheetView workbookViewId="0"/>
  </sheetViews>
  <sheetFormatPr baseColWidth="10" defaultColWidth="11.44140625" defaultRowHeight="14.4" outlineLevelRow="1" outlineLevelCol="1" x14ac:dyDescent="0.3"/>
  <cols>
    <col min="1" max="1" width="1.6640625" style="2" customWidth="1"/>
    <col min="2" max="2" width="8.33203125" style="2" customWidth="1"/>
    <col min="3" max="3" width="12.5546875" style="2" customWidth="1"/>
    <col min="4" max="4" width="61.88671875" style="2" bestFit="1" customWidth="1"/>
    <col min="5" max="5" width="1.6640625" style="40" customWidth="1" outlineLevel="1"/>
    <col min="6" max="16" width="10.6640625" style="40" customWidth="1" outlineLevel="1"/>
    <col min="17" max="17" width="3.6640625" style="40" customWidth="1"/>
    <col min="18" max="18" width="11.44140625" hidden="1" customWidth="1"/>
    <col min="19" max="19" width="6.88671875" style="40" hidden="1" customWidth="1"/>
    <col min="20" max="20" width="11.88671875" style="40" customWidth="1"/>
    <col min="21" max="21" width="12.88671875" style="42" customWidth="1"/>
    <col min="22" max="22" width="14.109375" style="42" customWidth="1"/>
    <col min="23" max="23" width="13.5546875" style="43" customWidth="1"/>
    <col min="24" max="25" width="13.6640625" style="43" customWidth="1"/>
    <col min="26" max="26" width="12.44140625" style="43" customWidth="1"/>
    <col min="27" max="27" width="2.88671875" style="2" customWidth="1"/>
    <col min="28" max="28" width="11.44140625" style="2" customWidth="1"/>
    <col min="29" max="16384" width="11.44140625" style="2"/>
  </cols>
  <sheetData>
    <row r="1" spans="3:28" ht="7.5" customHeight="1" x14ac:dyDescent="0.3">
      <c r="E1" s="2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2"/>
      <c r="S1" s="2"/>
      <c r="T1" s="2"/>
      <c r="U1" s="2"/>
    </row>
    <row r="2" spans="3:28" ht="15" customHeight="1" x14ac:dyDescent="0.3">
      <c r="C2" s="124" t="s">
        <v>1178</v>
      </c>
      <c r="D2" s="124"/>
      <c r="E2" s="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S2" s="42"/>
      <c r="T2" s="42"/>
      <c r="U2" s="2"/>
    </row>
    <row r="3" spans="3:28" ht="7.5" customHeight="1" x14ac:dyDescent="0.3">
      <c r="E3" s="2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2"/>
      <c r="S3" s="2"/>
      <c r="T3" s="2"/>
      <c r="U3" s="2"/>
    </row>
    <row r="4" spans="3:28" ht="15" customHeight="1" outlineLevel="1" x14ac:dyDescent="0.3">
      <c r="D4" s="125" t="s">
        <v>1179</v>
      </c>
      <c r="E4" s="2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2"/>
      <c r="S4" s="2"/>
      <c r="T4" s="2"/>
      <c r="U4" s="2"/>
      <c r="AB4" s="340" t="s">
        <v>1288</v>
      </c>
    </row>
    <row r="5" spans="3:28" ht="15" customHeight="1" outlineLevel="1" x14ac:dyDescent="0.3">
      <c r="D5" s="127" t="s">
        <v>1180</v>
      </c>
      <c r="E5" s="2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2"/>
      <c r="S5" s="2"/>
      <c r="T5" s="2"/>
      <c r="U5" s="2"/>
      <c r="W5" s="53"/>
      <c r="X5" s="53"/>
      <c r="Y5" s="53"/>
      <c r="Z5" s="128"/>
      <c r="AB5" s="2" t="s">
        <v>1268</v>
      </c>
    </row>
    <row r="6" spans="3:28" ht="15" customHeight="1" outlineLevel="1" x14ac:dyDescent="0.3">
      <c r="D6" s="127" t="s">
        <v>1182</v>
      </c>
      <c r="E6" s="2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2"/>
      <c r="S6" s="2"/>
      <c r="T6" s="2"/>
      <c r="U6" s="2"/>
      <c r="Z6" s="128"/>
      <c r="AB6" s="2" t="s">
        <v>1181</v>
      </c>
    </row>
    <row r="7" spans="3:28" ht="15" customHeight="1" outlineLevel="1" thickBot="1" x14ac:dyDescent="0.35">
      <c r="D7" s="255" t="s">
        <v>1184</v>
      </c>
      <c r="E7" s="2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"/>
      <c r="S7" s="2"/>
      <c r="T7" s="2"/>
      <c r="U7" s="2"/>
      <c r="Z7" s="128"/>
      <c r="AB7" s="2" t="s">
        <v>1263</v>
      </c>
    </row>
    <row r="8" spans="3:28" ht="15" customHeight="1" outlineLevel="1" thickBot="1" x14ac:dyDescent="0.35">
      <c r="D8" s="258" t="s">
        <v>1186</v>
      </c>
      <c r="E8" s="2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"/>
      <c r="S8" s="2"/>
      <c r="T8" s="2"/>
      <c r="U8" s="2"/>
      <c r="AB8" s="2" t="s">
        <v>1183</v>
      </c>
    </row>
    <row r="9" spans="3:28" ht="15" customHeight="1" outlineLevel="1" x14ac:dyDescent="0.3">
      <c r="D9" s="257" t="s">
        <v>1007</v>
      </c>
      <c r="E9" s="2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2"/>
      <c r="S9" s="2"/>
      <c r="T9" s="2"/>
      <c r="U9" s="2"/>
      <c r="Z9" s="128"/>
      <c r="AB9" s="2" t="s">
        <v>1185</v>
      </c>
    </row>
    <row r="10" spans="3:28" ht="15" customHeight="1" outlineLevel="1" x14ac:dyDescent="0.3">
      <c r="D10" s="127" t="s">
        <v>1287</v>
      </c>
      <c r="E10" s="2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2"/>
      <c r="S10" s="2"/>
      <c r="T10" s="2"/>
      <c r="U10" s="2"/>
      <c r="Z10" s="128"/>
      <c r="AB10" s="2" t="s">
        <v>1264</v>
      </c>
    </row>
    <row r="11" spans="3:28" ht="15" customHeight="1" outlineLevel="1" x14ac:dyDescent="0.3">
      <c r="D11" s="125" t="s">
        <v>1009</v>
      </c>
      <c r="E11" s="2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2"/>
      <c r="S11" s="2"/>
      <c r="T11" s="2"/>
      <c r="U11" s="2"/>
      <c r="V11" s="2"/>
      <c r="W11" s="2"/>
      <c r="Z11" s="128"/>
    </row>
    <row r="12" spans="3:28" ht="15" customHeight="1" outlineLevel="1" x14ac:dyDescent="0.3">
      <c r="D12" s="125" t="s">
        <v>1010</v>
      </c>
      <c r="E12" s="2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2"/>
      <c r="S12" s="2"/>
      <c r="T12" s="2"/>
      <c r="U12" s="2"/>
      <c r="Z12" s="128"/>
    </row>
    <row r="13" spans="3:28" ht="15" customHeight="1" outlineLevel="1" x14ac:dyDescent="0.3">
      <c r="D13" s="127" t="s">
        <v>1011</v>
      </c>
      <c r="E13" s="2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2"/>
      <c r="S13" s="2"/>
      <c r="T13" s="2"/>
      <c r="U13" s="2"/>
      <c r="Z13" s="128"/>
    </row>
    <row r="14" spans="3:28" ht="15" customHeight="1" outlineLevel="1" x14ac:dyDescent="0.3">
      <c r="D14" s="127" t="s">
        <v>1031</v>
      </c>
      <c r="E14" s="2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2"/>
      <c r="S14" s="2"/>
      <c r="T14" s="2"/>
      <c r="U14" s="2"/>
      <c r="Z14" s="128"/>
    </row>
    <row r="15" spans="3:28" ht="15" customHeight="1" outlineLevel="1" x14ac:dyDescent="0.3">
      <c r="D15" s="127" t="s">
        <v>1187</v>
      </c>
      <c r="E15" s="2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2"/>
      <c r="S15" s="2"/>
      <c r="T15" s="2"/>
      <c r="U15" s="2"/>
      <c r="Z15" s="128"/>
    </row>
    <row r="16" spans="3:28" ht="15" customHeight="1" outlineLevel="1" x14ac:dyDescent="0.3">
      <c r="D16" s="127" t="s">
        <v>1188</v>
      </c>
      <c r="E16" s="2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129"/>
      <c r="S16" s="129"/>
      <c r="T16" s="129"/>
      <c r="U16" s="129"/>
      <c r="Z16" s="128"/>
    </row>
    <row r="17" spans="2:26" ht="15" customHeight="1" outlineLevel="1" x14ac:dyDescent="0.3">
      <c r="D17" s="127" t="s">
        <v>1189</v>
      </c>
      <c r="E17" s="2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2"/>
      <c r="S17" s="2"/>
      <c r="T17" s="2"/>
      <c r="Z17" s="131"/>
    </row>
    <row r="18" spans="2:26" ht="7.5" customHeight="1" outlineLevel="1" x14ac:dyDescent="0.3">
      <c r="E18" s="2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2"/>
      <c r="S18" s="2"/>
      <c r="T18" s="2"/>
      <c r="U18" s="2"/>
    </row>
    <row r="19" spans="2:26" s="68" customFormat="1" x14ac:dyDescent="0.3">
      <c r="B19" s="495" t="s">
        <v>1190</v>
      </c>
      <c r="C19" s="105"/>
      <c r="D19" s="105"/>
      <c r="E19" s="2"/>
      <c r="F19" s="106" t="s">
        <v>1191</v>
      </c>
      <c r="G19" s="106" t="s">
        <v>1191</v>
      </c>
      <c r="H19" s="106" t="s">
        <v>1191</v>
      </c>
      <c r="I19" s="106" t="s">
        <v>1191</v>
      </c>
      <c r="J19" s="106" t="s">
        <v>1191</v>
      </c>
      <c r="K19" s="106" t="s">
        <v>1191</v>
      </c>
      <c r="L19" s="106" t="s">
        <v>1191</v>
      </c>
      <c r="M19" s="106" t="s">
        <v>1191</v>
      </c>
      <c r="N19" s="106" t="s">
        <v>1191</v>
      </c>
      <c r="O19" s="106" t="s">
        <v>1191</v>
      </c>
      <c r="P19" s="106" t="s">
        <v>1191</v>
      </c>
      <c r="Q19" s="2"/>
      <c r="S19"/>
      <c r="T19" s="132">
        <f>SUM(TF[TOTAL])</f>
        <v>0</v>
      </c>
      <c r="U19" s="454" t="s">
        <v>2</v>
      </c>
      <c r="V19" s="455"/>
      <c r="W19" s="456" t="s">
        <v>1158</v>
      </c>
      <c r="X19" s="457"/>
      <c r="Y19" s="443" t="s">
        <v>1159</v>
      </c>
      <c r="Z19" s="444"/>
    </row>
    <row r="20" spans="2:26" s="68" customFormat="1" x14ac:dyDescent="0.3">
      <c r="B20" s="495" t="e">
        <v>#NAME?</v>
      </c>
      <c r="C20" s="109" t="s">
        <v>1</v>
      </c>
      <c r="D20" s="109" t="s">
        <v>0</v>
      </c>
      <c r="E20" s="2"/>
      <c r="F20" s="110">
        <f t="shared" ref="F20:P20" si="0">SUM(F21:F105)</f>
        <v>0</v>
      </c>
      <c r="G20" s="110">
        <f t="shared" si="0"/>
        <v>0</v>
      </c>
      <c r="H20" s="110">
        <f t="shared" si="0"/>
        <v>0</v>
      </c>
      <c r="I20" s="110">
        <f t="shared" si="0"/>
        <v>0</v>
      </c>
      <c r="J20" s="110">
        <f t="shared" si="0"/>
        <v>0</v>
      </c>
      <c r="K20" s="110">
        <f t="shared" si="0"/>
        <v>0</v>
      </c>
      <c r="L20" s="110">
        <f t="shared" si="0"/>
        <v>0</v>
      </c>
      <c r="M20" s="110">
        <f t="shared" si="0"/>
        <v>0</v>
      </c>
      <c r="N20" s="110">
        <f t="shared" si="0"/>
        <v>0</v>
      </c>
      <c r="O20" s="110">
        <f t="shared" si="0"/>
        <v>0</v>
      </c>
      <c r="P20" s="110">
        <f t="shared" si="0"/>
        <v>0</v>
      </c>
      <c r="Q20" s="2"/>
      <c r="R20" s="112" t="s">
        <v>1</v>
      </c>
      <c r="S20" s="111" t="s">
        <v>1161</v>
      </c>
      <c r="T20" s="133" t="s">
        <v>1162</v>
      </c>
      <c r="U20" s="134" t="s">
        <v>1163</v>
      </c>
      <c r="V20" s="114" t="s">
        <v>1164</v>
      </c>
      <c r="W20" s="115" t="s">
        <v>1165</v>
      </c>
      <c r="X20" s="116" t="s">
        <v>1166</v>
      </c>
      <c r="Y20" s="117" t="s">
        <v>1167</v>
      </c>
      <c r="Z20" s="118" t="s">
        <v>1168</v>
      </c>
    </row>
    <row r="21" spans="2:26" x14ac:dyDescent="0.3">
      <c r="B21" s="135"/>
      <c r="C21" s="135" t="s">
        <v>3</v>
      </c>
      <c r="D21" s="135" t="s">
        <v>4</v>
      </c>
      <c r="E21" s="2"/>
      <c r="F21" s="136">
        <f t="shared" ref="F21:P21" si="1">IF(F$9="VOLADO",0,IF(AND(F$5&gt;0,E$5=0),4,IF(AND(F$5&gt;0,E$5&gt;0),2,0)))</f>
        <v>0</v>
      </c>
      <c r="G21" s="136">
        <f t="shared" si="1"/>
        <v>0</v>
      </c>
      <c r="H21" s="136">
        <f t="shared" si="1"/>
        <v>0</v>
      </c>
      <c r="I21" s="136">
        <f t="shared" si="1"/>
        <v>0</v>
      </c>
      <c r="J21" s="136">
        <f t="shared" si="1"/>
        <v>0</v>
      </c>
      <c r="K21" s="136">
        <f t="shared" si="1"/>
        <v>0</v>
      </c>
      <c r="L21" s="136">
        <f t="shared" si="1"/>
        <v>0</v>
      </c>
      <c r="M21" s="136">
        <f t="shared" si="1"/>
        <v>0</v>
      </c>
      <c r="N21" s="136">
        <f t="shared" si="1"/>
        <v>0</v>
      </c>
      <c r="O21" s="136">
        <f t="shared" si="1"/>
        <v>0</v>
      </c>
      <c r="P21" s="136">
        <f t="shared" si="1"/>
        <v>0</v>
      </c>
      <c r="Q21" s="2"/>
      <c r="R21" s="135" t="str">
        <f>+C21</f>
        <v>AM.0100</v>
      </c>
      <c r="S21" s="245" t="str">
        <f>+IF(C21=TF[[#This Row],[ITEM]],"ok","mal")</f>
        <v>ok</v>
      </c>
      <c r="T21" s="246">
        <f t="shared" ref="T21:T51" si="2">SUM(E21:Q21)</f>
        <v>0</v>
      </c>
      <c r="U21" s="80">
        <f>IF(VLOOKUP(R21,TbPiezas[],5,0)="NA",0,VLOOKUP(R21,TbPiezas[],5,0))</f>
        <v>3.2999999999999972</v>
      </c>
      <c r="V21" s="81">
        <f>+TF[[#This Row],[TOTAL]]*TF[[#This Row],[P.U. (1)]]</f>
        <v>0</v>
      </c>
      <c r="W21" s="247">
        <f>+VLOOKUP(R21,TbPiezas[],6,0)</f>
        <v>86.53</v>
      </c>
      <c r="X21" s="248">
        <f>ROUND(TF[[#This Row],[TOTAL]]*TF[[#This Row],[P.U. (2)]],2)</f>
        <v>0</v>
      </c>
      <c r="Y21" s="247">
        <f>+VLOOKUP(R21,TbPiezas[],7,0)</f>
        <v>4.3265000000000002</v>
      </c>
      <c r="Z21" s="249">
        <f>ROUND(TF[[#This Row],[TOTAL]]*TF[[#This Row],[P.U. (3)]],2)</f>
        <v>0</v>
      </c>
    </row>
    <row r="22" spans="2:26" x14ac:dyDescent="0.3">
      <c r="B22" s="135"/>
      <c r="C22" s="135" t="s">
        <v>7</v>
      </c>
      <c r="D22" s="135" t="s">
        <v>8</v>
      </c>
      <c r="E22" s="2"/>
      <c r="F22" s="136">
        <f t="shared" ref="F22:P22" si="3">+F$21+F$23*2</f>
        <v>0</v>
      </c>
      <c r="G22" s="136">
        <f t="shared" si="3"/>
        <v>0</v>
      </c>
      <c r="H22" s="136">
        <f t="shared" si="3"/>
        <v>0</v>
      </c>
      <c r="I22" s="136">
        <f t="shared" si="3"/>
        <v>0</v>
      </c>
      <c r="J22" s="136">
        <f t="shared" si="3"/>
        <v>0</v>
      </c>
      <c r="K22" s="136">
        <f t="shared" si="3"/>
        <v>0</v>
      </c>
      <c r="L22" s="136">
        <f t="shared" si="3"/>
        <v>0</v>
      </c>
      <c r="M22" s="136">
        <f t="shared" si="3"/>
        <v>0</v>
      </c>
      <c r="N22" s="136">
        <f t="shared" si="3"/>
        <v>0</v>
      </c>
      <c r="O22" s="136">
        <f t="shared" si="3"/>
        <v>0</v>
      </c>
      <c r="P22" s="136">
        <f t="shared" si="3"/>
        <v>0</v>
      </c>
      <c r="Q22" s="138"/>
      <c r="R22" s="135" t="str">
        <f t="shared" ref="R22:R85" si="4">+C22</f>
        <v>AM.0300</v>
      </c>
      <c r="S22" s="245" t="str">
        <f>+IF(C22=TF[[#This Row],[ITEM]],"ok","mal")</f>
        <v>ok</v>
      </c>
      <c r="T22" s="246">
        <f t="shared" si="2"/>
        <v>0</v>
      </c>
      <c r="U22" s="80">
        <f>IF(VLOOKUP(R22,TbPiezas[],5,0)="NA",0,VLOOKUP(R22,TbPiezas[],5,0))</f>
        <v>1.8999999999999915</v>
      </c>
      <c r="V22" s="81">
        <f>+TF[[#This Row],[TOTAL]]*TF[[#This Row],[P.U. (1)]]</f>
        <v>0</v>
      </c>
      <c r="W22" s="247">
        <f>+VLOOKUP(R22,TbPiezas[],6,0)</f>
        <v>78.02</v>
      </c>
      <c r="X22" s="248">
        <f>ROUND(TF[[#This Row],[TOTAL]]*TF[[#This Row],[P.U. (2)]],2)</f>
        <v>0</v>
      </c>
      <c r="Y22" s="247">
        <f>+VLOOKUP(R22,TbPiezas[],7,0)</f>
        <v>3.9009999999999998</v>
      </c>
      <c r="Z22" s="249">
        <f>ROUND(TF[[#This Row],[TOTAL]]*TF[[#This Row],[P.U. (3)]],2)</f>
        <v>0</v>
      </c>
    </row>
    <row r="23" spans="2:26" x14ac:dyDescent="0.3">
      <c r="B23" s="135"/>
      <c r="C23" s="135" t="s">
        <v>9</v>
      </c>
      <c r="D23" s="135" t="s">
        <v>10</v>
      </c>
      <c r="E23" s="2"/>
      <c r="F23" s="136">
        <f t="shared" ref="F23:P23" si="5">IF(F$9="VOLADO",IF(AND(F$5&gt;0,E$5=0),2,IF(AND(F$5&gt;0,E$5&gt;0),1,0)),0)</f>
        <v>0</v>
      </c>
      <c r="G23" s="136">
        <f t="shared" si="5"/>
        <v>0</v>
      </c>
      <c r="H23" s="136">
        <f t="shared" si="5"/>
        <v>0</v>
      </c>
      <c r="I23" s="136">
        <f t="shared" si="5"/>
        <v>0</v>
      </c>
      <c r="J23" s="136">
        <f t="shared" si="5"/>
        <v>0</v>
      </c>
      <c r="K23" s="136">
        <f t="shared" si="5"/>
        <v>0</v>
      </c>
      <c r="L23" s="136">
        <f t="shared" si="5"/>
        <v>0</v>
      </c>
      <c r="M23" s="136">
        <f t="shared" si="5"/>
        <v>0</v>
      </c>
      <c r="N23" s="136">
        <f t="shared" si="5"/>
        <v>0</v>
      </c>
      <c r="O23" s="136">
        <f t="shared" si="5"/>
        <v>0</v>
      </c>
      <c r="P23" s="136">
        <f t="shared" si="5"/>
        <v>0</v>
      </c>
      <c r="Q23" s="2"/>
      <c r="R23" s="135" t="str">
        <f t="shared" si="4"/>
        <v>AM.0400</v>
      </c>
      <c r="S23" s="245" t="str">
        <f>+IF(C23=TF[[#This Row],[ITEM]],"ok","mal")</f>
        <v>ok</v>
      </c>
      <c r="T23" s="246">
        <f t="shared" si="2"/>
        <v>0</v>
      </c>
      <c r="U23" s="80">
        <f>IF(VLOOKUP(R23,TbPiezas[],5,0)="NA",0,VLOOKUP(R23,TbPiezas[],5,0))</f>
        <v>44.3</v>
      </c>
      <c r="V23" s="81">
        <f>+TF[[#This Row],[TOTAL]]*TF[[#This Row],[P.U. (1)]]</f>
        <v>0</v>
      </c>
      <c r="W23" s="247">
        <f>+VLOOKUP(R23,TbPiezas[],6,0)</f>
        <v>870.28</v>
      </c>
      <c r="X23" s="248">
        <f>ROUND(TF[[#This Row],[TOTAL]]*TF[[#This Row],[P.U. (2)]],2)</f>
        <v>0</v>
      </c>
      <c r="Y23" s="247">
        <f>+VLOOKUP(R23,TbPiezas[],7,0)</f>
        <v>43.514000000000003</v>
      </c>
      <c r="Z23" s="249">
        <f>ROUND(TF[[#This Row],[TOTAL]]*TF[[#This Row],[P.U. (3)]],2)</f>
        <v>0</v>
      </c>
    </row>
    <row r="24" spans="2:26" x14ac:dyDescent="0.3">
      <c r="B24" s="135"/>
      <c r="C24" s="135" t="s">
        <v>11</v>
      </c>
      <c r="D24" s="135" t="s">
        <v>12</v>
      </c>
      <c r="E24" s="2"/>
      <c r="F24" s="250">
        <f t="shared" ref="F24:P24" si="6">IF(AND(OR(F$6=1020,F$6=1090),F$10="COMBI"),"ERROR",IF(F$10="COMBI",IF(ISEVEN(F$7),F$22*F$7*0.25,F$22*(F$7-1)*0.25),0))</f>
        <v>0</v>
      </c>
      <c r="G24" s="250">
        <f t="shared" si="6"/>
        <v>0</v>
      </c>
      <c r="H24" s="250">
        <f t="shared" si="6"/>
        <v>0</v>
      </c>
      <c r="I24" s="250">
        <f t="shared" si="6"/>
        <v>0</v>
      </c>
      <c r="J24" s="250">
        <f t="shared" si="6"/>
        <v>0</v>
      </c>
      <c r="K24" s="250">
        <f t="shared" si="6"/>
        <v>0</v>
      </c>
      <c r="L24" s="250">
        <f t="shared" si="6"/>
        <v>0</v>
      </c>
      <c r="M24" s="250">
        <f t="shared" si="6"/>
        <v>0</v>
      </c>
      <c r="N24" s="250">
        <f t="shared" si="6"/>
        <v>0</v>
      </c>
      <c r="O24" s="250">
        <f t="shared" si="6"/>
        <v>0</v>
      </c>
      <c r="P24" s="250">
        <f t="shared" si="6"/>
        <v>0</v>
      </c>
      <c r="Q24" s="2"/>
      <c r="R24" s="135" t="str">
        <f t="shared" si="4"/>
        <v>AM.0500</v>
      </c>
      <c r="S24" s="245" t="str">
        <f>+IF(C24=TF[[#This Row],[ITEM]],"ok","mal")</f>
        <v>ok</v>
      </c>
      <c r="T24" s="246">
        <f t="shared" si="2"/>
        <v>0</v>
      </c>
      <c r="U24" s="80">
        <f>IF(VLOOKUP(R24,TbPiezas[],5,0)="NA",0,VLOOKUP(R24,TbPiezas[],5,0))</f>
        <v>23.899999999999991</v>
      </c>
      <c r="V24" s="81">
        <f>+TF[[#This Row],[TOTAL]]*TF[[#This Row],[P.U. (1)]]</f>
        <v>0</v>
      </c>
      <c r="W24" s="247">
        <f>+VLOOKUP(R24,TbPiezas[],6,0)</f>
        <v>485.52</v>
      </c>
      <c r="X24" s="248">
        <f>ROUND(TF[[#This Row],[TOTAL]]*TF[[#This Row],[P.U. (2)]],2)</f>
        <v>0</v>
      </c>
      <c r="Y24" s="247">
        <f>+VLOOKUP(R24,TbPiezas[],7,0)</f>
        <v>24.276</v>
      </c>
      <c r="Z24" s="249">
        <f>ROUND(TF[[#This Row],[TOTAL]]*TF[[#This Row],[P.U. (3)]],2)</f>
        <v>0</v>
      </c>
    </row>
    <row r="25" spans="2:26" x14ac:dyDescent="0.3">
      <c r="B25" s="135"/>
      <c r="C25" s="135" t="s">
        <v>15</v>
      </c>
      <c r="D25" s="135" t="s">
        <v>16</v>
      </c>
      <c r="E25" s="2"/>
      <c r="F25" s="250">
        <f t="shared" ref="F25:P25" si="7">+IF(F$10="MULTI",IF(AND(F$5&gt;0,E$5=0),IF(ISEVEN(F$7),F$7*2,(F$7+1)*2),IF(AND(F$5&gt;0,E$5&gt;0),F$7,0)),0)</f>
        <v>0</v>
      </c>
      <c r="G25" s="250">
        <f t="shared" si="7"/>
        <v>0</v>
      </c>
      <c r="H25" s="250">
        <f t="shared" si="7"/>
        <v>0</v>
      </c>
      <c r="I25" s="250">
        <f t="shared" si="7"/>
        <v>0</v>
      </c>
      <c r="J25" s="250">
        <f t="shared" si="7"/>
        <v>0</v>
      </c>
      <c r="K25" s="250">
        <f t="shared" si="7"/>
        <v>0</v>
      </c>
      <c r="L25" s="250">
        <f t="shared" si="7"/>
        <v>0</v>
      </c>
      <c r="M25" s="250">
        <f t="shared" si="7"/>
        <v>0</v>
      </c>
      <c r="N25" s="250">
        <f t="shared" si="7"/>
        <v>0</v>
      </c>
      <c r="O25" s="250">
        <f t="shared" si="7"/>
        <v>0</v>
      </c>
      <c r="P25" s="250">
        <f t="shared" si="7"/>
        <v>0</v>
      </c>
      <c r="Q25" s="2"/>
      <c r="R25" s="135" t="str">
        <f t="shared" si="4"/>
        <v>AM.0700</v>
      </c>
      <c r="S25" s="245" t="str">
        <f>+IF(C25=TF[[#This Row],[ITEM]],"ok","mal")</f>
        <v>ok</v>
      </c>
      <c r="T25" s="246">
        <f t="shared" si="2"/>
        <v>0</v>
      </c>
      <c r="U25" s="80">
        <f>IF(VLOOKUP(R25,TbPiezas[],5,0)="NA",0,VLOOKUP(R25,TbPiezas[],5,0))</f>
        <v>7</v>
      </c>
      <c r="V25" s="81">
        <f>+TF[[#This Row],[TOTAL]]*TF[[#This Row],[P.U. (1)]]</f>
        <v>0</v>
      </c>
      <c r="W25" s="247">
        <f>+VLOOKUP(R25,TbPiezas[],6,0)</f>
        <v>261.63</v>
      </c>
      <c r="X25" s="248">
        <f>ROUND(TF[[#This Row],[TOTAL]]*TF[[#This Row],[P.U. (2)]],2)</f>
        <v>0</v>
      </c>
      <c r="Y25" s="247">
        <f>+VLOOKUP(R25,TbPiezas[],7,0)</f>
        <v>13.0815</v>
      </c>
      <c r="Z25" s="249">
        <f>ROUND(TF[[#This Row],[TOTAL]]*TF[[#This Row],[P.U. (3)]],2)</f>
        <v>0</v>
      </c>
    </row>
    <row r="26" spans="2:26" x14ac:dyDescent="0.3">
      <c r="B26" s="135"/>
      <c r="C26" s="135" t="s">
        <v>17</v>
      </c>
      <c r="D26" s="135" t="s">
        <v>18</v>
      </c>
      <c r="E26" s="2"/>
      <c r="F26" s="360">
        <v>0</v>
      </c>
      <c r="G26" s="360">
        <v>0</v>
      </c>
      <c r="H26" s="360">
        <v>0</v>
      </c>
      <c r="I26" s="360">
        <v>0</v>
      </c>
      <c r="J26" s="360">
        <v>0</v>
      </c>
      <c r="K26" s="360">
        <v>0</v>
      </c>
      <c r="L26" s="360">
        <v>0</v>
      </c>
      <c r="M26" s="360">
        <v>0</v>
      </c>
      <c r="N26" s="360">
        <v>0</v>
      </c>
      <c r="O26" s="360">
        <v>0</v>
      </c>
      <c r="P26" s="360">
        <v>0</v>
      </c>
      <c r="Q26" s="2"/>
      <c r="R26" s="135" t="str">
        <f t="shared" si="4"/>
        <v>AM.0900</v>
      </c>
      <c r="S26" s="245" t="str">
        <f>+IF(C26=TF[[#This Row],[ITEM]],"ok","mal")</f>
        <v>ok</v>
      </c>
      <c r="T26" s="246">
        <f t="shared" si="2"/>
        <v>0</v>
      </c>
      <c r="U26" s="80">
        <f>IF(VLOOKUP(R26,TbPiezas[],5,0)="NA",0,VLOOKUP(R26,TbPiezas[],5,0))</f>
        <v>5.9</v>
      </c>
      <c r="V26" s="81">
        <f>+TF[[#This Row],[TOTAL]]*TF[[#This Row],[P.U. (1)]]</f>
        <v>0</v>
      </c>
      <c r="W26" s="247">
        <f>+VLOOKUP(R26,TbPiezas[],6,0)</f>
        <v>212.52</v>
      </c>
      <c r="X26" s="248">
        <f>ROUND(TF[[#This Row],[TOTAL]]*TF[[#This Row],[P.U. (2)]],2)</f>
        <v>0</v>
      </c>
      <c r="Y26" s="247">
        <f>+VLOOKUP(R26,TbPiezas[],7,0)</f>
        <v>10.626000000000001</v>
      </c>
      <c r="Z26" s="249">
        <f>ROUND(TF[[#This Row],[TOTAL]]*TF[[#This Row],[P.U. (3)]],2)</f>
        <v>0</v>
      </c>
    </row>
    <row r="27" spans="2:26" x14ac:dyDescent="0.3">
      <c r="B27" s="135"/>
      <c r="C27" s="135" t="s">
        <v>19</v>
      </c>
      <c r="D27" s="135" t="s">
        <v>20</v>
      </c>
      <c r="E27" s="2"/>
      <c r="F27" s="250">
        <f t="shared" ref="F27:P27" si="8">IF(F$7="",,IF(AND(F$5&gt;0,E$5=0),IF(ISEVEN(F$7),4,IF(AND(F10="COMBI",ISODD(F7)),8,0)),IF(AND(F$5&gt;0,E$5&gt;0),IF(F10="MULTI",1,IF(ISODD(F7),3,1)),0)))</f>
        <v>0</v>
      </c>
      <c r="G27" s="250">
        <f t="shared" si="8"/>
        <v>0</v>
      </c>
      <c r="H27" s="250">
        <f t="shared" si="8"/>
        <v>0</v>
      </c>
      <c r="I27" s="250">
        <f t="shared" si="8"/>
        <v>0</v>
      </c>
      <c r="J27" s="250">
        <f t="shared" si="8"/>
        <v>0</v>
      </c>
      <c r="K27" s="250">
        <f t="shared" si="8"/>
        <v>0</v>
      </c>
      <c r="L27" s="250">
        <f t="shared" si="8"/>
        <v>0</v>
      </c>
      <c r="M27" s="250">
        <f t="shared" si="8"/>
        <v>0</v>
      </c>
      <c r="N27" s="250">
        <f t="shared" si="8"/>
        <v>0</v>
      </c>
      <c r="O27" s="250">
        <f t="shared" si="8"/>
        <v>0</v>
      </c>
      <c r="P27" s="250">
        <f t="shared" si="8"/>
        <v>0</v>
      </c>
      <c r="Q27" s="2"/>
      <c r="R27" s="135" t="str">
        <f t="shared" si="4"/>
        <v>AM.1000</v>
      </c>
      <c r="S27" s="245" t="str">
        <f>+IF(C27=TF[[#This Row],[ITEM]],"ok","mal")</f>
        <v>ok</v>
      </c>
      <c r="T27" s="246">
        <f t="shared" si="2"/>
        <v>0</v>
      </c>
      <c r="U27" s="80">
        <f>IF(VLOOKUP(R27,TbPiezas[],5,0)="NA",0,VLOOKUP(R27,TbPiezas[],5,0))</f>
        <v>2.9</v>
      </c>
      <c r="V27" s="81">
        <f>+TF[[#This Row],[TOTAL]]*TF[[#This Row],[P.U. (1)]]</f>
        <v>0</v>
      </c>
      <c r="W27" s="247">
        <f>+VLOOKUP(R27,TbPiezas[],6,0)</f>
        <v>143.16999999999999</v>
      </c>
      <c r="X27" s="248">
        <f>ROUND(TF[[#This Row],[TOTAL]]*TF[[#This Row],[P.U. (2)]],2)</f>
        <v>0</v>
      </c>
      <c r="Y27" s="247">
        <f>+VLOOKUP(R27,TbPiezas[],7,0)</f>
        <v>7.1585000000000001</v>
      </c>
      <c r="Z27" s="249">
        <f>ROUND(TF[[#This Row],[TOTAL]]*TF[[#This Row],[P.U. (3)]],2)</f>
        <v>0</v>
      </c>
    </row>
    <row r="28" spans="2:26" x14ac:dyDescent="0.3">
      <c r="B28" s="135"/>
      <c r="C28" s="135" t="s">
        <v>21</v>
      </c>
      <c r="D28" s="135" t="s">
        <v>22</v>
      </c>
      <c r="E28" s="2"/>
      <c r="F28" s="360">
        <v>0</v>
      </c>
      <c r="G28" s="360">
        <v>0</v>
      </c>
      <c r="H28" s="360">
        <v>0</v>
      </c>
      <c r="I28" s="360"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2"/>
      <c r="R28" s="135" t="str">
        <f t="shared" si="4"/>
        <v>AM.1100</v>
      </c>
      <c r="S28" s="245" t="str">
        <f>+IF(C28=TF[[#This Row],[ITEM]],"ok","mal")</f>
        <v>ok</v>
      </c>
      <c r="T28" s="246">
        <f t="shared" si="2"/>
        <v>0</v>
      </c>
      <c r="U28" s="80">
        <f>IF(VLOOKUP(R28,TbPiezas[],5,0)="NA",0,VLOOKUP(R28,TbPiezas[],5,0))</f>
        <v>1.5</v>
      </c>
      <c r="V28" s="81">
        <f>+TF[[#This Row],[TOTAL]]*TF[[#This Row],[P.U. (1)]]</f>
        <v>0</v>
      </c>
      <c r="W28" s="247">
        <f>+VLOOKUP(R28,TbPiezas[],6,0)</f>
        <v>75.16</v>
      </c>
      <c r="X28" s="248">
        <f>ROUND(TF[[#This Row],[TOTAL]]*TF[[#This Row],[P.U. (2)]],2)</f>
        <v>0</v>
      </c>
      <c r="Y28" s="247">
        <f>+VLOOKUP(R28,TbPiezas[],7,0)</f>
        <v>3.758</v>
      </c>
      <c r="Z28" s="249">
        <f>ROUND(TF[[#This Row],[TOTAL]]*TF[[#This Row],[P.U. (3)]],2)</f>
        <v>0</v>
      </c>
    </row>
    <row r="29" spans="2:26" x14ac:dyDescent="0.3">
      <c r="B29" s="135"/>
      <c r="C29" s="135" t="s">
        <v>23</v>
      </c>
      <c r="D29" s="135" t="s">
        <v>24</v>
      </c>
      <c r="E29" s="2"/>
      <c r="F29" s="139">
        <f t="shared" ref="F29:P29" si="9">+F24*2+F25+F26+F27+F28+F42+F43+F44+F97</f>
        <v>0</v>
      </c>
      <c r="G29" s="139">
        <f t="shared" si="9"/>
        <v>0</v>
      </c>
      <c r="H29" s="139">
        <f t="shared" si="9"/>
        <v>0</v>
      </c>
      <c r="I29" s="139">
        <f t="shared" si="9"/>
        <v>0</v>
      </c>
      <c r="J29" s="139">
        <f t="shared" si="9"/>
        <v>0</v>
      </c>
      <c r="K29" s="139">
        <f t="shared" si="9"/>
        <v>0</v>
      </c>
      <c r="L29" s="139">
        <f t="shared" si="9"/>
        <v>0</v>
      </c>
      <c r="M29" s="139">
        <f t="shared" si="9"/>
        <v>0</v>
      </c>
      <c r="N29" s="139">
        <f t="shared" si="9"/>
        <v>0</v>
      </c>
      <c r="O29" s="139">
        <f t="shared" si="9"/>
        <v>0</v>
      </c>
      <c r="P29" s="139">
        <f t="shared" si="9"/>
        <v>0</v>
      </c>
      <c r="Q29" s="2"/>
      <c r="R29" s="135" t="str">
        <f t="shared" si="4"/>
        <v>AM.1150</v>
      </c>
      <c r="S29" s="245" t="str">
        <f>+IF(C29=TF[[#This Row],[ITEM]],"ok","mal")</f>
        <v>ok</v>
      </c>
      <c r="T29" s="246">
        <f t="shared" si="2"/>
        <v>0</v>
      </c>
      <c r="U29" s="80">
        <f>IF(VLOOKUP(R29,TbPiezas[],5,0)="NA",0,VLOOKUP(R29,TbPiezas[],5,0))</f>
        <v>0.8</v>
      </c>
      <c r="V29" s="81">
        <f>+TF[[#This Row],[TOTAL]]*TF[[#This Row],[P.U. (1)]]</f>
        <v>0</v>
      </c>
      <c r="W29" s="247">
        <f>+VLOOKUP(R29,TbPiezas[],6,0)</f>
        <v>76.23</v>
      </c>
      <c r="X29" s="248">
        <f>ROUND(TF[[#This Row],[TOTAL]]*TF[[#This Row],[P.U. (2)]],2)</f>
        <v>0</v>
      </c>
      <c r="Y29" s="247">
        <f>+VLOOKUP(R29,TbPiezas[],7,0)</f>
        <v>3.8115000000000006</v>
      </c>
      <c r="Z29" s="249">
        <f>ROUND(TF[[#This Row],[TOTAL]]*TF[[#This Row],[P.U. (3)]],2)</f>
        <v>0</v>
      </c>
    </row>
    <row r="30" spans="2:26" x14ac:dyDescent="0.3">
      <c r="B30" s="135">
        <v>3072</v>
      </c>
      <c r="C30" s="135" t="s">
        <v>27</v>
      </c>
      <c r="D30" s="135" t="s">
        <v>28</v>
      </c>
      <c r="E30" s="2"/>
      <c r="F30" s="136">
        <f t="shared" ref="F30:P33" si="10">+IF(AND(OR(F$5=2572,F$5=1572,F$5=1090,F$5=1020,F$5=732),F$11="SI"),"ERROR",IF(F$5=$B30,IF(F$4="LIMA",IF(F$9="NORMAL",IF(F$11="SI",IF(ISEVEN(F$7),F$7+2,F$7+3),IF(ISEVEN(F$7),1.5*F$7+3,1.5*F$7+3.5)),IF(F$11="SI",IF(ISEVEN(F$7),F$7+2,"NE/NA1"),IF(ISEVEN(F$7),1.5*F$7+4,"NE/NA2"))),IF(F$9="NORMAL",IF(F$11="SI",IF(ISEVEN(F$7),F$7+2,F$7+3),2*F$7+2),IF(F$11="SI",IF(ISEVEN(F$7),F$7+2,"NE/NA3"),IF(ISEVEN(F$7),2*F$7+4,"NE/NA4")))),))</f>
        <v>0</v>
      </c>
      <c r="G30" s="136">
        <f t="shared" si="10"/>
        <v>0</v>
      </c>
      <c r="H30" s="136">
        <f t="shared" si="10"/>
        <v>0</v>
      </c>
      <c r="I30" s="136">
        <f t="shared" si="10"/>
        <v>0</v>
      </c>
      <c r="J30" s="136">
        <f t="shared" si="10"/>
        <v>0</v>
      </c>
      <c r="K30" s="136">
        <f t="shared" si="10"/>
        <v>0</v>
      </c>
      <c r="L30" s="136">
        <f t="shared" si="10"/>
        <v>0</v>
      </c>
      <c r="M30" s="136">
        <f t="shared" si="10"/>
        <v>0</v>
      </c>
      <c r="N30" s="136">
        <f t="shared" si="10"/>
        <v>0</v>
      </c>
      <c r="O30" s="136">
        <f t="shared" si="10"/>
        <v>0</v>
      </c>
      <c r="P30" s="136">
        <f t="shared" si="10"/>
        <v>0</v>
      </c>
      <c r="Q30" s="138"/>
      <c r="R30" s="135" t="str">
        <f t="shared" si="4"/>
        <v>AM.1300</v>
      </c>
      <c r="S30" s="245" t="str">
        <f>+IF(C30=TF[[#This Row],[ITEM]],"ok","mal")</f>
        <v>ok</v>
      </c>
      <c r="T30" s="246">
        <f t="shared" si="2"/>
        <v>0</v>
      </c>
      <c r="U30" s="80">
        <f>IF(VLOOKUP(R30,TbPiezas[],5,0)="NA",0,VLOOKUP(R30,TbPiezas[],5,0))</f>
        <v>11.200000000000003</v>
      </c>
      <c r="V30" s="81">
        <f>+TF[[#This Row],[TOTAL]]*TF[[#This Row],[P.U. (1)]]</f>
        <v>0</v>
      </c>
      <c r="W30" s="247">
        <f>+VLOOKUP(R30,TbPiezas[],6,0)</f>
        <v>238.1</v>
      </c>
      <c r="X30" s="248">
        <f>ROUND(TF[[#This Row],[TOTAL]]*TF[[#This Row],[P.U. (2)]],2)</f>
        <v>0</v>
      </c>
      <c r="Y30" s="247">
        <f>+VLOOKUP(R30,TbPiezas[],7,0)</f>
        <v>11.905000000000001</v>
      </c>
      <c r="Z30" s="249">
        <f>ROUND(TF[[#This Row],[TOTAL]]*TF[[#This Row],[P.U. (3)]],2)</f>
        <v>0</v>
      </c>
    </row>
    <row r="31" spans="2:26" x14ac:dyDescent="0.3">
      <c r="B31" s="135">
        <v>2572</v>
      </c>
      <c r="C31" s="135" t="s">
        <v>29</v>
      </c>
      <c r="D31" s="135" t="s">
        <v>30</v>
      </c>
      <c r="E31" s="2"/>
      <c r="F31" s="136">
        <f t="shared" si="10"/>
        <v>0</v>
      </c>
      <c r="G31" s="136">
        <f t="shared" si="10"/>
        <v>0</v>
      </c>
      <c r="H31" s="136">
        <f t="shared" si="10"/>
        <v>0</v>
      </c>
      <c r="I31" s="136">
        <f t="shared" si="10"/>
        <v>0</v>
      </c>
      <c r="J31" s="136">
        <f t="shared" si="10"/>
        <v>0</v>
      </c>
      <c r="K31" s="136">
        <f t="shared" si="10"/>
        <v>0</v>
      </c>
      <c r="L31" s="136">
        <f t="shared" si="10"/>
        <v>0</v>
      </c>
      <c r="M31" s="136">
        <f t="shared" si="10"/>
        <v>0</v>
      </c>
      <c r="N31" s="136">
        <f t="shared" si="10"/>
        <v>0</v>
      </c>
      <c r="O31" s="136">
        <f t="shared" si="10"/>
        <v>0</v>
      </c>
      <c r="P31" s="136">
        <f t="shared" si="10"/>
        <v>0</v>
      </c>
      <c r="Q31" s="2"/>
      <c r="R31" s="135" t="str">
        <f t="shared" si="4"/>
        <v>AM.1400</v>
      </c>
      <c r="S31" s="245" t="str">
        <f>+IF(C31=TF[[#This Row],[ITEM]],"ok","mal")</f>
        <v>ok</v>
      </c>
      <c r="T31" s="246">
        <f t="shared" si="2"/>
        <v>0</v>
      </c>
      <c r="U31" s="80">
        <f>IF(VLOOKUP(R31,TbPiezas[],5,0)="NA",0,VLOOKUP(R31,TbPiezas[],5,0))</f>
        <v>10</v>
      </c>
      <c r="V31" s="81">
        <f>+TF[[#This Row],[TOTAL]]*TF[[#This Row],[P.U. (1)]]</f>
        <v>0</v>
      </c>
      <c r="W31" s="247">
        <f>+VLOOKUP(R31,TbPiezas[],6,0)</f>
        <v>226.89</v>
      </c>
      <c r="X31" s="248">
        <f>ROUND(TF[[#This Row],[TOTAL]]*TF[[#This Row],[P.U. (2)]],2)</f>
        <v>0</v>
      </c>
      <c r="Y31" s="247">
        <f>+VLOOKUP(R31,TbPiezas[],7,0)</f>
        <v>11.3445</v>
      </c>
      <c r="Z31" s="249">
        <f>ROUND(TF[[#This Row],[TOTAL]]*TF[[#This Row],[P.U. (3)]],2)</f>
        <v>0</v>
      </c>
    </row>
    <row r="32" spans="2:26" x14ac:dyDescent="0.3">
      <c r="B32" s="135">
        <v>2072</v>
      </c>
      <c r="C32" s="135" t="s">
        <v>31</v>
      </c>
      <c r="D32" s="135" t="s">
        <v>32</v>
      </c>
      <c r="E32" s="2"/>
      <c r="F32" s="136">
        <f t="shared" si="10"/>
        <v>0</v>
      </c>
      <c r="G32" s="136">
        <f t="shared" si="10"/>
        <v>0</v>
      </c>
      <c r="H32" s="136">
        <f t="shared" si="10"/>
        <v>0</v>
      </c>
      <c r="I32" s="136">
        <f t="shared" si="10"/>
        <v>0</v>
      </c>
      <c r="J32" s="136">
        <f t="shared" si="10"/>
        <v>0</v>
      </c>
      <c r="K32" s="136">
        <f t="shared" si="10"/>
        <v>0</v>
      </c>
      <c r="L32" s="136">
        <f t="shared" si="10"/>
        <v>0</v>
      </c>
      <c r="M32" s="136">
        <f t="shared" si="10"/>
        <v>0</v>
      </c>
      <c r="N32" s="136">
        <f t="shared" si="10"/>
        <v>0</v>
      </c>
      <c r="O32" s="136">
        <f t="shared" si="10"/>
        <v>0</v>
      </c>
      <c r="P32" s="136">
        <f t="shared" si="10"/>
        <v>0</v>
      </c>
      <c r="Q32" s="2"/>
      <c r="R32" s="135" t="str">
        <f t="shared" si="4"/>
        <v>AM.1500</v>
      </c>
      <c r="S32" s="245" t="str">
        <f>+IF(C32=TF[[#This Row],[ITEM]],"ok","mal")</f>
        <v>ok</v>
      </c>
      <c r="T32" s="246">
        <f t="shared" si="2"/>
        <v>0</v>
      </c>
      <c r="U32" s="80">
        <f>IF(VLOOKUP(R32,TbPiezas[],5,0)="NA",0,VLOOKUP(R32,TbPiezas[],5,0))</f>
        <v>6.2000000000000028</v>
      </c>
      <c r="V32" s="81">
        <f>+TF[[#This Row],[TOTAL]]*TF[[#This Row],[P.U. (1)]]</f>
        <v>0</v>
      </c>
      <c r="W32" s="247">
        <f>+VLOOKUP(R32,TbPiezas[],6,0)</f>
        <v>225.13</v>
      </c>
      <c r="X32" s="248">
        <f>ROUND(TF[[#This Row],[TOTAL]]*TF[[#This Row],[P.U. (2)]],2)</f>
        <v>0</v>
      </c>
      <c r="Y32" s="247">
        <f>+VLOOKUP(R32,TbPiezas[],7,0)</f>
        <v>11.256500000000001</v>
      </c>
      <c r="Z32" s="249">
        <f>ROUND(TF[[#This Row],[TOTAL]]*TF[[#This Row],[P.U. (3)]],2)</f>
        <v>0</v>
      </c>
    </row>
    <row r="33" spans="2:26" x14ac:dyDescent="0.3">
      <c r="B33" s="135">
        <v>1572</v>
      </c>
      <c r="C33" s="135" t="s">
        <v>33</v>
      </c>
      <c r="D33" s="135" t="s">
        <v>34</v>
      </c>
      <c r="E33" s="2"/>
      <c r="F33" s="136">
        <f t="shared" si="10"/>
        <v>0</v>
      </c>
      <c r="G33" s="136">
        <f t="shared" si="10"/>
        <v>0</v>
      </c>
      <c r="H33" s="136">
        <f t="shared" si="10"/>
        <v>0</v>
      </c>
      <c r="I33" s="136">
        <f t="shared" si="10"/>
        <v>0</v>
      </c>
      <c r="J33" s="136">
        <f t="shared" si="10"/>
        <v>0</v>
      </c>
      <c r="K33" s="136">
        <f t="shared" si="10"/>
        <v>0</v>
      </c>
      <c r="L33" s="136">
        <f t="shared" si="10"/>
        <v>0</v>
      </c>
      <c r="M33" s="136">
        <f t="shared" si="10"/>
        <v>0</v>
      </c>
      <c r="N33" s="136">
        <f t="shared" si="10"/>
        <v>0</v>
      </c>
      <c r="O33" s="136">
        <f t="shared" si="10"/>
        <v>0</v>
      </c>
      <c r="P33" s="136">
        <f t="shared" si="10"/>
        <v>0</v>
      </c>
      <c r="Q33" s="2"/>
      <c r="R33" s="135" t="str">
        <f t="shared" si="4"/>
        <v>AM.1600</v>
      </c>
      <c r="S33" s="245" t="str">
        <f>+IF(C33=TF[[#This Row],[ITEM]],"ok","mal")</f>
        <v>ok</v>
      </c>
      <c r="T33" s="246">
        <f t="shared" si="2"/>
        <v>0</v>
      </c>
      <c r="U33" s="80">
        <f>IF(VLOOKUP(R33,TbPiezas[],5,0)="NA",0,VLOOKUP(R33,TbPiezas[],5,0))</f>
        <v>4.0999999999999943</v>
      </c>
      <c r="V33" s="81">
        <f>+TF[[#This Row],[TOTAL]]*TF[[#This Row],[P.U. (1)]]</f>
        <v>0</v>
      </c>
      <c r="W33" s="247">
        <f>+VLOOKUP(R33,TbPiezas[],6,0)</f>
        <v>204.03</v>
      </c>
      <c r="X33" s="248">
        <f>ROUND(TF[[#This Row],[TOTAL]]*TF[[#This Row],[P.U. (2)]],2)</f>
        <v>0</v>
      </c>
      <c r="Y33" s="247">
        <f>+VLOOKUP(R33,TbPiezas[],7,0)</f>
        <v>10.201500000000001</v>
      </c>
      <c r="Z33" s="249">
        <f>ROUND(TF[[#This Row],[TOTAL]]*TF[[#This Row],[P.U. (3)]],2)</f>
        <v>0</v>
      </c>
    </row>
    <row r="34" spans="2:26" x14ac:dyDescent="0.3">
      <c r="B34" s="135">
        <v>1090</v>
      </c>
      <c r="C34" s="135" t="s">
        <v>37</v>
      </c>
      <c r="D34" s="135" t="s">
        <v>38</v>
      </c>
      <c r="E34" s="2"/>
      <c r="F34" s="136">
        <f t="shared" ref="F34:P34" si="11">+IF(AND(OR(F$5=2572,F$5=1572,F$5=1090,F$5=1020,F$5=732),F$11="SI"),"ERROR",IF(F$5=$B34,IF(F$4="LIMA",IF(F$9="NORMAL",IF(F$11="SI",IF(ISEVEN(F$7),F$7+2,F$7+3),IF(ISEVEN(F$7),1.5*F$7+3,1.5*F$7+3.5)),IF(F$11="SI",IF(ISEVEN(F$7),F$7+2,"NE/NA1"),IF(ISEVEN(F$7),1.5*F$7+4,"NE/NA2"))),IF(F$9="NORMAL",IF(F$11="SI",IF(ISEVEN(F$7),F$7+2,F$7+3),2*F$7+2),IF(F$11="SI",IF(ISEVEN(F$7),F$7+2,"NE/NA3"),IF(ISEVEN(F$7),2*F$7+4,"NE/NA4")))),))+IF(OR(AND(OR(F$6=1090,F$6=1020),F$9="VOLADO"),AND(OR(F$6=1090,F$6=1020),F$10="COMBI")),"ERROR",IF($B34=F$6,IF(F$10="MULTI",IF(F$9="NORMAL",IF(AND(F$5&gt;0,E$5&gt;0),IF(ISEVEN(F$7),0.5*F$7+1,0.5*F$7+1.5),IF(ISEVEN(F$7),3*F$7+2,3*F$7+3)),IF(AND(F$5&gt;0,E$5&gt;0),IF(ISEVEN(F$7),0.5*F$7+1,"NE/NA"),IF(ISEVEN(F$7),3*F$7+6,"NE/NA"))),IF(F$9="NORMAL",IF(AND(F$5&gt;0,E$5&gt;0),IF(ISEVEN(F$7),1,2),IF(ISEVEN(F$7),2*F$7+2,4*F$7-4)),IF(AND(F$5&gt;0,E$5&gt;0),IF(ISEVEN(F$7),1,"NE/NA"),IF(ISEVEN(F$7),2*F$7+6,"NE/NA")))),))</f>
        <v>0</v>
      </c>
      <c r="G34" s="136">
        <f t="shared" si="11"/>
        <v>0</v>
      </c>
      <c r="H34" s="136">
        <f t="shared" si="11"/>
        <v>0</v>
      </c>
      <c r="I34" s="136">
        <f t="shared" si="11"/>
        <v>0</v>
      </c>
      <c r="J34" s="136">
        <f t="shared" si="11"/>
        <v>0</v>
      </c>
      <c r="K34" s="136">
        <f t="shared" si="11"/>
        <v>0</v>
      </c>
      <c r="L34" s="136">
        <f t="shared" si="11"/>
        <v>0</v>
      </c>
      <c r="M34" s="136">
        <f t="shared" si="11"/>
        <v>0</v>
      </c>
      <c r="N34" s="136">
        <f t="shared" si="11"/>
        <v>0</v>
      </c>
      <c r="O34" s="136">
        <f t="shared" si="11"/>
        <v>0</v>
      </c>
      <c r="P34" s="136">
        <f t="shared" si="11"/>
        <v>0</v>
      </c>
      <c r="Q34" s="2"/>
      <c r="R34" s="135" t="str">
        <f t="shared" si="4"/>
        <v>AM.1800</v>
      </c>
      <c r="S34" s="245" t="str">
        <f>+IF(C34=TF[[#This Row],[ITEM]],"ok","mal")</f>
        <v>ok</v>
      </c>
      <c r="T34" s="246">
        <f t="shared" si="2"/>
        <v>0</v>
      </c>
      <c r="U34" s="80">
        <f>IF(VLOOKUP(R34,TbPiezas[],5,0)="NA",0,VLOOKUP(R34,TbPiezas[],5,0))</f>
        <v>2.3999999999999915</v>
      </c>
      <c r="V34" s="81">
        <f>+TF[[#This Row],[TOTAL]]*TF[[#This Row],[P.U. (1)]]</f>
        <v>0</v>
      </c>
      <c r="W34" s="247">
        <f>+VLOOKUP(R34,TbPiezas[],6,0)</f>
        <v>158.74</v>
      </c>
      <c r="X34" s="248">
        <f>ROUND(TF[[#This Row],[TOTAL]]*TF[[#This Row],[P.U. (2)]],2)</f>
        <v>0</v>
      </c>
      <c r="Y34" s="247">
        <f>+VLOOKUP(R34,TbPiezas[],7,0)</f>
        <v>7.9370000000000012</v>
      </c>
      <c r="Z34" s="249">
        <f>ROUND(TF[[#This Row],[TOTAL]]*TF[[#This Row],[P.U. (3)]],2)</f>
        <v>0</v>
      </c>
    </row>
    <row r="35" spans="2:26" x14ac:dyDescent="0.3">
      <c r="B35" s="135">
        <v>1020</v>
      </c>
      <c r="C35" s="135" t="s">
        <v>39</v>
      </c>
      <c r="D35" s="135" t="s">
        <v>40</v>
      </c>
      <c r="E35" s="2"/>
      <c r="F35" s="136">
        <f t="shared" ref="F35:P35" si="12">+IF(AND(OR(F$5=2572,F$5=1572,F$5=1090,F$5=1020,F$5=732),F$11="SI"),"ERROR",IF(F$5=$B35,IF(F$4="LIMA",IF(F$9="NORMAL",IF(F$11="SI",IF(ISEVEN(F$7),F$7+2,F$7+3),IF(ISEVEN(F$7),1.5*F$7+3,1.5*F$7+3.5)),IF(F$11="SI",IF(ISEVEN(F$7),F$7+2,"NE/NA1"),IF(ISEVEN(F$7),1.5*F$7+4,"NE/NA2"))),IF(F$9="NORMAL",IF(F$11="SI",IF(ISEVEN(F$7),F$7+2,F$7+3),2*F$7+2),IF(F$11="SI",IF(ISEVEN(F$7),F$7+2,"NE/NA3"),IF(ISEVEN(F$7),2*F$7+4,"NE/NA4")))),))+IF(OR(AND(OR(F$6=1090,F$6=1020),F$9="VOLADO"),AND(OR(F$6=1090,F$6=1020),F$10="COMBI")),"ERROR",IF($B35=F$6,IF(F$10="MULTI",IF(F$9="NORMAL",IF(AND(F$5&gt;0,E$5&gt;0),IF(ISEVEN(F$7),0.5*F$7+1,0.5*F$7+1.5),IF(ISEVEN(F$7),3*F$7+2,3*F$7+3)),IF(AND(F$5&gt;0,E$5&gt;0),IF(ISEVEN(F$7),0.5*F$7+1,"NE/NA"),IF(ISEVEN(F$7),3*F$7+6,"NE/NA"))),IF(F$9="NORMAL",IF(AND(F$5&gt;0,E$5&gt;0),IF(ISEVEN(F$7),1,2),IF(ISEVEN(F$7),2*F$7+2,4*F$7-4)),IF(AND(F$5&gt;0,E$5&gt;0),IF(ISEVEN(F$7),1,"NE/NA"),IF(ISEVEN(F$7),2*F$7+6,"NE/NA")))),))</f>
        <v>0</v>
      </c>
      <c r="G35" s="136">
        <f t="shared" si="12"/>
        <v>0</v>
      </c>
      <c r="H35" s="136">
        <f t="shared" si="12"/>
        <v>0</v>
      </c>
      <c r="I35" s="136">
        <f t="shared" si="12"/>
        <v>0</v>
      </c>
      <c r="J35" s="136">
        <f t="shared" si="12"/>
        <v>0</v>
      </c>
      <c r="K35" s="136">
        <f t="shared" si="12"/>
        <v>0</v>
      </c>
      <c r="L35" s="136">
        <f t="shared" si="12"/>
        <v>0</v>
      </c>
      <c r="M35" s="136">
        <f t="shared" si="12"/>
        <v>0</v>
      </c>
      <c r="N35" s="136">
        <f t="shared" si="12"/>
        <v>0</v>
      </c>
      <c r="O35" s="136">
        <f t="shared" si="12"/>
        <v>0</v>
      </c>
      <c r="P35" s="136">
        <f t="shared" si="12"/>
        <v>0</v>
      </c>
      <c r="Q35" s="2"/>
      <c r="R35" s="135" t="str">
        <f t="shared" si="4"/>
        <v>AM.1900</v>
      </c>
      <c r="S35" s="245" t="str">
        <f>+IF(C35=TF[[#This Row],[ITEM]],"ok","mal")</f>
        <v>ok</v>
      </c>
      <c r="T35" s="246">
        <f t="shared" si="2"/>
        <v>0</v>
      </c>
      <c r="U35" s="80">
        <f>IF(VLOOKUP(R35,TbPiezas[],5,0)="NA",0,VLOOKUP(R35,TbPiezas[],5,0))</f>
        <v>4.5999999999999943</v>
      </c>
      <c r="V35" s="81">
        <f>+TF[[#This Row],[TOTAL]]*TF[[#This Row],[P.U. (1)]]</f>
        <v>0</v>
      </c>
      <c r="W35" s="247">
        <f>+VLOOKUP(R35,TbPiezas[],6,0)</f>
        <v>158.74</v>
      </c>
      <c r="X35" s="248">
        <f>ROUND(TF[[#This Row],[TOTAL]]*TF[[#This Row],[P.U. (2)]],2)</f>
        <v>0</v>
      </c>
      <c r="Y35" s="247">
        <f>+VLOOKUP(R35,TbPiezas[],7,0)</f>
        <v>7.9370000000000012</v>
      </c>
      <c r="Z35" s="249">
        <f>ROUND(TF[[#This Row],[TOTAL]]*TF[[#This Row],[P.U. (3)]],2)</f>
        <v>0</v>
      </c>
    </row>
    <row r="36" spans="2:26" x14ac:dyDescent="0.3">
      <c r="B36" s="135">
        <v>732</v>
      </c>
      <c r="C36" s="135" t="s">
        <v>41</v>
      </c>
      <c r="D36" s="135" t="s">
        <v>42</v>
      </c>
      <c r="E36" s="2"/>
      <c r="F36" s="136">
        <f t="shared" ref="F36:P36" si="13">+IF(AND(OR(F$5=2572,F$5=1572,F$5=1090,F$5=1020,F$5=732),F$11="SI"),"ERROR",IF(F$5=$B36,IF(F$4="LIMA",IF(F$9="NORMAL",IF(F$11="SI",IF(ISEVEN(F$7),F$7+2,F$7+3),IF(ISEVEN(F$7),1.5*F$7+3,1.5*F$7+3.5)),IF(F$11="SI",IF(ISEVEN(F$7),F$7+2,"NE/NA1"),IF(ISEVEN(F$7),1.5*F$7+4,"NE/NA2"))),IF(F$9="NORMAL",IF(F$11="SI",IF(ISEVEN(F$7),F$7+2,F$7+3),2*F$7+2),IF(F$11="SI",IF(ISEVEN(F$7),F$7+2,"NE/NA3"),IF(ISEVEN(F$7),2*F$7+4,"NE/NA4")))),))+IF(OR(AND(OR(F$6=1090,F$6=1020),F$9="VOLADO"),AND(OR(F$6=1090,F$6=1020),F$10="COMBI")),"ERROR",IF($B36=F$6,IF(F$10="MULTI",IF(F$9="NORMAL",IF(AND(F$5&gt;0,E$5&gt;0),IF(ISEVEN(F$7),0.5*F$7+1,0.5*F$7+1.5),IF(ISEVEN(F$7),3*F$7+2,3*F$7+3)),IF(AND(F$5&gt;0,E$5&gt;0),IF(ISEVEN(F$7),0.5*F$7+1,"NE/NA"),IF(ISEVEN(F$7),3*F$7+6,"NE/NA"))),IF(F$9="NORMAL",IF(AND(F$5&gt;0,E$5&gt;0),IF(ISEVEN(F$7),1,2),IF(ISEVEN(F$7),2*F$7+2,2*F$7+4)),IF(AND(F$5&gt;0,E$5&gt;0),IF(ISEVEN(F$7),1,"NE/NA"),IF(ISEVEN(F$7),2*F$7+6,"NE/NA")))),))-2*F$41</f>
        <v>0</v>
      </c>
      <c r="G36" s="136">
        <f t="shared" si="13"/>
        <v>0</v>
      </c>
      <c r="H36" s="136">
        <f t="shared" si="13"/>
        <v>0</v>
      </c>
      <c r="I36" s="136">
        <f t="shared" si="13"/>
        <v>0</v>
      </c>
      <c r="J36" s="136">
        <f t="shared" si="13"/>
        <v>0</v>
      </c>
      <c r="K36" s="136">
        <f t="shared" si="13"/>
        <v>0</v>
      </c>
      <c r="L36" s="136">
        <f t="shared" si="13"/>
        <v>0</v>
      </c>
      <c r="M36" s="136">
        <f t="shared" si="13"/>
        <v>0</v>
      </c>
      <c r="N36" s="136">
        <f t="shared" si="13"/>
        <v>0</v>
      </c>
      <c r="O36" s="136">
        <f t="shared" si="13"/>
        <v>0</v>
      </c>
      <c r="P36" s="136">
        <f t="shared" si="13"/>
        <v>0</v>
      </c>
      <c r="Q36" s="2"/>
      <c r="R36" s="135" t="str">
        <f t="shared" si="4"/>
        <v>AM.2000</v>
      </c>
      <c r="S36" s="245" t="str">
        <f>+IF(C36=TF[[#This Row],[ITEM]],"ok","mal")</f>
        <v>ok</v>
      </c>
      <c r="T36" s="246">
        <f t="shared" si="2"/>
        <v>0</v>
      </c>
      <c r="U36" s="80">
        <f>IF(VLOOKUP(R36,TbPiezas[],5,0)="NA",0,VLOOKUP(R36,TbPiezas[],5,0))</f>
        <v>3.7999999999999972</v>
      </c>
      <c r="V36" s="81">
        <f>+TF[[#This Row],[TOTAL]]*TF[[#This Row],[P.U. (1)]]</f>
        <v>0</v>
      </c>
      <c r="W36" s="247">
        <f>+VLOOKUP(R36,TbPiezas[],6,0)</f>
        <v>132.06</v>
      </c>
      <c r="X36" s="248">
        <f>ROUND(TF[[#This Row],[TOTAL]]*TF[[#This Row],[P.U. (2)]],2)</f>
        <v>0</v>
      </c>
      <c r="Y36" s="247">
        <f>+VLOOKUP(R36,TbPiezas[],7,0)</f>
        <v>6.6030000000000006</v>
      </c>
      <c r="Z36" s="249">
        <f>ROUND(TF[[#This Row],[TOTAL]]*TF[[#This Row],[P.U. (3)]],2)</f>
        <v>0</v>
      </c>
    </row>
    <row r="37" spans="2:26" x14ac:dyDescent="0.3">
      <c r="B37" s="135"/>
      <c r="C37" s="135" t="s">
        <v>43</v>
      </c>
      <c r="D37" s="135" t="s">
        <v>44</v>
      </c>
      <c r="E37" s="2"/>
      <c r="F37" s="360">
        <v>0</v>
      </c>
      <c r="G37" s="360">
        <v>0</v>
      </c>
      <c r="H37" s="360">
        <v>0</v>
      </c>
      <c r="I37" s="360">
        <v>0</v>
      </c>
      <c r="J37" s="360">
        <v>0</v>
      </c>
      <c r="K37" s="360">
        <v>0</v>
      </c>
      <c r="L37" s="360">
        <v>0</v>
      </c>
      <c r="M37" s="360">
        <v>0</v>
      </c>
      <c r="N37" s="360">
        <v>0</v>
      </c>
      <c r="O37" s="360">
        <v>0</v>
      </c>
      <c r="P37" s="360">
        <v>0</v>
      </c>
      <c r="Q37" s="2"/>
      <c r="R37" s="135" t="str">
        <f t="shared" si="4"/>
        <v>AM.2020</v>
      </c>
      <c r="S37" s="245" t="str">
        <f>+IF(C37=TF[[#This Row],[ITEM]],"ok","mal")</f>
        <v>ok</v>
      </c>
      <c r="T37" s="246">
        <f t="shared" si="2"/>
        <v>0</v>
      </c>
      <c r="U37" s="80">
        <f>IF(VLOOKUP(R37,TbPiezas[],5,0)="NA",0,VLOOKUP(R37,TbPiezas[],5,0))</f>
        <v>1.9</v>
      </c>
      <c r="V37" s="81">
        <f>+TF[[#This Row],[TOTAL]]*TF[[#This Row],[P.U. (1)]]</f>
        <v>0</v>
      </c>
      <c r="W37" s="247">
        <f>+VLOOKUP(R37,TbPiezas[],6,0)</f>
        <v>59.5</v>
      </c>
      <c r="X37" s="248">
        <f>ROUND(TF[[#This Row],[TOTAL]]*TF[[#This Row],[P.U. (2)]],2)</f>
        <v>0</v>
      </c>
      <c r="Y37" s="247">
        <f>+VLOOKUP(R37,TbPiezas[],7,0)</f>
        <v>2.9750000000000001</v>
      </c>
      <c r="Z37" s="249">
        <f>ROUND(TF[[#This Row],[TOTAL]]*TF[[#This Row],[P.U. (3)]],2)</f>
        <v>0</v>
      </c>
    </row>
    <row r="38" spans="2:26" x14ac:dyDescent="0.3">
      <c r="B38" s="135"/>
      <c r="C38" s="135" t="s">
        <v>45</v>
      </c>
      <c r="D38" s="135" t="s">
        <v>46</v>
      </c>
      <c r="E38" s="2"/>
      <c r="F38" s="360">
        <v>0</v>
      </c>
      <c r="G38" s="360">
        <v>0</v>
      </c>
      <c r="H38" s="360">
        <v>0</v>
      </c>
      <c r="I38" s="360">
        <v>0</v>
      </c>
      <c r="J38" s="360">
        <v>0</v>
      </c>
      <c r="K38" s="360">
        <v>0</v>
      </c>
      <c r="L38" s="360">
        <v>0</v>
      </c>
      <c r="M38" s="360">
        <v>0</v>
      </c>
      <c r="N38" s="360">
        <v>0</v>
      </c>
      <c r="O38" s="360">
        <v>0</v>
      </c>
      <c r="P38" s="360">
        <v>0</v>
      </c>
      <c r="Q38" s="2"/>
      <c r="R38" s="135" t="str">
        <f t="shared" si="4"/>
        <v>AM.2050</v>
      </c>
      <c r="S38" s="245" t="str">
        <f>+IF(C38=TF[[#This Row],[ITEM]],"ok","mal")</f>
        <v>ok</v>
      </c>
      <c r="T38" s="246">
        <f t="shared" si="2"/>
        <v>0</v>
      </c>
      <c r="U38" s="80">
        <f>IF(VLOOKUP(R38,TbPiezas[],5,0)="NA",0,VLOOKUP(R38,TbPiezas[],5,0))</f>
        <v>1.9</v>
      </c>
      <c r="V38" s="81">
        <f>+TF[[#This Row],[TOTAL]]*TF[[#This Row],[P.U. (1)]]</f>
        <v>0</v>
      </c>
      <c r="W38" s="247">
        <f>+VLOOKUP(R38,TbPiezas[],6,0)</f>
        <v>59.5</v>
      </c>
      <c r="X38" s="248">
        <f>ROUND(TF[[#This Row],[TOTAL]]*TF[[#This Row],[P.U. (2)]],2)</f>
        <v>0</v>
      </c>
      <c r="Y38" s="247">
        <f>+VLOOKUP(R38,TbPiezas[],7,0)</f>
        <v>2.9750000000000001</v>
      </c>
      <c r="Z38" s="249">
        <f>ROUND(TF[[#This Row],[TOTAL]]*TF[[#This Row],[P.U. (3)]],2)</f>
        <v>0</v>
      </c>
    </row>
    <row r="39" spans="2:26" x14ac:dyDescent="0.3">
      <c r="B39" s="135">
        <v>3072</v>
      </c>
      <c r="C39" s="135" t="s">
        <v>63</v>
      </c>
      <c r="D39" s="135" t="s">
        <v>64</v>
      </c>
      <c r="E39" s="2"/>
      <c r="F39" s="136">
        <f t="shared" ref="F39:P40" si="14">IF(AND(F$11="SI",OR(F$5=2572,F$5=1572,F$5=1500=F$5=1090,F$5=1020)),"ERROR",IF(AND($B39=F$5,F$11="SI"),IF(F$9="NORMAL",IF(ISEVEN(F$7),0.5*F$7,0.5*F$7-0.5),IF(ISEVEN(F$7),0.5*F$7+1,"NA/NE")),))</f>
        <v>0</v>
      </c>
      <c r="G39" s="136">
        <f t="shared" si="14"/>
        <v>0</v>
      </c>
      <c r="H39" s="136">
        <f t="shared" si="14"/>
        <v>0</v>
      </c>
      <c r="I39" s="136">
        <f t="shared" si="14"/>
        <v>0</v>
      </c>
      <c r="J39" s="136">
        <f t="shared" si="14"/>
        <v>0</v>
      </c>
      <c r="K39" s="136">
        <f t="shared" si="14"/>
        <v>0</v>
      </c>
      <c r="L39" s="136">
        <f t="shared" si="14"/>
        <v>0</v>
      </c>
      <c r="M39" s="136">
        <f t="shared" si="14"/>
        <v>0</v>
      </c>
      <c r="N39" s="136">
        <f t="shared" si="14"/>
        <v>0</v>
      </c>
      <c r="O39" s="136">
        <f t="shared" si="14"/>
        <v>0</v>
      </c>
      <c r="P39" s="136">
        <f t="shared" si="14"/>
        <v>0</v>
      </c>
      <c r="Q39" s="2"/>
      <c r="R39" s="135" t="str">
        <f t="shared" si="4"/>
        <v>AM.2800</v>
      </c>
      <c r="S39" s="245" t="str">
        <f>+IF(C39=TF[[#This Row],[ITEM]],"ok","mal")</f>
        <v>ok</v>
      </c>
      <c r="T39" s="246">
        <f t="shared" si="2"/>
        <v>0</v>
      </c>
      <c r="U39" s="80">
        <f>IF(VLOOKUP(R39,TbPiezas[],5,0)="NA",0,VLOOKUP(R39,TbPiezas[],5,0))</f>
        <v>11.799999999999997</v>
      </c>
      <c r="V39" s="81">
        <f>+TF[[#This Row],[TOTAL]]*TF[[#This Row],[P.U. (1)]]</f>
        <v>0</v>
      </c>
      <c r="W39" s="247">
        <f>+VLOOKUP(R39,TbPiezas[],6,0)</f>
        <v>276.36</v>
      </c>
      <c r="X39" s="248">
        <f>ROUND(TF[[#This Row],[TOTAL]]*TF[[#This Row],[P.U. (2)]],2)</f>
        <v>0</v>
      </c>
      <c r="Y39" s="247">
        <f>+VLOOKUP(R39,TbPiezas[],7,0)</f>
        <v>13.818000000000001</v>
      </c>
      <c r="Z39" s="249">
        <f>ROUND(TF[[#This Row],[TOTAL]]*TF[[#This Row],[P.U. (3)]],2)</f>
        <v>0</v>
      </c>
    </row>
    <row r="40" spans="2:26" x14ac:dyDescent="0.3">
      <c r="B40" s="135">
        <v>2072</v>
      </c>
      <c r="C40" s="135" t="s">
        <v>65</v>
      </c>
      <c r="D40" s="135" t="s">
        <v>66</v>
      </c>
      <c r="E40" s="2"/>
      <c r="F40" s="136">
        <f t="shared" si="14"/>
        <v>0</v>
      </c>
      <c r="G40" s="136">
        <f t="shared" si="14"/>
        <v>0</v>
      </c>
      <c r="H40" s="136">
        <f t="shared" si="14"/>
        <v>0</v>
      </c>
      <c r="I40" s="136">
        <f t="shared" si="14"/>
        <v>0</v>
      </c>
      <c r="J40" s="136">
        <f t="shared" si="14"/>
        <v>0</v>
      </c>
      <c r="K40" s="136">
        <f t="shared" si="14"/>
        <v>0</v>
      </c>
      <c r="L40" s="136">
        <f t="shared" si="14"/>
        <v>0</v>
      </c>
      <c r="M40" s="136">
        <f t="shared" si="14"/>
        <v>0</v>
      </c>
      <c r="N40" s="136">
        <f t="shared" si="14"/>
        <v>0</v>
      </c>
      <c r="O40" s="136">
        <f t="shared" si="14"/>
        <v>0</v>
      </c>
      <c r="P40" s="136">
        <f t="shared" si="14"/>
        <v>0</v>
      </c>
      <c r="Q40" s="2"/>
      <c r="R40" s="135" t="str">
        <f t="shared" si="4"/>
        <v>AM.2900</v>
      </c>
      <c r="S40" s="245" t="str">
        <f>+IF(C40=TF[[#This Row],[ITEM]],"ok","mal")</f>
        <v>ok</v>
      </c>
      <c r="T40" s="246">
        <f t="shared" si="2"/>
        <v>0</v>
      </c>
      <c r="U40" s="80">
        <f>IF(VLOOKUP(R40,TbPiezas[],5,0)="NA",0,VLOOKUP(R40,TbPiezas[],5,0))</f>
        <v>7.7999999999999972</v>
      </c>
      <c r="V40" s="81">
        <f>+TF[[#This Row],[TOTAL]]*TF[[#This Row],[P.U. (1)]]</f>
        <v>0</v>
      </c>
      <c r="W40" s="247">
        <f>+VLOOKUP(R40,TbPiezas[],6,0)</f>
        <v>255.03</v>
      </c>
      <c r="X40" s="248">
        <f>ROUND(TF[[#This Row],[TOTAL]]*TF[[#This Row],[P.U. (2)]],2)</f>
        <v>0</v>
      </c>
      <c r="Y40" s="247">
        <f>+VLOOKUP(R40,TbPiezas[],7,0)</f>
        <v>12.7515</v>
      </c>
      <c r="Z40" s="249">
        <f>ROUND(TF[[#This Row],[TOTAL]]*TF[[#This Row],[P.U. (3)]],2)</f>
        <v>0</v>
      </c>
    </row>
    <row r="41" spans="2:26" x14ac:dyDescent="0.3">
      <c r="B41" s="135">
        <v>732</v>
      </c>
      <c r="C41" s="135" t="s">
        <v>67</v>
      </c>
      <c r="D41" s="135" t="s">
        <v>68</v>
      </c>
      <c r="E41" s="2"/>
      <c r="F41" s="136">
        <f t="shared" ref="F41:P41" si="15">IF(AND(F$12="SI",OR(F$6=1090,F$6=1020)),"ERROR",IF(AND(F$6=732,F$12="SI"),IF(F$9="NORMAL",IF(AND(F$5&gt;0,E$5&gt;0),,IF(ISEVEN(F$7),F$7,F$7-1)),IF(AND(F$5&gt;0,E$5&gt;0),,IF(ISEVEN(F$7),F$7+2,"NA/NE"))),))</f>
        <v>0</v>
      </c>
      <c r="G41" s="136">
        <f t="shared" si="15"/>
        <v>0</v>
      </c>
      <c r="H41" s="136">
        <f t="shared" si="15"/>
        <v>0</v>
      </c>
      <c r="I41" s="136">
        <f t="shared" si="15"/>
        <v>0</v>
      </c>
      <c r="J41" s="136">
        <f t="shared" si="15"/>
        <v>0</v>
      </c>
      <c r="K41" s="136">
        <f t="shared" si="15"/>
        <v>0</v>
      </c>
      <c r="L41" s="136">
        <f t="shared" si="15"/>
        <v>0</v>
      </c>
      <c r="M41" s="136">
        <f t="shared" si="15"/>
        <v>0</v>
      </c>
      <c r="N41" s="136">
        <f t="shared" si="15"/>
        <v>0</v>
      </c>
      <c r="O41" s="136">
        <f t="shared" si="15"/>
        <v>0</v>
      </c>
      <c r="P41" s="136">
        <f t="shared" si="15"/>
        <v>0</v>
      </c>
      <c r="Q41" s="2"/>
      <c r="R41" s="135" t="str">
        <f t="shared" si="4"/>
        <v>AM.3000</v>
      </c>
      <c r="S41" s="245" t="str">
        <f>+IF(C41=TF[[#This Row],[ITEM]],"ok","mal")</f>
        <v>ok</v>
      </c>
      <c r="T41" s="246">
        <f t="shared" si="2"/>
        <v>0</v>
      </c>
      <c r="U41" s="80">
        <f>IF(VLOOKUP(R41,TbPiezas[],5,0)="NA",0,VLOOKUP(R41,TbPiezas[],5,0))</f>
        <v>0.5</v>
      </c>
      <c r="V41" s="81">
        <f>+TF[[#This Row],[TOTAL]]*TF[[#This Row],[P.U. (1)]]</f>
        <v>0</v>
      </c>
      <c r="W41" s="247">
        <f>+VLOOKUP(R41,TbPiezas[],6,0)</f>
        <v>105.43</v>
      </c>
      <c r="X41" s="248">
        <f>ROUND(TF[[#This Row],[TOTAL]]*TF[[#This Row],[P.U. (2)]],2)</f>
        <v>0</v>
      </c>
      <c r="Y41" s="247">
        <f>+VLOOKUP(R41,TbPiezas[],7,0)</f>
        <v>5.2715000000000005</v>
      </c>
      <c r="Z41" s="249">
        <f>ROUND(TF[[#This Row],[TOTAL]]*TF[[#This Row],[P.U. (3)]],2)</f>
        <v>0</v>
      </c>
    </row>
    <row r="42" spans="2:26" x14ac:dyDescent="0.3">
      <c r="B42" s="135">
        <v>1090</v>
      </c>
      <c r="C42" s="135" t="s">
        <v>69</v>
      </c>
      <c r="D42" s="135" t="s">
        <v>70</v>
      </c>
      <c r="E42" s="2"/>
      <c r="F42" s="360">
        <v>0</v>
      </c>
      <c r="G42" s="360">
        <v>0</v>
      </c>
      <c r="H42" s="360">
        <v>0</v>
      </c>
      <c r="I42" s="360">
        <v>0</v>
      </c>
      <c r="J42" s="360">
        <v>0</v>
      </c>
      <c r="K42" s="360">
        <v>0</v>
      </c>
      <c r="L42" s="360">
        <v>0</v>
      </c>
      <c r="M42" s="360">
        <v>0</v>
      </c>
      <c r="N42" s="360">
        <v>0</v>
      </c>
      <c r="O42" s="360">
        <v>0</v>
      </c>
      <c r="P42" s="360">
        <v>0</v>
      </c>
      <c r="Q42" s="2"/>
      <c r="R42" s="135" t="str">
        <f t="shared" si="4"/>
        <v>AM.3100</v>
      </c>
      <c r="S42" s="245" t="str">
        <f>+IF(C42=TF[[#This Row],[ITEM]],"ok","mal")</f>
        <v>ok</v>
      </c>
      <c r="T42" s="246">
        <f t="shared" si="2"/>
        <v>0</v>
      </c>
      <c r="U42" s="80">
        <f>IF(VLOOKUP(R42,TbPiezas[],5,0)="NA",0,VLOOKUP(R42,TbPiezas[],5,0))</f>
        <v>10.91</v>
      </c>
      <c r="V42" s="81">
        <f>+TF[[#This Row],[TOTAL]]*TF[[#This Row],[P.U. (1)]]</f>
        <v>0</v>
      </c>
      <c r="W42" s="247">
        <f>+VLOOKUP(R42,TbPiezas[],6,0)</f>
        <v>808.35</v>
      </c>
      <c r="X42" s="248">
        <f>ROUND(TF[[#This Row],[TOTAL]]*TF[[#This Row],[P.U. (2)]],2)</f>
        <v>0</v>
      </c>
      <c r="Y42" s="247">
        <f>+VLOOKUP(R42,TbPiezas[],7,0)</f>
        <v>40.417500000000004</v>
      </c>
      <c r="Z42" s="249">
        <f>ROUND(TF[[#This Row],[TOTAL]]*TF[[#This Row],[P.U. (3)]],2)</f>
        <v>0</v>
      </c>
    </row>
    <row r="43" spans="2:26" x14ac:dyDescent="0.3">
      <c r="B43" s="135">
        <v>700</v>
      </c>
      <c r="C43" s="135" t="s">
        <v>71</v>
      </c>
      <c r="D43" s="135" t="s">
        <v>72</v>
      </c>
      <c r="E43" s="2"/>
      <c r="F43" s="360">
        <v>0</v>
      </c>
      <c r="G43" s="360">
        <v>0</v>
      </c>
      <c r="H43" s="360">
        <v>0</v>
      </c>
      <c r="I43" s="360">
        <v>0</v>
      </c>
      <c r="J43" s="360">
        <v>0</v>
      </c>
      <c r="K43" s="360">
        <v>0</v>
      </c>
      <c r="L43" s="360">
        <v>0</v>
      </c>
      <c r="M43" s="360">
        <v>0</v>
      </c>
      <c r="N43" s="360">
        <v>0</v>
      </c>
      <c r="O43" s="360">
        <v>0</v>
      </c>
      <c r="P43" s="360">
        <v>0</v>
      </c>
      <c r="Q43" s="2"/>
      <c r="R43" s="135" t="str">
        <f t="shared" si="4"/>
        <v>AM.3200</v>
      </c>
      <c r="S43" s="245" t="str">
        <f>+IF(C43=TF[[#This Row],[ITEM]],"ok","mal")</f>
        <v>ok</v>
      </c>
      <c r="T43" s="246">
        <f t="shared" si="2"/>
        <v>0</v>
      </c>
      <c r="U43" s="80">
        <f>IF(VLOOKUP(R43,TbPiezas[],5,0)="NA",0,VLOOKUP(R43,TbPiezas[],5,0))</f>
        <v>4.2999999999999972</v>
      </c>
      <c r="V43" s="81">
        <f>+TF[[#This Row],[TOTAL]]*TF[[#This Row],[P.U. (1)]]</f>
        <v>0</v>
      </c>
      <c r="W43" s="247">
        <f>+VLOOKUP(R43,TbPiezas[],6,0)</f>
        <v>519.13</v>
      </c>
      <c r="X43" s="248">
        <f>ROUND(TF[[#This Row],[TOTAL]]*TF[[#This Row],[P.U. (2)]],2)</f>
        <v>0</v>
      </c>
      <c r="Y43" s="247">
        <f>+VLOOKUP(R43,TbPiezas[],7,0)</f>
        <v>25.956500000000002</v>
      </c>
      <c r="Z43" s="249">
        <f>ROUND(TF[[#This Row],[TOTAL]]*TF[[#This Row],[P.U. (3)]],2)</f>
        <v>0</v>
      </c>
    </row>
    <row r="44" spans="2:26" x14ac:dyDescent="0.3">
      <c r="B44" s="135">
        <v>300</v>
      </c>
      <c r="C44" s="135" t="s">
        <v>73</v>
      </c>
      <c r="D44" s="135" t="s">
        <v>74</v>
      </c>
      <c r="E44" s="2"/>
      <c r="F44" s="360">
        <v>0</v>
      </c>
      <c r="G44" s="360">
        <v>0</v>
      </c>
      <c r="H44" s="360">
        <v>0</v>
      </c>
      <c r="I44" s="360">
        <v>0</v>
      </c>
      <c r="J44" s="360">
        <v>0</v>
      </c>
      <c r="K44" s="360">
        <v>0</v>
      </c>
      <c r="L44" s="360">
        <v>0</v>
      </c>
      <c r="M44" s="360">
        <v>0</v>
      </c>
      <c r="N44" s="360">
        <v>0</v>
      </c>
      <c r="O44" s="360">
        <v>0</v>
      </c>
      <c r="P44" s="360">
        <v>0</v>
      </c>
      <c r="Q44" s="2"/>
      <c r="R44" s="135" t="str">
        <f t="shared" si="4"/>
        <v>AM.3300</v>
      </c>
      <c r="S44" s="245" t="str">
        <f>+IF(C44=TF[[#This Row],[ITEM]],"ok","mal")</f>
        <v>ok</v>
      </c>
      <c r="T44" s="246">
        <f t="shared" si="2"/>
        <v>0</v>
      </c>
      <c r="U44" s="80">
        <f>IF(VLOOKUP(R44,TbPiezas[],5,0)="NA",0,VLOOKUP(R44,TbPiezas[],5,0))</f>
        <v>3.2999999999999972</v>
      </c>
      <c r="V44" s="81">
        <f>+TF[[#This Row],[TOTAL]]*TF[[#This Row],[P.U. (1)]]</f>
        <v>0</v>
      </c>
      <c r="W44" s="247">
        <f>+VLOOKUP(R44,TbPiezas[],6,0)</f>
        <v>259.56</v>
      </c>
      <c r="X44" s="248">
        <f>ROUND(TF[[#This Row],[TOTAL]]*TF[[#This Row],[P.U. (2)]],2)</f>
        <v>0</v>
      </c>
      <c r="Y44" s="247">
        <f>+VLOOKUP(R44,TbPiezas[],7,0)</f>
        <v>12.978000000000002</v>
      </c>
      <c r="Z44" s="249">
        <f>ROUND(TF[[#This Row],[TOTAL]]*TF[[#This Row],[P.U. (3)]],2)</f>
        <v>0</v>
      </c>
    </row>
    <row r="45" spans="2:26" x14ac:dyDescent="0.3">
      <c r="B45" s="135">
        <v>3072</v>
      </c>
      <c r="C45" s="135" t="s">
        <v>75</v>
      </c>
      <c r="D45" s="135" t="s">
        <v>76</v>
      </c>
      <c r="E45" s="2"/>
      <c r="F45" s="136">
        <f t="shared" ref="F45:P47" si="16">IF(OR(AND(F$5=1090,F$16="ESP"),AND(F$5=1020,F$16="CHI"),AND(F$5=1020,F$16="NEO")),"ERROR",IF(AND($B45=F$5,F$16="ESP"),IF(F$9="NORMAL",IF(ISEVEN(F$7),0.5*F$7,0.5*F$7+0.5),IF(ISEVEN(F$7),0.5*F$7+1,"NA/NE")),))</f>
        <v>0</v>
      </c>
      <c r="G45" s="136">
        <f t="shared" si="16"/>
        <v>0</v>
      </c>
      <c r="H45" s="136">
        <f t="shared" si="16"/>
        <v>0</v>
      </c>
      <c r="I45" s="136">
        <f t="shared" si="16"/>
        <v>0</v>
      </c>
      <c r="J45" s="136">
        <f t="shared" si="16"/>
        <v>0</v>
      </c>
      <c r="K45" s="136">
        <f t="shared" si="16"/>
        <v>0</v>
      </c>
      <c r="L45" s="136">
        <f t="shared" si="16"/>
        <v>0</v>
      </c>
      <c r="M45" s="136">
        <f t="shared" si="16"/>
        <v>0</v>
      </c>
      <c r="N45" s="136">
        <f t="shared" si="16"/>
        <v>0</v>
      </c>
      <c r="O45" s="136">
        <f t="shared" si="16"/>
        <v>0</v>
      </c>
      <c r="P45" s="136">
        <f t="shared" si="16"/>
        <v>0</v>
      </c>
      <c r="Q45" s="2"/>
      <c r="R45" s="135" t="str">
        <f t="shared" si="4"/>
        <v>AM.3400</v>
      </c>
      <c r="S45" s="245" t="str">
        <f>+IF(C45=TF[[#This Row],[ITEM]],"ok","mal")</f>
        <v>ok</v>
      </c>
      <c r="T45" s="246">
        <f t="shared" si="2"/>
        <v>0</v>
      </c>
      <c r="U45" s="80">
        <f>IF(VLOOKUP(R45,TbPiezas[],5,0)="NA",0,VLOOKUP(R45,TbPiezas[],5,0))</f>
        <v>5</v>
      </c>
      <c r="V45" s="81">
        <f>+TF[[#This Row],[TOTAL]]*TF[[#This Row],[P.U. (1)]]</f>
        <v>0</v>
      </c>
      <c r="W45" s="247">
        <f>+VLOOKUP(R45,TbPiezas[],6,0)</f>
        <v>139.11000000000001</v>
      </c>
      <c r="X45" s="248">
        <f>ROUND(TF[[#This Row],[TOTAL]]*TF[[#This Row],[P.U. (2)]],2)</f>
        <v>0</v>
      </c>
      <c r="Y45" s="247">
        <f>+VLOOKUP(R45,TbPiezas[],7,0)</f>
        <v>6.9555000000000007</v>
      </c>
      <c r="Z45" s="249">
        <f>ROUND(TF[[#This Row],[TOTAL]]*TF[[#This Row],[P.U. (3)]],2)</f>
        <v>0</v>
      </c>
    </row>
    <row r="46" spans="2:26" x14ac:dyDescent="0.3">
      <c r="B46" s="135">
        <v>2572</v>
      </c>
      <c r="C46" s="135" t="s">
        <v>77</v>
      </c>
      <c r="D46" s="135" t="s">
        <v>78</v>
      </c>
      <c r="E46" s="2"/>
      <c r="F46" s="136">
        <f t="shared" si="16"/>
        <v>0</v>
      </c>
      <c r="G46" s="136">
        <f t="shared" si="16"/>
        <v>0</v>
      </c>
      <c r="H46" s="136">
        <f t="shared" si="16"/>
        <v>0</v>
      </c>
      <c r="I46" s="136">
        <f t="shared" si="16"/>
        <v>0</v>
      </c>
      <c r="J46" s="136">
        <f t="shared" si="16"/>
        <v>0</v>
      </c>
      <c r="K46" s="136">
        <f t="shared" si="16"/>
        <v>0</v>
      </c>
      <c r="L46" s="136">
        <f t="shared" si="16"/>
        <v>0</v>
      </c>
      <c r="M46" s="136">
        <f t="shared" si="16"/>
        <v>0</v>
      </c>
      <c r="N46" s="136">
        <f t="shared" si="16"/>
        <v>0</v>
      </c>
      <c r="O46" s="136">
        <f t="shared" si="16"/>
        <v>0</v>
      </c>
      <c r="P46" s="136">
        <f t="shared" si="16"/>
        <v>0</v>
      </c>
      <c r="Q46" s="2"/>
      <c r="R46" s="135" t="str">
        <f t="shared" si="4"/>
        <v>AM.3500</v>
      </c>
      <c r="S46" s="245" t="str">
        <f>+IF(C46=TF[[#This Row],[ITEM]],"ok","mal")</f>
        <v>ok</v>
      </c>
      <c r="T46" s="246">
        <f t="shared" si="2"/>
        <v>0</v>
      </c>
      <c r="U46" s="80">
        <f>IF(VLOOKUP(R46,TbPiezas[],5,0)="NA",0,VLOOKUP(R46,TbPiezas[],5,0))</f>
        <v>3.5</v>
      </c>
      <c r="V46" s="81">
        <f>+TF[[#This Row],[TOTAL]]*TF[[#This Row],[P.U. (1)]]</f>
        <v>0</v>
      </c>
      <c r="W46" s="247">
        <f>+VLOOKUP(R46,TbPiezas[],6,0)</f>
        <v>136.57</v>
      </c>
      <c r="X46" s="248">
        <f>ROUND(TF[[#This Row],[TOTAL]]*TF[[#This Row],[P.U. (2)]],2)</f>
        <v>0</v>
      </c>
      <c r="Y46" s="247">
        <f>+VLOOKUP(R46,TbPiezas[],7,0)</f>
        <v>6.8285</v>
      </c>
      <c r="Z46" s="249">
        <f>ROUND(TF[[#This Row],[TOTAL]]*TF[[#This Row],[P.U. (3)]],2)</f>
        <v>0</v>
      </c>
    </row>
    <row r="47" spans="2:26" x14ac:dyDescent="0.3">
      <c r="B47" s="135">
        <v>2072</v>
      </c>
      <c r="C47" s="135" t="s">
        <v>79</v>
      </c>
      <c r="D47" s="135" t="s">
        <v>80</v>
      </c>
      <c r="E47" s="2"/>
      <c r="F47" s="136">
        <f t="shared" si="16"/>
        <v>0</v>
      </c>
      <c r="G47" s="136">
        <f t="shared" si="16"/>
        <v>0</v>
      </c>
      <c r="H47" s="136">
        <f t="shared" si="16"/>
        <v>0</v>
      </c>
      <c r="I47" s="136">
        <f t="shared" si="16"/>
        <v>0</v>
      </c>
      <c r="J47" s="136">
        <f t="shared" si="16"/>
        <v>0</v>
      </c>
      <c r="K47" s="136">
        <f t="shared" si="16"/>
        <v>0</v>
      </c>
      <c r="L47" s="136">
        <f t="shared" si="16"/>
        <v>0</v>
      </c>
      <c r="M47" s="136">
        <f t="shared" si="16"/>
        <v>0</v>
      </c>
      <c r="N47" s="136">
        <f t="shared" si="16"/>
        <v>0</v>
      </c>
      <c r="O47" s="136">
        <f t="shared" si="16"/>
        <v>0</v>
      </c>
      <c r="P47" s="136">
        <f t="shared" si="16"/>
        <v>0</v>
      </c>
      <c r="Q47" s="2"/>
      <c r="R47" s="135" t="str">
        <f t="shared" si="4"/>
        <v>AM.3600</v>
      </c>
      <c r="S47" s="245" t="str">
        <f>+IF(C47=TF[[#This Row],[ITEM]],"ok","mal")</f>
        <v>ok</v>
      </c>
      <c r="T47" s="246">
        <f t="shared" si="2"/>
        <v>0</v>
      </c>
      <c r="U47" s="80">
        <f>IF(VLOOKUP(R47,TbPiezas[],5,0)="NA",0,VLOOKUP(R47,TbPiezas[],5,0))</f>
        <v>2.5999999999999943</v>
      </c>
      <c r="V47" s="81">
        <f>+TF[[#This Row],[TOTAL]]*TF[[#This Row],[P.U. (1)]]</f>
        <v>0</v>
      </c>
      <c r="W47" s="247">
        <f>+VLOOKUP(R47,TbPiezas[],6,0)</f>
        <v>128.38</v>
      </c>
      <c r="X47" s="248">
        <f>ROUND(TF[[#This Row],[TOTAL]]*TF[[#This Row],[P.U. (2)]],2)</f>
        <v>0</v>
      </c>
      <c r="Y47" s="247">
        <f>+VLOOKUP(R47,TbPiezas[],7,0)</f>
        <v>6.4190000000000005</v>
      </c>
      <c r="Z47" s="249">
        <f>ROUND(TF[[#This Row],[TOTAL]]*TF[[#This Row],[P.U. (3)]],2)</f>
        <v>0</v>
      </c>
    </row>
    <row r="48" spans="2:26" x14ac:dyDescent="0.3">
      <c r="B48" s="135">
        <v>1020</v>
      </c>
      <c r="C48" s="135" t="s">
        <v>81</v>
      </c>
      <c r="D48" s="135" t="s">
        <v>82</v>
      </c>
      <c r="E48" s="2"/>
      <c r="F48" s="136">
        <f t="shared" ref="F48:P48" si="17">IF(OR(AND(F$5=1090,F$16="ESP"),AND(F$5=1020,F$16="CHI"),AND(F$5=1020,F$16="NEO")),"ERROR",IF(AND($B48=F$5,F$16="ESP"),IF(F$9="NORMAL",IF(ISEVEN(F$7),0.5*F$7,0.5*F$7+0.5),IF(ISEVEN(F$7),0.5*F$7+1,"NA/NE")),))+IF(OR(AND(F$6=1090,F$16="ESP"),AND(F$6=1020,F$16="CHI"),AND(F$6=1020,F$16="NEO")),"ERROR",IF(AND($B48=F$6,F$16="ESP"),IF(F$9="NORMAL",IF(AND(F$5&gt;0,E$5&gt;0),,IF(ISEVEN(F$7),F$7,F$7-1)),IF(AND(F$5&gt;0,E$5&gt;0),,IF(ISEVEN(F$7),F$7+2,"NA/NE"))),))</f>
        <v>0</v>
      </c>
      <c r="G48" s="136">
        <f t="shared" si="17"/>
        <v>0</v>
      </c>
      <c r="H48" s="136">
        <f t="shared" si="17"/>
        <v>0</v>
      </c>
      <c r="I48" s="136">
        <f t="shared" si="17"/>
        <v>0</v>
      </c>
      <c r="J48" s="136">
        <f t="shared" si="17"/>
        <v>0</v>
      </c>
      <c r="K48" s="136">
        <f t="shared" si="17"/>
        <v>0</v>
      </c>
      <c r="L48" s="136">
        <f t="shared" si="17"/>
        <v>0</v>
      </c>
      <c r="M48" s="136">
        <f t="shared" si="17"/>
        <v>0</v>
      </c>
      <c r="N48" s="136">
        <f t="shared" si="17"/>
        <v>0</v>
      </c>
      <c r="O48" s="136">
        <f t="shared" si="17"/>
        <v>0</v>
      </c>
      <c r="P48" s="136">
        <f t="shared" si="17"/>
        <v>0</v>
      </c>
      <c r="Q48" s="2"/>
      <c r="R48" s="135" t="str">
        <f t="shared" si="4"/>
        <v>AM.3700</v>
      </c>
      <c r="S48" s="245" t="str">
        <f>+IF(C48=TF[[#This Row],[ITEM]],"ok","mal")</f>
        <v>ok</v>
      </c>
      <c r="T48" s="246">
        <f t="shared" si="2"/>
        <v>0</v>
      </c>
      <c r="U48" s="80">
        <f>IF(VLOOKUP(R48,TbPiezas[],5,0)="NA",0,VLOOKUP(R48,TbPiezas[],5,0))</f>
        <v>1.4000000000000057</v>
      </c>
      <c r="V48" s="81">
        <f>+TF[[#This Row],[TOTAL]]*TF[[#This Row],[P.U. (1)]]</f>
        <v>0</v>
      </c>
      <c r="W48" s="247">
        <f>+VLOOKUP(R48,TbPiezas[],6,0)</f>
        <v>109.33</v>
      </c>
      <c r="X48" s="248">
        <f>ROUND(TF[[#This Row],[TOTAL]]*TF[[#This Row],[P.U. (2)]],2)</f>
        <v>0</v>
      </c>
      <c r="Y48" s="247">
        <f>+VLOOKUP(R48,TbPiezas[],7,0)</f>
        <v>5.4664999999999999</v>
      </c>
      <c r="Z48" s="249">
        <f>ROUND(TF[[#This Row],[TOTAL]]*TF[[#This Row],[P.U. (3)]],2)</f>
        <v>0</v>
      </c>
    </row>
    <row r="49" spans="2:26" x14ac:dyDescent="0.3">
      <c r="B49" s="135">
        <v>732</v>
      </c>
      <c r="C49" s="135" t="s">
        <v>83</v>
      </c>
      <c r="D49" s="135" t="s">
        <v>84</v>
      </c>
      <c r="E49" s="2"/>
      <c r="F49" s="136">
        <f t="shared" ref="F49:P49" si="18">IF(OR(AND(F$5=1090,F$16="ESP"),AND(F$5=1020,F$16="CHI"),AND(F$5=1020,F$16="NEO")),"ERROR",IF(AND($B49=F$5,F$16="ESP"),IF(F$9="NORMAL",IF(ISEVEN(F$7),0.5*F$7,0.5*F$7+0.5),IF(ISEVEN(F$7),0.5*F$7+1,"NA/NE")),))+IF(OR(AND(F$6=1090,F$16="ESP"),AND(F$6=1020,F$16="CHI"),AND(F$6=1020,F$16="NEO")),"ERROR",IF(AND($B49=F$6,F$16="ESP"),IF(F$9="NORMAL",IF(AND(F$5&gt;0,E$5&gt;0),,IF(ISEVEN(F$7),F$7,F$7-1)),IF(AND(F$5&gt;0,E$5&gt;0),,IF(ISEVEN(F$7),F$7+2,"NA/NE"))),))</f>
        <v>0</v>
      </c>
      <c r="G49" s="136">
        <f t="shared" si="18"/>
        <v>0</v>
      </c>
      <c r="H49" s="136">
        <f t="shared" si="18"/>
        <v>0</v>
      </c>
      <c r="I49" s="136">
        <f t="shared" si="18"/>
        <v>0</v>
      </c>
      <c r="J49" s="136">
        <f t="shared" si="18"/>
        <v>0</v>
      </c>
      <c r="K49" s="136">
        <f t="shared" si="18"/>
        <v>0</v>
      </c>
      <c r="L49" s="136">
        <f t="shared" si="18"/>
        <v>0</v>
      </c>
      <c r="M49" s="136">
        <f t="shared" si="18"/>
        <v>0</v>
      </c>
      <c r="N49" s="136">
        <f t="shared" si="18"/>
        <v>0</v>
      </c>
      <c r="O49" s="136">
        <f t="shared" si="18"/>
        <v>0</v>
      </c>
      <c r="P49" s="136">
        <f t="shared" si="18"/>
        <v>0</v>
      </c>
      <c r="Q49" s="2"/>
      <c r="R49" s="135" t="str">
        <f t="shared" si="4"/>
        <v>AM.3800</v>
      </c>
      <c r="S49" s="245" t="str">
        <f>+IF(C49=TF[[#This Row],[ITEM]],"ok","mal")</f>
        <v>ok</v>
      </c>
      <c r="T49" s="246">
        <f t="shared" si="2"/>
        <v>0</v>
      </c>
      <c r="U49" s="80">
        <f>IF(VLOOKUP(R49,TbPiezas[],5,0)="NA",0,VLOOKUP(R49,TbPiezas[],5,0))</f>
        <v>0.79999999999999716</v>
      </c>
      <c r="V49" s="81">
        <f>+TF[[#This Row],[TOTAL]]*TF[[#This Row],[P.U. (1)]]</f>
        <v>0</v>
      </c>
      <c r="W49" s="247">
        <f>+VLOOKUP(R49,TbPiezas[],6,0)</f>
        <v>91.83</v>
      </c>
      <c r="X49" s="248">
        <f>ROUND(TF[[#This Row],[TOTAL]]*TF[[#This Row],[P.U. (2)]],2)</f>
        <v>0</v>
      </c>
      <c r="Y49" s="247">
        <f>+VLOOKUP(R49,TbPiezas[],7,0)</f>
        <v>4.5914999999999999</v>
      </c>
      <c r="Z49" s="249">
        <f>ROUND(TF[[#This Row],[TOTAL]]*TF[[#This Row],[P.U. (3)]],2)</f>
        <v>0</v>
      </c>
    </row>
    <row r="50" spans="2:26" x14ac:dyDescent="0.3">
      <c r="B50" s="135">
        <v>3072</v>
      </c>
      <c r="C50" s="135" t="s">
        <v>85</v>
      </c>
      <c r="D50" s="135" t="s">
        <v>86</v>
      </c>
      <c r="E50" s="2"/>
      <c r="F50" s="136">
        <f t="shared" ref="F50:P53" si="19">IF(OR(AND(F$5=1090,F$16="ESP"),AND(F$5=1020,F$16="CHI"),AND(F$5=1020,F$16="NEO")),"ERROR",IF(AND($B50=F$5,F$16="CHI"),IF(F$9="NORMAL",IF(ISEVEN(F$7),0.5*F$7,0.5*F$7+0.5),IF(ISEVEN(F$7),0.5*F$7+1,"NA/NE")),))</f>
        <v>0</v>
      </c>
      <c r="G50" s="136">
        <f t="shared" si="19"/>
        <v>0</v>
      </c>
      <c r="H50" s="136">
        <f t="shared" si="19"/>
        <v>0</v>
      </c>
      <c r="I50" s="136">
        <f t="shared" si="19"/>
        <v>0</v>
      </c>
      <c r="J50" s="136">
        <f t="shared" si="19"/>
        <v>0</v>
      </c>
      <c r="K50" s="136">
        <f t="shared" si="19"/>
        <v>0</v>
      </c>
      <c r="L50" s="136">
        <f t="shared" si="19"/>
        <v>0</v>
      </c>
      <c r="M50" s="136">
        <f t="shared" si="19"/>
        <v>0</v>
      </c>
      <c r="N50" s="136">
        <f t="shared" si="19"/>
        <v>0</v>
      </c>
      <c r="O50" s="136">
        <f t="shared" si="19"/>
        <v>0</v>
      </c>
      <c r="P50" s="136">
        <f t="shared" si="19"/>
        <v>0</v>
      </c>
      <c r="Q50" s="2"/>
      <c r="R50" s="135" t="str">
        <f t="shared" si="4"/>
        <v>AM.3900</v>
      </c>
      <c r="S50" s="245" t="str">
        <f>+IF(C50=TF[[#This Row],[ITEM]],"ok","mal")</f>
        <v>ok</v>
      </c>
      <c r="T50" s="246">
        <f t="shared" si="2"/>
        <v>0</v>
      </c>
      <c r="U50" s="80">
        <f>IF(VLOOKUP(R50,TbPiezas[],5,0)="NA",0,VLOOKUP(R50,TbPiezas[],5,0))</f>
        <v>7.5</v>
      </c>
      <c r="V50" s="81">
        <f>+TF[[#This Row],[TOTAL]]*TF[[#This Row],[P.U. (1)]]</f>
        <v>0</v>
      </c>
      <c r="W50" s="247">
        <f>+VLOOKUP(R50,TbPiezas[],6,0)</f>
        <v>139.11000000000001</v>
      </c>
      <c r="X50" s="248">
        <f>ROUND(TF[[#This Row],[TOTAL]]*TF[[#This Row],[P.U. (2)]],2)</f>
        <v>0</v>
      </c>
      <c r="Y50" s="247">
        <f>+VLOOKUP(R50,TbPiezas[],7,0)</f>
        <v>6.9555000000000007</v>
      </c>
      <c r="Z50" s="249">
        <f>ROUND(TF[[#This Row],[TOTAL]]*TF[[#This Row],[P.U. (3)]],2)</f>
        <v>0</v>
      </c>
    </row>
    <row r="51" spans="2:26" x14ac:dyDescent="0.3">
      <c r="B51" s="135">
        <v>2572</v>
      </c>
      <c r="C51" s="135" t="s">
        <v>87</v>
      </c>
      <c r="D51" s="135" t="s">
        <v>88</v>
      </c>
      <c r="E51" s="2"/>
      <c r="F51" s="136">
        <f t="shared" si="19"/>
        <v>0</v>
      </c>
      <c r="G51" s="136">
        <f t="shared" si="19"/>
        <v>0</v>
      </c>
      <c r="H51" s="136">
        <f t="shared" si="19"/>
        <v>0</v>
      </c>
      <c r="I51" s="136">
        <f t="shared" si="19"/>
        <v>0</v>
      </c>
      <c r="J51" s="136">
        <f t="shared" si="19"/>
        <v>0</v>
      </c>
      <c r="K51" s="136">
        <f t="shared" si="19"/>
        <v>0</v>
      </c>
      <c r="L51" s="136">
        <f t="shared" si="19"/>
        <v>0</v>
      </c>
      <c r="M51" s="136">
        <f t="shared" si="19"/>
        <v>0</v>
      </c>
      <c r="N51" s="136">
        <f t="shared" si="19"/>
        <v>0</v>
      </c>
      <c r="O51" s="136">
        <f t="shared" si="19"/>
        <v>0</v>
      </c>
      <c r="P51" s="136">
        <f t="shared" si="19"/>
        <v>0</v>
      </c>
      <c r="Q51" s="2"/>
      <c r="R51" s="135" t="str">
        <f t="shared" si="4"/>
        <v>AM.4000</v>
      </c>
      <c r="S51" s="245" t="str">
        <f>+IF(C51=TF[[#This Row],[ITEM]],"ok","mal")</f>
        <v>ok</v>
      </c>
      <c r="T51" s="246">
        <f t="shared" si="2"/>
        <v>0</v>
      </c>
      <c r="U51" s="80">
        <f>IF(VLOOKUP(R51,TbPiezas[],5,0)="NA",0,VLOOKUP(R51,TbPiezas[],5,0))</f>
        <v>5.7999999999999972</v>
      </c>
      <c r="V51" s="81">
        <f>+TF[[#This Row],[TOTAL]]*TF[[#This Row],[P.U. (1)]]</f>
        <v>0</v>
      </c>
      <c r="W51" s="247">
        <f>+VLOOKUP(R51,TbPiezas[],6,0)</f>
        <v>136.57</v>
      </c>
      <c r="X51" s="248">
        <f>ROUND(TF[[#This Row],[TOTAL]]*TF[[#This Row],[P.U. (2)]],2)</f>
        <v>0</v>
      </c>
      <c r="Y51" s="247">
        <f>+VLOOKUP(R51,TbPiezas[],7,0)</f>
        <v>6.8285</v>
      </c>
      <c r="Z51" s="249">
        <f>ROUND(TF[[#This Row],[TOTAL]]*TF[[#This Row],[P.U. (3)]],2)</f>
        <v>0</v>
      </c>
    </row>
    <row r="52" spans="2:26" x14ac:dyDescent="0.3">
      <c r="B52" s="135">
        <v>2072</v>
      </c>
      <c r="C52" s="135" t="s">
        <v>89</v>
      </c>
      <c r="D52" s="135" t="s">
        <v>90</v>
      </c>
      <c r="E52" s="2"/>
      <c r="F52" s="136">
        <f t="shared" si="19"/>
        <v>0</v>
      </c>
      <c r="G52" s="136">
        <f t="shared" si="19"/>
        <v>0</v>
      </c>
      <c r="H52" s="136">
        <f t="shared" si="19"/>
        <v>0</v>
      </c>
      <c r="I52" s="136">
        <f t="shared" si="19"/>
        <v>0</v>
      </c>
      <c r="J52" s="136">
        <f t="shared" si="19"/>
        <v>0</v>
      </c>
      <c r="K52" s="136">
        <f t="shared" si="19"/>
        <v>0</v>
      </c>
      <c r="L52" s="136">
        <f t="shared" si="19"/>
        <v>0</v>
      </c>
      <c r="M52" s="136">
        <f t="shared" si="19"/>
        <v>0</v>
      </c>
      <c r="N52" s="136">
        <f t="shared" si="19"/>
        <v>0</v>
      </c>
      <c r="O52" s="136">
        <f t="shared" si="19"/>
        <v>0</v>
      </c>
      <c r="P52" s="136">
        <f t="shared" si="19"/>
        <v>0</v>
      </c>
      <c r="Q52" s="2"/>
      <c r="R52" s="135" t="str">
        <f t="shared" si="4"/>
        <v>AM.4100</v>
      </c>
      <c r="S52" s="245" t="str">
        <f>+IF(C52=TF[[#This Row],[ITEM]],"ok","mal")</f>
        <v>ok</v>
      </c>
      <c r="T52" s="246">
        <f t="shared" ref="T52:T83" si="20">SUM(E52:Q52)</f>
        <v>0</v>
      </c>
      <c r="U52" s="80">
        <f>IF(VLOOKUP(R52,TbPiezas[],5,0)="NA",0,VLOOKUP(R52,TbPiezas[],5,0))</f>
        <v>4.7999999999999972</v>
      </c>
      <c r="V52" s="81">
        <f>+TF[[#This Row],[TOTAL]]*TF[[#This Row],[P.U. (1)]]</f>
        <v>0</v>
      </c>
      <c r="W52" s="247">
        <f>+VLOOKUP(R52,TbPiezas[],6,0)</f>
        <v>128.38</v>
      </c>
      <c r="X52" s="248">
        <f>ROUND(TF[[#This Row],[TOTAL]]*TF[[#This Row],[P.U. (2)]],2)</f>
        <v>0</v>
      </c>
      <c r="Y52" s="247">
        <f>+VLOOKUP(R52,TbPiezas[],7,0)</f>
        <v>6.4190000000000005</v>
      </c>
      <c r="Z52" s="249">
        <f>ROUND(TF[[#This Row],[TOTAL]]*TF[[#This Row],[P.U. (3)]],2)</f>
        <v>0</v>
      </c>
    </row>
    <row r="53" spans="2:26" x14ac:dyDescent="0.3">
      <c r="B53" s="135">
        <v>1572</v>
      </c>
      <c r="C53" s="135" t="s">
        <v>91</v>
      </c>
      <c r="D53" s="135" t="s">
        <v>92</v>
      </c>
      <c r="E53" s="2"/>
      <c r="F53" s="136">
        <f t="shared" si="19"/>
        <v>0</v>
      </c>
      <c r="G53" s="136">
        <f t="shared" si="19"/>
        <v>0</v>
      </c>
      <c r="H53" s="136">
        <f t="shared" si="19"/>
        <v>0</v>
      </c>
      <c r="I53" s="136">
        <f t="shared" si="19"/>
        <v>0</v>
      </c>
      <c r="J53" s="136">
        <f t="shared" si="19"/>
        <v>0</v>
      </c>
      <c r="K53" s="136">
        <f t="shared" si="19"/>
        <v>0</v>
      </c>
      <c r="L53" s="136">
        <f t="shared" si="19"/>
        <v>0</v>
      </c>
      <c r="M53" s="136">
        <f t="shared" si="19"/>
        <v>0</v>
      </c>
      <c r="N53" s="136">
        <f t="shared" si="19"/>
        <v>0</v>
      </c>
      <c r="O53" s="136">
        <f t="shared" si="19"/>
        <v>0</v>
      </c>
      <c r="P53" s="136">
        <f t="shared" si="19"/>
        <v>0</v>
      </c>
      <c r="Q53" s="2"/>
      <c r="R53" s="135" t="str">
        <f t="shared" si="4"/>
        <v>AM.4200</v>
      </c>
      <c r="S53" s="245" t="str">
        <f>+IF(C53=TF[[#This Row],[ITEM]],"ok","mal")</f>
        <v>ok</v>
      </c>
      <c r="T53" s="246">
        <f t="shared" si="20"/>
        <v>0</v>
      </c>
      <c r="U53" s="80">
        <f>IF(VLOOKUP(R53,TbPiezas[],5,0)="NA",0,VLOOKUP(R53,TbPiezas[],5,0))</f>
        <v>2.7000000000000028</v>
      </c>
      <c r="V53" s="81">
        <f>+TF[[#This Row],[TOTAL]]*TF[[#This Row],[P.U. (1)]]</f>
        <v>0</v>
      </c>
      <c r="W53" s="247">
        <f>+VLOOKUP(R53,TbPiezas[],6,0)</f>
        <v>124.8</v>
      </c>
      <c r="X53" s="248">
        <f>ROUND(TF[[#This Row],[TOTAL]]*TF[[#This Row],[P.U. (2)]],2)</f>
        <v>0</v>
      </c>
      <c r="Y53" s="247">
        <f>+VLOOKUP(R53,TbPiezas[],7,0)</f>
        <v>6.24</v>
      </c>
      <c r="Z53" s="249">
        <f>ROUND(TF[[#This Row],[TOTAL]]*TF[[#This Row],[P.U. (3)]],2)</f>
        <v>0</v>
      </c>
    </row>
    <row r="54" spans="2:26" x14ac:dyDescent="0.3">
      <c r="B54" s="135">
        <v>1090</v>
      </c>
      <c r="C54" s="135" t="s">
        <v>93</v>
      </c>
      <c r="D54" s="135" t="s">
        <v>94</v>
      </c>
      <c r="E54" s="2"/>
      <c r="F54" s="136">
        <f t="shared" ref="F54:P54" si="21">IF(OR(AND(F$5=1090,F$16="ESP"),AND(F$5=1020,F$16="CHI"),AND(F$5=1020,F$16="NEO")),"ERROR",IF(AND($B54=F$5,F$16="CHI"),IF(F$9="NORMAL",IF(ISEVEN(F$7),0.5*F$7,0.5*F$7+0.5),IF(ISEVEN(F$7),0.5*F$7+1,"NA/NE")),))+IF(OR(AND(F$6=1090,F$16="ESP"),AND(F$6=1020,F$16="CHI"),AND(F$6=1020,F$16="NEO")),"ERROR",IF(AND($B54=F$6,F$16="CHI"),IF(F$9="NORMAL",IF(AND(F$5&gt;0,E$5&gt;0),,IF(ISEVEN(F$7),F$7,F$7-1)),IF(AND(F$5&gt;0,E$5&gt;0),,IF(ISEVEN(F$7),F$7+2,"NA/NE"))),))</f>
        <v>0</v>
      </c>
      <c r="G54" s="136">
        <f t="shared" si="21"/>
        <v>0</v>
      </c>
      <c r="H54" s="136">
        <f t="shared" si="21"/>
        <v>0</v>
      </c>
      <c r="I54" s="136">
        <f t="shared" si="21"/>
        <v>0</v>
      </c>
      <c r="J54" s="136">
        <f t="shared" si="21"/>
        <v>0</v>
      </c>
      <c r="K54" s="136">
        <f t="shared" si="21"/>
        <v>0</v>
      </c>
      <c r="L54" s="136">
        <f t="shared" si="21"/>
        <v>0</v>
      </c>
      <c r="M54" s="136">
        <f t="shared" si="21"/>
        <v>0</v>
      </c>
      <c r="N54" s="136">
        <f t="shared" si="21"/>
        <v>0</v>
      </c>
      <c r="O54" s="136">
        <f t="shared" si="21"/>
        <v>0</v>
      </c>
      <c r="P54" s="136">
        <f t="shared" si="21"/>
        <v>0</v>
      </c>
      <c r="Q54" s="2"/>
      <c r="R54" s="135" t="str">
        <f t="shared" si="4"/>
        <v>AM.4300</v>
      </c>
      <c r="S54" s="245" t="str">
        <f>+IF(C54=TF[[#This Row],[ITEM]],"ok","mal")</f>
        <v>ok</v>
      </c>
      <c r="T54" s="246">
        <f t="shared" si="20"/>
        <v>0</v>
      </c>
      <c r="U54" s="80">
        <f>IF(VLOOKUP(R54,TbPiezas[],5,0)="NA",0,VLOOKUP(R54,TbPiezas[],5,0))</f>
        <v>1.2999999999999972</v>
      </c>
      <c r="V54" s="81">
        <f>+TF[[#This Row],[TOTAL]]*TF[[#This Row],[P.U. (1)]]</f>
        <v>0</v>
      </c>
      <c r="W54" s="247">
        <f>+VLOOKUP(R54,TbPiezas[],6,0)</f>
        <v>109.33</v>
      </c>
      <c r="X54" s="248">
        <f>ROUND(TF[[#This Row],[TOTAL]]*TF[[#This Row],[P.U. (2)]],2)</f>
        <v>0</v>
      </c>
      <c r="Y54" s="247">
        <f>+VLOOKUP(R54,TbPiezas[],7,0)</f>
        <v>5.4664999999999999</v>
      </c>
      <c r="Z54" s="249">
        <f>ROUND(TF[[#This Row],[TOTAL]]*TF[[#This Row],[P.U. (3)]],2)</f>
        <v>0</v>
      </c>
    </row>
    <row r="55" spans="2:26" x14ac:dyDescent="0.3">
      <c r="B55" s="135">
        <v>732</v>
      </c>
      <c r="C55" s="135" t="s">
        <v>95</v>
      </c>
      <c r="D55" s="135" t="s">
        <v>96</v>
      </c>
      <c r="E55" s="2"/>
      <c r="F55" s="136">
        <f t="shared" ref="F55:P55" si="22">IF(OR(AND(F$5=1090,F$16="ESP"),AND(F$5=1020,F$16="CHI"),AND(F$5=1020,F$16="NEO")),"ERROR",IF(AND($B55=F$5,F$16="CHI"),IF(F$9="NORMAL",IF(ISEVEN(F$7),0.5*F$7,0.5*F$7+0.5),IF(ISEVEN(F$7),0.5*F$7+1,"NA/NE")),))+IF(OR(AND(F$6=1090,F$16="ESP"),AND(F$6=1020,F$16="CHI"),AND(F$6=1020,F$16="NEO")),"ERROR",IF(AND($B55=F$6,F$16="CHI"),IF(F$9="NORMAL",IF(AND(F$5&gt;0,E$5&gt;0),,IF(ISEVEN(F$7),F$7,F$7-1)),IF(AND(F$5&gt;0,E$5&gt;0),,IF(ISEVEN(F$7),F$7+2,"NA/NE"))),))</f>
        <v>0</v>
      </c>
      <c r="G55" s="136">
        <f t="shared" si="22"/>
        <v>0</v>
      </c>
      <c r="H55" s="136">
        <f t="shared" si="22"/>
        <v>0</v>
      </c>
      <c r="I55" s="136">
        <f t="shared" si="22"/>
        <v>0</v>
      </c>
      <c r="J55" s="136">
        <f t="shared" si="22"/>
        <v>0</v>
      </c>
      <c r="K55" s="136">
        <f t="shared" si="22"/>
        <v>0</v>
      </c>
      <c r="L55" s="136">
        <f t="shared" si="22"/>
        <v>0</v>
      </c>
      <c r="M55" s="136">
        <f t="shared" si="22"/>
        <v>0</v>
      </c>
      <c r="N55" s="136">
        <f t="shared" si="22"/>
        <v>0</v>
      </c>
      <c r="O55" s="136">
        <f t="shared" si="22"/>
        <v>0</v>
      </c>
      <c r="P55" s="136">
        <f t="shared" si="22"/>
        <v>0</v>
      </c>
      <c r="Q55" s="2"/>
      <c r="R55" s="135" t="str">
        <f t="shared" si="4"/>
        <v>AM.4400</v>
      </c>
      <c r="S55" s="245" t="str">
        <f>+IF(C55=TF[[#This Row],[ITEM]],"ok","mal")</f>
        <v>ok</v>
      </c>
      <c r="T55" s="246">
        <f t="shared" si="20"/>
        <v>0</v>
      </c>
      <c r="U55" s="80">
        <f>IF(VLOOKUP(R55,TbPiezas[],5,0)="NA",0,VLOOKUP(R55,TbPiezas[],5,0))</f>
        <v>2.0999999999999943</v>
      </c>
      <c r="V55" s="81">
        <f>+TF[[#This Row],[TOTAL]]*TF[[#This Row],[P.U. (1)]]</f>
        <v>0</v>
      </c>
      <c r="W55" s="247">
        <f>+VLOOKUP(R55,TbPiezas[],6,0)</f>
        <v>91.83</v>
      </c>
      <c r="X55" s="248">
        <f>ROUND(TF[[#This Row],[TOTAL]]*TF[[#This Row],[P.U. (2)]],2)</f>
        <v>0</v>
      </c>
      <c r="Y55" s="247">
        <f>+VLOOKUP(R55,TbPiezas[],7,0)</f>
        <v>4.5914999999999999</v>
      </c>
      <c r="Z55" s="249">
        <f>ROUND(TF[[#This Row],[TOTAL]]*TF[[#This Row],[P.U. (3)]],2)</f>
        <v>0</v>
      </c>
    </row>
    <row r="56" spans="2:26" x14ac:dyDescent="0.3">
      <c r="B56" s="135">
        <v>3072</v>
      </c>
      <c r="C56" s="135" t="s">
        <v>97</v>
      </c>
      <c r="D56" s="135" t="s">
        <v>98</v>
      </c>
      <c r="E56" s="2"/>
      <c r="F56" s="136">
        <f t="shared" ref="F56:P59" si="23">IF(OR(AND(F$5=1090,F$16="ESP"),AND(F$5=1020,F$16="CHI"),AND(F$5=1020,F$16="NEO")),"ERROR",IF(AND($B56=F$5,F$16="NEO"),IF(F$9="NORMAL",IF(ISEVEN(F$7),0.5*F$7,0.5*F$7+0.5),IF(ISEVEN(F$7),0.5*F$7+1,"NA/NE")),))</f>
        <v>0</v>
      </c>
      <c r="G56" s="136">
        <f t="shared" si="23"/>
        <v>0</v>
      </c>
      <c r="H56" s="136">
        <f t="shared" si="23"/>
        <v>0</v>
      </c>
      <c r="I56" s="136">
        <f t="shared" si="23"/>
        <v>0</v>
      </c>
      <c r="J56" s="136">
        <f t="shared" si="23"/>
        <v>0</v>
      </c>
      <c r="K56" s="136">
        <f t="shared" si="23"/>
        <v>0</v>
      </c>
      <c r="L56" s="136">
        <f t="shared" si="23"/>
        <v>0</v>
      </c>
      <c r="M56" s="136">
        <f t="shared" si="23"/>
        <v>0</v>
      </c>
      <c r="N56" s="136">
        <f t="shared" si="23"/>
        <v>0</v>
      </c>
      <c r="O56" s="136">
        <f t="shared" si="23"/>
        <v>0</v>
      </c>
      <c r="P56" s="136">
        <f t="shared" si="23"/>
        <v>0</v>
      </c>
      <c r="Q56" s="2"/>
      <c r="R56" s="135" t="str">
        <f t="shared" si="4"/>
        <v>AM.4500</v>
      </c>
      <c r="S56" s="245" t="str">
        <f>+IF(C56=TF[[#This Row],[ITEM]],"ok","mal")</f>
        <v>ok</v>
      </c>
      <c r="T56" s="246">
        <f t="shared" si="20"/>
        <v>0</v>
      </c>
      <c r="U56" s="80">
        <f>IF(VLOOKUP(R56,TbPiezas[],5,0)="NA",0,VLOOKUP(R56,TbPiezas[],5,0))</f>
        <v>10.5</v>
      </c>
      <c r="V56" s="81">
        <f>+TF[[#This Row],[TOTAL]]*TF[[#This Row],[P.U. (1)]]</f>
        <v>0</v>
      </c>
      <c r="W56" s="247">
        <f>+VLOOKUP(R56,TbPiezas[],6,0)</f>
        <v>139.11000000000001</v>
      </c>
      <c r="X56" s="248">
        <f>ROUND(TF[[#This Row],[TOTAL]]*TF[[#This Row],[P.U. (2)]],2)</f>
        <v>0</v>
      </c>
      <c r="Y56" s="247">
        <f>+VLOOKUP(R56,TbPiezas[],7,0)</f>
        <v>6.9555000000000007</v>
      </c>
      <c r="Z56" s="249">
        <f>ROUND(TF[[#This Row],[TOTAL]]*TF[[#This Row],[P.U. (3)]],2)</f>
        <v>0</v>
      </c>
    </row>
    <row r="57" spans="2:26" x14ac:dyDescent="0.3">
      <c r="B57" s="135">
        <v>2572</v>
      </c>
      <c r="C57" s="135" t="s">
        <v>99</v>
      </c>
      <c r="D57" s="135" t="s">
        <v>100</v>
      </c>
      <c r="E57" s="2"/>
      <c r="F57" s="136">
        <f t="shared" si="23"/>
        <v>0</v>
      </c>
      <c r="G57" s="136">
        <f t="shared" si="23"/>
        <v>0</v>
      </c>
      <c r="H57" s="136">
        <f t="shared" si="23"/>
        <v>0</v>
      </c>
      <c r="I57" s="136">
        <f t="shared" si="23"/>
        <v>0</v>
      </c>
      <c r="J57" s="136">
        <f t="shared" si="23"/>
        <v>0</v>
      </c>
      <c r="K57" s="136">
        <f t="shared" si="23"/>
        <v>0</v>
      </c>
      <c r="L57" s="136">
        <f t="shared" si="23"/>
        <v>0</v>
      </c>
      <c r="M57" s="136">
        <f t="shared" si="23"/>
        <v>0</v>
      </c>
      <c r="N57" s="136">
        <f t="shared" si="23"/>
        <v>0</v>
      </c>
      <c r="O57" s="136">
        <f t="shared" si="23"/>
        <v>0</v>
      </c>
      <c r="P57" s="136">
        <f t="shared" si="23"/>
        <v>0</v>
      </c>
      <c r="Q57" s="2"/>
      <c r="R57" s="135" t="str">
        <f t="shared" si="4"/>
        <v>AM.4600</v>
      </c>
      <c r="S57" s="245" t="str">
        <f>+IF(C57=TF[[#This Row],[ITEM]],"ok","mal")</f>
        <v>ok</v>
      </c>
      <c r="T57" s="246">
        <f t="shared" si="20"/>
        <v>0</v>
      </c>
      <c r="U57" s="80">
        <f>IF(VLOOKUP(R57,TbPiezas[],5,0)="NA",0,VLOOKUP(R57,TbPiezas[],5,0))</f>
        <v>8.7999999999999972</v>
      </c>
      <c r="V57" s="81">
        <f>+TF[[#This Row],[TOTAL]]*TF[[#This Row],[P.U. (1)]]</f>
        <v>0</v>
      </c>
      <c r="W57" s="247">
        <f>+VLOOKUP(R57,TbPiezas[],6,0)</f>
        <v>136.57</v>
      </c>
      <c r="X57" s="248">
        <f>ROUND(TF[[#This Row],[TOTAL]]*TF[[#This Row],[P.U. (2)]],2)</f>
        <v>0</v>
      </c>
      <c r="Y57" s="247">
        <f>+VLOOKUP(R57,TbPiezas[],7,0)</f>
        <v>6.8285</v>
      </c>
      <c r="Z57" s="249">
        <f>ROUND(TF[[#This Row],[TOTAL]]*TF[[#This Row],[P.U. (3)]],2)</f>
        <v>0</v>
      </c>
    </row>
    <row r="58" spans="2:26" x14ac:dyDescent="0.3">
      <c r="B58" s="135">
        <v>2072</v>
      </c>
      <c r="C58" s="135" t="s">
        <v>101</v>
      </c>
      <c r="D58" s="135" t="s">
        <v>102</v>
      </c>
      <c r="E58" s="2"/>
      <c r="F58" s="136">
        <f t="shared" si="23"/>
        <v>0</v>
      </c>
      <c r="G58" s="136">
        <f t="shared" si="23"/>
        <v>0</v>
      </c>
      <c r="H58" s="136">
        <f t="shared" si="23"/>
        <v>0</v>
      </c>
      <c r="I58" s="136">
        <f t="shared" si="23"/>
        <v>0</v>
      </c>
      <c r="J58" s="136">
        <f t="shared" si="23"/>
        <v>0</v>
      </c>
      <c r="K58" s="136">
        <f t="shared" si="23"/>
        <v>0</v>
      </c>
      <c r="L58" s="136">
        <f t="shared" si="23"/>
        <v>0</v>
      </c>
      <c r="M58" s="136">
        <f t="shared" si="23"/>
        <v>0</v>
      </c>
      <c r="N58" s="136">
        <f t="shared" si="23"/>
        <v>0</v>
      </c>
      <c r="O58" s="136">
        <f t="shared" si="23"/>
        <v>0</v>
      </c>
      <c r="P58" s="136">
        <f t="shared" si="23"/>
        <v>0</v>
      </c>
      <c r="Q58" s="2"/>
      <c r="R58" s="135" t="str">
        <f t="shared" si="4"/>
        <v>AM.4700</v>
      </c>
      <c r="S58" s="245" t="str">
        <f>+IF(C58=TF[[#This Row],[ITEM]],"ok","mal")</f>
        <v>ok</v>
      </c>
      <c r="T58" s="246">
        <f t="shared" si="20"/>
        <v>0</v>
      </c>
      <c r="U58" s="80">
        <f>IF(VLOOKUP(R58,TbPiezas[],5,0)="NA",0,VLOOKUP(R58,TbPiezas[],5,0))</f>
        <v>5</v>
      </c>
      <c r="V58" s="81">
        <f>+TF[[#This Row],[TOTAL]]*TF[[#This Row],[P.U. (1)]]</f>
        <v>0</v>
      </c>
      <c r="W58" s="247">
        <f>+VLOOKUP(R58,TbPiezas[],6,0)</f>
        <v>128.38</v>
      </c>
      <c r="X58" s="248">
        <f>ROUND(TF[[#This Row],[TOTAL]]*TF[[#This Row],[P.U. (2)]],2)</f>
        <v>0</v>
      </c>
      <c r="Y58" s="247">
        <f>+VLOOKUP(R58,TbPiezas[],7,0)</f>
        <v>6.4190000000000005</v>
      </c>
      <c r="Z58" s="249">
        <f>ROUND(TF[[#This Row],[TOTAL]]*TF[[#This Row],[P.U. (3)]],2)</f>
        <v>0</v>
      </c>
    </row>
    <row r="59" spans="2:26" x14ac:dyDescent="0.3">
      <c r="B59" s="135">
        <v>1572</v>
      </c>
      <c r="C59" s="135" t="s">
        <v>103</v>
      </c>
      <c r="D59" s="135" t="s">
        <v>104</v>
      </c>
      <c r="E59" s="2"/>
      <c r="F59" s="136">
        <f t="shared" si="23"/>
        <v>0</v>
      </c>
      <c r="G59" s="136">
        <f t="shared" si="23"/>
        <v>0</v>
      </c>
      <c r="H59" s="136">
        <f t="shared" si="23"/>
        <v>0</v>
      </c>
      <c r="I59" s="136">
        <f t="shared" si="23"/>
        <v>0</v>
      </c>
      <c r="J59" s="136">
        <f t="shared" si="23"/>
        <v>0</v>
      </c>
      <c r="K59" s="136">
        <f t="shared" si="23"/>
        <v>0</v>
      </c>
      <c r="L59" s="136">
        <f t="shared" si="23"/>
        <v>0</v>
      </c>
      <c r="M59" s="136">
        <f t="shared" si="23"/>
        <v>0</v>
      </c>
      <c r="N59" s="136">
        <f t="shared" si="23"/>
        <v>0</v>
      </c>
      <c r="O59" s="136">
        <f t="shared" si="23"/>
        <v>0</v>
      </c>
      <c r="P59" s="136">
        <f t="shared" si="23"/>
        <v>0</v>
      </c>
      <c r="Q59" s="2"/>
      <c r="R59" s="135" t="str">
        <f t="shared" si="4"/>
        <v>AM.4800</v>
      </c>
      <c r="S59" s="245" t="str">
        <f>+IF(C59=TF[[#This Row],[ITEM]],"ok","mal")</f>
        <v>ok</v>
      </c>
      <c r="T59" s="246">
        <f t="shared" si="20"/>
        <v>0</v>
      </c>
      <c r="U59" s="80">
        <f>IF(VLOOKUP(R59,TbPiezas[],5,0)="NA",0,VLOOKUP(R59,TbPiezas[],5,0))</f>
        <v>3.3999999999999915</v>
      </c>
      <c r="V59" s="81">
        <f>+TF[[#This Row],[TOTAL]]*TF[[#This Row],[P.U. (1)]]</f>
        <v>0</v>
      </c>
      <c r="W59" s="247">
        <f>+VLOOKUP(R59,TbPiezas[],6,0)</f>
        <v>124.8</v>
      </c>
      <c r="X59" s="248">
        <f>ROUND(TF[[#This Row],[TOTAL]]*TF[[#This Row],[P.U. (2)]],2)</f>
        <v>0</v>
      </c>
      <c r="Y59" s="247">
        <f>+VLOOKUP(R59,TbPiezas[],7,0)</f>
        <v>6.24</v>
      </c>
      <c r="Z59" s="249">
        <f>ROUND(TF[[#This Row],[TOTAL]]*TF[[#This Row],[P.U. (3)]],2)</f>
        <v>0</v>
      </c>
    </row>
    <row r="60" spans="2:26" x14ac:dyDescent="0.3">
      <c r="B60" s="135">
        <v>1090</v>
      </c>
      <c r="C60" s="135" t="s">
        <v>105</v>
      </c>
      <c r="D60" s="135" t="s">
        <v>106</v>
      </c>
      <c r="E60" s="2"/>
      <c r="F60" s="136">
        <f t="shared" ref="F60:P60" si="24">IF(OR(AND(F$5=1090,F$16="ESP"),AND(F$5=1020,F$16="CHI"),AND(F$5=1020,F$16="NEO")),"ERROR",IF(AND($B60=F$5,F$16="NEO"),IF(F$9="NORMAL",IF(ISEVEN(F$7),0.5*F$7,0.5*F$7+0.5),IF(ISEVEN(F$7),0.5*F$7+1,"NA/NE")),))+IF(OR(AND(F$6=1090,F$16="ESP"),AND(F$6=1020,F$16="CHI"),AND(F$6=1020,F$16="NEO")),"ERROR",IF(AND($B60=F$6,F$16="NEO"),IF(F$9="NORMAL",IF(AND(F$5&gt;0,E$5&gt;0),,IF(ISEVEN(F$7),F$7,F$7-1)),IF(AND(F$5&gt;0,E$5&gt;0),,IF(ISEVEN(F$7),F$7+2,"NA/NE"))),))</f>
        <v>0</v>
      </c>
      <c r="G60" s="136">
        <f t="shared" si="24"/>
        <v>0</v>
      </c>
      <c r="H60" s="136">
        <f t="shared" si="24"/>
        <v>0</v>
      </c>
      <c r="I60" s="136">
        <f t="shared" si="24"/>
        <v>0</v>
      </c>
      <c r="J60" s="136">
        <f t="shared" si="24"/>
        <v>0</v>
      </c>
      <c r="K60" s="136">
        <f t="shared" si="24"/>
        <v>0</v>
      </c>
      <c r="L60" s="136">
        <f t="shared" si="24"/>
        <v>0</v>
      </c>
      <c r="M60" s="136">
        <f t="shared" si="24"/>
        <v>0</v>
      </c>
      <c r="N60" s="136">
        <f t="shared" si="24"/>
        <v>0</v>
      </c>
      <c r="O60" s="136">
        <f t="shared" si="24"/>
        <v>0</v>
      </c>
      <c r="P60" s="136">
        <f t="shared" si="24"/>
        <v>0</v>
      </c>
      <c r="Q60" s="2"/>
      <c r="R60" s="135" t="str">
        <f t="shared" si="4"/>
        <v>AM.4900</v>
      </c>
      <c r="S60" s="245" t="str">
        <f>+IF(C60=TF[[#This Row],[ITEM]],"ok","mal")</f>
        <v>ok</v>
      </c>
      <c r="T60" s="246">
        <f t="shared" si="20"/>
        <v>0</v>
      </c>
      <c r="U60" s="80">
        <f>IF(VLOOKUP(R60,TbPiezas[],5,0)="NA",0,VLOOKUP(R60,TbPiezas[],5,0))</f>
        <v>4.0999999999999943</v>
      </c>
      <c r="V60" s="81">
        <f>+TF[[#This Row],[TOTAL]]*TF[[#This Row],[P.U. (1)]]</f>
        <v>0</v>
      </c>
      <c r="W60" s="247">
        <f>+VLOOKUP(R60,TbPiezas[],6,0)</f>
        <v>109.33</v>
      </c>
      <c r="X60" s="248">
        <f>ROUND(TF[[#This Row],[TOTAL]]*TF[[#This Row],[P.U. (2)]],2)</f>
        <v>0</v>
      </c>
      <c r="Y60" s="247">
        <f>+VLOOKUP(R60,TbPiezas[],7,0)</f>
        <v>5.4664999999999999</v>
      </c>
      <c r="Z60" s="249">
        <f>ROUND(TF[[#This Row],[TOTAL]]*TF[[#This Row],[P.U. (3)]],2)</f>
        <v>0</v>
      </c>
    </row>
    <row r="61" spans="2:26" x14ac:dyDescent="0.3">
      <c r="B61" s="135">
        <v>732</v>
      </c>
      <c r="C61" s="135" t="s">
        <v>107</v>
      </c>
      <c r="D61" s="135" t="s">
        <v>108</v>
      </c>
      <c r="E61" s="2"/>
      <c r="F61" s="136">
        <f t="shared" ref="F61:P61" si="25">IF(OR(AND(F$5=1090,F$16="ESP"),AND(F$5=1020,F$16="CHI"),AND(F$5=1020,F$16="NEO")),"ERROR",IF(AND($B61=F$5,F$16="NEO"),IF(F$9="NORMAL",IF(ISEVEN(F$7),0.5*F$7,0.5*F$7+0.5),IF(ISEVEN(F$7),0.5*F$7+1,"NA/NE")),))+IF(OR(AND(F$6=1090,F$16="ESP"),AND(F$6=1020,F$16="CHI"),AND(F$6=1020,F$16="NEO")),"ERROR",IF(AND($B61=F$6,F$16="NEO"),IF(F$9="NORMAL",IF(AND(F$5&gt;0,E$5&gt;0),,IF(ISEVEN(F$7),F$7,F$7-1)),IF(AND(F$5&gt;0,E$5&gt;0),,IF(ISEVEN(F$7),F$7+2,"NA/NE"))),))</f>
        <v>0</v>
      </c>
      <c r="G61" s="136">
        <f t="shared" si="25"/>
        <v>0</v>
      </c>
      <c r="H61" s="136">
        <f t="shared" si="25"/>
        <v>0</v>
      </c>
      <c r="I61" s="136">
        <f t="shared" si="25"/>
        <v>0</v>
      </c>
      <c r="J61" s="136">
        <f t="shared" si="25"/>
        <v>0</v>
      </c>
      <c r="K61" s="136">
        <f t="shared" si="25"/>
        <v>0</v>
      </c>
      <c r="L61" s="136">
        <f t="shared" si="25"/>
        <v>0</v>
      </c>
      <c r="M61" s="136">
        <f t="shared" si="25"/>
        <v>0</v>
      </c>
      <c r="N61" s="136">
        <f t="shared" si="25"/>
        <v>0</v>
      </c>
      <c r="O61" s="136">
        <f t="shared" si="25"/>
        <v>0</v>
      </c>
      <c r="P61" s="136">
        <f t="shared" si="25"/>
        <v>0</v>
      </c>
      <c r="Q61" s="2"/>
      <c r="R61" s="135" t="str">
        <f t="shared" si="4"/>
        <v>AM.5000</v>
      </c>
      <c r="S61" s="245" t="str">
        <f>+IF(C61=TF[[#This Row],[ITEM]],"ok","mal")</f>
        <v>ok</v>
      </c>
      <c r="T61" s="246">
        <f t="shared" si="20"/>
        <v>0</v>
      </c>
      <c r="U61" s="80">
        <f>IF(VLOOKUP(R61,TbPiezas[],5,0)="NA",0,VLOOKUP(R61,TbPiezas[],5,0))</f>
        <v>0.5</v>
      </c>
      <c r="V61" s="81">
        <f>+TF[[#This Row],[TOTAL]]*TF[[#This Row],[P.U. (1)]]</f>
        <v>0</v>
      </c>
      <c r="W61" s="247">
        <f>+VLOOKUP(R61,TbPiezas[],6,0)</f>
        <v>91.83</v>
      </c>
      <c r="X61" s="248">
        <f>ROUND(TF[[#This Row],[TOTAL]]*TF[[#This Row],[P.U. (2)]],2)</f>
        <v>0</v>
      </c>
      <c r="Y61" s="247">
        <f>+VLOOKUP(R61,TbPiezas[],7,0)</f>
        <v>4.5914999999999999</v>
      </c>
      <c r="Z61" s="249">
        <f>ROUND(TF[[#This Row],[TOTAL]]*TF[[#This Row],[P.U. (3)]],2)</f>
        <v>0</v>
      </c>
    </row>
    <row r="62" spans="2:26" x14ac:dyDescent="0.3">
      <c r="B62" s="135">
        <v>3072</v>
      </c>
      <c r="C62" s="135" t="s">
        <v>109</v>
      </c>
      <c r="D62" s="135" t="s">
        <v>110</v>
      </c>
      <c r="E62" s="2"/>
      <c r="F62" s="136">
        <f t="shared" ref="F62:P67" si="26">+IF(AND(F$13="SI",$B62=F$5),IF(F$9="NORMAL",IF(ISEVEN(F$7),0.5*F$7,0.5*F$7+0.5),IF(ISEVEN(F$7),0.5*F$7,"NA/NE")),0)</f>
        <v>0</v>
      </c>
      <c r="G62" s="136">
        <f t="shared" si="26"/>
        <v>0</v>
      </c>
      <c r="H62" s="136">
        <f t="shared" si="26"/>
        <v>0</v>
      </c>
      <c r="I62" s="136">
        <f t="shared" si="26"/>
        <v>0</v>
      </c>
      <c r="J62" s="136">
        <f t="shared" si="26"/>
        <v>0</v>
      </c>
      <c r="K62" s="136">
        <f t="shared" si="26"/>
        <v>0</v>
      </c>
      <c r="L62" s="136">
        <f t="shared" si="26"/>
        <v>0</v>
      </c>
      <c r="M62" s="136">
        <f t="shared" si="26"/>
        <v>0</v>
      </c>
      <c r="N62" s="136">
        <f t="shared" si="26"/>
        <v>0</v>
      </c>
      <c r="O62" s="136">
        <f t="shared" si="26"/>
        <v>0</v>
      </c>
      <c r="P62" s="136">
        <f t="shared" si="26"/>
        <v>0</v>
      </c>
      <c r="Q62" s="2"/>
      <c r="R62" s="135" t="str">
        <f t="shared" si="4"/>
        <v>AM.5100</v>
      </c>
      <c r="S62" s="245" t="str">
        <f>+IF(C62=TF[[#This Row],[ITEM]],"ok","mal")</f>
        <v>ok</v>
      </c>
      <c r="T62" s="246">
        <f t="shared" si="20"/>
        <v>0</v>
      </c>
      <c r="U62" s="80">
        <f>IF(VLOOKUP(R62,TbPiezas[],5,0)="NA",0,VLOOKUP(R62,TbPiezas[],5,0))</f>
        <v>11.299999999999997</v>
      </c>
      <c r="V62" s="81">
        <f>+TF[[#This Row],[TOTAL]]*TF[[#This Row],[P.U. (1)]]</f>
        <v>0</v>
      </c>
      <c r="W62" s="247">
        <f>+VLOOKUP(R62,TbPiezas[],6,0)</f>
        <v>316.13</v>
      </c>
      <c r="X62" s="248">
        <f>ROUND(TF[[#This Row],[TOTAL]]*TF[[#This Row],[P.U. (2)]],2)</f>
        <v>0</v>
      </c>
      <c r="Y62" s="247">
        <f>+VLOOKUP(R62,TbPiezas[],7,0)</f>
        <v>15.8065</v>
      </c>
      <c r="Z62" s="249">
        <f>ROUND(TF[[#This Row],[TOTAL]]*TF[[#This Row],[P.U. (3)]],2)</f>
        <v>0</v>
      </c>
    </row>
    <row r="63" spans="2:26" x14ac:dyDescent="0.3">
      <c r="B63" s="135">
        <v>2572</v>
      </c>
      <c r="C63" s="135" t="s">
        <v>111</v>
      </c>
      <c r="D63" s="135" t="s">
        <v>112</v>
      </c>
      <c r="E63" s="2"/>
      <c r="F63" s="136">
        <f t="shared" si="26"/>
        <v>0</v>
      </c>
      <c r="G63" s="136">
        <f t="shared" si="26"/>
        <v>0</v>
      </c>
      <c r="H63" s="136">
        <f t="shared" si="26"/>
        <v>0</v>
      </c>
      <c r="I63" s="136">
        <f t="shared" si="26"/>
        <v>0</v>
      </c>
      <c r="J63" s="136">
        <f t="shared" si="26"/>
        <v>0</v>
      </c>
      <c r="K63" s="136">
        <f t="shared" si="26"/>
        <v>0</v>
      </c>
      <c r="L63" s="136">
        <f t="shared" si="26"/>
        <v>0</v>
      </c>
      <c r="M63" s="136">
        <f t="shared" si="26"/>
        <v>0</v>
      </c>
      <c r="N63" s="136">
        <f t="shared" si="26"/>
        <v>0</v>
      </c>
      <c r="O63" s="136">
        <f t="shared" si="26"/>
        <v>0</v>
      </c>
      <c r="P63" s="136">
        <f t="shared" si="26"/>
        <v>0</v>
      </c>
      <c r="Q63" s="138"/>
      <c r="R63" s="135" t="str">
        <f t="shared" si="4"/>
        <v>AM.5200</v>
      </c>
      <c r="S63" s="245" t="str">
        <f>+IF(C63=TF[[#This Row],[ITEM]],"ok","mal")</f>
        <v>ok</v>
      </c>
      <c r="T63" s="246">
        <f t="shared" si="20"/>
        <v>0</v>
      </c>
      <c r="U63" s="80">
        <f>IF(VLOOKUP(R63,TbPiezas[],5,0)="NA",0,VLOOKUP(R63,TbPiezas[],5,0))</f>
        <v>10.899999999999991</v>
      </c>
      <c r="V63" s="81">
        <f>+TF[[#This Row],[TOTAL]]*TF[[#This Row],[P.U. (1)]]</f>
        <v>0</v>
      </c>
      <c r="W63" s="247">
        <f>+VLOOKUP(R63,TbPiezas[],6,0)</f>
        <v>302.58</v>
      </c>
      <c r="X63" s="248">
        <f>ROUND(TF[[#This Row],[TOTAL]]*TF[[#This Row],[P.U. (2)]],2)</f>
        <v>0</v>
      </c>
      <c r="Y63" s="247">
        <f>+VLOOKUP(R63,TbPiezas[],7,0)</f>
        <v>15.129</v>
      </c>
      <c r="Z63" s="249">
        <f>ROUND(TF[[#This Row],[TOTAL]]*TF[[#This Row],[P.U. (3)]],2)</f>
        <v>0</v>
      </c>
    </row>
    <row r="64" spans="2:26" x14ac:dyDescent="0.3">
      <c r="B64" s="135">
        <v>2072</v>
      </c>
      <c r="C64" s="135" t="s">
        <v>113</v>
      </c>
      <c r="D64" s="135" t="s">
        <v>114</v>
      </c>
      <c r="E64" s="2"/>
      <c r="F64" s="136">
        <f t="shared" si="26"/>
        <v>0</v>
      </c>
      <c r="G64" s="136">
        <f t="shared" si="26"/>
        <v>0</v>
      </c>
      <c r="H64" s="136">
        <f t="shared" si="26"/>
        <v>0</v>
      </c>
      <c r="I64" s="136">
        <f t="shared" si="26"/>
        <v>0</v>
      </c>
      <c r="J64" s="136">
        <f t="shared" si="26"/>
        <v>0</v>
      </c>
      <c r="K64" s="136">
        <f t="shared" si="26"/>
        <v>0</v>
      </c>
      <c r="L64" s="136">
        <f t="shared" si="26"/>
        <v>0</v>
      </c>
      <c r="M64" s="136">
        <f t="shared" si="26"/>
        <v>0</v>
      </c>
      <c r="N64" s="136">
        <f t="shared" si="26"/>
        <v>0</v>
      </c>
      <c r="O64" s="136">
        <f t="shared" si="26"/>
        <v>0</v>
      </c>
      <c r="P64" s="136">
        <f t="shared" si="26"/>
        <v>0</v>
      </c>
      <c r="Q64" s="2"/>
      <c r="R64" s="135" t="str">
        <f t="shared" si="4"/>
        <v>AM.5300</v>
      </c>
      <c r="S64" s="245" t="str">
        <f>+IF(C64=TF[[#This Row],[ITEM]],"ok","mal")</f>
        <v>ok</v>
      </c>
      <c r="T64" s="246">
        <f t="shared" si="20"/>
        <v>0</v>
      </c>
      <c r="U64" s="80">
        <f>IF(VLOOKUP(R64,TbPiezas[],5,0)="NA",0,VLOOKUP(R64,TbPiezas[],5,0))</f>
        <v>7.5</v>
      </c>
      <c r="V64" s="81">
        <f>+TF[[#This Row],[TOTAL]]*TF[[#This Row],[P.U. (1)]]</f>
        <v>0</v>
      </c>
      <c r="W64" s="247">
        <f>+VLOOKUP(R64,TbPiezas[],6,0)</f>
        <v>291.14</v>
      </c>
      <c r="X64" s="248">
        <f>ROUND(TF[[#This Row],[TOTAL]]*TF[[#This Row],[P.U. (2)]],2)</f>
        <v>0</v>
      </c>
      <c r="Y64" s="247">
        <f>+VLOOKUP(R64,TbPiezas[],7,0)</f>
        <v>14.557</v>
      </c>
      <c r="Z64" s="249">
        <f>ROUND(TF[[#This Row],[TOTAL]]*TF[[#This Row],[P.U. (3)]],2)</f>
        <v>0</v>
      </c>
    </row>
    <row r="65" spans="2:26" x14ac:dyDescent="0.3">
      <c r="B65" s="135">
        <v>1572</v>
      </c>
      <c r="C65" s="135" t="s">
        <v>115</v>
      </c>
      <c r="D65" s="135" t="s">
        <v>116</v>
      </c>
      <c r="E65" s="2"/>
      <c r="F65" s="136">
        <f t="shared" si="26"/>
        <v>0</v>
      </c>
      <c r="G65" s="136">
        <f t="shared" si="26"/>
        <v>0</v>
      </c>
      <c r="H65" s="136">
        <f t="shared" si="26"/>
        <v>0</v>
      </c>
      <c r="I65" s="136">
        <f t="shared" si="26"/>
        <v>0</v>
      </c>
      <c r="J65" s="136">
        <f t="shared" si="26"/>
        <v>0</v>
      </c>
      <c r="K65" s="136">
        <f t="shared" si="26"/>
        <v>0</v>
      </c>
      <c r="L65" s="136">
        <f t="shared" si="26"/>
        <v>0</v>
      </c>
      <c r="M65" s="136">
        <f t="shared" si="26"/>
        <v>0</v>
      </c>
      <c r="N65" s="136">
        <f t="shared" si="26"/>
        <v>0</v>
      </c>
      <c r="O65" s="136">
        <f t="shared" si="26"/>
        <v>0</v>
      </c>
      <c r="P65" s="136">
        <f t="shared" si="26"/>
        <v>0</v>
      </c>
      <c r="Q65" s="2"/>
      <c r="R65" s="135" t="str">
        <f t="shared" si="4"/>
        <v>AM.5400</v>
      </c>
      <c r="S65" s="245" t="str">
        <f>+IF(C65=TF[[#This Row],[ITEM]],"ok","mal")</f>
        <v>ok</v>
      </c>
      <c r="T65" s="246">
        <f t="shared" si="20"/>
        <v>0</v>
      </c>
      <c r="U65" s="80">
        <f>IF(VLOOKUP(R65,TbPiezas[],5,0)="NA",0,VLOOKUP(R65,TbPiezas[],5,0))</f>
        <v>6.5999999999999943</v>
      </c>
      <c r="V65" s="81">
        <f>+TF[[#This Row],[TOTAL]]*TF[[#This Row],[P.U. (1)]]</f>
        <v>0</v>
      </c>
      <c r="W65" s="247">
        <f>+VLOOKUP(R65,TbPiezas[],6,0)</f>
        <v>280.58999999999997</v>
      </c>
      <c r="X65" s="248">
        <f>ROUND(TF[[#This Row],[TOTAL]]*TF[[#This Row],[P.U. (2)]],2)</f>
        <v>0</v>
      </c>
      <c r="Y65" s="247">
        <f>+VLOOKUP(R65,TbPiezas[],7,0)</f>
        <v>14.029499999999999</v>
      </c>
      <c r="Z65" s="249">
        <f>ROUND(TF[[#This Row],[TOTAL]]*TF[[#This Row],[P.U. (3)]],2)</f>
        <v>0</v>
      </c>
    </row>
    <row r="66" spans="2:26" x14ac:dyDescent="0.3">
      <c r="B66" s="135">
        <v>1090</v>
      </c>
      <c r="C66" s="135" t="s">
        <v>117</v>
      </c>
      <c r="D66" s="135" t="s">
        <v>118</v>
      </c>
      <c r="E66" s="2"/>
      <c r="F66" s="136">
        <f t="shared" si="26"/>
        <v>0</v>
      </c>
      <c r="G66" s="136">
        <f t="shared" si="26"/>
        <v>0</v>
      </c>
      <c r="H66" s="136">
        <f t="shared" si="26"/>
        <v>0</v>
      </c>
      <c r="I66" s="136">
        <f t="shared" si="26"/>
        <v>0</v>
      </c>
      <c r="J66" s="136">
        <f t="shared" si="26"/>
        <v>0</v>
      </c>
      <c r="K66" s="136">
        <f t="shared" si="26"/>
        <v>0</v>
      </c>
      <c r="L66" s="136">
        <f t="shared" si="26"/>
        <v>0</v>
      </c>
      <c r="M66" s="136">
        <f t="shared" si="26"/>
        <v>0</v>
      </c>
      <c r="N66" s="136">
        <f t="shared" si="26"/>
        <v>0</v>
      </c>
      <c r="O66" s="136">
        <f t="shared" si="26"/>
        <v>0</v>
      </c>
      <c r="P66" s="136">
        <f t="shared" si="26"/>
        <v>0</v>
      </c>
      <c r="Q66" s="2"/>
      <c r="R66" s="135" t="str">
        <f t="shared" si="4"/>
        <v>AM.5500</v>
      </c>
      <c r="S66" s="245" t="str">
        <f>+IF(C66=TF[[#This Row],[ITEM]],"ok","mal")</f>
        <v>ok</v>
      </c>
      <c r="T66" s="246">
        <f t="shared" si="20"/>
        <v>0</v>
      </c>
      <c r="U66" s="80">
        <f>IF(VLOOKUP(R66,TbPiezas[],5,0)="NA",0,VLOOKUP(R66,TbPiezas[],5,0))</f>
        <v>6</v>
      </c>
      <c r="V66" s="81">
        <f>+TF[[#This Row],[TOTAL]]*TF[[#This Row],[P.U. (1)]]</f>
        <v>0</v>
      </c>
      <c r="W66" s="247">
        <f>+VLOOKUP(R66,TbPiezas[],6,0)</f>
        <v>280.58999999999997</v>
      </c>
      <c r="X66" s="248">
        <f>ROUND(TF[[#This Row],[TOTAL]]*TF[[#This Row],[P.U. (2)]],2)</f>
        <v>0</v>
      </c>
      <c r="Y66" s="247">
        <f>+VLOOKUP(R66,TbPiezas[],7,0)</f>
        <v>14.029499999999999</v>
      </c>
      <c r="Z66" s="249">
        <f>ROUND(TF[[#This Row],[TOTAL]]*TF[[#This Row],[P.U. (3)]],2)</f>
        <v>0</v>
      </c>
    </row>
    <row r="67" spans="2:26" x14ac:dyDescent="0.3">
      <c r="B67" s="135">
        <v>1020</v>
      </c>
      <c r="C67" s="135" t="s">
        <v>119</v>
      </c>
      <c r="D67" s="135" t="s">
        <v>120</v>
      </c>
      <c r="E67" s="2"/>
      <c r="F67" s="136">
        <f t="shared" si="26"/>
        <v>0</v>
      </c>
      <c r="G67" s="136">
        <f t="shared" si="26"/>
        <v>0</v>
      </c>
      <c r="H67" s="136">
        <f t="shared" si="26"/>
        <v>0</v>
      </c>
      <c r="I67" s="136">
        <f t="shared" si="26"/>
        <v>0</v>
      </c>
      <c r="J67" s="136">
        <f t="shared" si="26"/>
        <v>0</v>
      </c>
      <c r="K67" s="136">
        <f t="shared" si="26"/>
        <v>0</v>
      </c>
      <c r="L67" s="136">
        <f t="shared" si="26"/>
        <v>0</v>
      </c>
      <c r="M67" s="136">
        <f t="shared" si="26"/>
        <v>0</v>
      </c>
      <c r="N67" s="136">
        <f t="shared" si="26"/>
        <v>0</v>
      </c>
      <c r="O67" s="136">
        <f t="shared" si="26"/>
        <v>0</v>
      </c>
      <c r="P67" s="136">
        <f t="shared" si="26"/>
        <v>0</v>
      </c>
      <c r="Q67" s="2"/>
      <c r="R67" s="135" t="str">
        <f t="shared" si="4"/>
        <v>AM.5600</v>
      </c>
      <c r="S67" s="245" t="str">
        <f>+IF(C67=TF[[#This Row],[ITEM]],"ok","mal")</f>
        <v>ok</v>
      </c>
      <c r="T67" s="246">
        <f t="shared" si="20"/>
        <v>0</v>
      </c>
      <c r="U67" s="80">
        <f>IF(VLOOKUP(R67,TbPiezas[],5,0)="NA",0,VLOOKUP(R67,TbPiezas[],5,0))</f>
        <v>4.2000000000000028</v>
      </c>
      <c r="V67" s="81">
        <f>+TF[[#This Row],[TOTAL]]*TF[[#This Row],[P.U. (1)]]</f>
        <v>0</v>
      </c>
      <c r="W67" s="247">
        <f>+VLOOKUP(R67,TbPiezas[],6,0)</f>
        <v>266.81</v>
      </c>
      <c r="X67" s="248">
        <f>ROUND(TF[[#This Row],[TOTAL]]*TF[[#This Row],[P.U. (2)]],2)</f>
        <v>0</v>
      </c>
      <c r="Y67" s="247">
        <f>+VLOOKUP(R67,TbPiezas[],7,0)</f>
        <v>13.3405</v>
      </c>
      <c r="Z67" s="249">
        <f>ROUND(TF[[#This Row],[TOTAL]]*TF[[#This Row],[P.U. (3)]],2)</f>
        <v>0</v>
      </c>
    </row>
    <row r="68" spans="2:26" x14ac:dyDescent="0.3">
      <c r="B68" s="135">
        <v>3072</v>
      </c>
      <c r="C68" s="135" t="s">
        <v>129</v>
      </c>
      <c r="D68" s="135" t="s">
        <v>130</v>
      </c>
      <c r="E68" s="2"/>
      <c r="F68" s="136">
        <f t="shared" ref="F68:P68" si="27">IF(OR(AND(F$5=1020,F$15="CHI"),AND(F$5=1090,F$15="ESP")),"ERROR",IF(AND($B68=F$5,F$15="ESP"),(IF(F$15="ESP",IF(F$6=732,2,IF(OR(F$6=1020,F$6=1090),3,)),IF(F$15="CHI",IF(F$6=1090,3,IF(OR(F$6=1020,F$6=732),2,)),))*IF(F$9="NORMAL",IF(ISEVEN(F$7),0.5*F$7,0.5*F$7+0.5),IF(ISEVEN(F$7),0.5*F$7+1,"NA/NE"))),))-IF(AND(F$15="ESP",F$14="SI",$B68=F$5),IF(F$9="NORMAL",IF(ISEVEN(F7),2*F$87-2,2*F$87),IF(F$9="VOLADO",2*F$87,)),)</f>
        <v>0</v>
      </c>
      <c r="G68" s="136">
        <f t="shared" si="27"/>
        <v>0</v>
      </c>
      <c r="H68" s="136">
        <f t="shared" si="27"/>
        <v>0</v>
      </c>
      <c r="I68" s="136">
        <f t="shared" si="27"/>
        <v>0</v>
      </c>
      <c r="J68" s="136">
        <f t="shared" si="27"/>
        <v>0</v>
      </c>
      <c r="K68" s="136">
        <f t="shared" si="27"/>
        <v>0</v>
      </c>
      <c r="L68" s="136">
        <f t="shared" si="27"/>
        <v>0</v>
      </c>
      <c r="M68" s="136">
        <f t="shared" si="27"/>
        <v>0</v>
      </c>
      <c r="N68" s="136">
        <f t="shared" si="27"/>
        <v>0</v>
      </c>
      <c r="O68" s="136">
        <f t="shared" si="27"/>
        <v>0</v>
      </c>
      <c r="P68" s="136">
        <f t="shared" si="27"/>
        <v>0</v>
      </c>
      <c r="Q68" s="138"/>
      <c r="R68" s="135" t="str">
        <f t="shared" si="4"/>
        <v>AM.6000</v>
      </c>
      <c r="S68" s="245" t="str">
        <f>+IF(C68=TF[[#This Row],[ITEM]],"ok","mal")</f>
        <v>ok</v>
      </c>
      <c r="T68" s="246">
        <f t="shared" si="20"/>
        <v>0</v>
      </c>
      <c r="U68" s="80">
        <f>IF(VLOOKUP(R68,TbPiezas[],5,0)="NA",0,VLOOKUP(R68,TbPiezas[],5,0))</f>
        <v>18.599999999999994</v>
      </c>
      <c r="V68" s="81">
        <f>+TF[[#This Row],[TOTAL]]*TF[[#This Row],[P.U. (1)]]</f>
        <v>0</v>
      </c>
      <c r="W68" s="247">
        <f>+VLOOKUP(R68,TbPiezas[],6,0)</f>
        <v>654.70000000000005</v>
      </c>
      <c r="X68" s="248">
        <f>ROUND(TF[[#This Row],[TOTAL]]*TF[[#This Row],[P.U. (2)]],2)</f>
        <v>0</v>
      </c>
      <c r="Y68" s="247">
        <f>+VLOOKUP(R68,TbPiezas[],7,0)</f>
        <v>32.735000000000007</v>
      </c>
      <c r="Z68" s="249">
        <f>ROUND(TF[[#This Row],[TOTAL]]*TF[[#This Row],[P.U. (3)]],2)</f>
        <v>0</v>
      </c>
    </row>
    <row r="69" spans="2:26" x14ac:dyDescent="0.3">
      <c r="B69" s="135">
        <v>2572</v>
      </c>
      <c r="C69" s="135" t="s">
        <v>131</v>
      </c>
      <c r="D69" s="135" t="s">
        <v>132</v>
      </c>
      <c r="E69" s="2"/>
      <c r="F69" s="136">
        <f t="shared" ref="F69:P69" si="28">IF(OR(AND(F$5=1020,F$15="CHI"),AND(F$5=1090,F$15="ESP")),"ERROR",IF(AND($B69=F$5,F$15="ESP"),(IF(F$15="ESP",IF(F$6=732,2,IF(OR(F$6=1020,F$6=1090),3,)),IF(F$15="CHI",IF(F$6=1090,3,IF(OR(F$6=1020,F$6=732),2,)),))*IF(F$9="NORMAL",IF(ISEVEN(F$7),0.5*F$7,0.5*F$7+0.5),IF(ISEVEN(F$7),0.5*F$7+1,"NA/NE"))),))-IF(AND(F$15="ESP",F$14="SI",$B69=F$5),IF(F$9="NORMAL",IF(ISEVEN(F7),2*F$88-2,2*F$88),IF(F$9="VOLADO",2*F$88,)),)</f>
        <v>0</v>
      </c>
      <c r="G69" s="136">
        <f t="shared" si="28"/>
        <v>0</v>
      </c>
      <c r="H69" s="136">
        <f t="shared" si="28"/>
        <v>0</v>
      </c>
      <c r="I69" s="136">
        <f t="shared" si="28"/>
        <v>0</v>
      </c>
      <c r="J69" s="136">
        <f t="shared" si="28"/>
        <v>0</v>
      </c>
      <c r="K69" s="136">
        <f t="shared" si="28"/>
        <v>0</v>
      </c>
      <c r="L69" s="136">
        <f t="shared" si="28"/>
        <v>0</v>
      </c>
      <c r="M69" s="136">
        <f t="shared" si="28"/>
        <v>0</v>
      </c>
      <c r="N69" s="136">
        <f t="shared" si="28"/>
        <v>0</v>
      </c>
      <c r="O69" s="136">
        <f t="shared" si="28"/>
        <v>0</v>
      </c>
      <c r="P69" s="136">
        <f t="shared" si="28"/>
        <v>0</v>
      </c>
      <c r="Q69" s="138"/>
      <c r="R69" s="135" t="str">
        <f t="shared" si="4"/>
        <v>AM.6100</v>
      </c>
      <c r="S69" s="245" t="str">
        <f>+IF(C69=TF[[#This Row],[ITEM]],"ok","mal")</f>
        <v>ok</v>
      </c>
      <c r="T69" s="246">
        <f t="shared" si="20"/>
        <v>0</v>
      </c>
      <c r="U69" s="80">
        <f>IF(VLOOKUP(R69,TbPiezas[],5,0)="NA",0,VLOOKUP(R69,TbPiezas[],5,0))</f>
        <v>15.2</v>
      </c>
      <c r="V69" s="81">
        <f>+TF[[#This Row],[TOTAL]]*TF[[#This Row],[P.U. (1)]]</f>
        <v>0</v>
      </c>
      <c r="W69" s="247">
        <f>+VLOOKUP(R69,TbPiezas[],6,0)</f>
        <v>575.04</v>
      </c>
      <c r="X69" s="248">
        <f>ROUND(TF[[#This Row],[TOTAL]]*TF[[#This Row],[P.U. (2)]],2)</f>
        <v>0</v>
      </c>
      <c r="Y69" s="247">
        <f>+VLOOKUP(R69,TbPiezas[],7,0)</f>
        <v>28.751999999999999</v>
      </c>
      <c r="Z69" s="249">
        <f>ROUND(TF[[#This Row],[TOTAL]]*TF[[#This Row],[P.U. (3)]],2)</f>
        <v>0</v>
      </c>
    </row>
    <row r="70" spans="2:26" x14ac:dyDescent="0.3">
      <c r="B70" s="135">
        <v>2072</v>
      </c>
      <c r="C70" s="135" t="s">
        <v>133</v>
      </c>
      <c r="D70" s="135" t="s">
        <v>134</v>
      </c>
      <c r="E70" s="2"/>
      <c r="F70" s="136">
        <f t="shared" ref="F70:P70" si="29">IF(OR(AND(F$5=1020,F$15="CHI"),AND(F$5=1090,F$15="ESP")),"ERROR",IF(AND($B70=F$5,F$15="ESP"),(IF(F$15="ESP",IF(F$6=732,2,IF(OR(F$6=1020,F$6=1090),3,)),IF(F$15="CHI",IF(F$6=1090,3,IF(OR(F$6=1020,F$6=732),2,)),))*IF(F$9="NORMAL",IF(ISEVEN(F$7),0.5*F$7,0.5*F$7+0.5),IF(ISEVEN(F$7),0.5*F$7+1,"NA/NE"))),))-IF(AND(F$15="ESP",F$14="SI",$B70=F$5),IF(F$9="NORMAL",IF(ISEVEN(F7),2*F$89-2,2*F$89),IF(F$9="VOLADO",2*F$89,)),)</f>
        <v>0</v>
      </c>
      <c r="G70" s="136">
        <f t="shared" si="29"/>
        <v>0</v>
      </c>
      <c r="H70" s="136">
        <f t="shared" si="29"/>
        <v>0</v>
      </c>
      <c r="I70" s="136">
        <f t="shared" si="29"/>
        <v>0</v>
      </c>
      <c r="J70" s="136">
        <f t="shared" si="29"/>
        <v>0</v>
      </c>
      <c r="K70" s="136">
        <f t="shared" si="29"/>
        <v>0</v>
      </c>
      <c r="L70" s="136">
        <f t="shared" si="29"/>
        <v>0</v>
      </c>
      <c r="M70" s="136">
        <f t="shared" si="29"/>
        <v>0</v>
      </c>
      <c r="N70" s="136">
        <f t="shared" si="29"/>
        <v>0</v>
      </c>
      <c r="O70" s="136">
        <f t="shared" si="29"/>
        <v>0</v>
      </c>
      <c r="P70" s="136">
        <f t="shared" si="29"/>
        <v>0</v>
      </c>
      <c r="Q70" s="138"/>
      <c r="R70" s="135" t="str">
        <f t="shared" si="4"/>
        <v>AM.6200</v>
      </c>
      <c r="S70" s="245" t="str">
        <f>+IF(C70=TF[[#This Row],[ITEM]],"ok","mal")</f>
        <v>ok</v>
      </c>
      <c r="T70" s="246">
        <f t="shared" si="20"/>
        <v>0</v>
      </c>
      <c r="U70" s="80">
        <f>IF(VLOOKUP(R70,TbPiezas[],5,0)="NA",0,VLOOKUP(R70,TbPiezas[],5,0))</f>
        <v>11.799999999999997</v>
      </c>
      <c r="V70" s="81">
        <f>+TF[[#This Row],[TOTAL]]*TF[[#This Row],[P.U. (1)]]</f>
        <v>0</v>
      </c>
      <c r="W70" s="247">
        <f>+VLOOKUP(R70,TbPiezas[],6,0)</f>
        <v>496.07</v>
      </c>
      <c r="X70" s="248">
        <f>ROUND(TF[[#This Row],[TOTAL]]*TF[[#This Row],[P.U. (2)]],2)</f>
        <v>0</v>
      </c>
      <c r="Y70" s="247">
        <f>+VLOOKUP(R70,TbPiezas[],7,0)</f>
        <v>24.8035</v>
      </c>
      <c r="Z70" s="249">
        <f>ROUND(TF[[#This Row],[TOTAL]]*TF[[#This Row],[P.U. (3)]],2)</f>
        <v>0</v>
      </c>
    </row>
    <row r="71" spans="2:26" x14ac:dyDescent="0.3">
      <c r="B71" s="135">
        <v>1572</v>
      </c>
      <c r="C71" s="135" t="s">
        <v>135</v>
      </c>
      <c r="D71" s="135" t="s">
        <v>136</v>
      </c>
      <c r="E71" s="2"/>
      <c r="F71" s="136">
        <f t="shared" ref="F71:P71" si="30">IF(OR(AND(F$5=1020,F$15="CHI"),AND(F$5=1090,F$15="ESP")),"ERROR",IF(AND($B71=F$5,F$15="ESP"),(IF(F$15="ESP",IF(F$6=732,2,IF(OR(F$6=1020,F$6=1090),3,)),IF(F$15="CHI",IF(F$6=1090,3,IF(OR(F$6=1020,F$6=732),2,)),))*IF(F$9="NORMAL",IF(ISEVEN(F$7),0.5*F$7,0.5*F$7+0.5),IF(ISEVEN(F$7),0.5*F$7+1,"NA/NE"))),))-IF(AND(F$15="ESP",F$14="SI",$B71=F$5),IF(F$9="NORMAL",IF(ISEVEN(F7),2*F$90-2,2*F$90),IF(F$9="VOLADO",2*F$90,)),)</f>
        <v>0</v>
      </c>
      <c r="G71" s="136">
        <f t="shared" si="30"/>
        <v>0</v>
      </c>
      <c r="H71" s="136">
        <f t="shared" si="30"/>
        <v>0</v>
      </c>
      <c r="I71" s="136">
        <f t="shared" si="30"/>
        <v>0</v>
      </c>
      <c r="J71" s="136">
        <f t="shared" si="30"/>
        <v>0</v>
      </c>
      <c r="K71" s="136">
        <f t="shared" si="30"/>
        <v>0</v>
      </c>
      <c r="L71" s="136">
        <f t="shared" si="30"/>
        <v>0</v>
      </c>
      <c r="M71" s="136">
        <f t="shared" si="30"/>
        <v>0</v>
      </c>
      <c r="N71" s="136">
        <f t="shared" si="30"/>
        <v>0</v>
      </c>
      <c r="O71" s="136">
        <f t="shared" si="30"/>
        <v>0</v>
      </c>
      <c r="P71" s="136">
        <f t="shared" si="30"/>
        <v>0</v>
      </c>
      <c r="Q71" s="138"/>
      <c r="R71" s="135" t="str">
        <f t="shared" si="4"/>
        <v>AM.6300</v>
      </c>
      <c r="S71" s="245" t="str">
        <f>+IF(C71=TF[[#This Row],[ITEM]],"ok","mal")</f>
        <v>ok</v>
      </c>
      <c r="T71" s="246">
        <f t="shared" si="20"/>
        <v>0</v>
      </c>
      <c r="U71" s="80">
        <f>IF(VLOOKUP(R71,TbPiezas[],5,0)="NA",0,VLOOKUP(R71,TbPiezas[],5,0))</f>
        <v>9.8999999999999915</v>
      </c>
      <c r="V71" s="81">
        <f>+TF[[#This Row],[TOTAL]]*TF[[#This Row],[P.U. (1)]]</f>
        <v>0</v>
      </c>
      <c r="W71" s="247">
        <f>+VLOOKUP(R71,TbPiezas[],6,0)</f>
        <v>484.34</v>
      </c>
      <c r="X71" s="248">
        <f>ROUND(TF[[#This Row],[TOTAL]]*TF[[#This Row],[P.U. (2)]],2)</f>
        <v>0</v>
      </c>
      <c r="Y71" s="247">
        <f>+VLOOKUP(R71,TbPiezas[],7,0)</f>
        <v>24.216999999999999</v>
      </c>
      <c r="Z71" s="249">
        <f>ROUND(TF[[#This Row],[TOTAL]]*TF[[#This Row],[P.U. (3)]],2)</f>
        <v>0</v>
      </c>
    </row>
    <row r="72" spans="2:26" x14ac:dyDescent="0.3">
      <c r="B72" s="135">
        <v>1020</v>
      </c>
      <c r="C72" s="135" t="s">
        <v>137</v>
      </c>
      <c r="D72" s="135" t="s">
        <v>138</v>
      </c>
      <c r="E72" s="2"/>
      <c r="F72" s="136">
        <f t="shared" ref="F72:P73" si="31">IF(OR(AND(F$5=1020,F$15="CHI"),AND(F$5=1090,F$15="ESP")),"ERROR",IF(AND($B72=F$5,F$15="ESP"),(IF(F$15="ESP",IF(F$6=732,2,IF(OR(F$6=1020,F$6=1090),3,)),IF(F$15="CHI",IF(F$6=1090,3,IF(OR(F$6=1020,F$6=732),2,)),))*IF(F$9="NORMAL",IF(ISEVEN(F$7),0.5*F$7,0.5*F$7+0.5),IF(ISEVEN(F$7),0.5*F$7+1,"NA/NE"))),))</f>
        <v>0</v>
      </c>
      <c r="G72" s="136">
        <f t="shared" si="31"/>
        <v>0</v>
      </c>
      <c r="H72" s="136">
        <f t="shared" si="31"/>
        <v>0</v>
      </c>
      <c r="I72" s="136">
        <f t="shared" si="31"/>
        <v>0</v>
      </c>
      <c r="J72" s="136">
        <f t="shared" si="31"/>
        <v>0</v>
      </c>
      <c r="K72" s="136">
        <f t="shared" si="31"/>
        <v>0</v>
      </c>
      <c r="L72" s="136">
        <f t="shared" si="31"/>
        <v>0</v>
      </c>
      <c r="M72" s="136">
        <f t="shared" si="31"/>
        <v>0</v>
      </c>
      <c r="N72" s="136">
        <f t="shared" si="31"/>
        <v>0</v>
      </c>
      <c r="O72" s="136">
        <f t="shared" si="31"/>
        <v>0</v>
      </c>
      <c r="P72" s="136">
        <f t="shared" si="31"/>
        <v>0</v>
      </c>
      <c r="Q72" s="138"/>
      <c r="R72" s="135" t="str">
        <f t="shared" si="4"/>
        <v>AM.6400</v>
      </c>
      <c r="S72" s="245" t="str">
        <f>+IF(C72=TF[[#This Row],[ITEM]],"ok","mal")</f>
        <v>ok</v>
      </c>
      <c r="T72" s="246">
        <f t="shared" si="20"/>
        <v>0</v>
      </c>
      <c r="U72" s="80">
        <f>IF(VLOOKUP(R72,TbPiezas[],5,0)="NA",0,VLOOKUP(R72,TbPiezas[],5,0))</f>
        <v>5.7999999999999972</v>
      </c>
      <c r="V72" s="81">
        <f>+TF[[#This Row],[TOTAL]]*TF[[#This Row],[P.U. (1)]]</f>
        <v>0</v>
      </c>
      <c r="W72" s="247">
        <f>+VLOOKUP(R72,TbPiezas[],6,0)</f>
        <v>452.11</v>
      </c>
      <c r="X72" s="248">
        <f>ROUND(TF[[#This Row],[TOTAL]]*TF[[#This Row],[P.U. (2)]],2)</f>
        <v>0</v>
      </c>
      <c r="Y72" s="247">
        <f>+VLOOKUP(R72,TbPiezas[],7,0)</f>
        <v>22.605500000000003</v>
      </c>
      <c r="Z72" s="249">
        <f>ROUND(TF[[#This Row],[TOTAL]]*TF[[#This Row],[P.U. (3)]],2)</f>
        <v>0</v>
      </c>
    </row>
    <row r="73" spans="2:26" x14ac:dyDescent="0.3">
      <c r="B73" s="135">
        <v>732</v>
      </c>
      <c r="C73" s="135" t="s">
        <v>139</v>
      </c>
      <c r="D73" s="135" t="s">
        <v>140</v>
      </c>
      <c r="E73" s="2"/>
      <c r="F73" s="136">
        <f t="shared" si="31"/>
        <v>0</v>
      </c>
      <c r="G73" s="136">
        <f t="shared" si="31"/>
        <v>0</v>
      </c>
      <c r="H73" s="136">
        <f t="shared" si="31"/>
        <v>0</v>
      </c>
      <c r="I73" s="136">
        <f t="shared" si="31"/>
        <v>0</v>
      </c>
      <c r="J73" s="136">
        <f t="shared" si="31"/>
        <v>0</v>
      </c>
      <c r="K73" s="136">
        <f t="shared" si="31"/>
        <v>0</v>
      </c>
      <c r="L73" s="136">
        <f t="shared" si="31"/>
        <v>0</v>
      </c>
      <c r="M73" s="136">
        <f t="shared" si="31"/>
        <v>0</v>
      </c>
      <c r="N73" s="136">
        <f t="shared" si="31"/>
        <v>0</v>
      </c>
      <c r="O73" s="136">
        <f t="shared" si="31"/>
        <v>0</v>
      </c>
      <c r="P73" s="136">
        <f t="shared" si="31"/>
        <v>0</v>
      </c>
      <c r="Q73" s="138"/>
      <c r="R73" s="135" t="str">
        <f t="shared" si="4"/>
        <v>AM.6500</v>
      </c>
      <c r="S73" s="245" t="str">
        <f>+IF(C73=TF[[#This Row],[ITEM]],"ok","mal")</f>
        <v>ok</v>
      </c>
      <c r="T73" s="246">
        <f t="shared" si="20"/>
        <v>0</v>
      </c>
      <c r="U73" s="80">
        <f>IF(VLOOKUP(R73,TbPiezas[],5,0)="NA",0,VLOOKUP(R73,TbPiezas[],5,0))</f>
        <v>5.0999999999999943</v>
      </c>
      <c r="V73" s="81">
        <f>+TF[[#This Row],[TOTAL]]*TF[[#This Row],[P.U. (1)]]</f>
        <v>0</v>
      </c>
      <c r="W73" s="247">
        <f>+VLOOKUP(R73,TbPiezas[],6,0)</f>
        <v>408.3</v>
      </c>
      <c r="X73" s="248">
        <f>ROUND(TF[[#This Row],[TOTAL]]*TF[[#This Row],[P.U. (2)]],2)</f>
        <v>0</v>
      </c>
      <c r="Y73" s="247">
        <f>+VLOOKUP(R73,TbPiezas[],7,0)</f>
        <v>20.415000000000003</v>
      </c>
      <c r="Z73" s="249">
        <f>ROUND(TF[[#This Row],[TOTAL]]*TF[[#This Row],[P.U. (3)]],2)</f>
        <v>0</v>
      </c>
    </row>
    <row r="74" spans="2:26" x14ac:dyDescent="0.3">
      <c r="B74" s="135">
        <v>3072</v>
      </c>
      <c r="C74" s="135" t="s">
        <v>141</v>
      </c>
      <c r="D74" s="135" t="s">
        <v>142</v>
      </c>
      <c r="E74" s="2"/>
      <c r="F74" s="136">
        <f t="shared" ref="F74:P74" si="32">IF(OR(AND(F$5=1020,F$15="CHI"),AND(F$5=1090,F$15="ESP")),"ERROR",IF(AND($B74=F$5,F$15="CHI"),(IF(F$15="ESP",IF(F$6=732,2,IF(OR(F$6=1020,F$6=1090),3,)),IF(F$15="CHI",IF(F$6=1090,3,IF(OR(F$6=1020,F$6=732),2,)),))*IF(F$9="NORMAL",IF(ISEVEN(F$7),0.5*F$7,0.5*F$7+0.5),IF(ISEVEN(F$7),0.5*F$7+1,"NA/NE"))),))-IF(AND(F$15="CHI",F$14="SI",$B74=F$5),IF(F$9="NORMAL",IF(ISEVEN(F7),2*F$87-2,2*F$87),IF(F$9="VOLADO",2*F$87,)),)</f>
        <v>0</v>
      </c>
      <c r="G74" s="136">
        <f t="shared" si="32"/>
        <v>0</v>
      </c>
      <c r="H74" s="136">
        <f t="shared" si="32"/>
        <v>0</v>
      </c>
      <c r="I74" s="136">
        <f t="shared" si="32"/>
        <v>0</v>
      </c>
      <c r="J74" s="136">
        <f t="shared" si="32"/>
        <v>0</v>
      </c>
      <c r="K74" s="136">
        <f t="shared" si="32"/>
        <v>0</v>
      </c>
      <c r="L74" s="136">
        <f t="shared" si="32"/>
        <v>0</v>
      </c>
      <c r="M74" s="136">
        <f t="shared" si="32"/>
        <v>0</v>
      </c>
      <c r="N74" s="136">
        <f t="shared" si="32"/>
        <v>0</v>
      </c>
      <c r="O74" s="136">
        <f t="shared" si="32"/>
        <v>0</v>
      </c>
      <c r="P74" s="136">
        <f t="shared" si="32"/>
        <v>0</v>
      </c>
      <c r="Q74" s="138"/>
      <c r="R74" s="135" t="str">
        <f t="shared" si="4"/>
        <v>AM.6600</v>
      </c>
      <c r="S74" s="245" t="str">
        <f>+IF(C74=TF[[#This Row],[ITEM]],"ok","mal")</f>
        <v>ok</v>
      </c>
      <c r="T74" s="246">
        <f t="shared" si="20"/>
        <v>0</v>
      </c>
      <c r="U74" s="80">
        <f>IF(VLOOKUP(R74,TbPiezas[],5,0)="NA",0,VLOOKUP(R74,TbPiezas[],5,0))</f>
        <v>24</v>
      </c>
      <c r="V74" s="81">
        <f>+TF[[#This Row],[TOTAL]]*TF[[#This Row],[P.U. (1)]]</f>
        <v>0</v>
      </c>
      <c r="W74" s="247">
        <f>+VLOOKUP(R74,TbPiezas[],6,0)</f>
        <v>654.70000000000005</v>
      </c>
      <c r="X74" s="248">
        <f>ROUND(TF[[#This Row],[TOTAL]]*TF[[#This Row],[P.U. (2)]],2)</f>
        <v>0</v>
      </c>
      <c r="Y74" s="247">
        <f>+VLOOKUP(R74,TbPiezas[],7,0)</f>
        <v>32.735000000000007</v>
      </c>
      <c r="Z74" s="249">
        <f>ROUND(TF[[#This Row],[TOTAL]]*TF[[#This Row],[P.U. (3)]],2)</f>
        <v>0</v>
      </c>
    </row>
    <row r="75" spans="2:26" x14ac:dyDescent="0.3">
      <c r="B75" s="135">
        <v>2572</v>
      </c>
      <c r="C75" s="135" t="s">
        <v>143</v>
      </c>
      <c r="D75" s="135" t="s">
        <v>144</v>
      </c>
      <c r="E75" s="2"/>
      <c r="F75" s="136">
        <f t="shared" ref="F75:P75" si="33">IF(OR(AND(F$5=1020,F$15="CHI"),AND(F$5=1090,F$15="ESP")),"ERROR",IF(AND($B75=F$5,F$15="CHI"),(IF(F$15="ESP",IF(F$6=732,2,IF(OR(F$6=1020,F$6=1090),3,)),IF(F$15="CHI",IF(F$6=1090,3,IF(OR(F$6=1020,F$6=732),2,)),))*IF(F$9="NORMAL",IF(ISEVEN(F$7),0.5*F$7,0.5*F$7+0.5),IF(ISEVEN(F$7),0.5*F$7+1,"NA/NE"))),))-IF(AND(F$15="CHI",F$14="SI",$B75=F$5),IF(F$9="NORMAL",IF(ISEVEN(F7),2*F$88-2,2*F$88),IF(F$9="VOLADO",2*F$88,)),)</f>
        <v>0</v>
      </c>
      <c r="G75" s="136">
        <f t="shared" si="33"/>
        <v>0</v>
      </c>
      <c r="H75" s="136">
        <f t="shared" si="33"/>
        <v>0</v>
      </c>
      <c r="I75" s="136">
        <f t="shared" si="33"/>
        <v>0</v>
      </c>
      <c r="J75" s="136">
        <f t="shared" si="33"/>
        <v>0</v>
      </c>
      <c r="K75" s="136">
        <f t="shared" si="33"/>
        <v>0</v>
      </c>
      <c r="L75" s="136">
        <f t="shared" si="33"/>
        <v>0</v>
      </c>
      <c r="M75" s="136">
        <f t="shared" si="33"/>
        <v>0</v>
      </c>
      <c r="N75" s="136">
        <f t="shared" si="33"/>
        <v>0</v>
      </c>
      <c r="O75" s="136">
        <f t="shared" si="33"/>
        <v>0</v>
      </c>
      <c r="P75" s="136">
        <f t="shared" si="33"/>
        <v>0</v>
      </c>
      <c r="Q75" s="138"/>
      <c r="R75" s="135" t="str">
        <f t="shared" si="4"/>
        <v>AM.6700</v>
      </c>
      <c r="S75" s="245" t="str">
        <f>+IF(C75=TF[[#This Row],[ITEM]],"ok","mal")</f>
        <v>ok</v>
      </c>
      <c r="T75" s="246">
        <f t="shared" si="20"/>
        <v>0</v>
      </c>
      <c r="U75" s="80">
        <f>IF(VLOOKUP(R75,TbPiezas[],5,0)="NA",0,VLOOKUP(R75,TbPiezas[],5,0))</f>
        <v>19.700000000000003</v>
      </c>
      <c r="V75" s="81">
        <f>+TF[[#This Row],[TOTAL]]*TF[[#This Row],[P.U. (1)]]</f>
        <v>0</v>
      </c>
      <c r="W75" s="247">
        <f>+VLOOKUP(R75,TbPiezas[],6,0)</f>
        <v>575.04</v>
      </c>
      <c r="X75" s="248">
        <f>ROUND(TF[[#This Row],[TOTAL]]*TF[[#This Row],[P.U. (2)]],2)</f>
        <v>0</v>
      </c>
      <c r="Y75" s="247">
        <f>+VLOOKUP(R75,TbPiezas[],7,0)</f>
        <v>28.751999999999999</v>
      </c>
      <c r="Z75" s="249">
        <f>ROUND(TF[[#This Row],[TOTAL]]*TF[[#This Row],[P.U. (3)]],2)</f>
        <v>0</v>
      </c>
    </row>
    <row r="76" spans="2:26" x14ac:dyDescent="0.3">
      <c r="B76" s="135">
        <v>2072</v>
      </c>
      <c r="C76" s="135" t="s">
        <v>145</v>
      </c>
      <c r="D76" s="135" t="s">
        <v>146</v>
      </c>
      <c r="E76" s="2"/>
      <c r="F76" s="136">
        <f t="shared" ref="F76:P76" si="34">IF(OR(AND(F$5=1020,F$15="CHI"),AND(F$5=1090,F$15="ESP")),"ERROR",IF(AND($B76=F$5,F$15="CHI"),(IF(F$15="ESP",IF(F$6=732,2,IF(OR(F$6=1020,F$6=1090),3,)),IF(F$15="CHI",IF(F$6=1090,3,IF(OR(F$6=1020,F$6=732),2,)),))*IF(F$9="NORMAL",IF(ISEVEN(F$7),0.5*F$7,0.5*F$7+0.5),IF(ISEVEN(F$7),0.5*F$7+1,"NA/NE"))),))-IF(AND(F$15="CHI",F$14="SI",$B76=F$5),IF(F$9="NORMAL",IF(ISEVEN(F7),2*F$89-2,2*F$89),IF(F$9="VOLADO",2*F$89,)),)</f>
        <v>0</v>
      </c>
      <c r="G76" s="136">
        <f t="shared" si="34"/>
        <v>0</v>
      </c>
      <c r="H76" s="136">
        <f t="shared" si="34"/>
        <v>0</v>
      </c>
      <c r="I76" s="136">
        <f t="shared" si="34"/>
        <v>0</v>
      </c>
      <c r="J76" s="136">
        <f t="shared" si="34"/>
        <v>0</v>
      </c>
      <c r="K76" s="136">
        <f t="shared" si="34"/>
        <v>0</v>
      </c>
      <c r="L76" s="136">
        <f t="shared" si="34"/>
        <v>0</v>
      </c>
      <c r="M76" s="136">
        <f t="shared" si="34"/>
        <v>0</v>
      </c>
      <c r="N76" s="136">
        <f t="shared" si="34"/>
        <v>0</v>
      </c>
      <c r="O76" s="136">
        <f t="shared" si="34"/>
        <v>0</v>
      </c>
      <c r="P76" s="136">
        <f t="shared" si="34"/>
        <v>0</v>
      </c>
      <c r="Q76" s="138"/>
      <c r="R76" s="135" t="str">
        <f t="shared" si="4"/>
        <v>AM.6800</v>
      </c>
      <c r="S76" s="245" t="str">
        <f>+IF(C76=TF[[#This Row],[ITEM]],"ok","mal")</f>
        <v>ok</v>
      </c>
      <c r="T76" s="246">
        <f t="shared" si="20"/>
        <v>0</v>
      </c>
      <c r="U76" s="80">
        <f>IF(VLOOKUP(R76,TbPiezas[],5,0)="NA",0,VLOOKUP(R76,TbPiezas[],5,0))</f>
        <v>17.700000000000003</v>
      </c>
      <c r="V76" s="81">
        <f>+TF[[#This Row],[TOTAL]]*TF[[#This Row],[P.U. (1)]]</f>
        <v>0</v>
      </c>
      <c r="W76" s="247">
        <f>+VLOOKUP(R76,TbPiezas[],6,0)</f>
        <v>496.07</v>
      </c>
      <c r="X76" s="248">
        <f>ROUND(TF[[#This Row],[TOTAL]]*TF[[#This Row],[P.U. (2)]],2)</f>
        <v>0</v>
      </c>
      <c r="Y76" s="247">
        <f>+VLOOKUP(R76,TbPiezas[],7,0)</f>
        <v>24.8035</v>
      </c>
      <c r="Z76" s="249">
        <f>ROUND(TF[[#This Row],[TOTAL]]*TF[[#This Row],[P.U. (3)]],2)</f>
        <v>0</v>
      </c>
    </row>
    <row r="77" spans="2:26" x14ac:dyDescent="0.3">
      <c r="B77" s="135">
        <v>1572</v>
      </c>
      <c r="C77" s="135" t="s">
        <v>147</v>
      </c>
      <c r="D77" s="135" t="s">
        <v>148</v>
      </c>
      <c r="E77" s="2"/>
      <c r="F77" s="136">
        <f t="shared" ref="F77:P77" si="35">IF(OR(AND(F$5=1020,F$15="CHI"),AND(F$5=1090,F$15="ESP")),"ERROR",IF(AND($B77=F$5,F$15="CHI"),(IF(F$15="ESP",IF(F$6=732,2,IF(OR(F$6=1020,F$6=1090),3,)),IF(F$15="CHI",IF(F$6=1090,3,IF(OR(F$6=1020,F$6=732),2,)),))*IF(F$9="NORMAL",IF(ISEVEN(F$7),0.5*F$7,0.5*F$7+0.5),IF(ISEVEN(F$7),0.5*F$7+1,"NA/NE"))),))-IF(AND(F$15="CHI",F$14="SI",$B77=F$5),IF(F$9="NORMAL",IF(ISEVEN(F7),2*F$90-2,2*F$90),IF(F$9="VOLADO",2*F$90,)),)</f>
        <v>0</v>
      </c>
      <c r="G77" s="136">
        <f t="shared" si="35"/>
        <v>0</v>
      </c>
      <c r="H77" s="136">
        <f t="shared" si="35"/>
        <v>0</v>
      </c>
      <c r="I77" s="136">
        <f t="shared" si="35"/>
        <v>0</v>
      </c>
      <c r="J77" s="136">
        <f t="shared" si="35"/>
        <v>0</v>
      </c>
      <c r="K77" s="136">
        <f t="shared" si="35"/>
        <v>0</v>
      </c>
      <c r="L77" s="136">
        <f t="shared" si="35"/>
        <v>0</v>
      </c>
      <c r="M77" s="136">
        <f t="shared" si="35"/>
        <v>0</v>
      </c>
      <c r="N77" s="136">
        <f t="shared" si="35"/>
        <v>0</v>
      </c>
      <c r="O77" s="136">
        <f t="shared" si="35"/>
        <v>0</v>
      </c>
      <c r="P77" s="136">
        <f t="shared" si="35"/>
        <v>0</v>
      </c>
      <c r="Q77" s="138"/>
      <c r="R77" s="135" t="str">
        <f t="shared" si="4"/>
        <v>AM.6900</v>
      </c>
      <c r="S77" s="245" t="str">
        <f>+IF(C77=TF[[#This Row],[ITEM]],"ok","mal")</f>
        <v>ok</v>
      </c>
      <c r="T77" s="246">
        <f t="shared" si="20"/>
        <v>0</v>
      </c>
      <c r="U77" s="80">
        <f>IF(VLOOKUP(R77,TbPiezas[],5,0)="NA",0,VLOOKUP(R77,TbPiezas[],5,0))</f>
        <v>12.200000000000003</v>
      </c>
      <c r="V77" s="81">
        <f>+TF[[#This Row],[TOTAL]]*TF[[#This Row],[P.U. (1)]]</f>
        <v>0</v>
      </c>
      <c r="W77" s="247">
        <f>+VLOOKUP(R77,TbPiezas[],6,0)</f>
        <v>484.34</v>
      </c>
      <c r="X77" s="248">
        <f>ROUND(TF[[#This Row],[TOTAL]]*TF[[#This Row],[P.U. (2)]],2)</f>
        <v>0</v>
      </c>
      <c r="Y77" s="247">
        <f>+VLOOKUP(R77,TbPiezas[],7,0)</f>
        <v>24.216999999999999</v>
      </c>
      <c r="Z77" s="249">
        <f>ROUND(TF[[#This Row],[TOTAL]]*TF[[#This Row],[P.U. (3)]],2)</f>
        <v>0</v>
      </c>
    </row>
    <row r="78" spans="2:26" x14ac:dyDescent="0.3">
      <c r="B78" s="135">
        <v>1090</v>
      </c>
      <c r="C78" s="135" t="s">
        <v>149</v>
      </c>
      <c r="D78" s="135" t="s">
        <v>150</v>
      </c>
      <c r="E78" s="2"/>
      <c r="F78" s="136">
        <f t="shared" ref="F78:P79" si="36">IF(OR(AND(F$5=1020,F$15="CHI"),AND(F$5=1090,F$15="ESP")),"ERROR",IF(AND($B78=F$5,F$15="CHI"),(IF(F$15="ESP",IF(F$6=732,2,IF(OR(F$6=1020,F$6=1090),3,)),IF(F$15="CHI",IF(F$6=1090,3,IF(OR(F$6=1020,F$6=732),2,)),))*IF(F$9="NORMAL",IF(ISEVEN(F$7),0.5*F$7,0.5*F$7+0.5),IF(ISEVEN(F$7),0.5*F$7+1,"NA/NE"))),))</f>
        <v>0</v>
      </c>
      <c r="G78" s="136">
        <f t="shared" si="36"/>
        <v>0</v>
      </c>
      <c r="H78" s="136">
        <f t="shared" si="36"/>
        <v>0</v>
      </c>
      <c r="I78" s="136">
        <f t="shared" si="36"/>
        <v>0</v>
      </c>
      <c r="J78" s="136">
        <f t="shared" si="36"/>
        <v>0</v>
      </c>
      <c r="K78" s="136">
        <f t="shared" si="36"/>
        <v>0</v>
      </c>
      <c r="L78" s="136">
        <f t="shared" si="36"/>
        <v>0</v>
      </c>
      <c r="M78" s="136">
        <f t="shared" si="36"/>
        <v>0</v>
      </c>
      <c r="N78" s="136">
        <f t="shared" si="36"/>
        <v>0</v>
      </c>
      <c r="O78" s="136">
        <f t="shared" si="36"/>
        <v>0</v>
      </c>
      <c r="P78" s="136">
        <f t="shared" si="36"/>
        <v>0</v>
      </c>
      <c r="Q78" s="138"/>
      <c r="R78" s="135" t="str">
        <f t="shared" si="4"/>
        <v>AM.7000</v>
      </c>
      <c r="S78" s="245" t="str">
        <f>+IF(C78=TF[[#This Row],[ITEM]],"ok","mal")</f>
        <v>ok</v>
      </c>
      <c r="T78" s="246">
        <f t="shared" si="20"/>
        <v>0</v>
      </c>
      <c r="U78" s="80">
        <f>IF(VLOOKUP(R78,TbPiezas[],5,0)="NA",0,VLOOKUP(R78,TbPiezas[],5,0))</f>
        <v>10.399999999999991</v>
      </c>
      <c r="V78" s="81">
        <f>+TF[[#This Row],[TOTAL]]*TF[[#This Row],[P.U. (1)]]</f>
        <v>0</v>
      </c>
      <c r="W78" s="247">
        <f>+VLOOKUP(R78,TbPiezas[],6,0)</f>
        <v>452.11</v>
      </c>
      <c r="X78" s="248">
        <f>ROUND(TF[[#This Row],[TOTAL]]*TF[[#This Row],[P.U. (2)]],2)</f>
        <v>0</v>
      </c>
      <c r="Y78" s="247">
        <f>+VLOOKUP(R78,TbPiezas[],7,0)</f>
        <v>22.605500000000003</v>
      </c>
      <c r="Z78" s="249">
        <f>ROUND(TF[[#This Row],[TOTAL]]*TF[[#This Row],[P.U. (3)]],2)</f>
        <v>0</v>
      </c>
    </row>
    <row r="79" spans="2:26" x14ac:dyDescent="0.3">
      <c r="B79" s="135">
        <v>732</v>
      </c>
      <c r="C79" s="135" t="s">
        <v>151</v>
      </c>
      <c r="D79" s="135" t="s">
        <v>152</v>
      </c>
      <c r="E79" s="2"/>
      <c r="F79" s="136">
        <f t="shared" si="36"/>
        <v>0</v>
      </c>
      <c r="G79" s="136">
        <f t="shared" si="36"/>
        <v>0</v>
      </c>
      <c r="H79" s="136">
        <f t="shared" si="36"/>
        <v>0</v>
      </c>
      <c r="I79" s="136">
        <f t="shared" si="36"/>
        <v>0</v>
      </c>
      <c r="J79" s="136">
        <f t="shared" si="36"/>
        <v>0</v>
      </c>
      <c r="K79" s="136">
        <f t="shared" si="36"/>
        <v>0</v>
      </c>
      <c r="L79" s="136">
        <f t="shared" si="36"/>
        <v>0</v>
      </c>
      <c r="M79" s="136">
        <f t="shared" si="36"/>
        <v>0</v>
      </c>
      <c r="N79" s="136">
        <f t="shared" si="36"/>
        <v>0</v>
      </c>
      <c r="O79" s="136">
        <f t="shared" si="36"/>
        <v>0</v>
      </c>
      <c r="P79" s="136">
        <f t="shared" si="36"/>
        <v>0</v>
      </c>
      <c r="Q79" s="2"/>
      <c r="R79" s="135" t="str">
        <f t="shared" si="4"/>
        <v>AM.7100</v>
      </c>
      <c r="S79" s="245" t="str">
        <f>+IF(C79=TF[[#This Row],[ITEM]],"ok","mal")</f>
        <v>ok</v>
      </c>
      <c r="T79" s="246">
        <f t="shared" si="20"/>
        <v>0</v>
      </c>
      <c r="U79" s="80">
        <f>IF(VLOOKUP(R79,TbPiezas[],5,0)="NA",0,VLOOKUP(R79,TbPiezas[],5,0))</f>
        <v>7.9000000000000057</v>
      </c>
      <c r="V79" s="81">
        <f>+TF[[#This Row],[TOTAL]]*TF[[#This Row],[P.U. (1)]]</f>
        <v>0</v>
      </c>
      <c r="W79" s="247">
        <f>+VLOOKUP(R79,TbPiezas[],6,0)</f>
        <v>408.3</v>
      </c>
      <c r="X79" s="248">
        <f>ROUND(TF[[#This Row],[TOTAL]]*TF[[#This Row],[P.U. (2)]],2)</f>
        <v>0</v>
      </c>
      <c r="Y79" s="247">
        <f>+VLOOKUP(R79,TbPiezas[],7,0)</f>
        <v>20.415000000000003</v>
      </c>
      <c r="Z79" s="249">
        <f>ROUND(TF[[#This Row],[TOTAL]]*TF[[#This Row],[P.U. (3)]],2)</f>
        <v>0</v>
      </c>
    </row>
    <row r="80" spans="2:26" x14ac:dyDescent="0.3">
      <c r="B80" s="135">
        <v>3072</v>
      </c>
      <c r="C80" s="135" t="s">
        <v>153</v>
      </c>
      <c r="D80" s="135" t="s">
        <v>154</v>
      </c>
      <c r="E80" s="2"/>
      <c r="F80" s="136">
        <f t="shared" ref="F80:P86" si="37">IF(OR(AND(F$5=1020,F$15="CHI"),AND(F$5=1090,F$15="ESP")),"ERROR",IF(AND(F$5=$B80,F$6=1020,F$15="CHI"),IF(F$9="NORMAL",IF(ISEVEN(F$7),0.5*F$7,0.5*F$7+0.5),IF(ISEVEN(F$7),0.5*F$7+1,"NA/NE")),))</f>
        <v>0</v>
      </c>
      <c r="G80" s="136">
        <f t="shared" si="37"/>
        <v>0</v>
      </c>
      <c r="H80" s="136">
        <f t="shared" si="37"/>
        <v>0</v>
      </c>
      <c r="I80" s="136">
        <f t="shared" si="37"/>
        <v>0</v>
      </c>
      <c r="J80" s="136">
        <f t="shared" si="37"/>
        <v>0</v>
      </c>
      <c r="K80" s="136">
        <f t="shared" si="37"/>
        <v>0</v>
      </c>
      <c r="L80" s="136">
        <f t="shared" si="37"/>
        <v>0</v>
      </c>
      <c r="M80" s="136">
        <f t="shared" si="37"/>
        <v>0</v>
      </c>
      <c r="N80" s="136">
        <f t="shared" si="37"/>
        <v>0</v>
      </c>
      <c r="O80" s="136">
        <f t="shared" si="37"/>
        <v>0</v>
      </c>
      <c r="P80" s="136">
        <f t="shared" si="37"/>
        <v>0</v>
      </c>
      <c r="Q80" s="2"/>
      <c r="R80" s="135" t="str">
        <f t="shared" si="4"/>
        <v>AM.7200</v>
      </c>
      <c r="S80" s="245" t="str">
        <f>+IF(C80=TF[[#This Row],[ITEM]],"ok","mal")</f>
        <v>ok</v>
      </c>
      <c r="T80" s="246">
        <f t="shared" si="20"/>
        <v>0</v>
      </c>
      <c r="U80" s="80">
        <f>IF(VLOOKUP(R80,TbPiezas[],5,0)="NA",0,VLOOKUP(R80,TbPiezas[],5,0))</f>
        <v>17.799999999999997</v>
      </c>
      <c r="V80" s="81">
        <f>+TF[[#This Row],[TOTAL]]*TF[[#This Row],[P.U. (1)]]</f>
        <v>0</v>
      </c>
      <c r="W80" s="247">
        <f>+VLOOKUP(R80,TbPiezas[],6,0)</f>
        <v>654.70000000000005</v>
      </c>
      <c r="X80" s="248">
        <f>ROUND(TF[[#This Row],[TOTAL]]*TF[[#This Row],[P.U. (2)]],2)</f>
        <v>0</v>
      </c>
      <c r="Y80" s="247">
        <f>+VLOOKUP(R80,TbPiezas[],7,0)</f>
        <v>32.735000000000007</v>
      </c>
      <c r="Z80" s="249">
        <f>ROUND(TF[[#This Row],[TOTAL]]*TF[[#This Row],[P.U. (3)]],2)</f>
        <v>0</v>
      </c>
    </row>
    <row r="81" spans="2:26" x14ac:dyDescent="0.3">
      <c r="B81" s="135">
        <v>2572</v>
      </c>
      <c r="C81" s="135" t="s">
        <v>155</v>
      </c>
      <c r="D81" s="135" t="s">
        <v>156</v>
      </c>
      <c r="E81" s="2"/>
      <c r="F81" s="136">
        <f t="shared" si="37"/>
        <v>0</v>
      </c>
      <c r="G81" s="136">
        <f t="shared" si="37"/>
        <v>0</v>
      </c>
      <c r="H81" s="136">
        <f t="shared" si="37"/>
        <v>0</v>
      </c>
      <c r="I81" s="136">
        <f t="shared" si="37"/>
        <v>0</v>
      </c>
      <c r="J81" s="136">
        <f t="shared" si="37"/>
        <v>0</v>
      </c>
      <c r="K81" s="136">
        <f t="shared" si="37"/>
        <v>0</v>
      </c>
      <c r="L81" s="136">
        <f t="shared" si="37"/>
        <v>0</v>
      </c>
      <c r="M81" s="136">
        <f t="shared" si="37"/>
        <v>0</v>
      </c>
      <c r="N81" s="136">
        <f t="shared" si="37"/>
        <v>0</v>
      </c>
      <c r="O81" s="136">
        <f t="shared" si="37"/>
        <v>0</v>
      </c>
      <c r="P81" s="136">
        <f t="shared" si="37"/>
        <v>0</v>
      </c>
      <c r="Q81" s="2"/>
      <c r="R81" s="135" t="str">
        <f t="shared" si="4"/>
        <v>AM.7300</v>
      </c>
      <c r="S81" s="245" t="str">
        <f>+IF(C81=TF[[#This Row],[ITEM]],"ok","mal")</f>
        <v>ok</v>
      </c>
      <c r="T81" s="246">
        <f t="shared" si="20"/>
        <v>0</v>
      </c>
      <c r="U81" s="80">
        <f>IF(VLOOKUP(R81,TbPiezas[],5,0)="NA",0,VLOOKUP(R81,TbPiezas[],5,0))</f>
        <v>14.599999999999994</v>
      </c>
      <c r="V81" s="81">
        <f>+TF[[#This Row],[TOTAL]]*TF[[#This Row],[P.U. (1)]]</f>
        <v>0</v>
      </c>
      <c r="W81" s="247">
        <f>+VLOOKUP(R81,TbPiezas[],6,0)</f>
        <v>575.04</v>
      </c>
      <c r="X81" s="248">
        <f>ROUND(TF[[#This Row],[TOTAL]]*TF[[#This Row],[P.U. (2)]],2)</f>
        <v>0</v>
      </c>
      <c r="Y81" s="247">
        <f>+VLOOKUP(R81,TbPiezas[],7,0)</f>
        <v>28.751999999999999</v>
      </c>
      <c r="Z81" s="249">
        <f>ROUND(TF[[#This Row],[TOTAL]]*TF[[#This Row],[P.U. (3)]],2)</f>
        <v>0</v>
      </c>
    </row>
    <row r="82" spans="2:26" x14ac:dyDescent="0.3">
      <c r="B82" s="135">
        <v>2072</v>
      </c>
      <c r="C82" s="135" t="s">
        <v>157</v>
      </c>
      <c r="D82" s="135" t="s">
        <v>158</v>
      </c>
      <c r="E82" s="2"/>
      <c r="F82" s="136">
        <f t="shared" si="37"/>
        <v>0</v>
      </c>
      <c r="G82" s="136">
        <f t="shared" si="37"/>
        <v>0</v>
      </c>
      <c r="H82" s="136">
        <f t="shared" si="37"/>
        <v>0</v>
      </c>
      <c r="I82" s="136">
        <f t="shared" si="37"/>
        <v>0</v>
      </c>
      <c r="J82" s="136">
        <f t="shared" si="37"/>
        <v>0</v>
      </c>
      <c r="K82" s="136">
        <f t="shared" si="37"/>
        <v>0</v>
      </c>
      <c r="L82" s="136">
        <f t="shared" si="37"/>
        <v>0</v>
      </c>
      <c r="M82" s="136">
        <f t="shared" si="37"/>
        <v>0</v>
      </c>
      <c r="N82" s="136">
        <f t="shared" si="37"/>
        <v>0</v>
      </c>
      <c r="O82" s="136">
        <f t="shared" si="37"/>
        <v>0</v>
      </c>
      <c r="P82" s="136">
        <f t="shared" si="37"/>
        <v>0</v>
      </c>
      <c r="Q82" s="2"/>
      <c r="R82" s="135" t="str">
        <f t="shared" si="4"/>
        <v>AM.7400</v>
      </c>
      <c r="S82" s="245" t="str">
        <f>+IF(C82=TF[[#This Row],[ITEM]],"ok","mal")</f>
        <v>ok</v>
      </c>
      <c r="T82" s="246">
        <f t="shared" si="20"/>
        <v>0</v>
      </c>
      <c r="U82" s="80">
        <f>IF(VLOOKUP(R82,TbPiezas[],5,0)="NA",0,VLOOKUP(R82,TbPiezas[],5,0))</f>
        <v>12.299999999999997</v>
      </c>
      <c r="V82" s="81">
        <f>+TF[[#This Row],[TOTAL]]*TF[[#This Row],[P.U. (1)]]</f>
        <v>0</v>
      </c>
      <c r="W82" s="247">
        <f>+VLOOKUP(R82,TbPiezas[],6,0)</f>
        <v>496.07</v>
      </c>
      <c r="X82" s="248">
        <f>ROUND(TF[[#This Row],[TOTAL]]*TF[[#This Row],[P.U. (2)]],2)</f>
        <v>0</v>
      </c>
      <c r="Y82" s="247">
        <f>+VLOOKUP(R82,TbPiezas[],7,0)</f>
        <v>24.8035</v>
      </c>
      <c r="Z82" s="249">
        <f>ROUND(TF[[#This Row],[TOTAL]]*TF[[#This Row],[P.U. (3)]],2)</f>
        <v>0</v>
      </c>
    </row>
    <row r="83" spans="2:26" x14ac:dyDescent="0.3">
      <c r="B83" s="135">
        <v>1572</v>
      </c>
      <c r="C83" s="135" t="s">
        <v>159</v>
      </c>
      <c r="D83" s="135" t="s">
        <v>160</v>
      </c>
      <c r="E83" s="2"/>
      <c r="F83" s="136">
        <f t="shared" si="37"/>
        <v>0</v>
      </c>
      <c r="G83" s="136">
        <f t="shared" si="37"/>
        <v>0</v>
      </c>
      <c r="H83" s="136">
        <f t="shared" si="37"/>
        <v>0</v>
      </c>
      <c r="I83" s="136">
        <f t="shared" si="37"/>
        <v>0</v>
      </c>
      <c r="J83" s="136">
        <f t="shared" si="37"/>
        <v>0</v>
      </c>
      <c r="K83" s="136">
        <f t="shared" si="37"/>
        <v>0</v>
      </c>
      <c r="L83" s="136">
        <f t="shared" si="37"/>
        <v>0</v>
      </c>
      <c r="M83" s="136">
        <f t="shared" si="37"/>
        <v>0</v>
      </c>
      <c r="N83" s="136">
        <f t="shared" si="37"/>
        <v>0</v>
      </c>
      <c r="O83" s="136">
        <f t="shared" si="37"/>
        <v>0</v>
      </c>
      <c r="P83" s="136">
        <f t="shared" si="37"/>
        <v>0</v>
      </c>
      <c r="Q83" s="2"/>
      <c r="R83" s="135" t="str">
        <f t="shared" si="4"/>
        <v>AM.7410</v>
      </c>
      <c r="S83" s="245" t="str">
        <f>+IF(C83=TF[[#This Row],[ITEM]],"ok","mal")</f>
        <v>ok</v>
      </c>
      <c r="T83" s="246">
        <f t="shared" si="20"/>
        <v>0</v>
      </c>
      <c r="U83" s="80">
        <f>IF(VLOOKUP(R83,TbPiezas[],5,0)="NA",0,VLOOKUP(R83,TbPiezas[],5,0))</f>
        <v>9.0500000000000007</v>
      </c>
      <c r="V83" s="81">
        <f>+TF[[#This Row],[TOTAL]]*TF[[#This Row],[P.U. (1)]]</f>
        <v>0</v>
      </c>
      <c r="W83" s="247">
        <f>+VLOOKUP(R83,TbPiezas[],6,0)</f>
        <v>484.34</v>
      </c>
      <c r="X83" s="248">
        <f>ROUND(TF[[#This Row],[TOTAL]]*TF[[#This Row],[P.U. (2)]],2)</f>
        <v>0</v>
      </c>
      <c r="Y83" s="247">
        <f>+VLOOKUP(R83,TbPiezas[],7,0)</f>
        <v>24.216999999999999</v>
      </c>
      <c r="Z83" s="249">
        <f>ROUND(TF[[#This Row],[TOTAL]]*TF[[#This Row],[P.U. (3)]],2)</f>
        <v>0</v>
      </c>
    </row>
    <row r="84" spans="2:26" x14ac:dyDescent="0.3">
      <c r="B84" s="135">
        <v>1090</v>
      </c>
      <c r="C84" s="135" t="s">
        <v>161</v>
      </c>
      <c r="D84" s="135" t="s">
        <v>162</v>
      </c>
      <c r="E84" s="2"/>
      <c r="F84" s="136">
        <f t="shared" si="37"/>
        <v>0</v>
      </c>
      <c r="G84" s="136">
        <f t="shared" si="37"/>
        <v>0</v>
      </c>
      <c r="H84" s="136">
        <f t="shared" si="37"/>
        <v>0</v>
      </c>
      <c r="I84" s="136">
        <f t="shared" si="37"/>
        <v>0</v>
      </c>
      <c r="J84" s="136">
        <f t="shared" si="37"/>
        <v>0</v>
      </c>
      <c r="K84" s="136">
        <f t="shared" si="37"/>
        <v>0</v>
      </c>
      <c r="L84" s="136">
        <f t="shared" si="37"/>
        <v>0</v>
      </c>
      <c r="M84" s="136">
        <f t="shared" si="37"/>
        <v>0</v>
      </c>
      <c r="N84" s="136">
        <f t="shared" si="37"/>
        <v>0</v>
      </c>
      <c r="O84" s="136">
        <f t="shared" si="37"/>
        <v>0</v>
      </c>
      <c r="P84" s="136">
        <f t="shared" si="37"/>
        <v>0</v>
      </c>
      <c r="Q84" s="2"/>
      <c r="R84" s="135" t="str">
        <f t="shared" si="4"/>
        <v>AM.7420</v>
      </c>
      <c r="S84" s="245" t="str">
        <f>+IF(C84=TF[[#This Row],[ITEM]],"ok","mal")</f>
        <v>ok</v>
      </c>
      <c r="T84" s="246">
        <f t="shared" ref="T84:T104" si="38">SUM(E84:Q84)</f>
        <v>0</v>
      </c>
      <c r="U84" s="80">
        <f>IF(VLOOKUP(R84,TbPiezas[],5,0)="NA",0,VLOOKUP(R84,TbPiezas[],5,0))</f>
        <v>7.71</v>
      </c>
      <c r="V84" s="81">
        <f>+TF[[#This Row],[TOTAL]]*TF[[#This Row],[P.U. (1)]]</f>
        <v>0</v>
      </c>
      <c r="W84" s="247">
        <f>+VLOOKUP(R84,TbPiezas[],6,0)</f>
        <v>452.11</v>
      </c>
      <c r="X84" s="248">
        <f>ROUND(TF[[#This Row],[TOTAL]]*TF[[#This Row],[P.U. (2)]],2)</f>
        <v>0</v>
      </c>
      <c r="Y84" s="247">
        <f>+VLOOKUP(R84,TbPiezas[],7,0)</f>
        <v>22.605500000000003</v>
      </c>
      <c r="Z84" s="249">
        <f>ROUND(TF[[#This Row],[TOTAL]]*TF[[#This Row],[P.U. (3)]],2)</f>
        <v>0</v>
      </c>
    </row>
    <row r="85" spans="2:26" x14ac:dyDescent="0.3">
      <c r="B85" s="135">
        <v>1020</v>
      </c>
      <c r="C85" s="135" t="s">
        <v>163</v>
      </c>
      <c r="D85" s="135" t="s">
        <v>164</v>
      </c>
      <c r="E85" s="2"/>
      <c r="F85" s="136">
        <f t="shared" si="37"/>
        <v>0</v>
      </c>
      <c r="G85" s="136">
        <f t="shared" si="37"/>
        <v>0</v>
      </c>
      <c r="H85" s="136">
        <f t="shared" si="37"/>
        <v>0</v>
      </c>
      <c r="I85" s="136">
        <f t="shared" si="37"/>
        <v>0</v>
      </c>
      <c r="J85" s="136">
        <f t="shared" si="37"/>
        <v>0</v>
      </c>
      <c r="K85" s="136">
        <f t="shared" si="37"/>
        <v>0</v>
      </c>
      <c r="L85" s="136">
        <f t="shared" si="37"/>
        <v>0</v>
      </c>
      <c r="M85" s="136">
        <f t="shared" si="37"/>
        <v>0</v>
      </c>
      <c r="N85" s="136">
        <f t="shared" si="37"/>
        <v>0</v>
      </c>
      <c r="O85" s="136">
        <f t="shared" si="37"/>
        <v>0</v>
      </c>
      <c r="P85" s="136">
        <f t="shared" si="37"/>
        <v>0</v>
      </c>
      <c r="Q85" s="2"/>
      <c r="R85" s="135" t="str">
        <f t="shared" si="4"/>
        <v>AM.7430</v>
      </c>
      <c r="S85" s="245" t="str">
        <f>+IF(C85=TF[[#This Row],[ITEM]],"ok","mal")</f>
        <v>ok</v>
      </c>
      <c r="T85" s="246">
        <f t="shared" si="38"/>
        <v>0</v>
      </c>
      <c r="U85" s="80">
        <f>IF(VLOOKUP(R85,TbPiezas[],5,0)="NA",0,VLOOKUP(R85,TbPiezas[],5,0))</f>
        <v>4.3</v>
      </c>
      <c r="V85" s="81">
        <f>+TF[[#This Row],[TOTAL]]*TF[[#This Row],[P.U. (1)]]</f>
        <v>0</v>
      </c>
      <c r="W85" s="247">
        <f>+VLOOKUP(R85,TbPiezas[],6,0)</f>
        <v>452.11</v>
      </c>
      <c r="X85" s="248">
        <f>ROUND(TF[[#This Row],[TOTAL]]*TF[[#This Row],[P.U. (2)]],2)</f>
        <v>0</v>
      </c>
      <c r="Y85" s="247">
        <f>+VLOOKUP(R85,TbPiezas[],7,0)</f>
        <v>22.605500000000003</v>
      </c>
      <c r="Z85" s="249">
        <f>ROUND(TF[[#This Row],[TOTAL]]*TF[[#This Row],[P.U. (3)]],2)</f>
        <v>0</v>
      </c>
    </row>
    <row r="86" spans="2:26" x14ac:dyDescent="0.3">
      <c r="B86" s="135">
        <v>732</v>
      </c>
      <c r="C86" s="135" t="s">
        <v>165</v>
      </c>
      <c r="D86" s="135" t="s">
        <v>166</v>
      </c>
      <c r="E86" s="2"/>
      <c r="F86" s="136">
        <f t="shared" si="37"/>
        <v>0</v>
      </c>
      <c r="G86" s="136">
        <f t="shared" si="37"/>
        <v>0</v>
      </c>
      <c r="H86" s="136">
        <f t="shared" si="37"/>
        <v>0</v>
      </c>
      <c r="I86" s="136">
        <f t="shared" si="37"/>
        <v>0</v>
      </c>
      <c r="J86" s="136">
        <f t="shared" si="37"/>
        <v>0</v>
      </c>
      <c r="K86" s="136">
        <f t="shared" si="37"/>
        <v>0</v>
      </c>
      <c r="L86" s="136">
        <f t="shared" si="37"/>
        <v>0</v>
      </c>
      <c r="M86" s="136">
        <f t="shared" si="37"/>
        <v>0</v>
      </c>
      <c r="N86" s="136">
        <f t="shared" si="37"/>
        <v>0</v>
      </c>
      <c r="O86" s="136">
        <f t="shared" si="37"/>
        <v>0</v>
      </c>
      <c r="P86" s="136">
        <f t="shared" si="37"/>
        <v>0</v>
      </c>
      <c r="Q86" s="2"/>
      <c r="R86" s="135" t="str">
        <f t="shared" ref="R86:R104" si="39">+C86</f>
        <v>AM.7440</v>
      </c>
      <c r="S86" s="245" t="str">
        <f>+IF(C86=TF[[#This Row],[ITEM]],"ok","mal")</f>
        <v>ok</v>
      </c>
      <c r="T86" s="246">
        <f t="shared" si="38"/>
        <v>0</v>
      </c>
      <c r="U86" s="80">
        <f>IF(VLOOKUP(R86,TbPiezas[],5,0)="NA",0,VLOOKUP(R86,TbPiezas[],5,0))</f>
        <v>5.86</v>
      </c>
      <c r="V86" s="81">
        <f>+TF[[#This Row],[TOTAL]]*TF[[#This Row],[P.U. (1)]]</f>
        <v>0</v>
      </c>
      <c r="W86" s="247">
        <f>+VLOOKUP(R86,TbPiezas[],6,0)</f>
        <v>408.3</v>
      </c>
      <c r="X86" s="248">
        <f>ROUND(TF[[#This Row],[TOTAL]]*TF[[#This Row],[P.U. (2)]],2)</f>
        <v>0</v>
      </c>
      <c r="Y86" s="247">
        <f>+VLOOKUP(R86,TbPiezas[],7,0)</f>
        <v>20.415000000000003</v>
      </c>
      <c r="Z86" s="249">
        <f>ROUND(TF[[#This Row],[TOTAL]]*TF[[#This Row],[P.U. (3)]],2)</f>
        <v>0</v>
      </c>
    </row>
    <row r="87" spans="2:26" x14ac:dyDescent="0.3">
      <c r="B87" s="135">
        <v>3072</v>
      </c>
      <c r="C87" s="135" t="s">
        <v>167</v>
      </c>
      <c r="D87" s="135" t="s">
        <v>168</v>
      </c>
      <c r="E87" s="2"/>
      <c r="F87" s="136">
        <f t="shared" ref="F87:P90" si="40">IF(AND(F$14="SI",OR(F$5=1090,F$5=1020,F$5=732)),"ERROR",IF(AND(F$14="SI",F$5=$B87),IF(ISEVEN(F$7),0.5*F$7,0.5*F$7-0.5),0))</f>
        <v>0</v>
      </c>
      <c r="G87" s="136">
        <f t="shared" si="40"/>
        <v>0</v>
      </c>
      <c r="H87" s="136">
        <f t="shared" si="40"/>
        <v>0</v>
      </c>
      <c r="I87" s="136">
        <f t="shared" si="40"/>
        <v>0</v>
      </c>
      <c r="J87" s="136">
        <f t="shared" si="40"/>
        <v>0</v>
      </c>
      <c r="K87" s="136">
        <f t="shared" si="40"/>
        <v>0</v>
      </c>
      <c r="L87" s="136">
        <f t="shared" si="40"/>
        <v>0</v>
      </c>
      <c r="M87" s="136">
        <f t="shared" si="40"/>
        <v>0</v>
      </c>
      <c r="N87" s="136">
        <f t="shared" si="40"/>
        <v>0</v>
      </c>
      <c r="O87" s="136">
        <f t="shared" si="40"/>
        <v>0</v>
      </c>
      <c r="P87" s="136">
        <f t="shared" si="40"/>
        <v>0</v>
      </c>
      <c r="Q87" s="2"/>
      <c r="R87" s="135" t="str">
        <f t="shared" si="39"/>
        <v>AM.7450</v>
      </c>
      <c r="S87" s="245" t="str">
        <f>+IF(C87=TF[[#This Row],[ITEM]],"ok","mal")</f>
        <v>ok</v>
      </c>
      <c r="T87" s="246">
        <f t="shared" si="38"/>
        <v>0</v>
      </c>
      <c r="U87" s="80">
        <f>IF(VLOOKUP(R87,TbPiezas[],5,0)="NA",0,VLOOKUP(R87,TbPiezas[],5,0))</f>
        <v>43.499999999999986</v>
      </c>
      <c r="V87" s="81">
        <f>+TF[[#This Row],[TOTAL]]*TF[[#This Row],[P.U. (1)]]</f>
        <v>0</v>
      </c>
      <c r="W87" s="247">
        <f>+VLOOKUP(R87,TbPiezas[],6,0)</f>
        <v>2658.2</v>
      </c>
      <c r="X87" s="248">
        <f>ROUND(TF[[#This Row],[TOTAL]]*TF[[#This Row],[P.U. (2)]],2)</f>
        <v>0</v>
      </c>
      <c r="Y87" s="247">
        <f>+VLOOKUP(R87,TbPiezas[],7,0)</f>
        <v>132.91</v>
      </c>
      <c r="Z87" s="249">
        <f>ROUND(TF[[#This Row],[TOTAL]]*TF[[#This Row],[P.U. (3)]],2)</f>
        <v>0</v>
      </c>
    </row>
    <row r="88" spans="2:26" x14ac:dyDescent="0.3">
      <c r="B88" s="135">
        <v>2572</v>
      </c>
      <c r="C88" s="135" t="s">
        <v>169</v>
      </c>
      <c r="D88" s="135" t="s">
        <v>170</v>
      </c>
      <c r="E88" s="2"/>
      <c r="F88" s="136">
        <f t="shared" si="40"/>
        <v>0</v>
      </c>
      <c r="G88" s="136">
        <f t="shared" si="40"/>
        <v>0</v>
      </c>
      <c r="H88" s="136">
        <f t="shared" si="40"/>
        <v>0</v>
      </c>
      <c r="I88" s="136">
        <f t="shared" si="40"/>
        <v>0</v>
      </c>
      <c r="J88" s="136">
        <f t="shared" si="40"/>
        <v>0</v>
      </c>
      <c r="K88" s="136">
        <f t="shared" si="40"/>
        <v>0</v>
      </c>
      <c r="L88" s="136">
        <f t="shared" si="40"/>
        <v>0</v>
      </c>
      <c r="M88" s="136">
        <f t="shared" si="40"/>
        <v>0</v>
      </c>
      <c r="N88" s="136">
        <f t="shared" si="40"/>
        <v>0</v>
      </c>
      <c r="O88" s="136">
        <f t="shared" si="40"/>
        <v>0</v>
      </c>
      <c r="P88" s="136">
        <f t="shared" si="40"/>
        <v>0</v>
      </c>
      <c r="Q88" s="2"/>
      <c r="R88" s="135" t="str">
        <f t="shared" si="39"/>
        <v>AM.7451</v>
      </c>
      <c r="S88" s="245" t="str">
        <f>+IF(C88=TF[[#This Row],[ITEM]],"ok","mal")</f>
        <v>ok</v>
      </c>
      <c r="T88" s="246">
        <f t="shared" si="38"/>
        <v>0</v>
      </c>
      <c r="U88" s="80">
        <f>IF(VLOOKUP(R88,TbPiezas[],5,0)="NA",0,VLOOKUP(R88,TbPiezas[],5,0))</f>
        <v>36.599999999999994</v>
      </c>
      <c r="V88" s="81">
        <f>+TF[[#This Row],[TOTAL]]*TF[[#This Row],[P.U. (1)]]</f>
        <v>0</v>
      </c>
      <c r="W88" s="247">
        <f>+VLOOKUP(R88,TbPiezas[],6,0)</f>
        <v>2658.2</v>
      </c>
      <c r="X88" s="248">
        <f>ROUND(TF[[#This Row],[TOTAL]]*TF[[#This Row],[P.U. (2)]],2)</f>
        <v>0</v>
      </c>
      <c r="Y88" s="247">
        <f>+VLOOKUP(R88,TbPiezas[],7,0)</f>
        <v>132.91</v>
      </c>
      <c r="Z88" s="249">
        <f>ROUND(TF[[#This Row],[TOTAL]]*TF[[#This Row],[P.U. (3)]],2)</f>
        <v>0</v>
      </c>
    </row>
    <row r="89" spans="2:26" x14ac:dyDescent="0.3">
      <c r="B89" s="135">
        <v>2072</v>
      </c>
      <c r="C89" s="135" t="s">
        <v>171</v>
      </c>
      <c r="D89" s="135" t="s">
        <v>172</v>
      </c>
      <c r="E89" s="2"/>
      <c r="F89" s="136">
        <f t="shared" si="40"/>
        <v>0</v>
      </c>
      <c r="G89" s="136">
        <f t="shared" si="40"/>
        <v>0</v>
      </c>
      <c r="H89" s="136">
        <f t="shared" si="40"/>
        <v>0</v>
      </c>
      <c r="I89" s="136">
        <f t="shared" si="40"/>
        <v>0</v>
      </c>
      <c r="J89" s="136">
        <f t="shared" si="40"/>
        <v>0</v>
      </c>
      <c r="K89" s="136">
        <f t="shared" si="40"/>
        <v>0</v>
      </c>
      <c r="L89" s="136">
        <f t="shared" si="40"/>
        <v>0</v>
      </c>
      <c r="M89" s="136">
        <f t="shared" si="40"/>
        <v>0</v>
      </c>
      <c r="N89" s="136">
        <f t="shared" si="40"/>
        <v>0</v>
      </c>
      <c r="O89" s="136">
        <f t="shared" si="40"/>
        <v>0</v>
      </c>
      <c r="P89" s="136">
        <f t="shared" si="40"/>
        <v>0</v>
      </c>
      <c r="Q89" s="2"/>
      <c r="R89" s="135" t="str">
        <f t="shared" si="39"/>
        <v>AM.7452</v>
      </c>
      <c r="S89" s="245" t="str">
        <f>+IF(C89=TF[[#This Row],[ITEM]],"ok","mal")</f>
        <v>ok</v>
      </c>
      <c r="T89" s="246">
        <f t="shared" si="38"/>
        <v>0</v>
      </c>
      <c r="U89" s="80">
        <f>IF(VLOOKUP(R89,TbPiezas[],5,0)="NA",0,VLOOKUP(R89,TbPiezas[],5,0))</f>
        <v>31.099999999999994</v>
      </c>
      <c r="V89" s="81">
        <f>+TF[[#This Row],[TOTAL]]*TF[[#This Row],[P.U. (1)]]</f>
        <v>0</v>
      </c>
      <c r="W89" s="247">
        <f>+VLOOKUP(R89,TbPiezas[],6,0)</f>
        <v>2658.2</v>
      </c>
      <c r="X89" s="248">
        <f>ROUND(TF[[#This Row],[TOTAL]]*TF[[#This Row],[P.U. (2)]],2)</f>
        <v>0</v>
      </c>
      <c r="Y89" s="247">
        <f>+VLOOKUP(R89,TbPiezas[],7,0)</f>
        <v>132.91</v>
      </c>
      <c r="Z89" s="249">
        <f>ROUND(TF[[#This Row],[TOTAL]]*TF[[#This Row],[P.U. (3)]],2)</f>
        <v>0</v>
      </c>
    </row>
    <row r="90" spans="2:26" x14ac:dyDescent="0.3">
      <c r="B90" s="135">
        <v>1572</v>
      </c>
      <c r="C90" s="135" t="s">
        <v>173</v>
      </c>
      <c r="D90" s="135" t="s">
        <v>174</v>
      </c>
      <c r="E90" s="2"/>
      <c r="F90" s="136">
        <f t="shared" si="40"/>
        <v>0</v>
      </c>
      <c r="G90" s="136">
        <f t="shared" si="40"/>
        <v>0</v>
      </c>
      <c r="H90" s="136">
        <f t="shared" si="40"/>
        <v>0</v>
      </c>
      <c r="I90" s="136">
        <f t="shared" si="40"/>
        <v>0</v>
      </c>
      <c r="J90" s="136">
        <f t="shared" si="40"/>
        <v>0</v>
      </c>
      <c r="K90" s="136">
        <f t="shared" si="40"/>
        <v>0</v>
      </c>
      <c r="L90" s="136">
        <f t="shared" si="40"/>
        <v>0</v>
      </c>
      <c r="M90" s="136">
        <f t="shared" si="40"/>
        <v>0</v>
      </c>
      <c r="N90" s="136">
        <f t="shared" si="40"/>
        <v>0</v>
      </c>
      <c r="O90" s="136">
        <f t="shared" si="40"/>
        <v>0</v>
      </c>
      <c r="P90" s="136">
        <f t="shared" si="40"/>
        <v>0</v>
      </c>
      <c r="Q90" s="2"/>
      <c r="R90" s="135" t="str">
        <f t="shared" si="39"/>
        <v>AM.7453</v>
      </c>
      <c r="S90" s="245" t="str">
        <f>+IF(C90=TF[[#This Row],[ITEM]],"ok","mal")</f>
        <v>ok</v>
      </c>
      <c r="T90" s="246">
        <f t="shared" si="38"/>
        <v>0</v>
      </c>
      <c r="U90" s="80">
        <f>IF(VLOOKUP(R90,TbPiezas[],5,0)="NA",0,VLOOKUP(R90,TbPiezas[],5,0))</f>
        <v>27</v>
      </c>
      <c r="V90" s="81">
        <f>+TF[[#This Row],[TOTAL]]*TF[[#This Row],[P.U. (1)]]</f>
        <v>0</v>
      </c>
      <c r="W90" s="247">
        <f>+VLOOKUP(R90,TbPiezas[],6,0)</f>
        <v>2658.2</v>
      </c>
      <c r="X90" s="248">
        <f>ROUND(TF[[#This Row],[TOTAL]]*TF[[#This Row],[P.U. (2)]],2)</f>
        <v>0</v>
      </c>
      <c r="Y90" s="247">
        <f>+VLOOKUP(R90,TbPiezas[],7,0)</f>
        <v>132.91</v>
      </c>
      <c r="Z90" s="249">
        <f>ROUND(TF[[#This Row],[TOTAL]]*TF[[#This Row],[P.U. (3)]],2)</f>
        <v>0</v>
      </c>
    </row>
    <row r="91" spans="2:26" x14ac:dyDescent="0.3">
      <c r="B91" s="135"/>
      <c r="C91" s="135" t="s">
        <v>183</v>
      </c>
      <c r="D91" s="135" t="s">
        <v>184</v>
      </c>
      <c r="E91" s="2"/>
      <c r="F91" s="360">
        <v>0</v>
      </c>
      <c r="G91" s="360">
        <v>0</v>
      </c>
      <c r="H91" s="360">
        <v>0</v>
      </c>
      <c r="I91" s="360">
        <v>0</v>
      </c>
      <c r="J91" s="360">
        <v>0</v>
      </c>
      <c r="K91" s="360">
        <v>0</v>
      </c>
      <c r="L91" s="360">
        <v>0</v>
      </c>
      <c r="M91" s="360">
        <v>0</v>
      </c>
      <c r="N91" s="360">
        <v>0</v>
      </c>
      <c r="O91" s="360">
        <v>0</v>
      </c>
      <c r="P91" s="360">
        <v>0</v>
      </c>
      <c r="Q91" s="2"/>
      <c r="R91" s="135" t="str">
        <f t="shared" si="39"/>
        <v>AM.7900</v>
      </c>
      <c r="S91" s="137" t="str">
        <f>+IF(C91=TF[[#This Row],[ITEM]],"ok","mal")</f>
        <v>ok</v>
      </c>
      <c r="T91" s="79">
        <f>SUM(E91:Q91)</f>
        <v>0</v>
      </c>
      <c r="U91" s="80">
        <f>IF(VLOOKUP(R91,TbPiezas[],5,0)="NA",0,VLOOKUP(R91,TbPiezas[],5,0))</f>
        <v>38.799999999999997</v>
      </c>
      <c r="V91" s="81">
        <f>+TF[[#This Row],[TOTAL]]*TF[[#This Row],[P.U. (1)]]</f>
        <v>0</v>
      </c>
      <c r="W91" s="247">
        <f>+VLOOKUP(R91,TbPiezas[],6,0)</f>
        <v>2101.1799999999998</v>
      </c>
      <c r="X91" s="341">
        <f>ROUND(TF[[#This Row],[TOTAL]]*TF[[#This Row],[P.U. (2)]],2)</f>
        <v>0</v>
      </c>
      <c r="Y91" s="247">
        <f>+VLOOKUP(R91,TbPiezas[],7,0)</f>
        <v>105.059</v>
      </c>
      <c r="Z91" s="342">
        <f>ROUND(TF[[#This Row],[TOTAL]]*TF[[#This Row],[P.U. (3)]],2)</f>
        <v>0</v>
      </c>
    </row>
    <row r="92" spans="2:26" x14ac:dyDescent="0.3">
      <c r="B92" s="135"/>
      <c r="C92" s="135" t="s">
        <v>185</v>
      </c>
      <c r="D92" s="135" t="s">
        <v>186</v>
      </c>
      <c r="E92" s="2"/>
      <c r="F92" s="360">
        <v>0</v>
      </c>
      <c r="G92" s="360">
        <v>0</v>
      </c>
      <c r="H92" s="360">
        <v>0</v>
      </c>
      <c r="I92" s="360">
        <v>0</v>
      </c>
      <c r="J92" s="360">
        <v>0</v>
      </c>
      <c r="K92" s="360">
        <v>0</v>
      </c>
      <c r="L92" s="360">
        <v>0</v>
      </c>
      <c r="M92" s="360">
        <v>0</v>
      </c>
      <c r="N92" s="360">
        <v>0</v>
      </c>
      <c r="O92" s="360">
        <v>0</v>
      </c>
      <c r="P92" s="360">
        <v>0</v>
      </c>
      <c r="Q92" s="2"/>
      <c r="R92" s="135" t="str">
        <f t="shared" si="39"/>
        <v>AM.8000</v>
      </c>
      <c r="S92" s="137" t="str">
        <f>+IF(C92=TF[[#This Row],[ITEM]],"ok","mal")</f>
        <v>ok</v>
      </c>
      <c r="T92" s="79">
        <f>SUM(E92:Q92)</f>
        <v>0</v>
      </c>
      <c r="U92" s="80">
        <f>IF(VLOOKUP(R92,TbPiezas[],5,0)="NA",0,VLOOKUP(R92,TbPiezas[],5,0))</f>
        <v>29.599999999999994</v>
      </c>
      <c r="V92" s="81">
        <f>+TF[[#This Row],[TOTAL]]*TF[[#This Row],[P.U. (1)]]</f>
        <v>0</v>
      </c>
      <c r="W92" s="247">
        <f>+VLOOKUP(R92,TbPiezas[],6,0)</f>
        <v>2101.1799999999998</v>
      </c>
      <c r="X92" s="341">
        <f>ROUND(TF[[#This Row],[TOTAL]]*TF[[#This Row],[P.U. (2)]],2)</f>
        <v>0</v>
      </c>
      <c r="Y92" s="247">
        <f>+VLOOKUP(R92,TbPiezas[],7,0)</f>
        <v>105.059</v>
      </c>
      <c r="Z92" s="342">
        <f>ROUND(TF[[#This Row],[TOTAL]]*TF[[#This Row],[P.U. (3)]],2)</f>
        <v>0</v>
      </c>
    </row>
    <row r="93" spans="2:26" x14ac:dyDescent="0.3">
      <c r="B93" s="135">
        <v>1</v>
      </c>
      <c r="C93" s="135" t="s">
        <v>195</v>
      </c>
      <c r="D93" s="135" t="s">
        <v>196</v>
      </c>
      <c r="E93" s="2"/>
      <c r="F93" s="136">
        <f t="shared" ref="F93:P93" si="41">+IF($B93=F$17,IF(AND(F$5&gt;0,E$5=0),2*ROUNDUP(F$7/(2*F$8),0),IF(AND(F$5&gt;0,E$5&gt;0),ROUNDUP(F$7/(2*F$8),0),0)),)</f>
        <v>0</v>
      </c>
      <c r="G93" s="136">
        <f t="shared" si="41"/>
        <v>0</v>
      </c>
      <c r="H93" s="136">
        <f t="shared" si="41"/>
        <v>0</v>
      </c>
      <c r="I93" s="136">
        <f t="shared" si="41"/>
        <v>0</v>
      </c>
      <c r="J93" s="136">
        <f t="shared" si="41"/>
        <v>0</v>
      </c>
      <c r="K93" s="136">
        <f t="shared" si="41"/>
        <v>0</v>
      </c>
      <c r="L93" s="136">
        <f t="shared" si="41"/>
        <v>0</v>
      </c>
      <c r="M93" s="136">
        <f t="shared" si="41"/>
        <v>0</v>
      </c>
      <c r="N93" s="136">
        <f t="shared" si="41"/>
        <v>0</v>
      </c>
      <c r="O93" s="136">
        <f t="shared" si="41"/>
        <v>0</v>
      </c>
      <c r="P93" s="136">
        <f t="shared" si="41"/>
        <v>0</v>
      </c>
      <c r="Q93" s="2"/>
      <c r="R93" s="135" t="str">
        <f t="shared" si="39"/>
        <v>AM.8500</v>
      </c>
      <c r="S93" s="245" t="str">
        <f>+IF(C93=TF[[#This Row],[ITEM]],"ok","mal")</f>
        <v>ok</v>
      </c>
      <c r="T93" s="246">
        <f t="shared" si="38"/>
        <v>0</v>
      </c>
      <c r="U93" s="80">
        <f>IF(VLOOKUP(R93,TbPiezas[],5,0)="NA",0,VLOOKUP(R93,TbPiezas[],5,0))</f>
        <v>1.2000000000000028</v>
      </c>
      <c r="V93" s="81">
        <f>+TF[[#This Row],[TOTAL]]*TF[[#This Row],[P.U. (1)]]</f>
        <v>0</v>
      </c>
      <c r="W93" s="247">
        <f>+VLOOKUP(R93,TbPiezas[],6,0)</f>
        <v>118.69</v>
      </c>
      <c r="X93" s="248">
        <f>ROUND(TF[[#This Row],[TOTAL]]*TF[[#This Row],[P.U. (2)]],2)</f>
        <v>0</v>
      </c>
      <c r="Y93" s="247">
        <f>+VLOOKUP(R93,TbPiezas[],7,0)</f>
        <v>5.9344999999999999</v>
      </c>
      <c r="Z93" s="249">
        <f>ROUND(TF[[#This Row],[TOTAL]]*TF[[#This Row],[P.U. (3)]],2)</f>
        <v>0</v>
      </c>
    </row>
    <row r="94" spans="2:26" x14ac:dyDescent="0.3">
      <c r="B94" s="135">
        <v>0.5</v>
      </c>
      <c r="C94" s="135" t="s">
        <v>197</v>
      </c>
      <c r="D94" s="135" t="s">
        <v>198</v>
      </c>
      <c r="E94" s="2"/>
      <c r="F94" s="136">
        <f t="shared" ref="F94:P94" si="42">+IF($B94=F$17,IF(AND(F$5&gt;0,E$5=0),2*ROUNDUP(F$7/(2*F$8),0),IF(AND(F$5&gt;0,E$5&gt;0),ROUNDUP(F$7/(2*F$8),0),0)),)</f>
        <v>0</v>
      </c>
      <c r="G94" s="136">
        <f t="shared" si="42"/>
        <v>0</v>
      </c>
      <c r="H94" s="136">
        <f t="shared" si="42"/>
        <v>0</v>
      </c>
      <c r="I94" s="136">
        <f t="shared" si="42"/>
        <v>0</v>
      </c>
      <c r="J94" s="136">
        <f t="shared" si="42"/>
        <v>0</v>
      </c>
      <c r="K94" s="136">
        <f t="shared" si="42"/>
        <v>0</v>
      </c>
      <c r="L94" s="136">
        <f t="shared" si="42"/>
        <v>0</v>
      </c>
      <c r="M94" s="136">
        <f t="shared" si="42"/>
        <v>0</v>
      </c>
      <c r="N94" s="136">
        <f t="shared" si="42"/>
        <v>0</v>
      </c>
      <c r="O94" s="136">
        <f t="shared" si="42"/>
        <v>0</v>
      </c>
      <c r="P94" s="136">
        <f t="shared" si="42"/>
        <v>0</v>
      </c>
      <c r="Q94" s="2"/>
      <c r="R94" s="135" t="str">
        <f t="shared" si="39"/>
        <v>AM.8600</v>
      </c>
      <c r="S94" s="245" t="str">
        <f>+IF(C94=TF[[#This Row],[ITEM]],"ok","mal")</f>
        <v>ok</v>
      </c>
      <c r="T94" s="246">
        <f t="shared" si="38"/>
        <v>0</v>
      </c>
      <c r="U94" s="80">
        <f>IF(VLOOKUP(R94,TbPiezas[],5,0)="NA",0,VLOOKUP(R94,TbPiezas[],5,0))</f>
        <v>1.7000000000000028</v>
      </c>
      <c r="V94" s="81">
        <f>+TF[[#This Row],[TOTAL]]*TF[[#This Row],[P.U. (1)]]</f>
        <v>0</v>
      </c>
      <c r="W94" s="247">
        <f>+VLOOKUP(R94,TbPiezas[],6,0)</f>
        <v>59.23</v>
      </c>
      <c r="X94" s="248">
        <f>ROUND(TF[[#This Row],[TOTAL]]*TF[[#This Row],[P.U. (2)]],2)</f>
        <v>0</v>
      </c>
      <c r="Y94" s="247">
        <f>+VLOOKUP(R94,TbPiezas[],7,0)</f>
        <v>2.9615</v>
      </c>
      <c r="Z94" s="249">
        <f>ROUND(TF[[#This Row],[TOTAL]]*TF[[#This Row],[P.U. (3)]],2)</f>
        <v>0</v>
      </c>
    </row>
    <row r="95" spans="2:26" x14ac:dyDescent="0.3">
      <c r="B95" s="135"/>
      <c r="C95" s="135" t="s">
        <v>201</v>
      </c>
      <c r="D95" s="135" t="s">
        <v>202</v>
      </c>
      <c r="E95" s="2"/>
      <c r="F95" s="136">
        <f>SUM(F93:F94)</f>
        <v>0</v>
      </c>
      <c r="G95" s="136">
        <f>SUM(G93:G94)</f>
        <v>0</v>
      </c>
      <c r="H95" s="136">
        <f t="shared" ref="H95:P95" si="43">SUM(H93:H94)</f>
        <v>0</v>
      </c>
      <c r="I95" s="136">
        <f t="shared" si="43"/>
        <v>0</v>
      </c>
      <c r="J95" s="136">
        <f t="shared" si="43"/>
        <v>0</v>
      </c>
      <c r="K95" s="136">
        <f t="shared" si="43"/>
        <v>0</v>
      </c>
      <c r="L95" s="136">
        <f t="shared" si="43"/>
        <v>0</v>
      </c>
      <c r="M95" s="136">
        <f t="shared" si="43"/>
        <v>0</v>
      </c>
      <c r="N95" s="136">
        <f t="shared" si="43"/>
        <v>0</v>
      </c>
      <c r="O95" s="136">
        <f t="shared" si="43"/>
        <v>0</v>
      </c>
      <c r="P95" s="136">
        <f t="shared" si="43"/>
        <v>0</v>
      </c>
      <c r="Q95" s="2"/>
      <c r="R95" s="135" t="str">
        <f t="shared" si="39"/>
        <v>AM.8800</v>
      </c>
      <c r="S95" s="245" t="str">
        <f>+IF(C95=TF[[#This Row],[ITEM]],"ok","mal")</f>
        <v>ok</v>
      </c>
      <c r="T95" s="246">
        <f t="shared" si="38"/>
        <v>0</v>
      </c>
      <c r="U95" s="80">
        <f>IF(VLOOKUP(R95,TbPiezas[],5,0)="NA",0,VLOOKUP(R95,TbPiezas[],5,0))</f>
        <v>0.4</v>
      </c>
      <c r="V95" s="81">
        <f>+TF[[#This Row],[TOTAL]]*TF[[#This Row],[P.U. (1)]]</f>
        <v>0</v>
      </c>
      <c r="W95" s="247">
        <f>+VLOOKUP(R95,TbPiezas[],6,0)</f>
        <v>44.75</v>
      </c>
      <c r="X95" s="248">
        <f>ROUND(TF[[#This Row],[TOTAL]]*TF[[#This Row],[P.U. (2)]],2)</f>
        <v>0</v>
      </c>
      <c r="Y95" s="247">
        <f>+VLOOKUP(R95,TbPiezas[],7,0)</f>
        <v>2.2375000000000003</v>
      </c>
      <c r="Z95" s="249">
        <f>ROUND(TF[[#This Row],[TOTAL]]*TF[[#This Row],[P.U. (3)]],2)</f>
        <v>0</v>
      </c>
    </row>
    <row r="96" spans="2:26" x14ac:dyDescent="0.3">
      <c r="B96" s="135"/>
      <c r="C96" s="135" t="s">
        <v>203</v>
      </c>
      <c r="D96" s="135" t="s">
        <v>204</v>
      </c>
      <c r="E96" s="2"/>
      <c r="F96" s="86">
        <v>0</v>
      </c>
      <c r="G96" s="86">
        <v>0</v>
      </c>
      <c r="H96" s="86">
        <v>0</v>
      </c>
      <c r="I96" s="86">
        <v>0</v>
      </c>
      <c r="J96" s="86">
        <v>0</v>
      </c>
      <c r="K96" s="86">
        <v>0</v>
      </c>
      <c r="L96" s="86">
        <v>0</v>
      </c>
      <c r="M96" s="86">
        <v>0</v>
      </c>
      <c r="N96" s="86">
        <v>0</v>
      </c>
      <c r="O96" s="86">
        <v>0</v>
      </c>
      <c r="P96" s="86">
        <v>0</v>
      </c>
      <c r="Q96" s="2"/>
      <c r="R96" s="135" t="str">
        <f t="shared" si="39"/>
        <v>AM.8900</v>
      </c>
      <c r="S96" s="245" t="str">
        <f>+IF(C96=TF[[#This Row],[ITEM]],"ok","mal")</f>
        <v>ok</v>
      </c>
      <c r="T96" s="246">
        <f t="shared" si="38"/>
        <v>0</v>
      </c>
      <c r="U96" s="80">
        <f>IF(VLOOKUP(R96,TbPiezas[],5,0)="NA",0,VLOOKUP(R96,TbPiezas[],5,0))</f>
        <v>0.5</v>
      </c>
      <c r="V96" s="81">
        <f>+TF[[#This Row],[TOTAL]]*TF[[#This Row],[P.U. (1)]]</f>
        <v>0</v>
      </c>
      <c r="W96" s="247">
        <f>+VLOOKUP(R96,TbPiezas[],6,0)</f>
        <v>44.75</v>
      </c>
      <c r="X96" s="248">
        <f>ROUND(TF[[#This Row],[TOTAL]]*TF[[#This Row],[P.U. (2)]],2)</f>
        <v>0</v>
      </c>
      <c r="Y96" s="247">
        <f>+VLOOKUP(R96,TbPiezas[],7,0)</f>
        <v>2.2375000000000003</v>
      </c>
      <c r="Z96" s="249">
        <f>ROUND(TF[[#This Row],[TOTAL]]*TF[[#This Row],[P.U. (3)]],2)</f>
        <v>0</v>
      </c>
    </row>
    <row r="97" spans="2:26" x14ac:dyDescent="0.3">
      <c r="B97" s="135"/>
      <c r="C97" s="135" t="s">
        <v>205</v>
      </c>
      <c r="D97" s="135" t="s">
        <v>206</v>
      </c>
      <c r="E97" s="2"/>
      <c r="F97" s="86">
        <v>0</v>
      </c>
      <c r="G97" s="86">
        <v>0</v>
      </c>
      <c r="H97" s="86">
        <v>0</v>
      </c>
      <c r="I97" s="86">
        <v>0</v>
      </c>
      <c r="J97" s="86">
        <v>0</v>
      </c>
      <c r="K97" s="86">
        <v>0</v>
      </c>
      <c r="L97" s="86">
        <v>0</v>
      </c>
      <c r="M97" s="86">
        <v>0</v>
      </c>
      <c r="N97" s="86">
        <v>0</v>
      </c>
      <c r="O97" s="86">
        <v>0</v>
      </c>
      <c r="P97" s="86">
        <v>0</v>
      </c>
      <c r="Q97" s="2"/>
      <c r="R97" s="135" t="str">
        <f t="shared" si="39"/>
        <v>AM.9000</v>
      </c>
      <c r="S97" s="245" t="str">
        <f>+IF(C97=TF[[#This Row],[ITEM]],"ok","mal")</f>
        <v>ok</v>
      </c>
      <c r="T97" s="246">
        <f t="shared" si="38"/>
        <v>0</v>
      </c>
      <c r="U97" s="80">
        <f>IF(VLOOKUP(R97,TbPiezas[],5,0)="NA",0,VLOOKUP(R97,TbPiezas[],5,0))</f>
        <v>1.7999999999999972</v>
      </c>
      <c r="V97" s="81">
        <f>+TF[[#This Row],[TOTAL]]*TF[[#This Row],[P.U. (1)]]</f>
        <v>0</v>
      </c>
      <c r="W97" s="247">
        <f>+VLOOKUP(R97,TbPiezas[],6,0)</f>
        <v>112.93</v>
      </c>
      <c r="X97" s="248">
        <f>ROUND(TF[[#This Row],[TOTAL]]*TF[[#This Row],[P.U. (2)]],2)</f>
        <v>0</v>
      </c>
      <c r="Y97" s="247">
        <f>+VLOOKUP(R97,TbPiezas[],7,0)</f>
        <v>5.6465000000000005</v>
      </c>
      <c r="Z97" s="249">
        <f>ROUND(TF[[#This Row],[TOTAL]]*TF[[#This Row],[P.U. (3)]],2)</f>
        <v>0</v>
      </c>
    </row>
    <row r="98" spans="2:26" x14ac:dyDescent="0.3">
      <c r="B98" s="135"/>
      <c r="C98" s="135" t="s">
        <v>207</v>
      </c>
      <c r="D98" s="135" t="s">
        <v>208</v>
      </c>
      <c r="E98" s="2"/>
      <c r="F98" s="360">
        <v>0</v>
      </c>
      <c r="G98" s="360">
        <v>0</v>
      </c>
      <c r="H98" s="360">
        <v>0</v>
      </c>
      <c r="I98" s="360">
        <v>0</v>
      </c>
      <c r="J98" s="360">
        <v>0</v>
      </c>
      <c r="K98" s="360">
        <v>0</v>
      </c>
      <c r="L98" s="360">
        <v>0</v>
      </c>
      <c r="M98" s="360">
        <v>0</v>
      </c>
      <c r="N98" s="360">
        <v>0</v>
      </c>
      <c r="O98" s="360">
        <v>0</v>
      </c>
      <c r="P98" s="360">
        <v>0</v>
      </c>
      <c r="Q98" s="2"/>
      <c r="R98" s="135" t="str">
        <f t="shared" si="39"/>
        <v>AM.9100</v>
      </c>
      <c r="S98" s="245" t="str">
        <f>+IF(C98=TF[[#This Row],[ITEM]],"ok","mal")</f>
        <v>ok</v>
      </c>
      <c r="T98" s="246">
        <f t="shared" si="38"/>
        <v>0</v>
      </c>
      <c r="U98" s="80">
        <f>IF(VLOOKUP(R98,TbPiezas[],5,0)="NA",0,VLOOKUP(R98,TbPiezas[],5,0))</f>
        <v>3.8</v>
      </c>
      <c r="V98" s="81">
        <f>+TF[[#This Row],[TOTAL]]*TF[[#This Row],[P.U. (1)]]</f>
        <v>0</v>
      </c>
      <c r="W98" s="247">
        <f>+VLOOKUP(R98,TbPiezas[],6,0)</f>
        <v>173.65</v>
      </c>
      <c r="X98" s="248">
        <f>ROUND(TF[[#This Row],[TOTAL]]*TF[[#This Row],[P.U. (2)]],2)</f>
        <v>0</v>
      </c>
      <c r="Y98" s="247">
        <f>+VLOOKUP(R98,TbPiezas[],7,0)</f>
        <v>8.682500000000001</v>
      </c>
      <c r="Z98" s="249">
        <f>ROUND(TF[[#This Row],[TOTAL]]*TF[[#This Row],[P.U. (3)]],2)</f>
        <v>0</v>
      </c>
    </row>
    <row r="99" spans="2:26" x14ac:dyDescent="0.3">
      <c r="B99" s="135"/>
      <c r="C99" s="135" t="s">
        <v>209</v>
      </c>
      <c r="D99" s="135" t="s">
        <v>210</v>
      </c>
      <c r="E99" s="2"/>
      <c r="F99" s="360">
        <v>0</v>
      </c>
      <c r="G99" s="360">
        <v>0</v>
      </c>
      <c r="H99" s="360">
        <v>0</v>
      </c>
      <c r="I99" s="360">
        <v>0</v>
      </c>
      <c r="J99" s="360">
        <v>0</v>
      </c>
      <c r="K99" s="360">
        <v>0</v>
      </c>
      <c r="L99" s="360">
        <v>0</v>
      </c>
      <c r="M99" s="360">
        <v>0</v>
      </c>
      <c r="N99" s="360">
        <v>0</v>
      </c>
      <c r="O99" s="360">
        <v>0</v>
      </c>
      <c r="P99" s="360">
        <v>0</v>
      </c>
      <c r="Q99" s="2"/>
      <c r="R99" s="135" t="str">
        <f t="shared" si="39"/>
        <v>AM.9200</v>
      </c>
      <c r="S99" s="245" t="str">
        <f>+IF(C99=TF[[#This Row],[ITEM]],"ok","mal")</f>
        <v>ok</v>
      </c>
      <c r="T99" s="246">
        <f t="shared" si="38"/>
        <v>0</v>
      </c>
      <c r="U99" s="80">
        <f>IF(VLOOKUP(R99,TbPiezas[],5,0)="NA",0,VLOOKUP(R99,TbPiezas[],5,0))</f>
        <v>9.9999999999994316E-2</v>
      </c>
      <c r="V99" s="81">
        <f>+TF[[#This Row],[TOTAL]]*TF[[#This Row],[P.U. (1)]]</f>
        <v>0</v>
      </c>
      <c r="W99" s="247">
        <f>+VLOOKUP(R99,TbPiezas[],6,0)</f>
        <v>9.91</v>
      </c>
      <c r="X99" s="248">
        <f>ROUND(TF[[#This Row],[TOTAL]]*TF[[#This Row],[P.U. (2)]],2)</f>
        <v>0</v>
      </c>
      <c r="Y99" s="247">
        <f>+VLOOKUP(R99,TbPiezas[],7,0)</f>
        <v>0.49550000000000005</v>
      </c>
      <c r="Z99" s="249">
        <f>ROUND(TF[[#This Row],[TOTAL]]*TF[[#This Row],[P.U. (3)]],2)</f>
        <v>0</v>
      </c>
    </row>
    <row r="100" spans="2:26" x14ac:dyDescent="0.3">
      <c r="B100" s="135"/>
      <c r="C100" s="135" t="s">
        <v>213</v>
      </c>
      <c r="D100" s="135" t="s">
        <v>214</v>
      </c>
      <c r="E100" s="2"/>
      <c r="F100" s="360">
        <v>0</v>
      </c>
      <c r="G100" s="360">
        <v>0</v>
      </c>
      <c r="H100" s="360">
        <v>0</v>
      </c>
      <c r="I100" s="360">
        <v>0</v>
      </c>
      <c r="J100" s="360">
        <v>0</v>
      </c>
      <c r="K100" s="360">
        <v>0</v>
      </c>
      <c r="L100" s="360">
        <v>0</v>
      </c>
      <c r="M100" s="360">
        <v>0</v>
      </c>
      <c r="N100" s="360">
        <v>0</v>
      </c>
      <c r="O100" s="360">
        <v>0</v>
      </c>
      <c r="P100" s="360">
        <v>0</v>
      </c>
      <c r="Q100" s="2"/>
      <c r="R100" s="135" t="str">
        <f t="shared" si="39"/>
        <v>AM.9400</v>
      </c>
      <c r="S100" s="245" t="str">
        <f>+IF(C100=TF[[#This Row],[ITEM]],"ok","mal")</f>
        <v>ok</v>
      </c>
      <c r="T100" s="246">
        <f t="shared" si="38"/>
        <v>0</v>
      </c>
      <c r="U100" s="80">
        <f>IF(VLOOKUP(R100,TbPiezas[],5,0)="NA",0,VLOOKUP(R100,TbPiezas[],5,0))</f>
        <v>9.9999999999994316E-2</v>
      </c>
      <c r="V100" s="81">
        <f>+TF[[#This Row],[TOTAL]]*TF[[#This Row],[P.U. (1)]]</f>
        <v>0</v>
      </c>
      <c r="W100" s="247">
        <f>+VLOOKUP(R100,TbPiezas[],6,0)</f>
        <v>9.91</v>
      </c>
      <c r="X100" s="248">
        <f>ROUND(TF[[#This Row],[TOTAL]]*TF[[#This Row],[P.U. (2)]],2)</f>
        <v>0</v>
      </c>
      <c r="Y100" s="247">
        <f>+VLOOKUP(R100,TbPiezas[],7,0)</f>
        <v>0.49550000000000005</v>
      </c>
      <c r="Z100" s="249">
        <f>ROUND(TF[[#This Row],[TOTAL]]*TF[[#This Row],[P.U. (3)]],2)</f>
        <v>0</v>
      </c>
    </row>
    <row r="101" spans="2:26" s="4" customFormat="1" x14ac:dyDescent="0.3">
      <c r="B101" s="135"/>
      <c r="C101" s="140" t="s">
        <v>299</v>
      </c>
      <c r="D101" s="140" t="s">
        <v>300</v>
      </c>
      <c r="F101" s="141">
        <f>+F94+F93</f>
        <v>0</v>
      </c>
      <c r="G101" s="141">
        <f t="shared" ref="G101:P101" si="44">+G94+G93</f>
        <v>0</v>
      </c>
      <c r="H101" s="141">
        <f t="shared" si="44"/>
        <v>0</v>
      </c>
      <c r="I101" s="141">
        <f t="shared" si="44"/>
        <v>0</v>
      </c>
      <c r="J101" s="141">
        <f t="shared" si="44"/>
        <v>0</v>
      </c>
      <c r="K101" s="141">
        <f t="shared" si="44"/>
        <v>0</v>
      </c>
      <c r="L101" s="141">
        <f t="shared" si="44"/>
        <v>0</v>
      </c>
      <c r="M101" s="141">
        <f t="shared" si="44"/>
        <v>0</v>
      </c>
      <c r="N101" s="141">
        <f t="shared" si="44"/>
        <v>0</v>
      </c>
      <c r="O101" s="141">
        <f t="shared" si="44"/>
        <v>0</v>
      </c>
      <c r="P101" s="141">
        <f t="shared" si="44"/>
        <v>0</v>
      </c>
      <c r="R101" s="135" t="str">
        <f t="shared" si="39"/>
        <v>CON.0100</v>
      </c>
      <c r="S101" s="142" t="str">
        <f>+IF(C101=TF[[#This Row],[ITEM]],"ok","mal")</f>
        <v>ok</v>
      </c>
      <c r="T101" s="143">
        <f t="shared" si="38"/>
        <v>0</v>
      </c>
      <c r="U101" s="80">
        <f>IF(VLOOKUP(R101,TbPiezas[],5,0)="NA",0,VLOOKUP(R101,TbPiezas[],5,0))</f>
        <v>0.15000000000000568</v>
      </c>
      <c r="V101" s="145">
        <f>+TF[[#This Row],[TOTAL]]*TF[[#This Row],[P.U. (1)]]</f>
        <v>0</v>
      </c>
      <c r="W101" s="247">
        <f>+VLOOKUP(R101,TbPiezas[],6,0)</f>
        <v>0</v>
      </c>
      <c r="X101" s="147">
        <f>ROUND(TF[[#This Row],[TOTAL]]*TF[[#This Row],[P.U. (2)]],2)</f>
        <v>0</v>
      </c>
      <c r="Y101" s="247">
        <f>+VLOOKUP(R101,TbPiezas[],7,0)</f>
        <v>0</v>
      </c>
      <c r="Z101" s="148">
        <f>ROUND(TF[[#This Row],[TOTAL]]*TF[[#This Row],[P.U. (3)]],2)</f>
        <v>0</v>
      </c>
    </row>
    <row r="102" spans="2:26" x14ac:dyDescent="0.3">
      <c r="B102" s="135">
        <v>3</v>
      </c>
      <c r="C102" s="135" t="s">
        <v>317</v>
      </c>
      <c r="D102" s="135" t="s">
        <v>318</v>
      </c>
      <c r="E102" s="2"/>
      <c r="F102" s="139">
        <f>+IF(AND(F$8&gt;=1.65,F$8&lt;=$B102),F$23*4,0)</f>
        <v>0</v>
      </c>
      <c r="G102" s="139">
        <f t="shared" ref="G102:P102" si="45">+IF(AND(G$8&gt;=1.65,G$8&lt;=$B102),G$23*4,0)</f>
        <v>0</v>
      </c>
      <c r="H102" s="139">
        <f t="shared" si="45"/>
        <v>0</v>
      </c>
      <c r="I102" s="139">
        <f t="shared" si="45"/>
        <v>0</v>
      </c>
      <c r="J102" s="139">
        <f t="shared" si="45"/>
        <v>0</v>
      </c>
      <c r="K102" s="139">
        <f t="shared" si="45"/>
        <v>0</v>
      </c>
      <c r="L102" s="139">
        <f t="shared" si="45"/>
        <v>0</v>
      </c>
      <c r="M102" s="139">
        <f t="shared" si="45"/>
        <v>0</v>
      </c>
      <c r="N102" s="139">
        <f t="shared" si="45"/>
        <v>0</v>
      </c>
      <c r="O102" s="139">
        <f t="shared" si="45"/>
        <v>0</v>
      </c>
      <c r="P102" s="139">
        <f t="shared" si="45"/>
        <v>0</v>
      </c>
      <c r="Q102" s="2"/>
      <c r="R102" s="135" t="str">
        <f t="shared" si="39"/>
        <v>PU.0300</v>
      </c>
      <c r="S102" s="137" t="str">
        <f>+IF(C102=TF[[#This Row],[ITEM]],"ok","mal")</f>
        <v>ok</v>
      </c>
      <c r="T102" s="79">
        <f t="shared" si="38"/>
        <v>0</v>
      </c>
      <c r="U102" s="80">
        <f>IF(VLOOKUP(R102,TbPiezas[],5,0)="NA",0,VLOOKUP(R102,TbPiezas[],5,0))</f>
        <v>8.9</v>
      </c>
      <c r="V102" s="81">
        <f>+TF[[#This Row],[TOTAL]]*TF[[#This Row],[P.U. (1)]]</f>
        <v>0</v>
      </c>
      <c r="W102" s="247">
        <f>+VLOOKUP(R102,TbPiezas[],6,0)</f>
        <v>180</v>
      </c>
      <c r="X102" s="83">
        <f>ROUND(TF[[#This Row],[TOTAL]]*TF[[#This Row],[P.U. (2)]],2)</f>
        <v>0</v>
      </c>
      <c r="Y102" s="247">
        <f>+VLOOKUP(R102,TbPiezas[],7,0)</f>
        <v>4.5</v>
      </c>
      <c r="Z102" s="84">
        <f>ROUND(TF[[#This Row],[TOTAL]]*TF[[#This Row],[P.U. (3)]],2)</f>
        <v>0</v>
      </c>
    </row>
    <row r="103" spans="2:26" x14ac:dyDescent="0.3">
      <c r="B103" s="135"/>
      <c r="C103" s="135" t="s">
        <v>325</v>
      </c>
      <c r="D103" s="135" t="s">
        <v>326</v>
      </c>
      <c r="E103" s="2"/>
      <c r="F103" s="139">
        <f>+F$102</f>
        <v>0</v>
      </c>
      <c r="G103" s="139">
        <f>+G$102</f>
        <v>0</v>
      </c>
      <c r="H103" s="139">
        <f t="shared" ref="H103:P103" si="46">+H$102</f>
        <v>0</v>
      </c>
      <c r="I103" s="139">
        <f t="shared" si="46"/>
        <v>0</v>
      </c>
      <c r="J103" s="139">
        <f t="shared" si="46"/>
        <v>0</v>
      </c>
      <c r="K103" s="139">
        <f t="shared" si="46"/>
        <v>0</v>
      </c>
      <c r="L103" s="139">
        <f t="shared" si="46"/>
        <v>0</v>
      </c>
      <c r="M103" s="139">
        <f t="shared" si="46"/>
        <v>0</v>
      </c>
      <c r="N103" s="139">
        <f t="shared" si="46"/>
        <v>0</v>
      </c>
      <c r="O103" s="139">
        <f t="shared" si="46"/>
        <v>0</v>
      </c>
      <c r="P103" s="139">
        <f t="shared" si="46"/>
        <v>0</v>
      </c>
      <c r="Q103" s="2"/>
      <c r="R103" s="135" t="str">
        <f t="shared" si="39"/>
        <v>PU.0700</v>
      </c>
      <c r="S103" s="137" t="str">
        <f>+IF(C103=TF[[#This Row],[ITEM]],"ok","mal")</f>
        <v>ok</v>
      </c>
      <c r="T103" s="79">
        <f t="shared" si="38"/>
        <v>0</v>
      </c>
      <c r="U103" s="80">
        <f>IF(VLOOKUP(R103,TbPiezas[],5,0)="NA",0,VLOOKUP(R103,TbPiezas[],5,0))</f>
        <v>9.9999999999994316E-2</v>
      </c>
      <c r="V103" s="81">
        <f>+TF[[#This Row],[TOTAL]]*TF[[#This Row],[P.U. (1)]]</f>
        <v>0</v>
      </c>
      <c r="W103" s="247">
        <f>+VLOOKUP(R103,TbPiezas[],6,0)</f>
        <v>30</v>
      </c>
      <c r="X103" s="83">
        <f>ROUND(TF[[#This Row],[TOTAL]]*TF[[#This Row],[P.U. (2)]],2)</f>
        <v>0</v>
      </c>
      <c r="Y103" s="247">
        <f>+VLOOKUP(R103,TbPiezas[],7,0)</f>
        <v>1.5</v>
      </c>
      <c r="Z103" s="84">
        <f>ROUND(TF[[#This Row],[TOTAL]]*TF[[#This Row],[P.U. (3)]],2)</f>
        <v>0</v>
      </c>
    </row>
    <row r="104" spans="2:26" x14ac:dyDescent="0.3">
      <c r="B104" s="135"/>
      <c r="C104" s="135" t="s">
        <v>329</v>
      </c>
      <c r="D104" s="135" t="s">
        <v>330</v>
      </c>
      <c r="E104" s="2"/>
      <c r="F104" s="139">
        <f>F$102</f>
        <v>0</v>
      </c>
      <c r="G104" s="139">
        <f>G$102</f>
        <v>0</v>
      </c>
      <c r="H104" s="139">
        <f t="shared" ref="H104:P104" si="47">H$102</f>
        <v>0</v>
      </c>
      <c r="I104" s="139">
        <f t="shared" si="47"/>
        <v>0</v>
      </c>
      <c r="J104" s="139">
        <f t="shared" si="47"/>
        <v>0</v>
      </c>
      <c r="K104" s="139">
        <f t="shared" si="47"/>
        <v>0</v>
      </c>
      <c r="L104" s="139">
        <f t="shared" si="47"/>
        <v>0</v>
      </c>
      <c r="M104" s="139">
        <f t="shared" si="47"/>
        <v>0</v>
      </c>
      <c r="N104" s="139">
        <f t="shared" si="47"/>
        <v>0</v>
      </c>
      <c r="O104" s="139">
        <f t="shared" si="47"/>
        <v>0</v>
      </c>
      <c r="P104" s="139">
        <f t="shared" si="47"/>
        <v>0</v>
      </c>
      <c r="Q104" s="2"/>
      <c r="R104" s="135" t="str">
        <f t="shared" si="39"/>
        <v>PU.0900</v>
      </c>
      <c r="S104" s="137" t="str">
        <f>+IF(C104=TF[[#This Row],[ITEM]],"ok","mal")</f>
        <v>ok</v>
      </c>
      <c r="T104" s="79">
        <f t="shared" si="38"/>
        <v>0</v>
      </c>
      <c r="U104" s="80">
        <f>IF(VLOOKUP(R104,TbPiezas[],5,0)="NA",0,VLOOKUP(R104,TbPiezas[],5,0))</f>
        <v>9.9999999999994316E-2</v>
      </c>
      <c r="V104" s="81">
        <f>+TF[[#This Row],[TOTAL]]*TF[[#This Row],[P.U. (1)]]</f>
        <v>0</v>
      </c>
      <c r="W104" s="247">
        <f>+VLOOKUP(R104,TbPiezas[],6,0)</f>
        <v>30</v>
      </c>
      <c r="X104" s="83">
        <f>ROUND(TF[[#This Row],[TOTAL]]*TF[[#This Row],[P.U. (2)]],2)</f>
        <v>0</v>
      </c>
      <c r="Y104" s="247">
        <f>+VLOOKUP(R104,TbPiezas[],7,0)</f>
        <v>1.5</v>
      </c>
      <c r="Z104" s="84">
        <f>ROUND(TF[[#This Row],[TOTAL]]*TF[[#This Row],[P.U. (3)]],2)</f>
        <v>0</v>
      </c>
    </row>
    <row r="105" spans="2:26" ht="8.25" customHeight="1" x14ac:dyDescent="0.3">
      <c r="E105" s="2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42"/>
      <c r="S105" s="42"/>
      <c r="T105" s="42"/>
      <c r="U105" s="2"/>
    </row>
    <row r="106" spans="2:26" x14ac:dyDescent="0.3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42"/>
      <c r="S106" s="42"/>
      <c r="T106" s="42"/>
      <c r="U106" s="327" t="s">
        <v>1169</v>
      </c>
      <c r="V106" s="89">
        <f>SUM(V20:V105)</f>
        <v>0</v>
      </c>
      <c r="W106" s="90" t="s">
        <v>1170</v>
      </c>
      <c r="X106" s="91">
        <f>SUM(X20:X105)</f>
        <v>0</v>
      </c>
      <c r="Y106" s="92" t="s">
        <v>1170</v>
      </c>
      <c r="Z106" s="93">
        <f>SUM(Z20:Z105)</f>
        <v>0</v>
      </c>
    </row>
    <row r="107" spans="2:26" x14ac:dyDescent="0.3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42"/>
      <c r="S107" s="42"/>
      <c r="T107" s="42"/>
      <c r="U107" s="496" t="s">
        <v>1286</v>
      </c>
      <c r="V107" s="498">
        <f>+V106/1000</f>
        <v>0</v>
      </c>
      <c r="W107" s="344" t="s">
        <v>1289</v>
      </c>
      <c r="X107" s="449">
        <f>-X106*W108</f>
        <v>0</v>
      </c>
      <c r="Y107" s="95" t="s">
        <v>1289</v>
      </c>
      <c r="Z107" s="450">
        <f>-Z106*Y108</f>
        <v>0</v>
      </c>
    </row>
    <row r="108" spans="2:26" x14ac:dyDescent="0.3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42"/>
      <c r="S108" s="42"/>
      <c r="T108" s="42"/>
      <c r="U108" s="497"/>
      <c r="V108" s="499"/>
      <c r="W108" s="345"/>
      <c r="X108" s="449"/>
      <c r="Y108" s="97"/>
      <c r="Z108" s="450"/>
    </row>
    <row r="109" spans="2:26" ht="7.5" customHeight="1" x14ac:dyDescent="0.3">
      <c r="E109" s="2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42"/>
      <c r="S109" s="42"/>
      <c r="T109" s="42"/>
      <c r="U109" s="2"/>
      <c r="V109" s="2"/>
    </row>
    <row r="110" spans="2:26" ht="15" customHeight="1" x14ac:dyDescent="0.3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42"/>
      <c r="S110" s="42"/>
      <c r="T110" s="42"/>
      <c r="U110" s="493" t="s">
        <v>1173</v>
      </c>
      <c r="V110" s="83">
        <v>0</v>
      </c>
      <c r="W110" s="98" t="s">
        <v>1170</v>
      </c>
      <c r="X110" s="83">
        <f>X106+X107</f>
        <v>0</v>
      </c>
      <c r="Y110" s="82" t="s">
        <v>1170</v>
      </c>
      <c r="Z110" s="84">
        <f>Z106+Z107</f>
        <v>0</v>
      </c>
    </row>
    <row r="111" spans="2:26" x14ac:dyDescent="0.3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42"/>
      <c r="S111" s="42"/>
      <c r="T111" s="42"/>
      <c r="U111" s="494"/>
      <c r="V111" s="83">
        <v>0</v>
      </c>
      <c r="W111" s="98" t="s">
        <v>1174</v>
      </c>
      <c r="X111" s="83">
        <f>0.18*X110</f>
        <v>0</v>
      </c>
      <c r="Y111" s="82" t="s">
        <v>1174</v>
      </c>
      <c r="Z111" s="84">
        <f>0.18*Z110</f>
        <v>0</v>
      </c>
    </row>
    <row r="112" spans="2:26" ht="7.5" customHeight="1" x14ac:dyDescent="0.3">
      <c r="E112" s="2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42"/>
      <c r="S112" s="42"/>
      <c r="T112" s="42"/>
      <c r="U112" s="2"/>
      <c r="V112" s="2"/>
    </row>
    <row r="113" spans="5:29" x14ac:dyDescent="0.3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42"/>
      <c r="S113" s="42"/>
      <c r="T113" s="42"/>
      <c r="U113" s="2"/>
      <c r="V113" s="99"/>
      <c r="W113" s="100" t="s">
        <v>1162</v>
      </c>
      <c r="X113" s="101">
        <f>+X110+X111</f>
        <v>0</v>
      </c>
      <c r="Y113" s="100" t="s">
        <v>1162</v>
      </c>
      <c r="Z113" s="102">
        <f>+Z110+Z111</f>
        <v>0</v>
      </c>
      <c r="AA113" s="42"/>
      <c r="AB113" s="42"/>
    </row>
    <row r="114" spans="5:29" x14ac:dyDescent="0.3">
      <c r="Q114" s="42"/>
      <c r="R114" s="42"/>
      <c r="S114" s="42"/>
      <c r="T114" s="42"/>
      <c r="AA114" s="42"/>
      <c r="AB114" s="42"/>
    </row>
    <row r="115" spans="5:29" x14ac:dyDescent="0.3">
      <c r="P115" s="43"/>
      <c r="Q115" s="43"/>
      <c r="R115" s="43"/>
      <c r="S115" s="43"/>
      <c r="T115" s="43"/>
      <c r="U115" s="43"/>
      <c r="V115" s="43"/>
      <c r="AA115" s="43"/>
      <c r="AB115" s="43"/>
      <c r="AC115" s="43"/>
    </row>
    <row r="116" spans="5:29" x14ac:dyDescent="0.3">
      <c r="P116" s="43"/>
      <c r="Q116" s="43"/>
      <c r="R116" s="43"/>
      <c r="S116" s="43"/>
      <c r="T116" s="43"/>
      <c r="U116" s="43"/>
      <c r="V116" s="43"/>
      <c r="AA116" s="43"/>
      <c r="AB116" s="43"/>
      <c r="AC116" s="43"/>
    </row>
    <row r="117" spans="5:29" x14ac:dyDescent="0.3">
      <c r="P117" s="43"/>
      <c r="Q117" s="43"/>
      <c r="R117" s="43"/>
      <c r="S117" s="43"/>
      <c r="T117" s="43"/>
      <c r="U117" s="43"/>
      <c r="V117" s="43"/>
      <c r="AA117" s="43"/>
      <c r="AB117" s="43"/>
      <c r="AC117" s="43"/>
    </row>
    <row r="118" spans="5:29" x14ac:dyDescent="0.3">
      <c r="P118" s="43"/>
      <c r="Q118" s="43"/>
      <c r="R118" s="43"/>
      <c r="S118" s="43"/>
      <c r="T118" s="43"/>
      <c r="U118" s="43"/>
      <c r="V118" s="43"/>
      <c r="AA118" s="43"/>
      <c r="AB118" s="43"/>
      <c r="AC118" s="43"/>
    </row>
    <row r="119" spans="5:29" x14ac:dyDescent="0.3">
      <c r="P119" s="43"/>
      <c r="Q119" s="43"/>
      <c r="R119" s="43"/>
      <c r="S119" s="43"/>
      <c r="T119" s="43"/>
      <c r="U119" s="43"/>
      <c r="V119" s="43"/>
      <c r="AA119" s="43"/>
      <c r="AB119" s="43"/>
      <c r="AC119" s="43"/>
    </row>
    <row r="120" spans="5:29" x14ac:dyDescent="0.3">
      <c r="P120" s="43"/>
      <c r="Q120" s="43"/>
      <c r="R120" s="43"/>
      <c r="S120" s="43"/>
      <c r="T120" s="43"/>
      <c r="U120" s="43"/>
      <c r="V120" s="43"/>
      <c r="AA120" s="43"/>
      <c r="AB120" s="43"/>
      <c r="AC120" s="43"/>
    </row>
    <row r="121" spans="5:29" x14ac:dyDescent="0.3">
      <c r="P121" s="43"/>
      <c r="Q121" s="43"/>
      <c r="R121" s="43"/>
      <c r="S121" s="43"/>
      <c r="T121" s="43"/>
      <c r="U121" s="43"/>
      <c r="V121" s="43"/>
      <c r="AA121" s="43"/>
      <c r="AB121" s="43"/>
      <c r="AC121" s="43"/>
    </row>
    <row r="122" spans="5:29" x14ac:dyDescent="0.3">
      <c r="P122" s="43"/>
      <c r="Q122" s="43"/>
      <c r="R122" s="43"/>
      <c r="S122" s="43"/>
      <c r="T122" s="43"/>
      <c r="U122" s="43"/>
      <c r="V122" s="43"/>
      <c r="AA122" s="43"/>
      <c r="AB122" s="43"/>
      <c r="AC122" s="43"/>
    </row>
    <row r="123" spans="5:29" x14ac:dyDescent="0.3">
      <c r="P123" s="43"/>
      <c r="Q123" s="43"/>
      <c r="R123" s="43"/>
      <c r="S123" s="43"/>
      <c r="T123" s="43"/>
      <c r="U123" s="43"/>
      <c r="V123" s="43"/>
      <c r="AA123" s="43"/>
      <c r="AB123" s="43"/>
      <c r="AC123" s="43"/>
    </row>
    <row r="124" spans="5:29" x14ac:dyDescent="0.3">
      <c r="P124" s="43"/>
      <c r="Q124" s="43"/>
      <c r="R124" s="43"/>
      <c r="S124" s="43"/>
      <c r="T124" s="43"/>
      <c r="U124" s="43"/>
      <c r="V124" s="43"/>
      <c r="AA124" s="43"/>
      <c r="AB124" s="43"/>
      <c r="AC124" s="43"/>
    </row>
    <row r="125" spans="5:29" x14ac:dyDescent="0.3">
      <c r="P125" s="43"/>
      <c r="Q125" s="43"/>
      <c r="R125" s="43"/>
      <c r="S125" s="43"/>
      <c r="T125" s="43"/>
      <c r="U125" s="43"/>
      <c r="V125" s="43"/>
      <c r="AA125" s="43"/>
      <c r="AB125" s="43"/>
      <c r="AC125" s="43"/>
    </row>
    <row r="126" spans="5:29" x14ac:dyDescent="0.3">
      <c r="AA126" s="42"/>
      <c r="AB126" s="42"/>
    </row>
  </sheetData>
  <autoFilter ref="C20:P20" xr:uid="{FB22340B-BF9E-44A6-8FC9-F7DD93F42316}"/>
  <mergeCells count="9">
    <mergeCell ref="U110:U111"/>
    <mergeCell ref="Y19:Z19"/>
    <mergeCell ref="B19:B20"/>
    <mergeCell ref="U19:V19"/>
    <mergeCell ref="W19:X19"/>
    <mergeCell ref="U107:U108"/>
    <mergeCell ref="V107:V108"/>
    <mergeCell ref="X107:X108"/>
    <mergeCell ref="Z107:Z108"/>
  </mergeCells>
  <conditionalFormatting sqref="F4:P4">
    <cfRule type="containsText" dxfId="245" priority="18" operator="containsText" text="PROVINCIA">
      <formula>NOT(ISERROR(SEARCH("PROVINCIA",F4)))</formula>
    </cfRule>
    <cfRule type="containsText" dxfId="244" priority="19" operator="containsText" text="LIMA">
      <formula>NOT(ISERROR(SEARCH("LIMA",F4)))</formula>
    </cfRule>
  </conditionalFormatting>
  <conditionalFormatting sqref="F6:P6">
    <cfRule type="cellIs" dxfId="243" priority="34" operator="equal">
      <formula>1090</formula>
    </cfRule>
    <cfRule type="cellIs" dxfId="242" priority="35" operator="equal">
      <formula>1020</formula>
    </cfRule>
  </conditionalFormatting>
  <conditionalFormatting sqref="F9:P9">
    <cfRule type="containsText" dxfId="241" priority="26" operator="containsText" text="NOR">
      <formula>NOT(ISERROR(SEARCH("NOR",F9)))</formula>
    </cfRule>
  </conditionalFormatting>
  <conditionalFormatting sqref="F10:P10">
    <cfRule type="containsText" dxfId="240" priority="25" operator="containsText" text="MU">
      <formula>NOT(ISERROR(SEARCH("MU",F10)))</formula>
    </cfRule>
  </conditionalFormatting>
  <conditionalFormatting sqref="F11:P14">
    <cfRule type="containsText" dxfId="239" priority="23" operator="containsText" text="NO">
      <formula>NOT(ISERROR(SEARCH("NO",F11)))</formula>
    </cfRule>
    <cfRule type="containsText" dxfId="238" priority="24" operator="containsText" text="SI">
      <formula>NOT(ISERROR(SEARCH("SI",F11)))</formula>
    </cfRule>
  </conditionalFormatting>
  <conditionalFormatting sqref="F15:P16">
    <cfRule type="containsText" dxfId="237" priority="20" operator="containsText" text="ESP">
      <formula>NOT(ISERROR(SEARCH("ESP",F15)))</formula>
    </cfRule>
    <cfRule type="containsText" dxfId="236" priority="21" operator="containsText" text="NEO">
      <formula>NOT(ISERROR(SEARCH("NEO",F15)))</formula>
    </cfRule>
    <cfRule type="containsText" dxfId="235" priority="22" operator="containsText" text="CHI">
      <formula>NOT(ISERROR(SEARCH("CHI",F15)))</formula>
    </cfRule>
  </conditionalFormatting>
  <conditionalFormatting sqref="Z6">
    <cfRule type="cellIs" dxfId="234" priority="36" operator="equal">
      <formula>1090</formula>
    </cfRule>
    <cfRule type="cellIs" dxfId="233" priority="37" operator="equal">
      <formula>1020</formula>
    </cfRule>
  </conditionalFormatting>
  <conditionalFormatting sqref="Z9">
    <cfRule type="containsText" dxfId="232" priority="28" operator="containsText" text="NOR">
      <formula>NOT(ISERROR(SEARCH("NOR",Z9)))</formula>
    </cfRule>
  </conditionalFormatting>
  <conditionalFormatting sqref="Z10">
    <cfRule type="containsText" dxfId="231" priority="27" operator="containsText" text="MU">
      <formula>NOT(ISERROR(SEARCH("MU",Z10)))</formula>
    </cfRule>
  </conditionalFormatting>
  <conditionalFormatting sqref="Z11:Z14">
    <cfRule type="containsText" dxfId="230" priority="32" operator="containsText" text="NO">
      <formula>NOT(ISERROR(SEARCH("NO",Z11)))</formula>
    </cfRule>
    <cfRule type="containsText" dxfId="229" priority="33" operator="containsText" text="SI">
      <formula>NOT(ISERROR(SEARCH("SI",Z11)))</formula>
    </cfRule>
  </conditionalFormatting>
  <conditionalFormatting sqref="Z15:Z16">
    <cfRule type="containsText" dxfId="228" priority="29" operator="containsText" text="ESP">
      <formula>NOT(ISERROR(SEARCH("ESP",Z15)))</formula>
    </cfRule>
    <cfRule type="containsText" dxfId="227" priority="30" operator="containsText" text="NEO">
      <formula>NOT(ISERROR(SEARCH("NEO",Z15)))</formula>
    </cfRule>
    <cfRule type="containsText" dxfId="226" priority="31" operator="containsText" text="CHI">
      <formula>NOT(ISERROR(SEARCH("CHI",Z15)))</formula>
    </cfRule>
  </conditionalFormatting>
  <conditionalFormatting sqref="F96:P97">
    <cfRule type="cellIs" dxfId="225" priority="12" operator="greaterThanOrEqual">
      <formula>1</formula>
    </cfRule>
  </conditionalFormatting>
  <conditionalFormatting sqref="F98:P98">
    <cfRule type="cellIs" dxfId="224" priority="8" operator="greaterThanOrEqual">
      <formula>1</formula>
    </cfRule>
  </conditionalFormatting>
  <conditionalFormatting sqref="F99:P100">
    <cfRule type="cellIs" dxfId="223" priority="7" operator="greaterThanOrEqual">
      <formula>1</formula>
    </cfRule>
  </conditionalFormatting>
  <conditionalFormatting sqref="F42:P44">
    <cfRule type="cellIs" dxfId="222" priority="6" operator="greaterThanOrEqual">
      <formula>1</formula>
    </cfRule>
  </conditionalFormatting>
  <conditionalFormatting sqref="F37:P38">
    <cfRule type="cellIs" dxfId="221" priority="5" operator="greaterThanOrEqual">
      <formula>1</formula>
    </cfRule>
  </conditionalFormatting>
  <conditionalFormatting sqref="F26:P26">
    <cfRule type="cellIs" dxfId="220" priority="4" operator="greaterThanOrEqual">
      <formula>1</formula>
    </cfRule>
  </conditionalFormatting>
  <conditionalFormatting sqref="F28:P28">
    <cfRule type="cellIs" dxfId="219" priority="3" operator="greaterThanOrEqual">
      <formula>1</formula>
    </cfRule>
  </conditionalFormatting>
  <conditionalFormatting sqref="F91:P92">
    <cfRule type="cellIs" dxfId="218" priority="1" operator="greaterThanOrEqual">
      <formula>1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FDD5B31-E255-419B-959D-F4DAB9C89D59}">
          <x14:formula1>
            <xm:f>Apoyo1Despiece!$D$11:$D$17</xm:f>
          </x14:formula1>
          <xm:sqref>F5:P5</xm:sqref>
        </x14:dataValidation>
        <x14:dataValidation type="list" allowBlank="1" showInputMessage="1" showErrorMessage="1" xr:uid="{5024F0E2-6997-47AB-BAEB-7E398F5C80D9}">
          <x14:formula1>
            <xm:f>Apoyo1Despiece!$E$11:$E$13</xm:f>
          </x14:formula1>
          <xm:sqref>F6:P6</xm:sqref>
        </x14:dataValidation>
        <x14:dataValidation type="list" allowBlank="1" showInputMessage="1" showErrorMessage="1" xr:uid="{B3DBB60E-08B7-43E3-BDF8-7085C9F01EAB}">
          <x14:formula1>
            <xm:f>Apoyo1Despiece!$F$11:$F$12</xm:f>
          </x14:formula1>
          <xm:sqref>F9:P9</xm:sqref>
        </x14:dataValidation>
        <x14:dataValidation type="list" allowBlank="1" showInputMessage="1" showErrorMessage="1" xr:uid="{219483BA-2F08-40C7-AB6B-DD4425815D28}">
          <x14:formula1>
            <xm:f>Apoyo1Despiece!$G$11:$G$12</xm:f>
          </x14:formula1>
          <xm:sqref>F10:P10</xm:sqref>
        </x14:dataValidation>
        <x14:dataValidation type="list" allowBlank="1" showInputMessage="1" showErrorMessage="1" xr:uid="{056880D9-2E27-4B0B-9400-6F8C0CB945C5}">
          <x14:formula1>
            <xm:f>Apoyo1Despiece!$H$11:$H$12</xm:f>
          </x14:formula1>
          <xm:sqref>F11:P11</xm:sqref>
        </x14:dataValidation>
        <x14:dataValidation type="list" allowBlank="1" showInputMessage="1" showErrorMessage="1" xr:uid="{62883949-B6BE-4D90-8856-BF03A28D454D}">
          <x14:formula1>
            <xm:f>Apoyo1Despiece!$I$11:$I$12</xm:f>
          </x14:formula1>
          <xm:sqref>F12:P12</xm:sqref>
        </x14:dataValidation>
        <x14:dataValidation type="list" allowBlank="1" showInputMessage="1" showErrorMessage="1" xr:uid="{D0A534BB-A438-449B-9D5B-333AB1641F5F}">
          <x14:formula1>
            <xm:f>Apoyo1Despiece!$J$11:$J$12</xm:f>
          </x14:formula1>
          <xm:sqref>F13:P13</xm:sqref>
        </x14:dataValidation>
        <x14:dataValidation type="list" allowBlank="1" showInputMessage="1" showErrorMessage="1" xr:uid="{ACFC382C-521C-4668-A6E2-299782DD2B83}">
          <x14:formula1>
            <xm:f>Apoyo1Despiece!$K$11:$K$12</xm:f>
          </x14:formula1>
          <xm:sqref>F14:P14</xm:sqref>
        </x14:dataValidation>
        <x14:dataValidation type="list" allowBlank="1" showInputMessage="1" showErrorMessage="1" xr:uid="{E12A8DD6-806D-4747-B657-03B86403D745}">
          <x14:formula1>
            <xm:f>Apoyo1Despiece!$L$11:$L$12</xm:f>
          </x14:formula1>
          <xm:sqref>F15:P15</xm:sqref>
        </x14:dataValidation>
        <x14:dataValidation type="list" allowBlank="1" showInputMessage="1" showErrorMessage="1" xr:uid="{0CEC2D0C-CD51-452B-A107-B56807BB8F4A}">
          <x14:formula1>
            <xm:f>Apoyo1Despiece!$M$11:$M$13</xm:f>
          </x14:formula1>
          <xm:sqref>F16:P16</xm:sqref>
        </x14:dataValidation>
        <x14:dataValidation type="list" allowBlank="1" showInputMessage="1" showErrorMessage="1" xr:uid="{74C6BE24-3C91-4D4F-BABD-0134B8A280B9}">
          <x14:formula1>
            <xm:f>Apoyo1Despiece!$N$11:$N$12</xm:f>
          </x14:formula1>
          <xm:sqref>F17:P17</xm:sqref>
        </x14:dataValidation>
        <x14:dataValidation type="list" allowBlank="1" showInputMessage="1" showErrorMessage="1" xr:uid="{A3088A07-06ED-45BF-A346-E469BA8A318D}">
          <x14:formula1>
            <xm:f>Apoyo1Despiece!$C$11:$C$12</xm:f>
          </x14:formula1>
          <xm:sqref>F4:P4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C1AA-7AEC-4F44-A6AD-0A27363E7048}">
  <sheetPr codeName="Hoja27">
    <tabColor rgb="FFFFC000"/>
  </sheetPr>
  <dimension ref="A1:X136"/>
  <sheetViews>
    <sheetView workbookViewId="0">
      <selection activeCell="F92" sqref="F92"/>
    </sheetView>
  </sheetViews>
  <sheetFormatPr baseColWidth="10" defaultColWidth="11.44140625" defaultRowHeight="14.4" outlineLevelRow="1" outlineLevelCol="1" x14ac:dyDescent="0.3"/>
  <cols>
    <col min="1" max="1" width="6.5546875" style="2" customWidth="1"/>
    <col min="2" max="2" width="5" style="2" bestFit="1" customWidth="1"/>
    <col min="3" max="3" width="11.44140625" style="2"/>
    <col min="4" max="4" width="63.5546875" style="2" bestFit="1" customWidth="1"/>
    <col min="5" max="5" width="1.6640625" style="2" customWidth="1" outlineLevel="1"/>
    <col min="6" max="11" width="15" style="40" customWidth="1" outlineLevel="1"/>
    <col min="12" max="12" width="3.6640625" style="2" customWidth="1"/>
    <col min="13" max="13" width="13.5546875" style="42" hidden="1" customWidth="1"/>
    <col min="14" max="14" width="6.88671875" style="150" hidden="1" customWidth="1"/>
    <col min="15" max="16" width="13.5546875" style="42" customWidth="1"/>
    <col min="17" max="17" width="12.88671875" style="42" customWidth="1"/>
    <col min="18" max="18" width="13.5546875" style="43" customWidth="1"/>
    <col min="19" max="19" width="14.33203125" style="43" customWidth="1"/>
    <col min="20" max="20" width="13.6640625" style="43" customWidth="1"/>
    <col min="21" max="21" width="14.33203125" style="43" customWidth="1"/>
    <col min="22" max="26" width="11.44140625" style="2"/>
    <col min="27" max="28" width="32.6640625" style="2" bestFit="1" customWidth="1"/>
    <col min="29" max="29" width="12.44140625" style="2" bestFit="1" customWidth="1"/>
    <col min="30" max="16384" width="11.44140625" style="2"/>
  </cols>
  <sheetData>
    <row r="1" spans="1:24" ht="7.5" customHeight="1" x14ac:dyDescent="0.3">
      <c r="F1" s="2"/>
      <c r="G1" s="2"/>
      <c r="H1" s="2"/>
      <c r="I1" s="2"/>
      <c r="J1" s="2"/>
      <c r="K1" s="2"/>
    </row>
    <row r="2" spans="1:24" ht="15" customHeight="1" x14ac:dyDescent="0.3">
      <c r="C2" s="124" t="s">
        <v>1283</v>
      </c>
      <c r="D2" s="302"/>
      <c r="F2" s="42"/>
      <c r="G2" s="42"/>
      <c r="H2" s="42"/>
      <c r="I2" s="42"/>
      <c r="J2" s="42"/>
      <c r="K2" s="42"/>
      <c r="L2" s="42"/>
    </row>
    <row r="3" spans="1:24" ht="7.5" customHeight="1" x14ac:dyDescent="0.3">
      <c r="F3" s="42"/>
      <c r="G3" s="42"/>
      <c r="H3" s="42"/>
      <c r="I3" s="42"/>
      <c r="J3" s="42"/>
      <c r="K3" s="42"/>
      <c r="L3" s="42"/>
    </row>
    <row r="4" spans="1:24" ht="15" customHeight="1" outlineLevel="1" x14ac:dyDescent="0.3">
      <c r="D4" s="359" t="s">
        <v>1294</v>
      </c>
      <c r="F4" s="139">
        <v>2</v>
      </c>
      <c r="G4" s="139"/>
      <c r="H4" s="139"/>
      <c r="I4" s="139"/>
      <c r="J4" s="139"/>
      <c r="K4" s="139"/>
      <c r="L4" s="42"/>
      <c r="R4" s="42"/>
      <c r="S4" s="42"/>
      <c r="T4" s="42"/>
      <c r="X4" s="340" t="s">
        <v>1309</v>
      </c>
    </row>
    <row r="5" spans="1:24" ht="15" customHeight="1" outlineLevel="1" x14ac:dyDescent="0.3">
      <c r="D5" s="361" t="s">
        <v>1306</v>
      </c>
      <c r="F5" s="362">
        <v>0</v>
      </c>
      <c r="G5" s="362"/>
      <c r="H5" s="362"/>
      <c r="I5" s="362"/>
      <c r="J5" s="362"/>
      <c r="K5" s="362"/>
      <c r="L5" s="42"/>
      <c r="R5" s="42"/>
      <c r="S5" s="42"/>
      <c r="T5" s="42"/>
      <c r="X5" s="2" t="s">
        <v>1311</v>
      </c>
    </row>
    <row r="6" spans="1:24" ht="15" customHeight="1" outlineLevel="1" x14ac:dyDescent="0.3">
      <c r="D6" s="359" t="s">
        <v>1039</v>
      </c>
      <c r="F6" s="59" t="s">
        <v>1301</v>
      </c>
      <c r="G6" s="59"/>
      <c r="H6" s="59"/>
      <c r="I6" s="59"/>
      <c r="J6" s="59"/>
      <c r="K6" s="59"/>
      <c r="L6" s="42"/>
      <c r="R6" s="42"/>
      <c r="S6" s="42"/>
      <c r="T6" s="42"/>
      <c r="X6" s="2" t="s">
        <v>1310</v>
      </c>
    </row>
    <row r="7" spans="1:24" ht="15" customHeight="1" outlineLevel="1" x14ac:dyDescent="0.3">
      <c r="D7" s="359" t="s">
        <v>1295</v>
      </c>
      <c r="F7" s="59" t="s">
        <v>1297</v>
      </c>
      <c r="G7" s="59"/>
      <c r="H7" s="59"/>
      <c r="I7" s="59"/>
      <c r="J7" s="59"/>
      <c r="K7" s="59"/>
      <c r="L7" s="42"/>
      <c r="R7" s="42"/>
      <c r="S7" s="42"/>
      <c r="T7" s="42"/>
      <c r="X7" s="2" t="s">
        <v>1331</v>
      </c>
    </row>
    <row r="8" spans="1:24" ht="15" customHeight="1" outlineLevel="1" x14ac:dyDescent="0.3">
      <c r="D8" s="359" t="s">
        <v>1041</v>
      </c>
      <c r="F8" s="59" t="s">
        <v>1308</v>
      </c>
      <c r="G8" s="59"/>
      <c r="H8" s="59"/>
      <c r="I8" s="59"/>
      <c r="J8" s="59"/>
      <c r="K8" s="59"/>
      <c r="L8" s="42"/>
      <c r="R8" s="42"/>
      <c r="S8" s="42"/>
      <c r="T8" s="42"/>
    </row>
    <row r="9" spans="1:24" ht="15" customHeight="1" outlineLevel="1" x14ac:dyDescent="0.3">
      <c r="D9" s="361" t="s">
        <v>1296</v>
      </c>
      <c r="F9" s="363">
        <v>1090</v>
      </c>
      <c r="G9" s="363"/>
      <c r="H9" s="363"/>
      <c r="I9" s="363"/>
      <c r="J9" s="363"/>
      <c r="K9" s="363"/>
      <c r="M9" s="2"/>
      <c r="N9" s="68"/>
      <c r="O9" s="2"/>
      <c r="P9" s="2"/>
      <c r="V9" s="43"/>
    </row>
    <row r="10" spans="1:24" ht="7.5" customHeight="1" outlineLevel="1" x14ac:dyDescent="0.3">
      <c r="F10" s="316"/>
      <c r="G10" s="316"/>
      <c r="H10" s="316"/>
      <c r="I10" s="316"/>
      <c r="J10" s="316"/>
      <c r="K10" s="316"/>
    </row>
    <row r="11" spans="1:24" s="68" customFormat="1" x14ac:dyDescent="0.3">
      <c r="B11" s="105"/>
      <c r="C11" s="105"/>
      <c r="D11" s="105"/>
      <c r="F11" s="106" t="s">
        <v>1320</v>
      </c>
      <c r="G11" s="106" t="s">
        <v>1320</v>
      </c>
      <c r="H11" s="106" t="s">
        <v>1320</v>
      </c>
      <c r="I11" s="106" t="s">
        <v>1320</v>
      </c>
      <c r="J11" s="106" t="s">
        <v>1320</v>
      </c>
      <c r="K11" s="106" t="s">
        <v>1320</v>
      </c>
      <c r="M11" s="2"/>
      <c r="O11" s="318">
        <f>SUM(TES[TOTAL])</f>
        <v>67</v>
      </c>
      <c r="P11" s="454" t="s">
        <v>2</v>
      </c>
      <c r="Q11" s="455"/>
      <c r="R11" s="456" t="s">
        <v>1158</v>
      </c>
      <c r="S11" s="457"/>
      <c r="T11" s="443" t="s">
        <v>1159</v>
      </c>
      <c r="U11" s="444"/>
    </row>
    <row r="12" spans="1:24" s="68" customFormat="1" x14ac:dyDescent="0.3">
      <c r="B12" s="312"/>
      <c r="C12" s="312" t="s">
        <v>1</v>
      </c>
      <c r="D12" s="312" t="s">
        <v>0</v>
      </c>
      <c r="F12" s="110">
        <f t="shared" ref="F12:K12" si="0">SUM(F13:F125)</f>
        <v>67</v>
      </c>
      <c r="G12" s="110">
        <f t="shared" si="0"/>
        <v>0</v>
      </c>
      <c r="H12" s="110">
        <f t="shared" si="0"/>
        <v>0</v>
      </c>
      <c r="I12" s="110">
        <f t="shared" si="0"/>
        <v>0</v>
      </c>
      <c r="J12" s="110">
        <f t="shared" si="0"/>
        <v>0</v>
      </c>
      <c r="K12" s="110">
        <f t="shared" si="0"/>
        <v>0</v>
      </c>
      <c r="M12" s="111" t="s">
        <v>1</v>
      </c>
      <c r="N12" s="308" t="s">
        <v>1161</v>
      </c>
      <c r="O12" s="329" t="s">
        <v>1162</v>
      </c>
      <c r="P12" s="264" t="s">
        <v>1163</v>
      </c>
      <c r="Q12" s="306" t="s">
        <v>1164</v>
      </c>
      <c r="R12" s="307" t="s">
        <v>1165</v>
      </c>
      <c r="S12" s="307" t="s">
        <v>1166</v>
      </c>
      <c r="T12" s="118" t="s">
        <v>1167</v>
      </c>
      <c r="U12" s="305" t="s">
        <v>1168</v>
      </c>
    </row>
    <row r="13" spans="1:24" x14ac:dyDescent="0.3">
      <c r="A13" s="514"/>
      <c r="B13" s="135"/>
      <c r="C13" s="76" t="s">
        <v>3</v>
      </c>
      <c r="D13" s="76" t="s">
        <v>4</v>
      </c>
      <c r="F13" s="313">
        <f t="shared" ref="F13:K13" si="1">+IF(F$5&gt;0,0,IF(OR(F$6="FERMIN",F$6="ALUMINIO",F$6="GURSAM 60"),4,IF(OR(F$6="EUROPEA",F$6="GURSAM 120"),8,0)))</f>
        <v>4</v>
      </c>
      <c r="G13" s="313">
        <f t="shared" si="1"/>
        <v>0</v>
      </c>
      <c r="H13" s="313">
        <f t="shared" si="1"/>
        <v>0</v>
      </c>
      <c r="I13" s="313">
        <f t="shared" si="1"/>
        <v>0</v>
      </c>
      <c r="J13" s="313">
        <f t="shared" si="1"/>
        <v>0</v>
      </c>
      <c r="K13" s="313">
        <f t="shared" si="1"/>
        <v>0</v>
      </c>
      <c r="M13" s="73" t="str">
        <f>+C13</f>
        <v>AM.0100</v>
      </c>
      <c r="N13" s="309" t="str">
        <f>+IF(TES[[#This Row],[ITEM]]=C13,"ok","mal")</f>
        <v>ok</v>
      </c>
      <c r="O13" s="330">
        <f t="shared" ref="O13:O44" si="2">SUM(E13:L13)</f>
        <v>4</v>
      </c>
      <c r="P13" s="332">
        <f>IF(VLOOKUP(TES[[#This Row],[ITEM]],TbPiezas[],5,0)="NA",0,VLOOKUP(TES[[#This Row],[ITEM]],TbPiezas[],5,0))</f>
        <v>3.2999999999999972</v>
      </c>
      <c r="Q13" s="81">
        <f>+TES[[#This Row],[TOTAL]]*TES[[#This Row],[P.U. (1)]]</f>
        <v>13.199999999999989</v>
      </c>
      <c r="R13" s="82">
        <f>+VLOOKUP(TES[[#This Row],[ITEM]],TbPiezas[],6,0)</f>
        <v>86.53</v>
      </c>
      <c r="S13" s="83">
        <f>+TES[[#This Row],[TOTAL]]*TES[[#This Row],[P.U. (2)]]</f>
        <v>346.12</v>
      </c>
      <c r="T13" s="82">
        <f>+VLOOKUP(TES[[#This Row],[ITEM]],TbPiezas[],7,0)</f>
        <v>4.3265000000000002</v>
      </c>
      <c r="U13" s="170">
        <f>+TES[[#This Row],[P.U. (3)]]*TES[[#This Row],[TOTAL]]</f>
        <v>17.306000000000001</v>
      </c>
    </row>
    <row r="14" spans="1:24" x14ac:dyDescent="0.3">
      <c r="A14" s="514"/>
      <c r="B14" s="135"/>
      <c r="C14" s="76" t="s">
        <v>7</v>
      </c>
      <c r="D14" s="76" t="s">
        <v>8</v>
      </c>
      <c r="F14" s="313">
        <f>F$13</f>
        <v>4</v>
      </c>
      <c r="G14" s="313">
        <f t="shared" ref="F14:K14" si="3">G$13</f>
        <v>0</v>
      </c>
      <c r="H14" s="313">
        <f t="shared" si="3"/>
        <v>0</v>
      </c>
      <c r="I14" s="313">
        <f t="shared" si="3"/>
        <v>0</v>
      </c>
      <c r="J14" s="313">
        <f t="shared" si="3"/>
        <v>0</v>
      </c>
      <c r="K14" s="313">
        <f t="shared" si="3"/>
        <v>0</v>
      </c>
      <c r="M14" s="73" t="str">
        <f t="shared" ref="M14:M77" si="4">+C14</f>
        <v>AM.0300</v>
      </c>
      <c r="N14" s="309" t="str">
        <f>+IF(TES[[#This Row],[ITEM]]=C14,"ok","mal")</f>
        <v>ok</v>
      </c>
      <c r="O14" s="330">
        <f t="shared" si="2"/>
        <v>4</v>
      </c>
      <c r="P14" s="332">
        <f>IF(VLOOKUP(TES[[#This Row],[ITEM]],TbPiezas[],5,0)="NA",0,VLOOKUP(TES[[#This Row],[ITEM]],TbPiezas[],5,0))</f>
        <v>1.8999999999999915</v>
      </c>
      <c r="Q14" s="81">
        <f>+TES[[#This Row],[TOTAL]]*TES[[#This Row],[P.U. (1)]]</f>
        <v>7.5999999999999659</v>
      </c>
      <c r="R14" s="82">
        <f>+VLOOKUP(TES[[#This Row],[ITEM]],TbPiezas[],6,0)</f>
        <v>78.02</v>
      </c>
      <c r="S14" s="83">
        <f>+TES[[#This Row],[TOTAL]]*TES[[#This Row],[P.U. (2)]]</f>
        <v>312.08</v>
      </c>
      <c r="T14" s="82">
        <f>+VLOOKUP(TES[[#This Row],[ITEM]],TbPiezas[],7,0)</f>
        <v>3.9009999999999998</v>
      </c>
      <c r="U14" s="170">
        <f>+TES[[#This Row],[P.U. (3)]]*TES[[#This Row],[TOTAL]]</f>
        <v>15.603999999999999</v>
      </c>
    </row>
    <row r="15" spans="1:24" x14ac:dyDescent="0.3">
      <c r="A15" s="514"/>
      <c r="B15" s="135"/>
      <c r="C15" s="76" t="s">
        <v>9</v>
      </c>
      <c r="D15" s="76" t="s">
        <v>10</v>
      </c>
      <c r="F15" s="360">
        <v>0</v>
      </c>
      <c r="G15" s="360">
        <v>0</v>
      </c>
      <c r="H15" s="360">
        <v>0</v>
      </c>
      <c r="I15" s="360">
        <v>0</v>
      </c>
      <c r="J15" s="360">
        <v>0</v>
      </c>
      <c r="K15" s="360">
        <v>0</v>
      </c>
      <c r="M15" s="73" t="str">
        <f t="shared" si="4"/>
        <v>AM.0400</v>
      </c>
      <c r="N15" s="309" t="str">
        <f>+IF(TES[[#This Row],[ITEM]]=C15,"ok","mal")</f>
        <v>ok</v>
      </c>
      <c r="O15" s="360">
        <f t="shared" si="2"/>
        <v>0</v>
      </c>
      <c r="P15" s="332">
        <f>IF(VLOOKUP(TES[[#This Row],[ITEM]],TbPiezas[],5,0)="NA",0,VLOOKUP(TES[[#This Row],[ITEM]],TbPiezas[],5,0))</f>
        <v>44.3</v>
      </c>
      <c r="Q15" s="81">
        <f>+TES[[#This Row],[TOTAL]]*TES[[#This Row],[P.U. (1)]]</f>
        <v>0</v>
      </c>
      <c r="R15" s="82">
        <f>+VLOOKUP(TES[[#This Row],[ITEM]],TbPiezas[],6,0)</f>
        <v>870.28</v>
      </c>
      <c r="S15" s="83">
        <f>+TES[[#This Row],[TOTAL]]*TES[[#This Row],[P.U. (2)]]</f>
        <v>0</v>
      </c>
      <c r="T15" s="82">
        <f>+VLOOKUP(TES[[#This Row],[ITEM]],TbPiezas[],7,0)</f>
        <v>43.514000000000003</v>
      </c>
      <c r="U15" s="170">
        <f>+TES[[#This Row],[P.U. (3)]]*TES[[#This Row],[TOTAL]]</f>
        <v>0</v>
      </c>
    </row>
    <row r="16" spans="1:24" x14ac:dyDescent="0.3">
      <c r="A16" s="514"/>
      <c r="B16" s="135"/>
      <c r="C16" s="76" t="s">
        <v>13</v>
      </c>
      <c r="D16" s="76" t="s">
        <v>14</v>
      </c>
      <c r="F16" s="360">
        <v>0</v>
      </c>
      <c r="G16" s="360">
        <v>0</v>
      </c>
      <c r="H16" s="360">
        <v>0</v>
      </c>
      <c r="I16" s="360">
        <v>0</v>
      </c>
      <c r="J16" s="360">
        <v>0</v>
      </c>
      <c r="K16" s="360">
        <v>0</v>
      </c>
      <c r="M16" s="73" t="str">
        <f t="shared" si="4"/>
        <v>AM.0600</v>
      </c>
      <c r="N16" s="309" t="str">
        <f>+IF(TES[[#This Row],[ITEM]]=C16,"ok","mal")</f>
        <v>ok</v>
      </c>
      <c r="O16" s="360">
        <f t="shared" si="2"/>
        <v>0</v>
      </c>
      <c r="P16" s="332">
        <f>IF(VLOOKUP(TES[[#This Row],[ITEM]],TbPiezas[],5,0)="NA",0,VLOOKUP(TES[[#This Row],[ITEM]],TbPiezas[],5,0))</f>
        <v>11.700000000000003</v>
      </c>
      <c r="Q16" s="81">
        <f>+TES[[#This Row],[TOTAL]]*TES[[#This Row],[P.U. (1)]]</f>
        <v>0</v>
      </c>
      <c r="R16" s="82">
        <f>+VLOOKUP(TES[[#This Row],[ITEM]],TbPiezas[],6,0)</f>
        <v>428.32</v>
      </c>
      <c r="S16" s="83">
        <f>+TES[[#This Row],[TOTAL]]*TES[[#This Row],[P.U. (2)]]</f>
        <v>0</v>
      </c>
      <c r="T16" s="82">
        <f>+VLOOKUP(TES[[#This Row],[ITEM]],TbPiezas[],7,0)</f>
        <v>21.416</v>
      </c>
      <c r="U16" s="170">
        <f>+TES[[#This Row],[P.U. (3)]]*TES[[#This Row],[TOTAL]]</f>
        <v>0</v>
      </c>
    </row>
    <row r="17" spans="1:21" x14ac:dyDescent="0.3">
      <c r="A17" s="514"/>
      <c r="B17" s="135"/>
      <c r="C17" s="76" t="s">
        <v>15</v>
      </c>
      <c r="D17" s="76" t="s">
        <v>16</v>
      </c>
      <c r="F17" s="314">
        <f t="shared" ref="F17:K17" si="5">+IF(OR(F$6="FERMIN",F$6="ALUMINIO",F$6="GURSAM 60"),IF(ISEVEN(F4-F5),2*(F4-F5),2*(F4-F5)-2),IF(OR(F$6="EUROPEA",F$6="GURSAM 120"),IF(ISEVEN(F4-F5),4*(F4-F5),"NE"),0))</f>
        <v>4</v>
      </c>
      <c r="G17" s="314">
        <f t="shared" si="5"/>
        <v>0</v>
      </c>
      <c r="H17" s="314">
        <f t="shared" si="5"/>
        <v>0</v>
      </c>
      <c r="I17" s="314">
        <f t="shared" si="5"/>
        <v>0</v>
      </c>
      <c r="J17" s="314">
        <f t="shared" si="5"/>
        <v>0</v>
      </c>
      <c r="K17" s="314">
        <f t="shared" si="5"/>
        <v>0</v>
      </c>
      <c r="M17" s="73" t="str">
        <f t="shared" si="4"/>
        <v>AM.0700</v>
      </c>
      <c r="N17" s="309" t="str">
        <f>+IF(TES[[#This Row],[ITEM]]=C17,"ok","mal")</f>
        <v>ok</v>
      </c>
      <c r="O17" s="330">
        <f t="shared" si="2"/>
        <v>4</v>
      </c>
      <c r="P17" s="332">
        <f>IF(VLOOKUP(TES[[#This Row],[ITEM]],TbPiezas[],5,0)="NA",0,VLOOKUP(TES[[#This Row],[ITEM]],TbPiezas[],5,0))</f>
        <v>7</v>
      </c>
      <c r="Q17" s="81">
        <f>+TES[[#This Row],[TOTAL]]*TES[[#This Row],[P.U. (1)]]</f>
        <v>28</v>
      </c>
      <c r="R17" s="82">
        <f>+VLOOKUP(TES[[#This Row],[ITEM]],TbPiezas[],6,0)</f>
        <v>261.63</v>
      </c>
      <c r="S17" s="83">
        <f>+TES[[#This Row],[TOTAL]]*TES[[#This Row],[P.U. (2)]]</f>
        <v>1046.52</v>
      </c>
      <c r="T17" s="82">
        <f>+VLOOKUP(TES[[#This Row],[ITEM]],TbPiezas[],7,0)</f>
        <v>13.0815</v>
      </c>
      <c r="U17" s="170">
        <f>+TES[[#This Row],[P.U. (3)]]*TES[[#This Row],[TOTAL]]</f>
        <v>52.326000000000001</v>
      </c>
    </row>
    <row r="18" spans="1:21" x14ac:dyDescent="0.3">
      <c r="A18" s="514"/>
      <c r="B18" s="135"/>
      <c r="C18" s="76" t="s">
        <v>17</v>
      </c>
      <c r="D18" s="76" t="s">
        <v>18</v>
      </c>
      <c r="F18" s="360">
        <v>0</v>
      </c>
      <c r="G18" s="360">
        <v>0</v>
      </c>
      <c r="H18" s="360">
        <v>0</v>
      </c>
      <c r="I18" s="360">
        <v>0</v>
      </c>
      <c r="J18" s="360">
        <v>0</v>
      </c>
      <c r="K18" s="360">
        <v>0</v>
      </c>
      <c r="M18" s="73" t="str">
        <f t="shared" si="4"/>
        <v>AM.0900</v>
      </c>
      <c r="N18" s="309" t="str">
        <f>+IF(TES[[#This Row],[ITEM]]=C18,"ok","mal")</f>
        <v>ok</v>
      </c>
      <c r="O18" s="360">
        <f t="shared" si="2"/>
        <v>0</v>
      </c>
      <c r="P18" s="332">
        <f>IF(VLOOKUP(TES[[#This Row],[ITEM]],TbPiezas[],5,0)="NA",0,VLOOKUP(TES[[#This Row],[ITEM]],TbPiezas[],5,0))</f>
        <v>5.9</v>
      </c>
      <c r="Q18" s="81">
        <f>+TES[[#This Row],[TOTAL]]*TES[[#This Row],[P.U. (1)]]</f>
        <v>0</v>
      </c>
      <c r="R18" s="82">
        <f>+VLOOKUP(TES[[#This Row],[ITEM]],TbPiezas[],6,0)</f>
        <v>212.52</v>
      </c>
      <c r="S18" s="83">
        <f>+TES[[#This Row],[TOTAL]]*TES[[#This Row],[P.U. (2)]]</f>
        <v>0</v>
      </c>
      <c r="T18" s="82">
        <f>+VLOOKUP(TES[[#This Row],[ITEM]],TbPiezas[],7,0)</f>
        <v>10.626000000000001</v>
      </c>
      <c r="U18" s="170">
        <f>+TES[[#This Row],[P.U. (3)]]*TES[[#This Row],[TOTAL]]</f>
        <v>0</v>
      </c>
    </row>
    <row r="19" spans="1:21" x14ac:dyDescent="0.3">
      <c r="A19" s="514"/>
      <c r="B19" s="135"/>
      <c r="C19" s="76" t="s">
        <v>19</v>
      </c>
      <c r="D19" s="76" t="s">
        <v>20</v>
      </c>
      <c r="F19" s="314">
        <f>+IF(OR(AND(F5=0,F4&gt;0),AND(F5&gt;0,F4&gt;0)),IF(AND(ISODD(F4-F5),OR(F$6="FERMIN",F$6="ALUMINIO",F$6="GURSAM 60")),4,0),0)+IF(OR(F6="",F7="",F5&gt;0,F6="GURSAM 120"),0,INDEX(Apoyo2Despiece!$D$3:$AG$18,MATCH($C19,Apoyo2Despiece!$C$3:$C$18,0),MATCH(CONCATENATE(Escalera!F$6,Escalera!F$7),Apoyo2Despiece!$D$2:$AG$2,0)))+IF(OR(F6="",F7="",F5&gt;0,F6="GURSAM 60",F6="EUROPEA",F6="FERMIN",F6="ALUMINIO"),0,INDEX(Apoyo2Despiece!$D$3:$AG$18,MATCH($C19,Apoyo2Despiece!$C$3:$C$18,0),MATCH(CONCATENATE(F$6,F$7,F$9),Apoyo2Despiece!$D$2:$AG$2,0)))</f>
        <v>5</v>
      </c>
      <c r="G19" s="314">
        <f>+IF(OR(AND(G5=0,G4&gt;0),AND(G5&gt;0,G4&gt;0)),IF(AND(ISODD(G4-G5),OR(G$6="FERMIN",G$6="ALUMINIO",G$6="GURSAM 60")),4,0),0)+IF(OR(G6="",G7="",G5&gt;0,G6="GURSAM 120"),0,INDEX(Apoyo2Despiece!$D$3:$AG$18,MATCH($C19,Apoyo2Despiece!$C$3:$C$18,0),MATCH(CONCATENATE(Escalera!G$6,Escalera!G$7),Apoyo2Despiece!$D$2:$AG$2,0)))+IF(OR(G6="",G7="",G5&gt;0,G6="GURSAM 60",G6="EUROPEA",G6="FERMIN",G6="ALUMINIO"),0,INDEX(Apoyo2Despiece!$D$3:$AG$18,MATCH($C19,Apoyo2Despiece!$C$3:$C$18,0),MATCH(CONCATENATE(G$6,G$7,G$9),Apoyo2Despiece!$D$2:$AG$2,0)))</f>
        <v>0</v>
      </c>
      <c r="H19" s="314">
        <f>+IF(OR(AND(H5=0,H4&gt;0),AND(H5&gt;0,H4&gt;0)),IF(AND(ISODD(H4-H5),OR(H$6="FERMIN",H$6="ALUMINIO",H$6="GURSAM 60")),4,0),0)+IF(OR(H6="",H7="",H5&gt;0,H6="GURSAM 120"),0,INDEX(Apoyo2Despiece!$D$3:$AG$18,MATCH($C19,Apoyo2Despiece!$C$3:$C$18,0),MATCH(CONCATENATE(Escalera!H$6,Escalera!H$7),Apoyo2Despiece!$D$2:$AG$2,0)))+IF(OR(H6="",H7="",H5&gt;0,H6="GURSAM 60",H6="EUROPEA",H6="FERMIN",H6="ALUMINIO"),0,INDEX(Apoyo2Despiece!$D$3:$AG$18,MATCH($C19,Apoyo2Despiece!$C$3:$C$18,0),MATCH(CONCATENATE(H$6,H$7,H$9),Apoyo2Despiece!$D$2:$AG$2,0)))</f>
        <v>0</v>
      </c>
      <c r="I19" s="314">
        <f>+IF(OR(AND(I5=0,I4&gt;0),AND(I5&gt;0,I4&gt;0)),IF(AND(ISODD(I4-I5),OR(I$6="FERMIN",I$6="ALUMINIO",I$6="GURSAM 60")),4,0),0)+IF(OR(I6="",I7="",I5&gt;0,I6="GURSAM 120"),0,INDEX(Apoyo2Despiece!$D$3:$AG$18,MATCH($C19,Apoyo2Despiece!$C$3:$C$18,0),MATCH(CONCATENATE(Escalera!I$6,Escalera!I$7),Apoyo2Despiece!$D$2:$AG$2,0)))+IF(OR(I6="",I7="",I5&gt;0,I6="GURSAM 60",I6="EUROPEA",I6="FERMIN",I6="ALUMINIO"),0,INDEX(Apoyo2Despiece!$D$3:$AG$18,MATCH($C19,Apoyo2Despiece!$C$3:$C$18,0),MATCH(CONCATENATE(I$6,I$7,I$9),Apoyo2Despiece!$D$2:$AG$2,0)))</f>
        <v>0</v>
      </c>
      <c r="J19" s="314">
        <f>+IF(OR(AND(J5=0,J4&gt;0),AND(J5&gt;0,J4&gt;0)),IF(AND(ISODD(J4-J5),OR(J$6="FERMIN",J$6="ALUMINIO",J$6="GURSAM 60")),4,0),0)+IF(OR(J6="",J7="",J5&gt;0,J6="GURSAM 120"),0,INDEX(Apoyo2Despiece!$D$3:$AG$18,MATCH($C19,Apoyo2Despiece!$C$3:$C$18,0),MATCH(CONCATENATE(Escalera!J$6,Escalera!J$7),Apoyo2Despiece!$D$2:$AG$2,0)))+IF(OR(J6="",J7="",J5&gt;0,J6="GURSAM 60",J6="EUROPEA",J6="FERMIN",J6="ALUMINIO"),0,INDEX(Apoyo2Despiece!$D$3:$AG$18,MATCH($C19,Apoyo2Despiece!$C$3:$C$18,0),MATCH(CONCATENATE(J$6,J$7,J$9),Apoyo2Despiece!$D$2:$AG$2,0)))</f>
        <v>0</v>
      </c>
      <c r="K19" s="314">
        <f>+IF(OR(AND(K5=0,K4&gt;0),AND(K5&gt;0,K4&gt;0)),IF(AND(ISODD(K4-K5),OR(K$6="FERMIN",K$6="ALUMINIO",K$6="GURSAM 60")),4,0),0)+IF(OR(K6="",K7="",K5&gt;0,K6="GURSAM 120"),0,INDEX(Apoyo2Despiece!$D$3:$AG$18,MATCH($C19,Apoyo2Despiece!$C$3:$C$18,0),MATCH(CONCATENATE(Escalera!K$6,Escalera!K$7),Apoyo2Despiece!$D$2:$AG$2,0)))+IF(OR(K6="",K7="",K5&gt;0,K6="GURSAM 60",K6="EUROPEA",K6="FERMIN",K6="ALUMINIO"),0,INDEX(Apoyo2Despiece!$D$3:$AG$18,MATCH($C19,Apoyo2Despiece!$C$3:$C$18,0),MATCH(CONCATENATE(K$6,K$7,K$9),Apoyo2Despiece!$D$2:$AG$2,0)))</f>
        <v>0</v>
      </c>
      <c r="M19" s="73" t="str">
        <f t="shared" si="4"/>
        <v>AM.1000</v>
      </c>
      <c r="N19" s="309" t="str">
        <f>+IF(TES[[#This Row],[ITEM]]=C19,"ok","mal")</f>
        <v>ok</v>
      </c>
      <c r="O19" s="330">
        <f t="shared" si="2"/>
        <v>5</v>
      </c>
      <c r="P19" s="332">
        <f>IF(VLOOKUP(TES[[#This Row],[ITEM]],TbPiezas[],5,0)="NA",0,VLOOKUP(TES[[#This Row],[ITEM]],TbPiezas[],5,0))</f>
        <v>2.9</v>
      </c>
      <c r="Q19" s="81">
        <f>+TES[[#This Row],[TOTAL]]*TES[[#This Row],[P.U. (1)]]</f>
        <v>14.5</v>
      </c>
      <c r="R19" s="82">
        <f>+VLOOKUP(TES[[#This Row],[ITEM]],TbPiezas[],6,0)</f>
        <v>143.16999999999999</v>
      </c>
      <c r="S19" s="83">
        <f>+TES[[#This Row],[TOTAL]]*TES[[#This Row],[P.U. (2)]]</f>
        <v>715.84999999999991</v>
      </c>
      <c r="T19" s="82">
        <f>+VLOOKUP(TES[[#This Row],[ITEM]],TbPiezas[],7,0)</f>
        <v>7.1585000000000001</v>
      </c>
      <c r="U19" s="170">
        <f>+TES[[#This Row],[P.U. (3)]]*TES[[#This Row],[TOTAL]]</f>
        <v>35.792500000000004</v>
      </c>
    </row>
    <row r="20" spans="1:21" x14ac:dyDescent="0.3">
      <c r="A20" s="514"/>
      <c r="B20" s="135"/>
      <c r="C20" s="76" t="s">
        <v>21</v>
      </c>
      <c r="D20" s="76" t="s">
        <v>22</v>
      </c>
      <c r="F20" s="360">
        <v>0</v>
      </c>
      <c r="G20" s="360">
        <v>0</v>
      </c>
      <c r="H20" s="360">
        <v>0</v>
      </c>
      <c r="I20" s="360">
        <v>0</v>
      </c>
      <c r="J20" s="360">
        <v>0</v>
      </c>
      <c r="K20" s="360">
        <v>0</v>
      </c>
      <c r="M20" s="73" t="str">
        <f t="shared" si="4"/>
        <v>AM.1100</v>
      </c>
      <c r="N20" s="309" t="str">
        <f>+IF(TES[[#This Row],[ITEM]]=C20,"ok","mal")</f>
        <v>ok</v>
      </c>
      <c r="O20" s="360">
        <f t="shared" si="2"/>
        <v>0</v>
      </c>
      <c r="P20" s="332">
        <f>IF(VLOOKUP(TES[[#This Row],[ITEM]],TbPiezas[],5,0)="NA",0,VLOOKUP(TES[[#This Row],[ITEM]],TbPiezas[],5,0))</f>
        <v>1.5</v>
      </c>
      <c r="Q20" s="81">
        <f>+TES[[#This Row],[TOTAL]]*TES[[#This Row],[P.U. (1)]]</f>
        <v>0</v>
      </c>
      <c r="R20" s="82">
        <f>+VLOOKUP(TES[[#This Row],[ITEM]],TbPiezas[],6,0)</f>
        <v>75.16</v>
      </c>
      <c r="S20" s="83">
        <f>+TES[[#This Row],[TOTAL]]*TES[[#This Row],[P.U. (2)]]</f>
        <v>0</v>
      </c>
      <c r="T20" s="82">
        <f>+VLOOKUP(TES[[#This Row],[ITEM]],TbPiezas[],7,0)</f>
        <v>3.758</v>
      </c>
      <c r="U20" s="170">
        <f>+TES[[#This Row],[P.U. (3)]]*TES[[#This Row],[TOTAL]]</f>
        <v>0</v>
      </c>
    </row>
    <row r="21" spans="1:21" x14ac:dyDescent="0.3">
      <c r="A21" s="514"/>
      <c r="B21" s="135"/>
      <c r="C21" s="76" t="s">
        <v>23</v>
      </c>
      <c r="D21" s="76" t="s">
        <v>24</v>
      </c>
      <c r="F21" s="139">
        <f>F$17+F$19+F$93</f>
        <v>11</v>
      </c>
      <c r="G21" s="139">
        <f t="shared" ref="F21:K21" si="6">G$17+G$19+G$93</f>
        <v>0</v>
      </c>
      <c r="H21" s="139">
        <f t="shared" si="6"/>
        <v>0</v>
      </c>
      <c r="I21" s="139">
        <f t="shared" si="6"/>
        <v>0</v>
      </c>
      <c r="J21" s="139">
        <f t="shared" si="6"/>
        <v>0</v>
      </c>
      <c r="K21" s="139">
        <f t="shared" si="6"/>
        <v>0</v>
      </c>
      <c r="M21" s="73" t="str">
        <f t="shared" si="4"/>
        <v>AM.1150</v>
      </c>
      <c r="N21" s="309" t="str">
        <f>+IF(TES[[#This Row],[ITEM]]=C21,"ok","mal")</f>
        <v>ok</v>
      </c>
      <c r="O21" s="330">
        <f t="shared" si="2"/>
        <v>11</v>
      </c>
      <c r="P21" s="332">
        <f>IF(VLOOKUP(TES[[#This Row],[ITEM]],TbPiezas[],5,0)="NA",0,VLOOKUP(TES[[#This Row],[ITEM]],TbPiezas[],5,0))</f>
        <v>0.8</v>
      </c>
      <c r="Q21" s="81">
        <f>+TES[[#This Row],[TOTAL]]*TES[[#This Row],[P.U. (1)]]</f>
        <v>8.8000000000000007</v>
      </c>
      <c r="R21" s="82">
        <f>+VLOOKUP(TES[[#This Row],[ITEM]],TbPiezas[],6,0)</f>
        <v>76.23</v>
      </c>
      <c r="S21" s="83">
        <f>+TES[[#This Row],[TOTAL]]*TES[[#This Row],[P.U. (2)]]</f>
        <v>838.53000000000009</v>
      </c>
      <c r="T21" s="82">
        <f>+VLOOKUP(TES[[#This Row],[ITEM]],TbPiezas[],7,0)</f>
        <v>3.8115000000000006</v>
      </c>
      <c r="U21" s="170">
        <f>+TES[[#This Row],[P.U. (3)]]*TES[[#This Row],[TOTAL]]</f>
        <v>41.926500000000004</v>
      </c>
    </row>
    <row r="22" spans="1:21" x14ac:dyDescent="0.3">
      <c r="A22" s="514"/>
      <c r="B22" s="135"/>
      <c r="C22" s="76" t="s">
        <v>27</v>
      </c>
      <c r="D22" s="76" t="s">
        <v>28</v>
      </c>
      <c r="F22" s="314">
        <f>+IF(OR(F$6="FERMIN",F$6="ALUMINIO",F$6="GURSAM 60"),IF(AND(F5=0,F4&gt;0),IF(ISEVEN(F4-F5),2*(F4-F5)+2,2*(F4-F5)+4),IF(AND(F5&gt;0,F4&gt;0),IF(ISEVEN(F4-F5),2*(F4-F5),2*(F4-F5)+2),0)),0)+IF(OR(F6="",F7="",F5&gt;0,F6="GURSAM 120"),0,INDEX(Apoyo2Despiece!$D$3:$Y$18,MATCH($C22,Apoyo2Despiece!$C$3:$C$18,0),MATCH(CONCATENATE(Escalera!F$6,Escalera!F$7),Apoyo2Despiece!$D$2:$Y$2,0)))</f>
        <v>10</v>
      </c>
      <c r="G22" s="314">
        <f>+IF(OR(G$6="FERMIN",G$6="ALUMINIO",G$6="GURSAM 60"),IF(AND(G5=0,G4&gt;0),IF(ISEVEN(G4-G5),2*(G4-G5)+2,2*(G4-G5)+4),IF(AND(G5&gt;0,G4&gt;0),IF(ISEVEN(G4-G5),2*(G4-G5),2*(G4-G5)+2),0)),0)+IF(OR(G6="",G7="",G5&gt;0,G6="GURSAM 120"),0,INDEX(Apoyo2Despiece!$D$3:$Y$18,MATCH($C22,Apoyo2Despiece!$C$3:$C$18,0),MATCH(CONCATENATE(Escalera!G$6,Escalera!G$7),Apoyo2Despiece!$D$2:$Y$2,0)))</f>
        <v>0</v>
      </c>
      <c r="H22" s="314">
        <f>+IF(OR(H$6="FERMIN",H$6="ALUMINIO",H$6="GURSAM 60"),IF(AND(H5=0,H4&gt;0),IF(ISEVEN(H4-H5),2*(H4-H5)+2,2*(H4-H5)+4),IF(AND(H5&gt;0,H4&gt;0),IF(ISEVEN(H4-H5),2*(H4-H5),2*(H4-H5)+2),0)),0)+IF(OR(H6="",H7="",H5&gt;0,H6="GURSAM 120"),0,INDEX(Apoyo2Despiece!$D$3:$Y$18,MATCH($C22,Apoyo2Despiece!$C$3:$C$18,0),MATCH(CONCATENATE(Escalera!H$6,Escalera!H$7),Apoyo2Despiece!$D$2:$Y$2,0)))</f>
        <v>0</v>
      </c>
      <c r="I22" s="314">
        <f>+IF(OR(I$6="FERMIN",I$6="ALUMINIO",I$6="GURSAM 60"),IF(AND(I5=0,I4&gt;0),IF(ISEVEN(I4-I5),2*(I4-I5)+2,2*(I4-I5)+4),IF(AND(I5&gt;0,I4&gt;0),IF(ISEVEN(I4-I5),2*(I4-I5),2*(I4-I5)+2),0)),0)+IF(OR(I6="",I7="",I5&gt;0,I6="GURSAM 120"),0,INDEX(Apoyo2Despiece!$D$3:$Y$18,MATCH($C22,Apoyo2Despiece!$C$3:$C$18,0),MATCH(CONCATENATE(Escalera!I$6,Escalera!I$7),Apoyo2Despiece!$D$2:$Y$2,0)))</f>
        <v>0</v>
      </c>
      <c r="J22" s="314">
        <f>+IF(OR(J$6="FERMIN",J$6="ALUMINIO",J$6="GURSAM 60"),IF(AND(J5=0,J4&gt;0),IF(ISEVEN(J4-J5),2*(J4-J5)+2,2*(J4-J5)+4),IF(AND(J5&gt;0,J4&gt;0),IF(ISEVEN(J4-J5),2*(J4-J5),2*(J4-J5)+2),0)),0)+IF(OR(J6="",J7="",J5&gt;0,J6="GURSAM 120"),0,INDEX(Apoyo2Despiece!$D$3:$Y$18,MATCH($C22,Apoyo2Despiece!$C$3:$C$18,0),MATCH(CONCATENATE(Escalera!J$6,Escalera!J$7),Apoyo2Despiece!$D$2:$Y$2,0)))</f>
        <v>0</v>
      </c>
      <c r="K22" s="314">
        <f>+IF(OR(K$6="FERMIN",K$6="ALUMINIO",K$6="GURSAM 60"),IF(AND(K5=0,K4&gt;0),IF(ISEVEN(K4-K5),2*(K4-K5)+2,2*(K4-K5)+4),IF(AND(K5&gt;0,K4&gt;0),IF(ISEVEN(K4-K5),2*(K4-K5),2*(K4-K5)+2),0)),0)+IF(OR(K6="",K7="",K5&gt;0,K6="GURSAM 120"),0,INDEX(Apoyo2Despiece!$D$3:$Y$18,MATCH($C22,Apoyo2Despiece!$C$3:$C$18,0),MATCH(CONCATENATE(Escalera!K$6,Escalera!K$7),Apoyo2Despiece!$D$2:$Y$2,0)))</f>
        <v>0</v>
      </c>
      <c r="M22" s="73" t="str">
        <f t="shared" si="4"/>
        <v>AM.1300</v>
      </c>
      <c r="N22" s="309" t="str">
        <f>+IF(TES[[#This Row],[ITEM]]=C22,"ok","mal")</f>
        <v>ok</v>
      </c>
      <c r="O22" s="330">
        <f t="shared" si="2"/>
        <v>10</v>
      </c>
      <c r="P22" s="332">
        <f>IF(VLOOKUP(TES[[#This Row],[ITEM]],TbPiezas[],5,0)="NA",0,VLOOKUP(TES[[#This Row],[ITEM]],TbPiezas[],5,0))</f>
        <v>11.200000000000003</v>
      </c>
      <c r="Q22" s="81">
        <f>+TES[[#This Row],[TOTAL]]*TES[[#This Row],[P.U. (1)]]</f>
        <v>112.00000000000003</v>
      </c>
      <c r="R22" s="82">
        <f>+VLOOKUP(TES[[#This Row],[ITEM]],TbPiezas[],6,0)</f>
        <v>238.1</v>
      </c>
      <c r="S22" s="83">
        <f>+TES[[#This Row],[TOTAL]]*TES[[#This Row],[P.U. (2)]]</f>
        <v>2381</v>
      </c>
      <c r="T22" s="82">
        <f>+VLOOKUP(TES[[#This Row],[ITEM]],TbPiezas[],7,0)</f>
        <v>11.905000000000001</v>
      </c>
      <c r="U22" s="170">
        <f>+TES[[#This Row],[P.U. (3)]]*TES[[#This Row],[TOTAL]]</f>
        <v>119.05000000000001</v>
      </c>
    </row>
    <row r="23" spans="1:21" x14ac:dyDescent="0.3">
      <c r="A23" s="516"/>
      <c r="B23" s="135"/>
      <c r="C23" s="76" t="s">
        <v>29</v>
      </c>
      <c r="D23" s="76" t="s">
        <v>30</v>
      </c>
      <c r="F23" s="139">
        <f>+IF(F6="GURSAM 120",IF(AND(F5=0,F4&gt;0),IF(ISEVEN(F4-F5),3*(F4-F5)+4,"NE"),IF(AND(F5&gt;0,F4&gt;0),IF(ISEVEN(F4-F5),3*(F4-F5),"NE"),0)),0)+IF(OR(F$6="",F$7=""),,INDEX(Apoyo2Despiece!$D$3:$Y$18,MATCH($C23,Apoyo2Despiece!$C$3:$C$18,0),MATCH(CONCATENATE(Escalera!F$6,Escalera!F$7),Apoyo2Despiece!$D$2:$Y$2,0)))</f>
        <v>0</v>
      </c>
      <c r="G23" s="139">
        <f>+IF(G6="GURSAM 120",IF(AND(G5=0,G4&gt;0),IF(ISEVEN(G4-G5),3*(G4-G5)+4,"NE"),IF(AND(G5&gt;0,G4&gt;0),IF(ISEVEN(G4-G5),3*(G4-G5),"NE"),0)),0)+IF(OR(G$6="",G$7=""),,INDEX(Apoyo2Despiece!$D$3:$Y$18,MATCH($C23,Apoyo2Despiece!$C$3:$C$18,0),MATCH(CONCATENATE(Escalera!G$6,Escalera!G$7),Apoyo2Despiece!$D$2:$Y$2,0)))</f>
        <v>0</v>
      </c>
      <c r="H23" s="139">
        <f>+IF(H6="GURSAM 120",IF(AND(H5=0,H4&gt;0),IF(ISEVEN(H4-H5),3*(H4-H5)+4,"NE"),IF(AND(H5&gt;0,H4&gt;0),IF(ISEVEN(H4-H5),3*(H4-H5),"NE"),0)),0)+IF(OR(H$6="",H$7=""),,INDEX(Apoyo2Despiece!$D$3:$Y$18,MATCH($C23,Apoyo2Despiece!$C$3:$C$18,0),MATCH(CONCATENATE(Escalera!H$6,Escalera!H$7),Apoyo2Despiece!$D$2:$Y$2,0)))</f>
        <v>0</v>
      </c>
      <c r="I23" s="139">
        <f>+IF(I6="GURSAM 120",IF(AND(I5=0,I4&gt;0),IF(ISEVEN(I4-I5),3*(I4-I5)+4,"NE"),IF(AND(I5&gt;0,I4&gt;0),IF(ISEVEN(I4-I5),3*(I4-I5),"NE"),0)),0)+IF(OR(I$6="",I$7=""),,INDEX(Apoyo2Despiece!$D$3:$Y$18,MATCH($C23,Apoyo2Despiece!$C$3:$C$18,0),MATCH(CONCATENATE(Escalera!I$6,Escalera!I$7),Apoyo2Despiece!$D$2:$Y$2,0)))</f>
        <v>0</v>
      </c>
      <c r="J23" s="139">
        <f>+IF(J6="GURSAM 120",IF(AND(J5=0,J4&gt;0),IF(ISEVEN(J4-J5),3*(J4-J5)+4,"NE"),IF(AND(J5&gt;0,J4&gt;0),IF(ISEVEN(J4-J5),3*(J4-J5),"NE"),0)),0)+IF(OR(J$6="",J$7=""),,INDEX(Apoyo2Despiece!$D$3:$Y$18,MATCH($C23,Apoyo2Despiece!$C$3:$C$18,0),MATCH(CONCATENATE(Escalera!J$6,Escalera!J$7),Apoyo2Despiece!$D$2:$Y$2,0)))</f>
        <v>0</v>
      </c>
      <c r="K23" s="139">
        <f>+IF(K6="GURSAM 120",IF(AND(K5=0,K4&gt;0),IF(ISEVEN(K4-K5),3*(K4-K5)+4,"NE"),IF(AND(K5&gt;0,K4&gt;0),IF(ISEVEN(K4-K5),3*(K4-K5),"NE"),0)),0)+IF(OR(K$6="",K$7=""),,INDEX(Apoyo2Despiece!$D$3:$Y$18,MATCH($C23,Apoyo2Despiece!$C$3:$C$18,0),MATCH(CONCATENATE(Escalera!K$6,Escalera!K$7),Apoyo2Despiece!$D$2:$Y$2,0)))</f>
        <v>0</v>
      </c>
      <c r="M23" s="73" t="str">
        <f t="shared" si="4"/>
        <v>AM.1400</v>
      </c>
      <c r="N23" s="309" t="str">
        <f>+IF(TES[[#This Row],[ITEM]]=C23,"ok","mal")</f>
        <v>ok</v>
      </c>
      <c r="O23" s="330">
        <f t="shared" si="2"/>
        <v>0</v>
      </c>
      <c r="P23" s="332">
        <f>IF(VLOOKUP(TES[[#This Row],[ITEM]],TbPiezas[],5,0)="NA",0,VLOOKUP(TES[[#This Row],[ITEM]],TbPiezas[],5,0))</f>
        <v>10</v>
      </c>
      <c r="Q23" s="81">
        <f>+TES[[#This Row],[TOTAL]]*TES[[#This Row],[P.U. (1)]]</f>
        <v>0</v>
      </c>
      <c r="R23" s="82">
        <f>+VLOOKUP(TES[[#This Row],[ITEM]],TbPiezas[],6,0)</f>
        <v>226.89</v>
      </c>
      <c r="S23" s="83">
        <f>+TES[[#This Row],[TOTAL]]*TES[[#This Row],[P.U. (2)]]</f>
        <v>0</v>
      </c>
      <c r="T23" s="82">
        <f>+VLOOKUP(TES[[#This Row],[ITEM]],TbPiezas[],7,0)</f>
        <v>11.3445</v>
      </c>
      <c r="U23" s="170">
        <f>+TES[[#This Row],[P.U. (3)]]*TES[[#This Row],[TOTAL]]</f>
        <v>0</v>
      </c>
    </row>
    <row r="24" spans="1:21" x14ac:dyDescent="0.3">
      <c r="A24" s="514"/>
      <c r="B24" s="135"/>
      <c r="C24" s="76" t="s">
        <v>31</v>
      </c>
      <c r="D24" s="76" t="s">
        <v>32</v>
      </c>
      <c r="F24" s="139">
        <f>+IF(OR(F$6="EUROPEA",F$6="GURSAM 120"),IF(AND(F5=0,F4&gt;0),IF(ISEVEN(F4-F5),(F4-F5)+2,"NE"),IF(AND(F5&gt;0,F4&gt;0),IF(ISEVEN(F4-F5),(F4-F5),"NE"),0)),0)+IF(OR(F6="",F7="",F5&gt;0,F6="GURSAM 120"),0,INDEX(Apoyo2Despiece!$D$3:$Y$18,MATCH($C24,Apoyo2Despiece!$C$3:$C$18,0),MATCH(CONCATENATE(Escalera!F$6,Escalera!F$7),Apoyo2Despiece!$D$2:$Y$2,0)))+IF(OR(F6="",F7="",F5&gt;0,F6="GURSAM 60",F6="EUROPEA",F6="FERMIN",F6="ALUMINIO"),0,INDEX(Apoyo2Despiece!$D$3:$AG$18,MATCH($C24,Apoyo2Despiece!$C$3:$C$18,0),MATCH(CONCATENATE(F$6,F$7,F$9),Apoyo2Despiece!$D$2:$AG$2,0)))</f>
        <v>0</v>
      </c>
      <c r="G24" s="139">
        <f>+IF(OR(G$6="EUROPEA",G$6="GURSAM 120"),IF(AND(G5=0,G4&gt;0),IF(ISEVEN(G4-G5),(G4-G5)+2,"NE"),IF(AND(G5&gt;0,G4&gt;0),IF(ISEVEN(G4-G5),(G4-G5),"NE"),0)),0)+IF(OR(G6="",G7="",G5&gt;0,G6="GURSAM 120"),0,INDEX(Apoyo2Despiece!$D$3:$Y$18,MATCH($C24,Apoyo2Despiece!$C$3:$C$18,0),MATCH(CONCATENATE(Escalera!G$6,Escalera!G$7),Apoyo2Despiece!$D$2:$Y$2,0)))+IF(OR(G6="",G7="",G5&gt;0,G6="GURSAM 60",G6="EUROPEA",G6="FERMIN",G6="ALUMINIO"),0,INDEX(Apoyo2Despiece!$D$3:$AG$18,MATCH($C24,Apoyo2Despiece!$C$3:$C$18,0),MATCH(CONCATENATE(G$6,G$7,G$9),Apoyo2Despiece!$D$2:$AG$2,0)))</f>
        <v>0</v>
      </c>
      <c r="H24" s="139">
        <f>+IF(OR(H$6="EUROPEA",H$6="GURSAM 120"),IF(AND(H5=0,H4&gt;0),IF(ISEVEN(H4-H5),(H4-H5)+2,"NE"),IF(AND(H5&gt;0,H4&gt;0),IF(ISEVEN(H4-H5),(H4-H5),"NE"),0)),0)+IF(OR(H6="",H7="",H5&gt;0,H6="GURSAM 120"),0,INDEX(Apoyo2Despiece!$D$3:$Y$18,MATCH($C24,Apoyo2Despiece!$C$3:$C$18,0),MATCH(CONCATENATE(Escalera!H$6,Escalera!H$7),Apoyo2Despiece!$D$2:$Y$2,0)))+IF(OR(H6="",H7="",H5&gt;0,H6="GURSAM 60",H6="EUROPEA",H6="FERMIN",H6="ALUMINIO"),0,INDEX(Apoyo2Despiece!$D$3:$AG$18,MATCH($C24,Apoyo2Despiece!$C$3:$C$18,0),MATCH(CONCATENATE(H$6,H$7,H$9),Apoyo2Despiece!$D$2:$AG$2,0)))</f>
        <v>0</v>
      </c>
      <c r="I24" s="139">
        <f>+IF(OR(I$6="EUROPEA",I$6="GURSAM 120"),IF(AND(I5=0,I4&gt;0),IF(ISEVEN(I4-I5),(I4-I5)+2,"NE"),IF(AND(I5&gt;0,I4&gt;0),IF(ISEVEN(I4-I5),(I4-I5),"NE"),0)),0)+IF(OR(I6="",I7="",I5&gt;0,I6="GURSAM 120"),0,INDEX(Apoyo2Despiece!$D$3:$Y$18,MATCH($C24,Apoyo2Despiece!$C$3:$C$18,0),MATCH(CONCATENATE(Escalera!I$6,Escalera!I$7),Apoyo2Despiece!$D$2:$Y$2,0)))+IF(OR(I6="",I7="",I5&gt;0,I6="GURSAM 60",I6="EUROPEA",I6="FERMIN",I6="ALUMINIO"),0,INDEX(Apoyo2Despiece!$D$3:$AG$18,MATCH($C24,Apoyo2Despiece!$C$3:$C$18,0),MATCH(CONCATENATE(I$6,I$7,I$9),Apoyo2Despiece!$D$2:$AG$2,0)))</f>
        <v>0</v>
      </c>
      <c r="J24" s="139">
        <f>+IF(OR(J$6="EUROPEA",J$6="GURSAM 120"),IF(AND(J5=0,J4&gt;0),IF(ISEVEN(J4-J5),(J4-J5)+2,"NE"),IF(AND(J5&gt;0,J4&gt;0),IF(ISEVEN(J4-J5),(J4-J5),"NE"),0)),0)+IF(OR(J6="",J7="",J5&gt;0,J6="GURSAM 120"),0,INDEX(Apoyo2Despiece!$D$3:$Y$18,MATCH($C24,Apoyo2Despiece!$C$3:$C$18,0),MATCH(CONCATENATE(Escalera!J$6,Escalera!J$7),Apoyo2Despiece!$D$2:$Y$2,0)))+IF(OR(J6="",J7="",J5&gt;0,J6="GURSAM 60",J6="EUROPEA",J6="FERMIN",J6="ALUMINIO"),0,INDEX(Apoyo2Despiece!$D$3:$AG$18,MATCH($C24,Apoyo2Despiece!$C$3:$C$18,0),MATCH(CONCATENATE(J$6,J$7,J$9),Apoyo2Despiece!$D$2:$AG$2,0)))</f>
        <v>0</v>
      </c>
      <c r="K24" s="139">
        <f>+IF(OR(K$6="EUROPEA",K$6="GURSAM 120"),IF(AND(K5=0,K4&gt;0),IF(ISEVEN(K4-K5),(K4-K5)+2,"NE"),IF(AND(K5&gt;0,K4&gt;0),IF(ISEVEN(K4-K5),(K4-K5),"NE"),0)),0)+IF(OR(K6="",K7="",K5&gt;0,K6="GURSAM 120"),0,INDEX(Apoyo2Despiece!$D$3:$Y$18,MATCH($C24,Apoyo2Despiece!$C$3:$C$18,0),MATCH(CONCATENATE(Escalera!K$6,Escalera!K$7),Apoyo2Despiece!$D$2:$Y$2,0)))+IF(OR(K6="",K7="",K5&gt;0,K6="GURSAM 60",K6="EUROPEA",K6="FERMIN",K6="ALUMINIO"),0,INDEX(Apoyo2Despiece!$D$3:$AG$18,MATCH($C24,Apoyo2Despiece!$C$3:$C$18,0),MATCH(CONCATENATE(K$6,K$7,K$9),Apoyo2Despiece!$D$2:$AG$2,0)))</f>
        <v>0</v>
      </c>
      <c r="M24" s="73" t="str">
        <f t="shared" si="4"/>
        <v>AM.1500</v>
      </c>
      <c r="N24" s="309" t="str">
        <f>+IF(TES[[#This Row],[ITEM]]=C24,"ok","mal")</f>
        <v>ok</v>
      </c>
      <c r="O24" s="330">
        <f t="shared" si="2"/>
        <v>0</v>
      </c>
      <c r="P24" s="332">
        <f>IF(VLOOKUP(TES[[#This Row],[ITEM]],TbPiezas[],5,0)="NA",0,VLOOKUP(TES[[#This Row],[ITEM]],TbPiezas[],5,0))</f>
        <v>6.2000000000000028</v>
      </c>
      <c r="Q24" s="81">
        <f>+TES[[#This Row],[TOTAL]]*TES[[#This Row],[P.U. (1)]]</f>
        <v>0</v>
      </c>
      <c r="R24" s="82">
        <f>+VLOOKUP(TES[[#This Row],[ITEM]],TbPiezas[],6,0)</f>
        <v>225.13</v>
      </c>
      <c r="S24" s="83">
        <f>+TES[[#This Row],[TOTAL]]*TES[[#This Row],[P.U. (2)]]</f>
        <v>0</v>
      </c>
      <c r="T24" s="82">
        <f>+VLOOKUP(TES[[#This Row],[ITEM]],TbPiezas[],7,0)</f>
        <v>11.256500000000001</v>
      </c>
      <c r="U24" s="170">
        <f>+TES[[#This Row],[P.U. (3)]]*TES[[#This Row],[TOTAL]]</f>
        <v>0</v>
      </c>
    </row>
    <row r="25" spans="1:21" x14ac:dyDescent="0.3">
      <c r="A25" s="514"/>
      <c r="B25" s="135">
        <v>1572</v>
      </c>
      <c r="C25" s="76" t="s">
        <v>33</v>
      </c>
      <c r="D25" s="76" t="s">
        <v>34</v>
      </c>
      <c r="F25" s="139">
        <f>+IF(OR(F$6="FERMIN",F$6="ALUMINIO",F$6="GURSAM 60"),IF(OR(AND(F5=0,F4&gt;0),AND(F5&gt;0,F4&gt;0)),IF(ISEVEN(F4-F5),2*(F4-F5),2*(F4-F5)+2),0),IF(F6="EUROPEA",IF(AND(F5=0,F4&gt;0),IF(ISEVEN(F4-F5),3*(F4-F5)+4,"NE"),IF(AND(F5&gt;0,F4&gt;0),IF(ISEVEN(F4-F5),3*(F4-F5),"NE"),0)),0))+IF(AND(F$6="GURSAM 120",$B25=$F9),IF(AND(F$5=0,F$4&gt;0),IF(ISEVEN(F$4-F$5),4*(F$4-F$5)+2,"NE"),IF(AND(F$5&gt;0,F$4&gt;0),IF(ISEVEN(F$4-F$5),4*(F$4-F$5),"NE"),0)),0)+IF(OR(F6="",F7="",F5&gt;0,F6="GURSAM 120"),0,INDEX(Apoyo2Despiece!$D$3:$AG$18,MATCH($C25,Apoyo2Despiece!$C$3:$C$18,0),MATCH(CONCATENATE(Escalera!F$6,Escalera!F$7),Apoyo2Despiece!$D$2:$AG$2,0)))+IF(OR(F6="",F7="",F5&gt;0,F6="GURSAM 60",F6="EUROPEA",F6="FERMIN",F6="ALUMINIO"),0,INDEX(Apoyo2Despiece!$D$3:$AG$18,MATCH($C25,Apoyo2Despiece!$C$3:$C$18,0),MATCH(CONCATENATE(F$6,F$7,F$9),Apoyo2Despiece!$D$2:$AG$2,0)))</f>
        <v>4</v>
      </c>
      <c r="G25" s="139">
        <f>+IF(OR(G$6="FERMIN",G$6="ALUMINIO",G$6="GURSAM 60"),IF(OR(AND(G5=0,G4&gt;0),AND(G5&gt;0,G4&gt;0)),IF(ISEVEN(G4-G5),2*(G4-G5),2*(G4-G5)+2),0),IF(G6="EUROPEA",IF(AND(G5=0,G4&gt;0),IF(ISEVEN(G4-G5),3*(G4-G5)+4,"NE"),IF(AND(G5&gt;0,G4&gt;0),IF(ISEVEN(G4-G5),3*(G4-G5),"NE"),0)),0))+IF(AND(G$6="GURSAM 120",$B25=$F9),IF(AND(G$5=0,G$4&gt;0),IF(ISEVEN(G$4-G$5),4*(G$4-G$5)+2,"NE"),IF(AND(G$5&gt;0,G$4&gt;0),IF(ISEVEN(G$4-G$5),4*(G$4-G$5),"NE"),0)),0)+IF(OR(G6="",G7="",G5&gt;0,G6="GURSAM 120"),0,INDEX(Apoyo2Despiece!$D$3:$AG$18,MATCH($C25,Apoyo2Despiece!$C$3:$C$18,0),MATCH(CONCATENATE(Escalera!G$6,Escalera!G$7),Apoyo2Despiece!$D$2:$AG$2,0)))+IF(OR(G6="",G7="",G5&gt;0,G6="GURSAM 60",G6="EUROPEA",G6="FERMIN",G6="ALUMINIO"),0,INDEX(Apoyo2Despiece!$D$3:$AG$18,MATCH($C25,Apoyo2Despiece!$C$3:$C$18,0),MATCH(CONCATENATE(G$6,G$7,G$9),Apoyo2Despiece!$D$2:$AG$2,0)))</f>
        <v>0</v>
      </c>
      <c r="H25" s="139">
        <f>+IF(OR(H$6="FERMIN",H$6="ALUMINIO",H$6="GURSAM 60"),IF(OR(AND(H5=0,H4&gt;0),AND(H5&gt;0,H4&gt;0)),IF(ISEVEN(H4-H5),2*(H4-H5),2*(H4-H5)+2),0),IF(H6="EUROPEA",IF(AND(H5=0,H4&gt;0),IF(ISEVEN(H4-H5),3*(H4-H5)+4,"NE"),IF(AND(H5&gt;0,H4&gt;0),IF(ISEVEN(H4-H5),3*(H4-H5),"NE"),0)),0))+IF(AND(H$6="GURSAM 120",$B25=$F9),IF(AND(H$5=0,H$4&gt;0),IF(ISEVEN(H$4-H$5),4*(H$4-H$5)+2,"NE"),IF(AND(H$5&gt;0,H$4&gt;0),IF(ISEVEN(H$4-H$5),4*(H$4-H$5),"NE"),0)),0)+IF(OR(H6="",H7="",H5&gt;0,H6="GURSAM 120"),0,INDEX(Apoyo2Despiece!$D$3:$AG$18,MATCH($C25,Apoyo2Despiece!$C$3:$C$18,0),MATCH(CONCATENATE(Escalera!H$6,Escalera!H$7),Apoyo2Despiece!$D$2:$AG$2,0)))+IF(OR(H6="",H7="",H5&gt;0,H6="GURSAM 60",H6="EUROPEA",H6="FERMIN",H6="ALUMINIO"),0,INDEX(Apoyo2Despiece!$D$3:$AG$18,MATCH($C25,Apoyo2Despiece!$C$3:$C$18,0),MATCH(CONCATENATE(H$6,H$7,H$9),Apoyo2Despiece!$D$2:$AG$2,0)))</f>
        <v>0</v>
      </c>
      <c r="I25" s="139">
        <f>+IF(OR(I$6="FERMIN",I$6="ALUMINIO",I$6="GURSAM 60"),IF(OR(AND(I5=0,I4&gt;0),AND(I5&gt;0,I4&gt;0)),IF(ISEVEN(I4-I5),2*(I4-I5),2*(I4-I5)+2),0),IF(I6="EUROPEA",IF(AND(I5=0,I4&gt;0),IF(ISEVEN(I4-I5),3*(I4-I5)+4,"NE"),IF(AND(I5&gt;0,I4&gt;0),IF(ISEVEN(I4-I5),3*(I4-I5),"NE"),0)),0))+IF(AND(I$6="GURSAM 120",$B25=$F9),IF(AND(I$5=0,I$4&gt;0),IF(ISEVEN(I$4-I$5),4*(I$4-I$5)+2,"NE"),IF(AND(I$5&gt;0,I$4&gt;0),IF(ISEVEN(I$4-I$5),4*(I$4-I$5),"NE"),0)),0)+IF(OR(I6="",I7="",I5&gt;0,I6="GURSAM 120"),0,INDEX(Apoyo2Despiece!$D$3:$AG$18,MATCH($C25,Apoyo2Despiece!$C$3:$C$18,0),MATCH(CONCATENATE(Escalera!I$6,Escalera!I$7),Apoyo2Despiece!$D$2:$AG$2,0)))+IF(OR(I6="",I7="",I5&gt;0,I6="GURSAM 60",I6="EUROPEA",I6="FERMIN",I6="ALUMINIO"),0,INDEX(Apoyo2Despiece!$D$3:$AG$18,MATCH($C25,Apoyo2Despiece!$C$3:$C$18,0),MATCH(CONCATENATE(I$6,I$7,I$9),Apoyo2Despiece!$D$2:$AG$2,0)))</f>
        <v>0</v>
      </c>
      <c r="J25" s="139">
        <f>+IF(OR(J$6="FERMIN",J$6="ALUMINIO",J$6="GURSAM 60"),IF(OR(AND(J5=0,J4&gt;0),AND(J5&gt;0,J4&gt;0)),IF(ISEVEN(J4-J5),2*(J4-J5),2*(J4-J5)+2),0),IF(J6="EUROPEA",IF(AND(J5=0,J4&gt;0),IF(ISEVEN(J4-J5),3*(J4-J5)+4,"NE"),IF(AND(J5&gt;0,J4&gt;0),IF(ISEVEN(J4-J5),3*(J4-J5),"NE"),0)),0))+IF(AND(J$6="GURSAM 120",$B25=$F9),IF(AND(J$5=0,J$4&gt;0),IF(ISEVEN(J$4-J$5),4*(J$4-J$5)+2,"NE"),IF(AND(J$5&gt;0,J$4&gt;0),IF(ISEVEN(J$4-J$5),4*(J$4-J$5),"NE"),0)),0)+IF(OR(J6="",J7="",J5&gt;0,J6="GURSAM 120"),0,INDEX(Apoyo2Despiece!$D$3:$AG$18,MATCH($C25,Apoyo2Despiece!$C$3:$C$18,0),MATCH(CONCATENATE(Escalera!J$6,Escalera!J$7),Apoyo2Despiece!$D$2:$AG$2,0)))+IF(OR(J6="",J7="",J5&gt;0,J6="GURSAM 60",J6="EUROPEA",J6="FERMIN",J6="ALUMINIO"),0,INDEX(Apoyo2Despiece!$D$3:$AG$18,MATCH($C25,Apoyo2Despiece!$C$3:$C$18,0),MATCH(CONCATENATE(J$6,J$7,J$9),Apoyo2Despiece!$D$2:$AG$2,0)))</f>
        <v>0</v>
      </c>
      <c r="K25" s="139">
        <f>+IF(OR(K$6="FERMIN",K$6="ALUMINIO",K$6="GURSAM 60"),IF(OR(AND(K5=0,K4&gt;0),AND(K5&gt;0,K4&gt;0)),IF(ISEVEN(K4-K5),2*(K4-K5),2*(K4-K5)+2),0),IF(K6="EUROPEA",IF(AND(K5=0,K4&gt;0),IF(ISEVEN(K4-K5),3*(K4-K5)+4,"NE"),IF(AND(K5&gt;0,K4&gt;0),IF(ISEVEN(K4-K5),3*(K4-K5),"NE"),0)),0))+IF(AND(K$6="GURSAM 120",$B25=$F9),IF(AND(K$5=0,K$4&gt;0),IF(ISEVEN(K$4-K$5),4*(K$4-K$5)+2,"NE"),IF(AND(K$5&gt;0,K$4&gt;0),IF(ISEVEN(K$4-K$5),4*(K$4-K$5),"NE"),0)),0)+IF(OR(K6="",K7="",K5&gt;0,K6="GURSAM 120"),0,INDEX(Apoyo2Despiece!$D$3:$AG$18,MATCH($C25,Apoyo2Despiece!$C$3:$C$18,0),MATCH(CONCATENATE(Escalera!K$6,Escalera!K$7),Apoyo2Despiece!$D$2:$AG$2,0)))+IF(OR(K6="",K7="",K5&gt;0,K6="GURSAM 60",K6="EUROPEA",K6="FERMIN",K6="ALUMINIO"),0,INDEX(Apoyo2Despiece!$D$3:$AG$18,MATCH($C25,Apoyo2Despiece!$C$3:$C$18,0),MATCH(CONCATENATE(K$6,K$7,K$9),Apoyo2Despiece!$D$2:$AG$2,0)))</f>
        <v>0</v>
      </c>
      <c r="M25" s="73" t="str">
        <f t="shared" si="4"/>
        <v>AM.1600</v>
      </c>
      <c r="N25" s="309" t="str">
        <f>+IF(TES[[#This Row],[ITEM]]=C25,"ok","mal")</f>
        <v>ok</v>
      </c>
      <c r="O25" s="330">
        <f t="shared" si="2"/>
        <v>4</v>
      </c>
      <c r="P25" s="332">
        <f>IF(VLOOKUP(TES[[#This Row],[ITEM]],TbPiezas[],5,0)="NA",0,VLOOKUP(TES[[#This Row],[ITEM]],TbPiezas[],5,0))</f>
        <v>4.0999999999999943</v>
      </c>
      <c r="Q25" s="81">
        <f>+TES[[#This Row],[TOTAL]]*TES[[#This Row],[P.U. (1)]]</f>
        <v>16.399999999999977</v>
      </c>
      <c r="R25" s="82">
        <f>+VLOOKUP(TES[[#This Row],[ITEM]],TbPiezas[],6,0)</f>
        <v>204.03</v>
      </c>
      <c r="S25" s="83">
        <f>+TES[[#This Row],[TOTAL]]*TES[[#This Row],[P.U. (2)]]</f>
        <v>816.12</v>
      </c>
      <c r="T25" s="82">
        <f>+VLOOKUP(TES[[#This Row],[ITEM]],TbPiezas[],7,0)</f>
        <v>10.201500000000001</v>
      </c>
      <c r="U25" s="170">
        <f>+TES[[#This Row],[P.U. (3)]]*TES[[#This Row],[TOTAL]]</f>
        <v>40.806000000000004</v>
      </c>
    </row>
    <row r="26" spans="1:21" x14ac:dyDescent="0.3">
      <c r="A26" s="514"/>
      <c r="B26" s="135">
        <v>1090</v>
      </c>
      <c r="C26" s="76" t="s">
        <v>37</v>
      </c>
      <c r="D26" s="76" t="s">
        <v>38</v>
      </c>
      <c r="F26" s="139">
        <f>+IF(AND(F$6="GURSAM 120",$B26=$F9),IF(AND(F$5=0,F$4&gt;0),IF(ISEVEN(F$4-F$5),4*(F$4-F$5)+2,"NE"),IF(AND(F$5&gt;0,F$4&gt;0),IF(ISEVEN(F$4-F$5),4*(F$4-F$5),"NE"),0)),0)+IF(OR(F6="",F7="",F5&gt;0,F6="GURSAM 120"),0,INDEX(Apoyo2Despiece!$D$3:$Y$18,MATCH($C26,Apoyo2Despiece!$C$3:$C$18,0),MATCH(CONCATENATE(Escalera!F$6,Escalera!F$7),Apoyo2Despiece!$D$2:$Y$2,0)))+IF(OR(F6="",F7="",F5&gt;0,F6="GURSAM 60",F6="EUROPEA",F6="FERMIN",F6="ALUMINIO"),0,INDEX(Apoyo2Despiece!$D$3:$AG$18,MATCH($C26,Apoyo2Despiece!$C$3:$C$18,0),MATCH(CONCATENATE(F$6,F$7,F$9),Apoyo2Despiece!$D$2:$AG$2,0)))</f>
        <v>1</v>
      </c>
      <c r="G26" s="139">
        <f>+IF(AND(G$6="GURSAM 120",$B26=$F9),IF(AND(G$5=0,G$4&gt;0),IF(ISEVEN(G$4-G$5),4*(G$4-G$5)+2,"NE"),IF(AND(G$5&gt;0,G$4&gt;0),IF(ISEVEN(G$4-G$5),4*(G$4-G$5),"NE"),0)),0)+IF(OR(G6="",G7="",G5&gt;0,G6="GURSAM 120"),0,INDEX(Apoyo2Despiece!$D$3:$Y$18,MATCH($C26,Apoyo2Despiece!$C$3:$C$18,0),MATCH(CONCATENATE(Escalera!G$6,Escalera!G$7),Apoyo2Despiece!$D$2:$Y$2,0)))+IF(OR(G6="",G7="",G5&gt;0,G6="GURSAM 60",G6="EUROPEA",G6="FERMIN",G6="ALUMINIO"),0,INDEX(Apoyo2Despiece!$D$3:$AG$18,MATCH($C26,Apoyo2Despiece!$C$3:$C$18,0),MATCH(CONCATENATE(G$6,G$7,G$9),Apoyo2Despiece!$D$2:$AG$2,0)))</f>
        <v>0</v>
      </c>
      <c r="H26" s="139">
        <f>+IF(AND(H$6="GURSAM 120",$B26=$F9),IF(AND(H$5=0,H$4&gt;0),IF(ISEVEN(H$4-H$5),4*(H$4-H$5)+2,"NE"),IF(AND(H$5&gt;0,H$4&gt;0),IF(ISEVEN(H$4-H$5),4*(H$4-H$5),"NE"),0)),0)+IF(OR(H6="",H7="",H5&gt;0,H6="GURSAM 120"),0,INDEX(Apoyo2Despiece!$D$3:$Y$18,MATCH($C26,Apoyo2Despiece!$C$3:$C$18,0),MATCH(CONCATENATE(Escalera!H$6,Escalera!H$7),Apoyo2Despiece!$D$2:$Y$2,0)))+IF(OR(H6="",H7="",H5&gt;0,H6="GURSAM 60",H6="EUROPEA",H6="FERMIN",H6="ALUMINIO"),0,INDEX(Apoyo2Despiece!$D$3:$AG$18,MATCH($C26,Apoyo2Despiece!$C$3:$C$18,0),MATCH(CONCATENATE(H$6,H$7,H$9),Apoyo2Despiece!$D$2:$AG$2,0)))</f>
        <v>0</v>
      </c>
      <c r="I26" s="139">
        <f>+IF(AND(I$6="GURSAM 120",$B26=$F9),IF(AND(I$5=0,I$4&gt;0),IF(ISEVEN(I$4-I$5),4*(I$4-I$5)+2,"NE"),IF(AND(I$5&gt;0,I$4&gt;0),IF(ISEVEN(I$4-I$5),4*(I$4-I$5),"NE"),0)),0)+IF(OR(I6="",I7="",I5&gt;0,I6="GURSAM 120"),0,INDEX(Apoyo2Despiece!$D$3:$Y$18,MATCH($C26,Apoyo2Despiece!$C$3:$C$18,0),MATCH(CONCATENATE(Escalera!I$6,Escalera!I$7),Apoyo2Despiece!$D$2:$Y$2,0)))+IF(OR(I6="",I7="",I5&gt;0,I6="GURSAM 60",I6="EUROPEA",I6="FERMIN",I6="ALUMINIO"),0,INDEX(Apoyo2Despiece!$D$3:$AG$18,MATCH($C26,Apoyo2Despiece!$C$3:$C$18,0),MATCH(CONCATENATE(I$6,I$7,I$9),Apoyo2Despiece!$D$2:$AG$2,0)))</f>
        <v>0</v>
      </c>
      <c r="J26" s="139">
        <f>+IF(AND(J$6="GURSAM 120",$B26=$F9),IF(AND(J$5=0,J$4&gt;0),IF(ISEVEN(J$4-J$5),4*(J$4-J$5)+2,"NE"),IF(AND(J$5&gt;0,J$4&gt;0),IF(ISEVEN(J$4-J$5),4*(J$4-J$5),"NE"),0)),0)+IF(OR(J6="",J7="",J5&gt;0,J6="GURSAM 120"),0,INDEX(Apoyo2Despiece!$D$3:$Y$18,MATCH($C26,Apoyo2Despiece!$C$3:$C$18,0),MATCH(CONCATENATE(Escalera!J$6,Escalera!J$7),Apoyo2Despiece!$D$2:$Y$2,0)))+IF(OR(J6="",J7="",J5&gt;0,J6="GURSAM 60",J6="EUROPEA",J6="FERMIN",J6="ALUMINIO"),0,INDEX(Apoyo2Despiece!$D$3:$AG$18,MATCH($C26,Apoyo2Despiece!$C$3:$C$18,0),MATCH(CONCATENATE(J$6,J$7,J$9),Apoyo2Despiece!$D$2:$AG$2,0)))</f>
        <v>0</v>
      </c>
      <c r="K26" s="139">
        <f>+IF(AND(K$6="GURSAM 120",$B26=$F9),IF(AND(K$5=0,K$4&gt;0),IF(ISEVEN(K$4-K$5),4*(K$4-K$5)+2,"NE"),IF(AND(K$5&gt;0,K$4&gt;0),IF(ISEVEN(K$4-K$5),4*(K$4-K$5),"NE"),0)),0)+IF(OR(K6="",K7="",K5&gt;0,K6="GURSAM 120"),0,INDEX(Apoyo2Despiece!$D$3:$Y$18,MATCH($C26,Apoyo2Despiece!$C$3:$C$18,0),MATCH(CONCATENATE(Escalera!K$6,Escalera!K$7),Apoyo2Despiece!$D$2:$Y$2,0)))+IF(OR(K6="",K7="",K5&gt;0,K6="GURSAM 60",K6="EUROPEA",K6="FERMIN",K6="ALUMINIO"),0,INDEX(Apoyo2Despiece!$D$3:$AG$18,MATCH($C26,Apoyo2Despiece!$C$3:$C$18,0),MATCH(CONCATENATE(K$6,K$7,K$9),Apoyo2Despiece!$D$2:$AG$2,0)))</f>
        <v>0</v>
      </c>
      <c r="M26" s="73" t="str">
        <f t="shared" si="4"/>
        <v>AM.1800</v>
      </c>
      <c r="N26" s="309" t="str">
        <f>+IF(TES[[#This Row],[ITEM]]=C26,"ok","mal")</f>
        <v>ok</v>
      </c>
      <c r="O26" s="330">
        <f t="shared" si="2"/>
        <v>1</v>
      </c>
      <c r="P26" s="332">
        <f>IF(VLOOKUP(TES[[#This Row],[ITEM]],TbPiezas[],5,0)="NA",0,VLOOKUP(TES[[#This Row],[ITEM]],TbPiezas[],5,0))</f>
        <v>2.3999999999999915</v>
      </c>
      <c r="Q26" s="81">
        <f>+TES[[#This Row],[TOTAL]]*TES[[#This Row],[P.U. (1)]]</f>
        <v>2.3999999999999915</v>
      </c>
      <c r="R26" s="82">
        <f>+VLOOKUP(TES[[#This Row],[ITEM]],TbPiezas[],6,0)</f>
        <v>158.74</v>
      </c>
      <c r="S26" s="83">
        <f>+TES[[#This Row],[TOTAL]]*TES[[#This Row],[P.U. (2)]]</f>
        <v>158.74</v>
      </c>
      <c r="T26" s="82">
        <f>+VLOOKUP(TES[[#This Row],[ITEM]],TbPiezas[],7,0)</f>
        <v>7.9370000000000012</v>
      </c>
      <c r="U26" s="170">
        <f>+TES[[#This Row],[P.U. (3)]]*TES[[#This Row],[TOTAL]]</f>
        <v>7.9370000000000012</v>
      </c>
    </row>
    <row r="27" spans="1:21" x14ac:dyDescent="0.3">
      <c r="A27" s="514"/>
      <c r="B27" s="135"/>
      <c r="C27" s="76" t="s">
        <v>39</v>
      </c>
      <c r="D27" s="76" t="s">
        <v>40</v>
      </c>
      <c r="F27" s="360">
        <v>0</v>
      </c>
      <c r="G27" s="360">
        <v>0</v>
      </c>
      <c r="H27" s="360">
        <v>0</v>
      </c>
      <c r="I27" s="360">
        <v>0</v>
      </c>
      <c r="J27" s="360">
        <v>0</v>
      </c>
      <c r="K27" s="360">
        <v>0</v>
      </c>
      <c r="M27" s="73" t="str">
        <f t="shared" si="4"/>
        <v>AM.1900</v>
      </c>
      <c r="N27" s="309" t="str">
        <f>+IF(TES[[#This Row],[ITEM]]=C27,"ok","mal")</f>
        <v>ok</v>
      </c>
      <c r="O27" s="330">
        <f t="shared" si="2"/>
        <v>0</v>
      </c>
      <c r="P27" s="332">
        <f>IF(VLOOKUP(TES[[#This Row],[ITEM]],TbPiezas[],5,0)="NA",0,VLOOKUP(TES[[#This Row],[ITEM]],TbPiezas[],5,0))</f>
        <v>4.5999999999999943</v>
      </c>
      <c r="Q27" s="81">
        <f>+TES[[#This Row],[TOTAL]]*TES[[#This Row],[P.U. (1)]]</f>
        <v>0</v>
      </c>
      <c r="R27" s="82">
        <f>+VLOOKUP(TES[[#This Row],[ITEM]],TbPiezas[],6,0)</f>
        <v>158.74</v>
      </c>
      <c r="S27" s="83">
        <f>+TES[[#This Row],[TOTAL]]*TES[[#This Row],[P.U. (2)]]</f>
        <v>0</v>
      </c>
      <c r="T27" s="82">
        <f>+VLOOKUP(TES[[#This Row],[ITEM]],TbPiezas[],7,0)</f>
        <v>7.9370000000000012</v>
      </c>
      <c r="U27" s="170">
        <f>+TES[[#This Row],[P.U. (3)]]*TES[[#This Row],[TOTAL]]</f>
        <v>0</v>
      </c>
    </row>
    <row r="28" spans="1:21" x14ac:dyDescent="0.3">
      <c r="A28" s="517"/>
      <c r="B28" s="135">
        <v>732</v>
      </c>
      <c r="C28" s="76" t="s">
        <v>41</v>
      </c>
      <c r="D28" s="76" t="s">
        <v>42</v>
      </c>
      <c r="F28" s="139">
        <f>+IF(F$6="EUROPEA",IF(AND(F$5=0,F$4&gt;0),IF(ISEVEN(F$4-F$5),4*(F$4-F$5)+2,"NE"),IF(AND(F$5&gt;0,F$4&gt;0),IF(ISEVEN(F$4-F$5),4*(F$4-F$5),"NE"),0)),0)+IF(AND(F$6="GURSAM 120",$B28=$F9),IF(AND(F$5=0,F$4&gt;0),IF(ISEVEN(F$4-F$5),4*(F$4-F$5)+2,"NE"),IF(AND(F$5&gt;0,F$4&gt;0),IF(ISEVEN(F$4-F$5),4*(F$4-F$5),"NE"),0)),0)+IF(OR(F6="",F7="",F5&gt;0,F6="GURSAM 120"),0,INDEX(Apoyo2Despiece!$D$3:$AG$18,MATCH($C28,Apoyo2Despiece!$C$3:$C$18,0),MATCH(CONCATENATE(Escalera!F$6,Escalera!F$7),Apoyo2Despiece!$D$2:$AG$2,0)))+IF(OR(F6="",F7="",F5&gt;0,F6="GURSAM 60",F6="EUROPEA",F6="FERMIN",F6="ALUMINIO"),0,INDEX(Apoyo2Despiece!$D$3:$AG$18,MATCH($C28,Apoyo2Despiece!$C$3:$C$18,0),MATCH(CONCATENATE(F$6,F$7,F$9),Apoyo2Despiece!$D$2:$AG$2,0)))</f>
        <v>2</v>
      </c>
      <c r="G28" s="139">
        <f>+IF(G$6="EUROPEA",IF(AND(G$5=0,G$4&gt;0),IF(ISEVEN(G$4-G$5),4*(G$4-G$5)+2,"NE"),IF(AND(G$5&gt;0,G$4&gt;0),IF(ISEVEN(G$4-G$5),4*(G$4-G$5),"NE"),0)),0)+IF(AND(G$6="GURSAM 120",$B28=$F9),IF(AND(G$5=0,G$4&gt;0),IF(ISEVEN(G$4-G$5),4*(G$4-G$5)+2,"NE"),IF(AND(G$5&gt;0,G$4&gt;0),IF(ISEVEN(G$4-G$5),4*(G$4-G$5),"NE"),0)),0)+IF(OR(G6="",G7="",G5&gt;0,G6="GURSAM 120"),0,INDEX(Apoyo2Despiece!$D$3:$AG$18,MATCH($C28,Apoyo2Despiece!$C$3:$C$18,0),MATCH(CONCATENATE(Escalera!G$6,Escalera!G$7),Apoyo2Despiece!$D$2:$AG$2,0)))+IF(OR(G6="",G7="",G5&gt;0,G6="GURSAM 60",G6="EUROPEA",G6="FERMIN",G6="ALUMINIO"),0,INDEX(Apoyo2Despiece!$D$3:$AG$18,MATCH($C28,Apoyo2Despiece!$C$3:$C$18,0),MATCH(CONCATENATE(G$6,G$7,G$9),Apoyo2Despiece!$D$2:$AG$2,0)))</f>
        <v>0</v>
      </c>
      <c r="H28" s="139">
        <f>+IF(H$6="EUROPEA",IF(AND(H$5=0,H$4&gt;0),IF(ISEVEN(H$4-H$5),4*(H$4-H$5)+2,"NE"),IF(AND(H$5&gt;0,H$4&gt;0),IF(ISEVEN(H$4-H$5),4*(H$4-H$5),"NE"),0)),0)+IF(AND(H$6="GURSAM 120",$B28=$F9),IF(AND(H$5=0,H$4&gt;0),IF(ISEVEN(H$4-H$5),4*(H$4-H$5)+2,"NE"),IF(AND(H$5&gt;0,H$4&gt;0),IF(ISEVEN(H$4-H$5),4*(H$4-H$5),"NE"),0)),0)+IF(OR(H6="",H7="",H5&gt;0,H6="GURSAM 120"),0,INDEX(Apoyo2Despiece!$D$3:$AG$18,MATCH($C28,Apoyo2Despiece!$C$3:$C$18,0),MATCH(CONCATENATE(Escalera!H$6,Escalera!H$7),Apoyo2Despiece!$D$2:$AG$2,0)))+IF(OR(H6="",H7="",H5&gt;0,H6="GURSAM 60",H6="EUROPEA",H6="FERMIN",H6="ALUMINIO"),0,INDEX(Apoyo2Despiece!$D$3:$AG$18,MATCH($C28,Apoyo2Despiece!$C$3:$C$18,0),MATCH(CONCATENATE(H$6,H$7,H$9),Apoyo2Despiece!$D$2:$AG$2,0)))</f>
        <v>0</v>
      </c>
      <c r="I28" s="139">
        <f>+IF(I$6="EUROPEA",IF(AND(I$5=0,I$4&gt;0),IF(ISEVEN(I$4-I$5),4*(I$4-I$5)+2,"NE"),IF(AND(I$5&gt;0,I$4&gt;0),IF(ISEVEN(I$4-I$5),4*(I$4-I$5),"NE"),0)),0)+IF(AND(I$6="GURSAM 120",$B28=$F9),IF(AND(I$5=0,I$4&gt;0),IF(ISEVEN(I$4-I$5),4*(I$4-I$5)+2,"NE"),IF(AND(I$5&gt;0,I$4&gt;0),IF(ISEVEN(I$4-I$5),4*(I$4-I$5),"NE"),0)),0)+IF(OR(I6="",I7="",I5&gt;0,I6="GURSAM 120"),0,INDEX(Apoyo2Despiece!$D$3:$AG$18,MATCH($C28,Apoyo2Despiece!$C$3:$C$18,0),MATCH(CONCATENATE(Escalera!I$6,Escalera!I$7),Apoyo2Despiece!$D$2:$AG$2,0)))+IF(OR(I6="",I7="",I5&gt;0,I6="GURSAM 60",I6="EUROPEA",I6="FERMIN",I6="ALUMINIO"),0,INDEX(Apoyo2Despiece!$D$3:$AG$18,MATCH($C28,Apoyo2Despiece!$C$3:$C$18,0),MATCH(CONCATENATE(I$6,I$7,I$9),Apoyo2Despiece!$D$2:$AG$2,0)))</f>
        <v>0</v>
      </c>
      <c r="J28" s="139">
        <f>+IF(J$6="EUROPEA",IF(AND(J$5=0,J$4&gt;0),IF(ISEVEN(J$4-J$5),4*(J$4-J$5)+2,"NE"),IF(AND(J$5&gt;0,J$4&gt;0),IF(ISEVEN(J$4-J$5),4*(J$4-J$5),"NE"),0)),0)+IF(AND(J$6="GURSAM 120",$B28=$F9),IF(AND(J$5=0,J$4&gt;0),IF(ISEVEN(J$4-J$5),4*(J$4-J$5)+2,"NE"),IF(AND(J$5&gt;0,J$4&gt;0),IF(ISEVEN(J$4-J$5),4*(J$4-J$5),"NE"),0)),0)+IF(OR(J6="",J7="",J5&gt;0,J6="GURSAM 120"),0,INDEX(Apoyo2Despiece!$D$3:$AG$18,MATCH($C28,Apoyo2Despiece!$C$3:$C$18,0),MATCH(CONCATENATE(Escalera!J$6,Escalera!J$7),Apoyo2Despiece!$D$2:$AG$2,0)))+IF(OR(J6="",J7="",J5&gt;0,J6="GURSAM 60",J6="EUROPEA",J6="FERMIN",J6="ALUMINIO"),0,INDEX(Apoyo2Despiece!$D$3:$AG$18,MATCH($C28,Apoyo2Despiece!$C$3:$C$18,0),MATCH(CONCATENATE(J$6,J$7,J$9),Apoyo2Despiece!$D$2:$AG$2,0)))</f>
        <v>0</v>
      </c>
      <c r="K28" s="139">
        <f>+IF(K$6="EUROPEA",IF(AND(K$5=0,K$4&gt;0),IF(ISEVEN(K$4-K$5),4*(K$4-K$5)+2,"NE"),IF(AND(K$5&gt;0,K$4&gt;0),IF(ISEVEN(K$4-K$5),4*(K$4-K$5),"NE"),0)),0)+IF(AND(K$6="GURSAM 120",$B28=$F9),IF(AND(K$5=0,K$4&gt;0),IF(ISEVEN(K$4-K$5),4*(K$4-K$5)+2,"NE"),IF(AND(K$5&gt;0,K$4&gt;0),IF(ISEVEN(K$4-K$5),4*(K$4-K$5),"NE"),0)),0)+IF(OR(K6="",K7="",K5&gt;0,K6="GURSAM 120"),0,INDEX(Apoyo2Despiece!$D$3:$AG$18,MATCH($C28,Apoyo2Despiece!$C$3:$C$18,0),MATCH(CONCATENATE(Escalera!K$6,Escalera!K$7),Apoyo2Despiece!$D$2:$AG$2,0)))+IF(OR(K6="",K7="",K5&gt;0,K6="GURSAM 60",K6="EUROPEA",K6="FERMIN",K6="ALUMINIO"),0,INDEX(Apoyo2Despiece!$D$3:$AG$18,MATCH($C28,Apoyo2Despiece!$C$3:$C$18,0),MATCH(CONCATENATE(K$6,K$7,K$9),Apoyo2Despiece!$D$2:$AG$2,0)))</f>
        <v>0</v>
      </c>
      <c r="M28" s="73" t="str">
        <f t="shared" si="4"/>
        <v>AM.2000</v>
      </c>
      <c r="N28" s="309" t="str">
        <f>+IF(TES[[#This Row],[ITEM]]=C28,"ok","mal")</f>
        <v>ok</v>
      </c>
      <c r="O28" s="330">
        <f t="shared" si="2"/>
        <v>2</v>
      </c>
      <c r="P28" s="332">
        <f>IF(VLOOKUP(TES[[#This Row],[ITEM]],TbPiezas[],5,0)="NA",0,VLOOKUP(TES[[#This Row],[ITEM]],TbPiezas[],5,0))</f>
        <v>3.7999999999999972</v>
      </c>
      <c r="Q28" s="81">
        <f>+TES[[#This Row],[TOTAL]]*TES[[#This Row],[P.U. (1)]]</f>
        <v>7.5999999999999943</v>
      </c>
      <c r="R28" s="82">
        <f>+VLOOKUP(TES[[#This Row],[ITEM]],TbPiezas[],6,0)</f>
        <v>132.06</v>
      </c>
      <c r="S28" s="83">
        <f>+TES[[#This Row],[TOTAL]]*TES[[#This Row],[P.U. (2)]]</f>
        <v>264.12</v>
      </c>
      <c r="T28" s="82">
        <f>+VLOOKUP(TES[[#This Row],[ITEM]],TbPiezas[],7,0)</f>
        <v>6.6030000000000006</v>
      </c>
      <c r="U28" s="170">
        <f>+TES[[#This Row],[P.U. (3)]]*TES[[#This Row],[TOTAL]]</f>
        <v>13.206000000000001</v>
      </c>
    </row>
    <row r="29" spans="1:21" x14ac:dyDescent="0.3">
      <c r="A29" s="514"/>
      <c r="B29" s="135"/>
      <c r="C29" s="76" t="s">
        <v>43</v>
      </c>
      <c r="D29" s="76" t="s">
        <v>44</v>
      </c>
      <c r="F29" s="360">
        <v>0</v>
      </c>
      <c r="G29" s="360">
        <v>0</v>
      </c>
      <c r="H29" s="360">
        <v>0</v>
      </c>
      <c r="I29" s="360">
        <v>0</v>
      </c>
      <c r="J29" s="360">
        <v>0</v>
      </c>
      <c r="K29" s="360">
        <v>0</v>
      </c>
      <c r="M29" s="73" t="str">
        <f t="shared" si="4"/>
        <v>AM.2020</v>
      </c>
      <c r="N29" s="309" t="str">
        <f>+IF(TES[[#This Row],[ITEM]]=C29,"ok","mal")</f>
        <v>ok</v>
      </c>
      <c r="O29" s="360">
        <f t="shared" si="2"/>
        <v>0</v>
      </c>
      <c r="P29" s="332">
        <f>IF(VLOOKUP(TES[[#This Row],[ITEM]],TbPiezas[],5,0)="NA",0,VLOOKUP(TES[[#This Row],[ITEM]],TbPiezas[],5,0))</f>
        <v>1.9</v>
      </c>
      <c r="Q29" s="81">
        <f>+TES[[#This Row],[TOTAL]]*TES[[#This Row],[P.U. (1)]]</f>
        <v>0</v>
      </c>
      <c r="R29" s="82">
        <f>+VLOOKUP(TES[[#This Row],[ITEM]],TbPiezas[],6,0)</f>
        <v>59.5</v>
      </c>
      <c r="S29" s="83">
        <f>+TES[[#This Row],[TOTAL]]*TES[[#This Row],[P.U. (2)]]</f>
        <v>0</v>
      </c>
      <c r="T29" s="82">
        <f>+VLOOKUP(TES[[#This Row],[ITEM]],TbPiezas[],7,0)</f>
        <v>2.9750000000000001</v>
      </c>
      <c r="U29" s="170">
        <f>+TES[[#This Row],[P.U. (3)]]*TES[[#This Row],[TOTAL]]</f>
        <v>0</v>
      </c>
    </row>
    <row r="30" spans="1:21" x14ac:dyDescent="0.3">
      <c r="A30" s="514"/>
      <c r="B30" s="135"/>
      <c r="C30" s="76" t="s">
        <v>45</v>
      </c>
      <c r="D30" s="76" t="s">
        <v>46</v>
      </c>
      <c r="F30" s="360">
        <v>0</v>
      </c>
      <c r="G30" s="360">
        <v>0</v>
      </c>
      <c r="H30" s="360">
        <v>0</v>
      </c>
      <c r="I30" s="360">
        <v>0</v>
      </c>
      <c r="J30" s="360">
        <v>0</v>
      </c>
      <c r="K30" s="360">
        <v>0</v>
      </c>
      <c r="M30" s="73" t="str">
        <f t="shared" si="4"/>
        <v>AM.2050</v>
      </c>
      <c r="N30" s="309" t="str">
        <f>+IF(TES[[#This Row],[ITEM]]=C30,"ok","mal")</f>
        <v>ok</v>
      </c>
      <c r="O30" s="360">
        <f t="shared" si="2"/>
        <v>0</v>
      </c>
      <c r="P30" s="332">
        <f>IF(VLOOKUP(TES[[#This Row],[ITEM]],TbPiezas[],5,0)="NA",0,VLOOKUP(TES[[#This Row],[ITEM]],TbPiezas[],5,0))</f>
        <v>1.9</v>
      </c>
      <c r="Q30" s="81">
        <f>+TES[[#This Row],[TOTAL]]*TES[[#This Row],[P.U. (1)]]</f>
        <v>0</v>
      </c>
      <c r="R30" s="82">
        <f>+VLOOKUP(TES[[#This Row],[ITEM]],TbPiezas[],6,0)</f>
        <v>59.5</v>
      </c>
      <c r="S30" s="83">
        <f>+TES[[#This Row],[TOTAL]]*TES[[#This Row],[P.U. (2)]]</f>
        <v>0</v>
      </c>
      <c r="T30" s="82">
        <f>+VLOOKUP(TES[[#This Row],[ITEM]],TbPiezas[],7,0)</f>
        <v>2.9750000000000001</v>
      </c>
      <c r="U30" s="170">
        <f>+TES[[#This Row],[P.U. (3)]]*TES[[#This Row],[TOTAL]]</f>
        <v>0</v>
      </c>
    </row>
    <row r="31" spans="1:21" x14ac:dyDescent="0.3">
      <c r="A31" s="514"/>
      <c r="B31" s="135"/>
      <c r="C31" s="76" t="s">
        <v>47</v>
      </c>
      <c r="D31" s="76" t="s">
        <v>48</v>
      </c>
      <c r="F31" s="360">
        <v>0</v>
      </c>
      <c r="G31" s="360">
        <v>0</v>
      </c>
      <c r="H31" s="360">
        <v>0</v>
      </c>
      <c r="I31" s="360">
        <v>0</v>
      </c>
      <c r="J31" s="360">
        <v>0</v>
      </c>
      <c r="K31" s="360">
        <v>0</v>
      </c>
      <c r="M31" s="73" t="str">
        <f t="shared" si="4"/>
        <v>AM.2100</v>
      </c>
      <c r="N31" s="309" t="str">
        <f>+IF(TES[[#This Row],[ITEM]]=C31,"ok","mal")</f>
        <v>ok</v>
      </c>
      <c r="O31" s="360">
        <f t="shared" si="2"/>
        <v>0</v>
      </c>
      <c r="P31" s="332">
        <f>IF(VLOOKUP(TES[[#This Row],[ITEM]],TbPiezas[],5,0)="NA",0,VLOOKUP(TES[[#This Row],[ITEM]],TbPiezas[],5,0))</f>
        <v>19.399999999999991</v>
      </c>
      <c r="Q31" s="81">
        <f>+TES[[#This Row],[TOTAL]]*TES[[#This Row],[P.U. (1)]]</f>
        <v>0</v>
      </c>
      <c r="R31" s="82">
        <f>+VLOOKUP(TES[[#This Row],[ITEM]],TbPiezas[],6,0)</f>
        <v>324.89</v>
      </c>
      <c r="S31" s="83">
        <f>+TES[[#This Row],[TOTAL]]*TES[[#This Row],[P.U. (2)]]</f>
        <v>0</v>
      </c>
      <c r="T31" s="82">
        <f>+VLOOKUP(TES[[#This Row],[ITEM]],TbPiezas[],7,0)</f>
        <v>16.244499999999999</v>
      </c>
      <c r="U31" s="170">
        <f>+TES[[#This Row],[P.U. (3)]]*TES[[#This Row],[TOTAL]]</f>
        <v>0</v>
      </c>
    </row>
    <row r="32" spans="1:21" x14ac:dyDescent="0.3">
      <c r="A32" s="517"/>
      <c r="B32" s="135"/>
      <c r="C32" s="76" t="s">
        <v>49</v>
      </c>
      <c r="D32" s="76" t="s">
        <v>50</v>
      </c>
      <c r="F32" s="139">
        <f t="shared" ref="F32:K32" si="7">+IF(F6="GURSAM 120",IF(AND(F5=0,F4&gt;0),IF(ISEVEN(F4-F5),0.5*(F4-F5)+1,"NE"),IF(AND(F5&gt;0,F4&gt;0),IF(ISEVEN(F4-F5),0.5*(F4-F5),"NE"),0)),0)</f>
        <v>0</v>
      </c>
      <c r="G32" s="139">
        <f t="shared" si="7"/>
        <v>0</v>
      </c>
      <c r="H32" s="139">
        <f t="shared" si="7"/>
        <v>0</v>
      </c>
      <c r="I32" s="139">
        <f t="shared" si="7"/>
        <v>0</v>
      </c>
      <c r="J32" s="139">
        <f t="shared" si="7"/>
        <v>0</v>
      </c>
      <c r="K32" s="139">
        <f t="shared" si="7"/>
        <v>0</v>
      </c>
      <c r="M32" s="73" t="str">
        <f t="shared" si="4"/>
        <v>AM.2200</v>
      </c>
      <c r="N32" s="309" t="str">
        <f>+IF(TES[[#This Row],[ITEM]]=C32,"ok","mal")</f>
        <v>ok</v>
      </c>
      <c r="O32" s="330">
        <f t="shared" si="2"/>
        <v>0</v>
      </c>
      <c r="P32" s="332">
        <f>IF(VLOOKUP(TES[[#This Row],[ITEM]],TbPiezas[],5,0)="NA",0,VLOOKUP(TES[[#This Row],[ITEM]],TbPiezas[],5,0))</f>
        <v>14.399999999999991</v>
      </c>
      <c r="Q32" s="81">
        <f>+TES[[#This Row],[TOTAL]]*TES[[#This Row],[P.U. (1)]]</f>
        <v>0</v>
      </c>
      <c r="R32" s="82">
        <f>+VLOOKUP(TES[[#This Row],[ITEM]],TbPiezas[],6,0)</f>
        <v>268.19</v>
      </c>
      <c r="S32" s="83">
        <f>+TES[[#This Row],[TOTAL]]*TES[[#This Row],[P.U. (2)]]</f>
        <v>0</v>
      </c>
      <c r="T32" s="82">
        <f>+VLOOKUP(TES[[#This Row],[ITEM]],TbPiezas[],7,0)</f>
        <v>13.409500000000001</v>
      </c>
      <c r="U32" s="170">
        <f>+TES[[#This Row],[P.U. (3)]]*TES[[#This Row],[TOTAL]]</f>
        <v>0</v>
      </c>
    </row>
    <row r="33" spans="1:21" x14ac:dyDescent="0.3">
      <c r="A33" s="514"/>
      <c r="B33" s="135"/>
      <c r="C33" s="76" t="s">
        <v>51</v>
      </c>
      <c r="D33" s="76" t="s">
        <v>52</v>
      </c>
      <c r="F33" s="360">
        <v>0</v>
      </c>
      <c r="G33" s="360">
        <v>0</v>
      </c>
      <c r="H33" s="360">
        <v>0</v>
      </c>
      <c r="I33" s="360">
        <v>0</v>
      </c>
      <c r="J33" s="360">
        <v>0</v>
      </c>
      <c r="K33" s="360">
        <v>0</v>
      </c>
      <c r="M33" s="73" t="str">
        <f t="shared" si="4"/>
        <v>AM.2250</v>
      </c>
      <c r="N33" s="309" t="str">
        <f>+IF(TES[[#This Row],[ITEM]]=C33,"ok","mal")</f>
        <v>ok</v>
      </c>
      <c r="O33" s="360">
        <f t="shared" si="2"/>
        <v>0</v>
      </c>
      <c r="P33" s="332">
        <f>IF(VLOOKUP(TES[[#This Row],[ITEM]],TbPiezas[],5,0)="NA",0,VLOOKUP(TES[[#This Row],[ITEM]],TbPiezas[],5,0))</f>
        <v>14.4</v>
      </c>
      <c r="Q33" s="81">
        <f>+TES[[#This Row],[TOTAL]]*TES[[#This Row],[P.U. (1)]]</f>
        <v>0</v>
      </c>
      <c r="R33" s="82">
        <f>+VLOOKUP(TES[[#This Row],[ITEM]],TbPiezas[],6,0)</f>
        <v>268.19</v>
      </c>
      <c r="S33" s="83">
        <f>+TES[[#This Row],[TOTAL]]*TES[[#This Row],[P.U. (2)]]</f>
        <v>0</v>
      </c>
      <c r="T33" s="82">
        <f>+VLOOKUP(TES[[#This Row],[ITEM]],TbPiezas[],7,0)</f>
        <v>13.409500000000001</v>
      </c>
      <c r="U33" s="170">
        <f>+TES[[#This Row],[P.U. (3)]]*TES[[#This Row],[TOTAL]]</f>
        <v>0</v>
      </c>
    </row>
    <row r="34" spans="1:21" x14ac:dyDescent="0.3">
      <c r="A34" s="514"/>
      <c r="B34" s="135"/>
      <c r="C34" s="76" t="s">
        <v>53</v>
      </c>
      <c r="D34" s="76" t="s">
        <v>54</v>
      </c>
      <c r="F34" s="360">
        <v>0</v>
      </c>
      <c r="G34" s="360">
        <v>0</v>
      </c>
      <c r="H34" s="360">
        <v>0</v>
      </c>
      <c r="I34" s="360">
        <v>0</v>
      </c>
      <c r="J34" s="360">
        <v>0</v>
      </c>
      <c r="K34" s="360">
        <v>0</v>
      </c>
      <c r="M34" s="73" t="str">
        <f t="shared" si="4"/>
        <v>AM.2300</v>
      </c>
      <c r="N34" s="309" t="str">
        <f>+IF(TES[[#This Row],[ITEM]]=C34,"ok","mal")</f>
        <v>ok</v>
      </c>
      <c r="O34" s="360">
        <f t="shared" si="2"/>
        <v>0</v>
      </c>
      <c r="P34" s="332">
        <f>IF(VLOOKUP(TES[[#This Row],[ITEM]],TbPiezas[],5,0)="NA",0,VLOOKUP(TES[[#This Row],[ITEM]],TbPiezas[],5,0))</f>
        <v>75.599999999999994</v>
      </c>
      <c r="Q34" s="81">
        <f>+TES[[#This Row],[TOTAL]]*TES[[#This Row],[P.U. (1)]]</f>
        <v>0</v>
      </c>
      <c r="R34" s="82">
        <f>+VLOOKUP(TES[[#This Row],[ITEM]],TbPiezas[],6,0)</f>
        <v>1621.32</v>
      </c>
      <c r="S34" s="83">
        <f>+TES[[#This Row],[TOTAL]]*TES[[#This Row],[P.U. (2)]]</f>
        <v>0</v>
      </c>
      <c r="T34" s="82">
        <f>+VLOOKUP(TES[[#This Row],[ITEM]],TbPiezas[],7,0)</f>
        <v>81.066000000000003</v>
      </c>
      <c r="U34" s="170">
        <f>+TES[[#This Row],[P.U. (3)]]*TES[[#This Row],[TOTAL]]</f>
        <v>0</v>
      </c>
    </row>
    <row r="35" spans="1:21" x14ac:dyDescent="0.3">
      <c r="A35" s="514"/>
      <c r="B35" s="135"/>
      <c r="C35" s="76" t="s">
        <v>55</v>
      </c>
      <c r="D35" s="76" t="s">
        <v>56</v>
      </c>
      <c r="F35" s="360">
        <v>0</v>
      </c>
      <c r="G35" s="360">
        <v>0</v>
      </c>
      <c r="H35" s="360">
        <v>0</v>
      </c>
      <c r="I35" s="360">
        <v>0</v>
      </c>
      <c r="J35" s="360">
        <v>0</v>
      </c>
      <c r="K35" s="360">
        <v>0</v>
      </c>
      <c r="M35" s="73" t="str">
        <f t="shared" si="4"/>
        <v>AM.2400</v>
      </c>
      <c r="N35" s="309" t="str">
        <f>+IF(TES[[#This Row],[ITEM]]=C35,"ok","mal")</f>
        <v>ok</v>
      </c>
      <c r="O35" s="360">
        <f t="shared" si="2"/>
        <v>0</v>
      </c>
      <c r="P35" s="332">
        <f>IF(VLOOKUP(TES[[#This Row],[ITEM]],TbPiezas[],5,0)="NA",0,VLOOKUP(TES[[#This Row],[ITEM]],TbPiezas[],5,0))</f>
        <v>63</v>
      </c>
      <c r="Q35" s="81">
        <f>+TES[[#This Row],[TOTAL]]*TES[[#This Row],[P.U. (1)]]</f>
        <v>0</v>
      </c>
      <c r="R35" s="82">
        <f>+VLOOKUP(TES[[#This Row],[ITEM]],TbPiezas[],6,0)</f>
        <v>1351.1</v>
      </c>
      <c r="S35" s="83">
        <f>+TES[[#This Row],[TOTAL]]*TES[[#This Row],[P.U. (2)]]</f>
        <v>0</v>
      </c>
      <c r="T35" s="82">
        <f>+VLOOKUP(TES[[#This Row],[ITEM]],TbPiezas[],7,0)</f>
        <v>67.554999999999993</v>
      </c>
      <c r="U35" s="170">
        <f>+TES[[#This Row],[P.U. (3)]]*TES[[#This Row],[TOTAL]]</f>
        <v>0</v>
      </c>
    </row>
    <row r="36" spans="1:21" x14ac:dyDescent="0.3">
      <c r="A36" s="514"/>
      <c r="B36" s="135"/>
      <c r="C36" s="76" t="s">
        <v>57</v>
      </c>
      <c r="D36" s="76" t="s">
        <v>58</v>
      </c>
      <c r="F36" s="360">
        <v>0</v>
      </c>
      <c r="G36" s="360">
        <v>0</v>
      </c>
      <c r="H36" s="360">
        <v>0</v>
      </c>
      <c r="I36" s="360">
        <v>0</v>
      </c>
      <c r="J36" s="360">
        <v>0</v>
      </c>
      <c r="K36" s="360">
        <v>0</v>
      </c>
      <c r="M36" s="73" t="str">
        <f t="shared" si="4"/>
        <v>AM.2500</v>
      </c>
      <c r="N36" s="309" t="str">
        <f>+IF(TES[[#This Row],[ITEM]]=C36,"ok","mal")</f>
        <v>ok</v>
      </c>
      <c r="O36" s="360">
        <f t="shared" si="2"/>
        <v>0</v>
      </c>
      <c r="P36" s="332">
        <f>IF(VLOOKUP(TES[[#This Row],[ITEM]],TbPiezas[],5,0)="NA",0,VLOOKUP(TES[[#This Row],[ITEM]],TbPiezas[],5,0))</f>
        <v>54.6</v>
      </c>
      <c r="Q36" s="81">
        <f>+TES[[#This Row],[TOTAL]]*TES[[#This Row],[P.U. (1)]]</f>
        <v>0</v>
      </c>
      <c r="R36" s="82">
        <f>+VLOOKUP(TES[[#This Row],[ITEM]],TbPiezas[],6,0)</f>
        <v>1170.95</v>
      </c>
      <c r="S36" s="83">
        <f>+TES[[#This Row],[TOTAL]]*TES[[#This Row],[P.U. (2)]]</f>
        <v>0</v>
      </c>
      <c r="T36" s="82">
        <f>+VLOOKUP(TES[[#This Row],[ITEM]],TbPiezas[],7,0)</f>
        <v>58.547500000000007</v>
      </c>
      <c r="U36" s="170">
        <f>+TES[[#This Row],[P.U. (3)]]*TES[[#This Row],[TOTAL]]</f>
        <v>0</v>
      </c>
    </row>
    <row r="37" spans="1:21" x14ac:dyDescent="0.3">
      <c r="A37" s="514"/>
      <c r="B37" s="135"/>
      <c r="C37" s="76" t="s">
        <v>59</v>
      </c>
      <c r="D37" s="76" t="s">
        <v>60</v>
      </c>
      <c r="F37" s="360">
        <v>0</v>
      </c>
      <c r="G37" s="360">
        <v>0</v>
      </c>
      <c r="H37" s="360">
        <v>0</v>
      </c>
      <c r="I37" s="360">
        <v>0</v>
      </c>
      <c r="J37" s="360">
        <v>0</v>
      </c>
      <c r="K37" s="360">
        <v>0</v>
      </c>
      <c r="M37" s="73" t="str">
        <f t="shared" si="4"/>
        <v>AM.2600</v>
      </c>
      <c r="N37" s="309" t="str">
        <f>+IF(TES[[#This Row],[ITEM]]=C37,"ok","mal")</f>
        <v>ok</v>
      </c>
      <c r="O37" s="360">
        <f t="shared" si="2"/>
        <v>0</v>
      </c>
      <c r="P37" s="332">
        <f>IF(VLOOKUP(TES[[#This Row],[ITEM]],TbPiezas[],5,0)="NA",0,VLOOKUP(TES[[#This Row],[ITEM]],TbPiezas[],5,0))</f>
        <v>30.399999999999991</v>
      </c>
      <c r="Q37" s="81">
        <f>+TES[[#This Row],[TOTAL]]*TES[[#This Row],[P.U. (1)]]</f>
        <v>0</v>
      </c>
      <c r="R37" s="82">
        <f>+VLOOKUP(TES[[#This Row],[ITEM]],TbPiezas[],6,0)</f>
        <v>720.59</v>
      </c>
      <c r="S37" s="83">
        <f>+TES[[#This Row],[TOTAL]]*TES[[#This Row],[P.U. (2)]]</f>
        <v>0</v>
      </c>
      <c r="T37" s="82">
        <f>+VLOOKUP(TES[[#This Row],[ITEM]],TbPiezas[],7,0)</f>
        <v>36.029500000000006</v>
      </c>
      <c r="U37" s="170">
        <f>+TES[[#This Row],[P.U. (3)]]*TES[[#This Row],[TOTAL]]</f>
        <v>0</v>
      </c>
    </row>
    <row r="38" spans="1:21" x14ac:dyDescent="0.3">
      <c r="A38" s="514"/>
      <c r="B38" s="135"/>
      <c r="C38" s="76" t="s">
        <v>61</v>
      </c>
      <c r="D38" s="76" t="s">
        <v>62</v>
      </c>
      <c r="F38" s="360">
        <v>0</v>
      </c>
      <c r="G38" s="360">
        <v>0</v>
      </c>
      <c r="H38" s="360">
        <v>0</v>
      </c>
      <c r="I38" s="360">
        <v>0</v>
      </c>
      <c r="J38" s="360">
        <v>0</v>
      </c>
      <c r="K38" s="360">
        <v>0</v>
      </c>
      <c r="M38" s="73" t="str">
        <f t="shared" si="4"/>
        <v>AM.2700</v>
      </c>
      <c r="N38" s="309" t="str">
        <f>+IF(TES[[#This Row],[ITEM]]=C38,"ok","mal")</f>
        <v>ok</v>
      </c>
      <c r="O38" s="360">
        <f t="shared" si="2"/>
        <v>0</v>
      </c>
      <c r="P38" s="332">
        <f>IF(VLOOKUP(TES[[#This Row],[ITEM]],TbPiezas[],5,0)="NA",0,VLOOKUP(TES[[#This Row],[ITEM]],TbPiezas[],5,0))</f>
        <v>12.5</v>
      </c>
      <c r="Q38" s="81">
        <f>+TES[[#This Row],[TOTAL]]*TES[[#This Row],[P.U. (1)]]</f>
        <v>0</v>
      </c>
      <c r="R38" s="82">
        <f>+VLOOKUP(TES[[#This Row],[ITEM]],TbPiezas[],6,0)</f>
        <v>810.02</v>
      </c>
      <c r="S38" s="83">
        <f>+TES[[#This Row],[TOTAL]]*TES[[#This Row],[P.U. (2)]]</f>
        <v>0</v>
      </c>
      <c r="T38" s="82">
        <f>+VLOOKUP(TES[[#This Row],[ITEM]],TbPiezas[],7,0)</f>
        <v>40.501000000000005</v>
      </c>
      <c r="U38" s="170">
        <f>+TES[[#This Row],[P.U. (3)]]*TES[[#This Row],[TOTAL]]</f>
        <v>0</v>
      </c>
    </row>
    <row r="39" spans="1:21" x14ac:dyDescent="0.3">
      <c r="A39" s="514"/>
      <c r="B39" s="135"/>
      <c r="C39" s="76" t="s">
        <v>69</v>
      </c>
      <c r="D39" s="76" t="s">
        <v>70</v>
      </c>
      <c r="F39" s="360">
        <v>0</v>
      </c>
      <c r="G39" s="360">
        <v>0</v>
      </c>
      <c r="H39" s="360">
        <v>0</v>
      </c>
      <c r="I39" s="360">
        <v>0</v>
      </c>
      <c r="J39" s="360">
        <v>0</v>
      </c>
      <c r="K39" s="360">
        <v>0</v>
      </c>
      <c r="M39" s="73" t="str">
        <f t="shared" si="4"/>
        <v>AM.3100</v>
      </c>
      <c r="N39" s="309" t="str">
        <f>+IF(TES[[#This Row],[ITEM]]=C39,"ok","mal")</f>
        <v>ok</v>
      </c>
      <c r="O39" s="360">
        <f t="shared" si="2"/>
        <v>0</v>
      </c>
      <c r="P39" s="332">
        <f>IF(VLOOKUP(TES[[#This Row],[ITEM]],TbPiezas[],5,0)="NA",0,VLOOKUP(TES[[#This Row],[ITEM]],TbPiezas[],5,0))</f>
        <v>10.91</v>
      </c>
      <c r="Q39" s="81">
        <f>+TES[[#This Row],[TOTAL]]*TES[[#This Row],[P.U. (1)]]</f>
        <v>0</v>
      </c>
      <c r="R39" s="82">
        <f>+VLOOKUP(TES[[#This Row],[ITEM]],TbPiezas[],6,0)</f>
        <v>808.35</v>
      </c>
      <c r="S39" s="83">
        <f>+TES[[#This Row],[TOTAL]]*TES[[#This Row],[P.U. (2)]]</f>
        <v>0</v>
      </c>
      <c r="T39" s="82">
        <f>+VLOOKUP(TES[[#This Row],[ITEM]],TbPiezas[],7,0)</f>
        <v>40.417500000000004</v>
      </c>
      <c r="U39" s="170">
        <f>+TES[[#This Row],[P.U. (3)]]*TES[[#This Row],[TOTAL]]</f>
        <v>0</v>
      </c>
    </row>
    <row r="40" spans="1:21" x14ac:dyDescent="0.3">
      <c r="A40" s="514"/>
      <c r="B40" s="135"/>
      <c r="C40" s="76" t="s">
        <v>71</v>
      </c>
      <c r="D40" s="76" t="s">
        <v>72</v>
      </c>
      <c r="F40" s="360">
        <v>0</v>
      </c>
      <c r="G40" s="360">
        <v>0</v>
      </c>
      <c r="H40" s="360">
        <v>0</v>
      </c>
      <c r="I40" s="360">
        <v>0</v>
      </c>
      <c r="J40" s="360">
        <v>0</v>
      </c>
      <c r="K40" s="360">
        <v>0</v>
      </c>
      <c r="M40" s="73" t="str">
        <f t="shared" si="4"/>
        <v>AM.3200</v>
      </c>
      <c r="N40" s="309" t="str">
        <f>+IF(TES[[#This Row],[ITEM]]=C40,"ok","mal")</f>
        <v>ok</v>
      </c>
      <c r="O40" s="360">
        <f t="shared" si="2"/>
        <v>0</v>
      </c>
      <c r="P40" s="332">
        <f>IF(VLOOKUP(TES[[#This Row],[ITEM]],TbPiezas[],5,0)="NA",0,VLOOKUP(TES[[#This Row],[ITEM]],TbPiezas[],5,0))</f>
        <v>4.2999999999999972</v>
      </c>
      <c r="Q40" s="81">
        <f>+TES[[#This Row],[TOTAL]]*TES[[#This Row],[P.U. (1)]]</f>
        <v>0</v>
      </c>
      <c r="R40" s="82">
        <f>+VLOOKUP(TES[[#This Row],[ITEM]],TbPiezas[],6,0)</f>
        <v>519.13</v>
      </c>
      <c r="S40" s="83">
        <f>+TES[[#This Row],[TOTAL]]*TES[[#This Row],[P.U. (2)]]</f>
        <v>0</v>
      </c>
      <c r="T40" s="82">
        <f>+VLOOKUP(TES[[#This Row],[ITEM]],TbPiezas[],7,0)</f>
        <v>25.956500000000002</v>
      </c>
      <c r="U40" s="170">
        <f>+TES[[#This Row],[P.U. (3)]]*TES[[#This Row],[TOTAL]]</f>
        <v>0</v>
      </c>
    </row>
    <row r="41" spans="1:21" x14ac:dyDescent="0.3">
      <c r="A41" s="514"/>
      <c r="B41" s="135"/>
      <c r="C41" s="76" t="s">
        <v>73</v>
      </c>
      <c r="D41" s="76" t="s">
        <v>74</v>
      </c>
      <c r="F41" s="360">
        <v>0</v>
      </c>
      <c r="G41" s="360">
        <v>0</v>
      </c>
      <c r="H41" s="360">
        <v>0</v>
      </c>
      <c r="I41" s="360">
        <v>0</v>
      </c>
      <c r="J41" s="360">
        <v>0</v>
      </c>
      <c r="K41" s="360">
        <v>0</v>
      </c>
      <c r="M41" s="73" t="str">
        <f t="shared" si="4"/>
        <v>AM.3300</v>
      </c>
      <c r="N41" s="309" t="str">
        <f>+IF(TES[[#This Row],[ITEM]]=C41,"ok","mal")</f>
        <v>ok</v>
      </c>
      <c r="O41" s="360">
        <f t="shared" si="2"/>
        <v>0</v>
      </c>
      <c r="P41" s="332">
        <f>IF(VLOOKUP(TES[[#This Row],[ITEM]],TbPiezas[],5,0)="NA",0,VLOOKUP(TES[[#This Row],[ITEM]],TbPiezas[],5,0))</f>
        <v>3.2999999999999972</v>
      </c>
      <c r="Q41" s="81">
        <f>+TES[[#This Row],[TOTAL]]*TES[[#This Row],[P.U. (1)]]</f>
        <v>0</v>
      </c>
      <c r="R41" s="82">
        <f>+VLOOKUP(TES[[#This Row],[ITEM]],TbPiezas[],6,0)</f>
        <v>259.56</v>
      </c>
      <c r="S41" s="83">
        <f>+TES[[#This Row],[TOTAL]]*TES[[#This Row],[P.U. (2)]]</f>
        <v>0</v>
      </c>
      <c r="T41" s="82">
        <f>+VLOOKUP(TES[[#This Row],[ITEM]],TbPiezas[],7,0)</f>
        <v>12.978000000000002</v>
      </c>
      <c r="U41" s="170">
        <f>+TES[[#This Row],[P.U. (3)]]*TES[[#This Row],[TOTAL]]</f>
        <v>0</v>
      </c>
    </row>
    <row r="42" spans="1:21" x14ac:dyDescent="0.3">
      <c r="A42" s="514"/>
      <c r="B42" s="135"/>
      <c r="C42" s="76" t="s">
        <v>75</v>
      </c>
      <c r="D42" s="76" t="s">
        <v>76</v>
      </c>
      <c r="F42" s="360">
        <v>0</v>
      </c>
      <c r="G42" s="360">
        <v>0</v>
      </c>
      <c r="H42" s="360">
        <v>0</v>
      </c>
      <c r="I42" s="360">
        <v>0</v>
      </c>
      <c r="J42" s="360">
        <v>0</v>
      </c>
      <c r="K42" s="360">
        <v>0</v>
      </c>
      <c r="M42" s="73" t="str">
        <f t="shared" si="4"/>
        <v>AM.3400</v>
      </c>
      <c r="N42" s="309" t="str">
        <f>+IF(TES[[#This Row],[ITEM]]=C42,"ok","mal")</f>
        <v>ok</v>
      </c>
      <c r="O42" s="360">
        <f t="shared" si="2"/>
        <v>0</v>
      </c>
      <c r="P42" s="332">
        <f>IF(VLOOKUP(TES[[#This Row],[ITEM]],TbPiezas[],5,0)="NA",0,VLOOKUP(TES[[#This Row],[ITEM]],TbPiezas[],5,0))</f>
        <v>5</v>
      </c>
      <c r="Q42" s="81">
        <f>+TES[[#This Row],[TOTAL]]*TES[[#This Row],[P.U. (1)]]</f>
        <v>0</v>
      </c>
      <c r="R42" s="82">
        <f>+VLOOKUP(TES[[#This Row],[ITEM]],TbPiezas[],6,0)</f>
        <v>139.11000000000001</v>
      </c>
      <c r="S42" s="83">
        <f>+TES[[#This Row],[TOTAL]]*TES[[#This Row],[P.U. (2)]]</f>
        <v>0</v>
      </c>
      <c r="T42" s="82">
        <f>+VLOOKUP(TES[[#This Row],[ITEM]],TbPiezas[],7,0)</f>
        <v>6.9555000000000007</v>
      </c>
      <c r="U42" s="170">
        <f>+TES[[#This Row],[P.U. (3)]]*TES[[#This Row],[TOTAL]]</f>
        <v>0</v>
      </c>
    </row>
    <row r="43" spans="1:21" x14ac:dyDescent="0.3">
      <c r="A43" s="514"/>
      <c r="B43" s="135"/>
      <c r="C43" s="76" t="s">
        <v>77</v>
      </c>
      <c r="D43" s="76" t="s">
        <v>78</v>
      </c>
      <c r="F43" s="360">
        <v>0</v>
      </c>
      <c r="G43" s="360">
        <v>0</v>
      </c>
      <c r="H43" s="360">
        <v>0</v>
      </c>
      <c r="I43" s="360">
        <v>0</v>
      </c>
      <c r="J43" s="360">
        <v>0</v>
      </c>
      <c r="K43" s="360">
        <v>0</v>
      </c>
      <c r="M43" s="73" t="str">
        <f t="shared" si="4"/>
        <v>AM.3500</v>
      </c>
      <c r="N43" s="309" t="str">
        <f>+IF(TES[[#This Row],[ITEM]]=C43,"ok","mal")</f>
        <v>ok</v>
      </c>
      <c r="O43" s="360">
        <f t="shared" si="2"/>
        <v>0</v>
      </c>
      <c r="P43" s="332">
        <f>IF(VLOOKUP(TES[[#This Row],[ITEM]],TbPiezas[],5,0)="NA",0,VLOOKUP(TES[[#This Row],[ITEM]],TbPiezas[],5,0))</f>
        <v>3.5</v>
      </c>
      <c r="Q43" s="81">
        <f>+TES[[#This Row],[TOTAL]]*TES[[#This Row],[P.U. (1)]]</f>
        <v>0</v>
      </c>
      <c r="R43" s="82">
        <f>+VLOOKUP(TES[[#This Row],[ITEM]],TbPiezas[],6,0)</f>
        <v>136.57</v>
      </c>
      <c r="S43" s="83">
        <f>+TES[[#This Row],[TOTAL]]*TES[[#This Row],[P.U. (2)]]</f>
        <v>0</v>
      </c>
      <c r="T43" s="82">
        <f>+VLOOKUP(TES[[#This Row],[ITEM]],TbPiezas[],7,0)</f>
        <v>6.8285</v>
      </c>
      <c r="U43" s="170">
        <f>+TES[[#This Row],[P.U. (3)]]*TES[[#This Row],[TOTAL]]</f>
        <v>0</v>
      </c>
    </row>
    <row r="44" spans="1:21" x14ac:dyDescent="0.3">
      <c r="A44" s="514"/>
      <c r="B44" s="135"/>
      <c r="C44" s="76" t="s">
        <v>79</v>
      </c>
      <c r="D44" s="76" t="s">
        <v>80</v>
      </c>
      <c r="F44" s="360">
        <v>0</v>
      </c>
      <c r="G44" s="360">
        <v>0</v>
      </c>
      <c r="H44" s="360">
        <v>0</v>
      </c>
      <c r="I44" s="360">
        <v>0</v>
      </c>
      <c r="J44" s="360">
        <v>0</v>
      </c>
      <c r="K44" s="360">
        <v>0</v>
      </c>
      <c r="M44" s="73" t="str">
        <f t="shared" si="4"/>
        <v>AM.3600</v>
      </c>
      <c r="N44" s="309" t="str">
        <f>+IF(TES[[#This Row],[ITEM]]=C44,"ok","mal")</f>
        <v>ok</v>
      </c>
      <c r="O44" s="360">
        <f t="shared" si="2"/>
        <v>0</v>
      </c>
      <c r="P44" s="332">
        <f>IF(VLOOKUP(TES[[#This Row],[ITEM]],TbPiezas[],5,0)="NA",0,VLOOKUP(TES[[#This Row],[ITEM]],TbPiezas[],5,0))</f>
        <v>2.5999999999999943</v>
      </c>
      <c r="Q44" s="81">
        <f>+TES[[#This Row],[TOTAL]]*TES[[#This Row],[P.U. (1)]]</f>
        <v>0</v>
      </c>
      <c r="R44" s="82">
        <f>+VLOOKUP(TES[[#This Row],[ITEM]],TbPiezas[],6,0)</f>
        <v>128.38</v>
      </c>
      <c r="S44" s="83">
        <f>+TES[[#This Row],[TOTAL]]*TES[[#This Row],[P.U. (2)]]</f>
        <v>0</v>
      </c>
      <c r="T44" s="82">
        <f>+VLOOKUP(TES[[#This Row],[ITEM]],TbPiezas[],7,0)</f>
        <v>6.4190000000000005</v>
      </c>
      <c r="U44" s="170">
        <f>+TES[[#This Row],[P.U. (3)]]*TES[[#This Row],[TOTAL]]</f>
        <v>0</v>
      </c>
    </row>
    <row r="45" spans="1:21" x14ac:dyDescent="0.3">
      <c r="A45" s="514"/>
      <c r="B45" s="135"/>
      <c r="C45" s="76" t="s">
        <v>81</v>
      </c>
      <c r="D45" s="76" t="s">
        <v>82</v>
      </c>
      <c r="F45" s="360">
        <v>0</v>
      </c>
      <c r="G45" s="360">
        <v>0</v>
      </c>
      <c r="H45" s="360">
        <v>0</v>
      </c>
      <c r="I45" s="360">
        <v>0</v>
      </c>
      <c r="J45" s="360">
        <v>0</v>
      </c>
      <c r="K45" s="360">
        <v>0</v>
      </c>
      <c r="M45" s="73" t="str">
        <f t="shared" si="4"/>
        <v>AM.3700</v>
      </c>
      <c r="N45" s="309" t="str">
        <f>+IF(TES[[#This Row],[ITEM]]=C45,"ok","mal")</f>
        <v>ok</v>
      </c>
      <c r="O45" s="360">
        <f t="shared" ref="O45:O76" si="8">SUM(E45:L45)</f>
        <v>0</v>
      </c>
      <c r="P45" s="332">
        <f>IF(VLOOKUP(TES[[#This Row],[ITEM]],TbPiezas[],5,0)="NA",0,VLOOKUP(TES[[#This Row],[ITEM]],TbPiezas[],5,0))</f>
        <v>1.4000000000000057</v>
      </c>
      <c r="Q45" s="81">
        <f>+TES[[#This Row],[TOTAL]]*TES[[#This Row],[P.U. (1)]]</f>
        <v>0</v>
      </c>
      <c r="R45" s="82">
        <f>+VLOOKUP(TES[[#This Row],[ITEM]],TbPiezas[],6,0)</f>
        <v>109.33</v>
      </c>
      <c r="S45" s="83">
        <f>+TES[[#This Row],[TOTAL]]*TES[[#This Row],[P.U. (2)]]</f>
        <v>0</v>
      </c>
      <c r="T45" s="82">
        <f>+VLOOKUP(TES[[#This Row],[ITEM]],TbPiezas[],7,0)</f>
        <v>5.4664999999999999</v>
      </c>
      <c r="U45" s="170">
        <f>+TES[[#This Row],[P.U. (3)]]*TES[[#This Row],[TOTAL]]</f>
        <v>0</v>
      </c>
    </row>
    <row r="46" spans="1:21" x14ac:dyDescent="0.3">
      <c r="A46" s="514"/>
      <c r="B46" s="135"/>
      <c r="C46" s="76" t="s">
        <v>83</v>
      </c>
      <c r="D46" s="76" t="s">
        <v>84</v>
      </c>
      <c r="F46" s="360">
        <v>0</v>
      </c>
      <c r="G46" s="360">
        <v>0</v>
      </c>
      <c r="H46" s="360">
        <v>0</v>
      </c>
      <c r="I46" s="360">
        <v>0</v>
      </c>
      <c r="J46" s="360">
        <v>0</v>
      </c>
      <c r="K46" s="360">
        <v>0</v>
      </c>
      <c r="M46" s="73" t="str">
        <f t="shared" si="4"/>
        <v>AM.3800</v>
      </c>
      <c r="N46" s="309" t="str">
        <f>+IF(TES[[#This Row],[ITEM]]=C46,"ok","mal")</f>
        <v>ok</v>
      </c>
      <c r="O46" s="360">
        <f t="shared" si="8"/>
        <v>0</v>
      </c>
      <c r="P46" s="332">
        <f>IF(VLOOKUP(TES[[#This Row],[ITEM]],TbPiezas[],5,0)="NA",0,VLOOKUP(TES[[#This Row],[ITEM]],TbPiezas[],5,0))</f>
        <v>0.79999999999999716</v>
      </c>
      <c r="Q46" s="81">
        <f>+TES[[#This Row],[TOTAL]]*TES[[#This Row],[P.U. (1)]]</f>
        <v>0</v>
      </c>
      <c r="R46" s="82">
        <f>+VLOOKUP(TES[[#This Row],[ITEM]],TbPiezas[],6,0)</f>
        <v>91.83</v>
      </c>
      <c r="S46" s="83">
        <f>+TES[[#This Row],[TOTAL]]*TES[[#This Row],[P.U. (2)]]</f>
        <v>0</v>
      </c>
      <c r="T46" s="82">
        <f>+VLOOKUP(TES[[#This Row],[ITEM]],TbPiezas[],7,0)</f>
        <v>4.5914999999999999</v>
      </c>
      <c r="U46" s="170">
        <f>+TES[[#This Row],[P.U. (3)]]*TES[[#This Row],[TOTAL]]</f>
        <v>0</v>
      </c>
    </row>
    <row r="47" spans="1:21" x14ac:dyDescent="0.3">
      <c r="A47" s="514"/>
      <c r="B47" s="135"/>
      <c r="C47" s="76" t="s">
        <v>85</v>
      </c>
      <c r="D47" s="76" t="s">
        <v>86</v>
      </c>
      <c r="F47" s="360">
        <v>0</v>
      </c>
      <c r="G47" s="360">
        <v>0</v>
      </c>
      <c r="H47" s="360">
        <v>0</v>
      </c>
      <c r="I47" s="360">
        <v>0</v>
      </c>
      <c r="J47" s="360">
        <v>0</v>
      </c>
      <c r="K47" s="360">
        <v>0</v>
      </c>
      <c r="M47" s="73" t="str">
        <f t="shared" si="4"/>
        <v>AM.3900</v>
      </c>
      <c r="N47" s="309" t="str">
        <f>+IF(TES[[#This Row],[ITEM]]=C47,"ok","mal")</f>
        <v>ok</v>
      </c>
      <c r="O47" s="360">
        <f t="shared" si="8"/>
        <v>0</v>
      </c>
      <c r="P47" s="332">
        <f>IF(VLOOKUP(TES[[#This Row],[ITEM]],TbPiezas[],5,0)="NA",0,VLOOKUP(TES[[#This Row],[ITEM]],TbPiezas[],5,0))</f>
        <v>7.5</v>
      </c>
      <c r="Q47" s="81">
        <f>+TES[[#This Row],[TOTAL]]*TES[[#This Row],[P.U. (1)]]</f>
        <v>0</v>
      </c>
      <c r="R47" s="82">
        <f>+VLOOKUP(TES[[#This Row],[ITEM]],TbPiezas[],6,0)</f>
        <v>139.11000000000001</v>
      </c>
      <c r="S47" s="83">
        <f>+TES[[#This Row],[TOTAL]]*TES[[#This Row],[P.U. (2)]]</f>
        <v>0</v>
      </c>
      <c r="T47" s="82">
        <f>+VLOOKUP(TES[[#This Row],[ITEM]],TbPiezas[],7,0)</f>
        <v>6.9555000000000007</v>
      </c>
      <c r="U47" s="170">
        <f>+TES[[#This Row],[P.U. (3)]]*TES[[#This Row],[TOTAL]]</f>
        <v>0</v>
      </c>
    </row>
    <row r="48" spans="1:21" x14ac:dyDescent="0.3">
      <c r="A48" s="514"/>
      <c r="B48" s="135"/>
      <c r="C48" s="76" t="s">
        <v>87</v>
      </c>
      <c r="D48" s="76" t="s">
        <v>88</v>
      </c>
      <c r="F48" s="360">
        <v>0</v>
      </c>
      <c r="G48" s="360">
        <v>0</v>
      </c>
      <c r="H48" s="360">
        <v>0</v>
      </c>
      <c r="I48" s="360">
        <v>0</v>
      </c>
      <c r="J48" s="360">
        <v>0</v>
      </c>
      <c r="K48" s="360">
        <v>0</v>
      </c>
      <c r="M48" s="73" t="str">
        <f t="shared" si="4"/>
        <v>AM.4000</v>
      </c>
      <c r="N48" s="309" t="str">
        <f>+IF(TES[[#This Row],[ITEM]]=C48,"ok","mal")</f>
        <v>ok</v>
      </c>
      <c r="O48" s="360">
        <f t="shared" si="8"/>
        <v>0</v>
      </c>
      <c r="P48" s="332">
        <f>IF(VLOOKUP(TES[[#This Row],[ITEM]],TbPiezas[],5,0)="NA",0,VLOOKUP(TES[[#This Row],[ITEM]],TbPiezas[],5,0))</f>
        <v>5.7999999999999972</v>
      </c>
      <c r="Q48" s="81">
        <f>+TES[[#This Row],[TOTAL]]*TES[[#This Row],[P.U. (1)]]</f>
        <v>0</v>
      </c>
      <c r="R48" s="82">
        <f>+VLOOKUP(TES[[#This Row],[ITEM]],TbPiezas[],6,0)</f>
        <v>136.57</v>
      </c>
      <c r="S48" s="83">
        <f>+TES[[#This Row],[TOTAL]]*TES[[#This Row],[P.U. (2)]]</f>
        <v>0</v>
      </c>
      <c r="T48" s="82">
        <f>+VLOOKUP(TES[[#This Row],[ITEM]],TbPiezas[],7,0)</f>
        <v>6.8285</v>
      </c>
      <c r="U48" s="170">
        <f>+TES[[#This Row],[P.U. (3)]]*TES[[#This Row],[TOTAL]]</f>
        <v>0</v>
      </c>
    </row>
    <row r="49" spans="1:21" x14ac:dyDescent="0.3">
      <c r="A49" s="514"/>
      <c r="B49" s="135"/>
      <c r="C49" s="76" t="s">
        <v>89</v>
      </c>
      <c r="D49" s="76" t="s">
        <v>90</v>
      </c>
      <c r="F49" s="360">
        <v>0</v>
      </c>
      <c r="G49" s="360">
        <v>0</v>
      </c>
      <c r="H49" s="360">
        <v>0</v>
      </c>
      <c r="I49" s="360">
        <v>0</v>
      </c>
      <c r="J49" s="360">
        <v>0</v>
      </c>
      <c r="K49" s="360">
        <v>0</v>
      </c>
      <c r="M49" s="73" t="str">
        <f t="shared" si="4"/>
        <v>AM.4100</v>
      </c>
      <c r="N49" s="309" t="str">
        <f>+IF(TES[[#This Row],[ITEM]]=C49,"ok","mal")</f>
        <v>ok</v>
      </c>
      <c r="O49" s="360">
        <f t="shared" si="8"/>
        <v>0</v>
      </c>
      <c r="P49" s="332">
        <f>IF(VLOOKUP(TES[[#This Row],[ITEM]],TbPiezas[],5,0)="NA",0,VLOOKUP(TES[[#This Row],[ITEM]],TbPiezas[],5,0))</f>
        <v>4.7999999999999972</v>
      </c>
      <c r="Q49" s="81">
        <f>+TES[[#This Row],[TOTAL]]*TES[[#This Row],[P.U. (1)]]</f>
        <v>0</v>
      </c>
      <c r="R49" s="82">
        <f>+VLOOKUP(TES[[#This Row],[ITEM]],TbPiezas[],6,0)</f>
        <v>128.38</v>
      </c>
      <c r="S49" s="83">
        <f>+TES[[#This Row],[TOTAL]]*TES[[#This Row],[P.U. (2)]]</f>
        <v>0</v>
      </c>
      <c r="T49" s="82">
        <f>+VLOOKUP(TES[[#This Row],[ITEM]],TbPiezas[],7,0)</f>
        <v>6.4190000000000005</v>
      </c>
      <c r="U49" s="170">
        <f>+TES[[#This Row],[P.U. (3)]]*TES[[#This Row],[TOTAL]]</f>
        <v>0</v>
      </c>
    </row>
    <row r="50" spans="1:21" x14ac:dyDescent="0.3">
      <c r="A50" s="514"/>
      <c r="B50" s="135"/>
      <c r="C50" s="76" t="s">
        <v>91</v>
      </c>
      <c r="D50" s="76" t="s">
        <v>92</v>
      </c>
      <c r="F50" s="360">
        <v>0</v>
      </c>
      <c r="G50" s="360">
        <v>0</v>
      </c>
      <c r="H50" s="360">
        <v>0</v>
      </c>
      <c r="I50" s="360">
        <v>0</v>
      </c>
      <c r="J50" s="360">
        <v>0</v>
      </c>
      <c r="K50" s="360">
        <v>0</v>
      </c>
      <c r="M50" s="73" t="str">
        <f t="shared" si="4"/>
        <v>AM.4200</v>
      </c>
      <c r="N50" s="309" t="str">
        <f>+IF(TES[[#This Row],[ITEM]]=C50,"ok","mal")</f>
        <v>ok</v>
      </c>
      <c r="O50" s="360">
        <f t="shared" si="8"/>
        <v>0</v>
      </c>
      <c r="P50" s="332">
        <f>IF(VLOOKUP(TES[[#This Row],[ITEM]],TbPiezas[],5,0)="NA",0,VLOOKUP(TES[[#This Row],[ITEM]],TbPiezas[],5,0))</f>
        <v>2.7000000000000028</v>
      </c>
      <c r="Q50" s="81">
        <f>+TES[[#This Row],[TOTAL]]*TES[[#This Row],[P.U. (1)]]</f>
        <v>0</v>
      </c>
      <c r="R50" s="82">
        <f>+VLOOKUP(TES[[#This Row],[ITEM]],TbPiezas[],6,0)</f>
        <v>124.8</v>
      </c>
      <c r="S50" s="83">
        <f>+TES[[#This Row],[TOTAL]]*TES[[#This Row],[P.U. (2)]]</f>
        <v>0</v>
      </c>
      <c r="T50" s="82">
        <f>+VLOOKUP(TES[[#This Row],[ITEM]],TbPiezas[],7,0)</f>
        <v>6.24</v>
      </c>
      <c r="U50" s="170">
        <f>+TES[[#This Row],[P.U. (3)]]*TES[[#This Row],[TOTAL]]</f>
        <v>0</v>
      </c>
    </row>
    <row r="51" spans="1:21" x14ac:dyDescent="0.3">
      <c r="A51" s="514"/>
      <c r="B51" s="135"/>
      <c r="C51" s="76" t="s">
        <v>93</v>
      </c>
      <c r="D51" s="76" t="s">
        <v>94</v>
      </c>
      <c r="F51" s="360">
        <v>0</v>
      </c>
      <c r="G51" s="360">
        <v>0</v>
      </c>
      <c r="H51" s="360">
        <v>0</v>
      </c>
      <c r="I51" s="360">
        <v>0</v>
      </c>
      <c r="J51" s="360">
        <v>0</v>
      </c>
      <c r="K51" s="360">
        <v>0</v>
      </c>
      <c r="M51" s="73" t="str">
        <f t="shared" si="4"/>
        <v>AM.4300</v>
      </c>
      <c r="N51" s="309" t="str">
        <f>+IF(TES[[#This Row],[ITEM]]=C51,"ok","mal")</f>
        <v>ok</v>
      </c>
      <c r="O51" s="360">
        <f t="shared" si="8"/>
        <v>0</v>
      </c>
      <c r="P51" s="332">
        <f>IF(VLOOKUP(TES[[#This Row],[ITEM]],TbPiezas[],5,0)="NA",0,VLOOKUP(TES[[#This Row],[ITEM]],TbPiezas[],5,0))</f>
        <v>1.2999999999999972</v>
      </c>
      <c r="Q51" s="81">
        <f>+TES[[#This Row],[TOTAL]]*TES[[#This Row],[P.U. (1)]]</f>
        <v>0</v>
      </c>
      <c r="R51" s="82">
        <f>+VLOOKUP(TES[[#This Row],[ITEM]],TbPiezas[],6,0)</f>
        <v>109.33</v>
      </c>
      <c r="S51" s="83">
        <f>+TES[[#This Row],[TOTAL]]*TES[[#This Row],[P.U. (2)]]</f>
        <v>0</v>
      </c>
      <c r="T51" s="82">
        <f>+VLOOKUP(TES[[#This Row],[ITEM]],TbPiezas[],7,0)</f>
        <v>5.4664999999999999</v>
      </c>
      <c r="U51" s="170">
        <f>+TES[[#This Row],[P.U. (3)]]*TES[[#This Row],[TOTAL]]</f>
        <v>0</v>
      </c>
    </row>
    <row r="52" spans="1:21" x14ac:dyDescent="0.3">
      <c r="A52" s="514"/>
      <c r="B52" s="135"/>
      <c r="C52" s="76" t="s">
        <v>95</v>
      </c>
      <c r="D52" s="76" t="s">
        <v>96</v>
      </c>
      <c r="F52" s="360">
        <v>0</v>
      </c>
      <c r="G52" s="360">
        <v>0</v>
      </c>
      <c r="H52" s="360">
        <v>0</v>
      </c>
      <c r="I52" s="360">
        <v>0</v>
      </c>
      <c r="J52" s="360">
        <v>0</v>
      </c>
      <c r="K52" s="360">
        <v>0</v>
      </c>
      <c r="M52" s="73" t="str">
        <f t="shared" si="4"/>
        <v>AM.4400</v>
      </c>
      <c r="N52" s="309" t="str">
        <f>+IF(TES[[#This Row],[ITEM]]=C52,"ok","mal")</f>
        <v>ok</v>
      </c>
      <c r="O52" s="360">
        <f t="shared" si="8"/>
        <v>0</v>
      </c>
      <c r="P52" s="332">
        <f>IF(VLOOKUP(TES[[#This Row],[ITEM]],TbPiezas[],5,0)="NA",0,VLOOKUP(TES[[#This Row],[ITEM]],TbPiezas[],5,0))</f>
        <v>2.0999999999999943</v>
      </c>
      <c r="Q52" s="81">
        <f>+TES[[#This Row],[TOTAL]]*TES[[#This Row],[P.U. (1)]]</f>
        <v>0</v>
      </c>
      <c r="R52" s="82">
        <f>+VLOOKUP(TES[[#This Row],[ITEM]],TbPiezas[],6,0)</f>
        <v>91.83</v>
      </c>
      <c r="S52" s="83">
        <f>+TES[[#This Row],[TOTAL]]*TES[[#This Row],[P.U. (2)]]</f>
        <v>0</v>
      </c>
      <c r="T52" s="82">
        <f>+VLOOKUP(TES[[#This Row],[ITEM]],TbPiezas[],7,0)</f>
        <v>4.5914999999999999</v>
      </c>
      <c r="U52" s="170">
        <f>+TES[[#This Row],[P.U. (3)]]*TES[[#This Row],[TOTAL]]</f>
        <v>0</v>
      </c>
    </row>
    <row r="53" spans="1:21" x14ac:dyDescent="0.3">
      <c r="A53" s="514"/>
      <c r="B53" s="135"/>
      <c r="C53" s="76" t="s">
        <v>97</v>
      </c>
      <c r="D53" s="76" t="s">
        <v>98</v>
      </c>
      <c r="F53" s="360">
        <v>0</v>
      </c>
      <c r="G53" s="360">
        <v>0</v>
      </c>
      <c r="H53" s="360">
        <v>0</v>
      </c>
      <c r="I53" s="360">
        <v>0</v>
      </c>
      <c r="J53" s="360">
        <v>0</v>
      </c>
      <c r="K53" s="360">
        <v>0</v>
      </c>
      <c r="M53" s="73" t="str">
        <f t="shared" si="4"/>
        <v>AM.4500</v>
      </c>
      <c r="N53" s="309" t="str">
        <f>+IF(TES[[#This Row],[ITEM]]=C53,"ok","mal")</f>
        <v>ok</v>
      </c>
      <c r="O53" s="360">
        <f t="shared" si="8"/>
        <v>0</v>
      </c>
      <c r="P53" s="332">
        <f>IF(VLOOKUP(TES[[#This Row],[ITEM]],TbPiezas[],5,0)="NA",0,VLOOKUP(TES[[#This Row],[ITEM]],TbPiezas[],5,0))</f>
        <v>10.5</v>
      </c>
      <c r="Q53" s="81">
        <f>+TES[[#This Row],[TOTAL]]*TES[[#This Row],[P.U. (1)]]</f>
        <v>0</v>
      </c>
      <c r="R53" s="82">
        <f>+VLOOKUP(TES[[#This Row],[ITEM]],TbPiezas[],6,0)</f>
        <v>139.11000000000001</v>
      </c>
      <c r="S53" s="83">
        <f>+TES[[#This Row],[TOTAL]]*TES[[#This Row],[P.U. (2)]]</f>
        <v>0</v>
      </c>
      <c r="T53" s="82">
        <f>+VLOOKUP(TES[[#This Row],[ITEM]],TbPiezas[],7,0)</f>
        <v>6.9555000000000007</v>
      </c>
      <c r="U53" s="170">
        <f>+TES[[#This Row],[P.U. (3)]]*TES[[#This Row],[TOTAL]]</f>
        <v>0</v>
      </c>
    </row>
    <row r="54" spans="1:21" x14ac:dyDescent="0.3">
      <c r="A54" s="514"/>
      <c r="B54" s="135"/>
      <c r="C54" s="76" t="s">
        <v>99</v>
      </c>
      <c r="D54" s="76" t="s">
        <v>100</v>
      </c>
      <c r="F54" s="360">
        <v>0</v>
      </c>
      <c r="G54" s="360">
        <v>0</v>
      </c>
      <c r="H54" s="360">
        <v>0</v>
      </c>
      <c r="I54" s="360">
        <v>0</v>
      </c>
      <c r="J54" s="360">
        <v>0</v>
      </c>
      <c r="K54" s="360">
        <v>0</v>
      </c>
      <c r="M54" s="73" t="str">
        <f t="shared" si="4"/>
        <v>AM.4600</v>
      </c>
      <c r="N54" s="309" t="str">
        <f>+IF(TES[[#This Row],[ITEM]]=C54,"ok","mal")</f>
        <v>ok</v>
      </c>
      <c r="O54" s="360">
        <f t="shared" si="8"/>
        <v>0</v>
      </c>
      <c r="P54" s="332">
        <f>IF(VLOOKUP(TES[[#This Row],[ITEM]],TbPiezas[],5,0)="NA",0,VLOOKUP(TES[[#This Row],[ITEM]],TbPiezas[],5,0))</f>
        <v>8.7999999999999972</v>
      </c>
      <c r="Q54" s="81">
        <f>+TES[[#This Row],[TOTAL]]*TES[[#This Row],[P.U. (1)]]</f>
        <v>0</v>
      </c>
      <c r="R54" s="82">
        <f>+VLOOKUP(TES[[#This Row],[ITEM]],TbPiezas[],6,0)</f>
        <v>136.57</v>
      </c>
      <c r="S54" s="83">
        <f>+TES[[#This Row],[TOTAL]]*TES[[#This Row],[P.U. (2)]]</f>
        <v>0</v>
      </c>
      <c r="T54" s="82">
        <f>+VLOOKUP(TES[[#This Row],[ITEM]],TbPiezas[],7,0)</f>
        <v>6.8285</v>
      </c>
      <c r="U54" s="170">
        <f>+TES[[#This Row],[P.U. (3)]]*TES[[#This Row],[TOTAL]]</f>
        <v>0</v>
      </c>
    </row>
    <row r="55" spans="1:21" x14ac:dyDescent="0.3">
      <c r="A55" s="514"/>
      <c r="B55" s="135"/>
      <c r="C55" s="76" t="s">
        <v>101</v>
      </c>
      <c r="D55" s="76" t="s">
        <v>102</v>
      </c>
      <c r="F55" s="360">
        <v>0</v>
      </c>
      <c r="G55" s="360">
        <v>0</v>
      </c>
      <c r="H55" s="360">
        <v>0</v>
      </c>
      <c r="I55" s="360">
        <v>0</v>
      </c>
      <c r="J55" s="360">
        <v>0</v>
      </c>
      <c r="K55" s="360">
        <v>0</v>
      </c>
      <c r="M55" s="73" t="str">
        <f t="shared" si="4"/>
        <v>AM.4700</v>
      </c>
      <c r="N55" s="309" t="str">
        <f>+IF(TES[[#This Row],[ITEM]]=C55,"ok","mal")</f>
        <v>ok</v>
      </c>
      <c r="O55" s="360">
        <f t="shared" si="8"/>
        <v>0</v>
      </c>
      <c r="P55" s="332">
        <f>IF(VLOOKUP(TES[[#This Row],[ITEM]],TbPiezas[],5,0)="NA",0,VLOOKUP(TES[[#This Row],[ITEM]],TbPiezas[],5,0))</f>
        <v>5</v>
      </c>
      <c r="Q55" s="81">
        <f>+TES[[#This Row],[TOTAL]]*TES[[#This Row],[P.U. (1)]]</f>
        <v>0</v>
      </c>
      <c r="R55" s="82">
        <f>+VLOOKUP(TES[[#This Row],[ITEM]],TbPiezas[],6,0)</f>
        <v>128.38</v>
      </c>
      <c r="S55" s="83">
        <f>+TES[[#This Row],[TOTAL]]*TES[[#This Row],[P.U. (2)]]</f>
        <v>0</v>
      </c>
      <c r="T55" s="82">
        <f>+VLOOKUP(TES[[#This Row],[ITEM]],TbPiezas[],7,0)</f>
        <v>6.4190000000000005</v>
      </c>
      <c r="U55" s="170">
        <f>+TES[[#This Row],[P.U. (3)]]*TES[[#This Row],[TOTAL]]</f>
        <v>0</v>
      </c>
    </row>
    <row r="56" spans="1:21" x14ac:dyDescent="0.3">
      <c r="A56" s="514"/>
      <c r="B56" s="135"/>
      <c r="C56" s="76" t="s">
        <v>103</v>
      </c>
      <c r="D56" s="76" t="s">
        <v>104</v>
      </c>
      <c r="F56" s="360">
        <v>0</v>
      </c>
      <c r="G56" s="360">
        <v>0</v>
      </c>
      <c r="H56" s="360">
        <v>0</v>
      </c>
      <c r="I56" s="360">
        <v>0</v>
      </c>
      <c r="J56" s="360">
        <v>0</v>
      </c>
      <c r="K56" s="360">
        <v>0</v>
      </c>
      <c r="M56" s="73" t="str">
        <f t="shared" si="4"/>
        <v>AM.4800</v>
      </c>
      <c r="N56" s="309" t="str">
        <f>+IF(TES[[#This Row],[ITEM]]=C56,"ok","mal")</f>
        <v>ok</v>
      </c>
      <c r="O56" s="360">
        <f t="shared" si="8"/>
        <v>0</v>
      </c>
      <c r="P56" s="332">
        <f>IF(VLOOKUP(TES[[#This Row],[ITEM]],TbPiezas[],5,0)="NA",0,VLOOKUP(TES[[#This Row],[ITEM]],TbPiezas[],5,0))</f>
        <v>3.3999999999999915</v>
      </c>
      <c r="Q56" s="81">
        <f>+TES[[#This Row],[TOTAL]]*TES[[#This Row],[P.U. (1)]]</f>
        <v>0</v>
      </c>
      <c r="R56" s="82">
        <f>+VLOOKUP(TES[[#This Row],[ITEM]],TbPiezas[],6,0)</f>
        <v>124.8</v>
      </c>
      <c r="S56" s="83">
        <f>+TES[[#This Row],[TOTAL]]*TES[[#This Row],[P.U. (2)]]</f>
        <v>0</v>
      </c>
      <c r="T56" s="82">
        <f>+VLOOKUP(TES[[#This Row],[ITEM]],TbPiezas[],7,0)</f>
        <v>6.24</v>
      </c>
      <c r="U56" s="170">
        <f>+TES[[#This Row],[P.U. (3)]]*TES[[#This Row],[TOTAL]]</f>
        <v>0</v>
      </c>
    </row>
    <row r="57" spans="1:21" x14ac:dyDescent="0.3">
      <c r="A57" s="514"/>
      <c r="B57" s="135"/>
      <c r="C57" s="76" t="s">
        <v>105</v>
      </c>
      <c r="D57" s="76" t="s">
        <v>106</v>
      </c>
      <c r="F57" s="360">
        <v>0</v>
      </c>
      <c r="G57" s="360">
        <v>0</v>
      </c>
      <c r="H57" s="360">
        <v>0</v>
      </c>
      <c r="I57" s="360">
        <v>0</v>
      </c>
      <c r="J57" s="360">
        <v>0</v>
      </c>
      <c r="K57" s="360">
        <v>0</v>
      </c>
      <c r="M57" s="73" t="str">
        <f t="shared" si="4"/>
        <v>AM.4900</v>
      </c>
      <c r="N57" s="309" t="str">
        <f>+IF(TES[[#This Row],[ITEM]]=C57,"ok","mal")</f>
        <v>ok</v>
      </c>
      <c r="O57" s="360">
        <f t="shared" si="8"/>
        <v>0</v>
      </c>
      <c r="P57" s="332">
        <f>IF(VLOOKUP(TES[[#This Row],[ITEM]],TbPiezas[],5,0)="NA",0,VLOOKUP(TES[[#This Row],[ITEM]],TbPiezas[],5,0))</f>
        <v>4.0999999999999943</v>
      </c>
      <c r="Q57" s="81">
        <f>+TES[[#This Row],[TOTAL]]*TES[[#This Row],[P.U. (1)]]</f>
        <v>0</v>
      </c>
      <c r="R57" s="82">
        <f>+VLOOKUP(TES[[#This Row],[ITEM]],TbPiezas[],6,0)</f>
        <v>109.33</v>
      </c>
      <c r="S57" s="83">
        <f>+TES[[#This Row],[TOTAL]]*TES[[#This Row],[P.U. (2)]]</f>
        <v>0</v>
      </c>
      <c r="T57" s="82">
        <f>+VLOOKUP(TES[[#This Row],[ITEM]],TbPiezas[],7,0)</f>
        <v>5.4664999999999999</v>
      </c>
      <c r="U57" s="170">
        <f>+TES[[#This Row],[P.U. (3)]]*TES[[#This Row],[TOTAL]]</f>
        <v>0</v>
      </c>
    </row>
    <row r="58" spans="1:21" x14ac:dyDescent="0.3">
      <c r="A58" s="514"/>
      <c r="B58" s="135"/>
      <c r="C58" s="76" t="s">
        <v>107</v>
      </c>
      <c r="D58" s="76" t="s">
        <v>108</v>
      </c>
      <c r="F58" s="360">
        <v>0</v>
      </c>
      <c r="G58" s="360">
        <v>0</v>
      </c>
      <c r="H58" s="360">
        <v>0</v>
      </c>
      <c r="I58" s="360">
        <v>0</v>
      </c>
      <c r="J58" s="360">
        <v>0</v>
      </c>
      <c r="K58" s="360">
        <v>0</v>
      </c>
      <c r="M58" s="73" t="str">
        <f t="shared" si="4"/>
        <v>AM.5000</v>
      </c>
      <c r="N58" s="309" t="str">
        <f>+IF(TES[[#This Row],[ITEM]]=C58,"ok","mal")</f>
        <v>ok</v>
      </c>
      <c r="O58" s="360">
        <f t="shared" si="8"/>
        <v>0</v>
      </c>
      <c r="P58" s="332">
        <f>IF(VLOOKUP(TES[[#This Row],[ITEM]],TbPiezas[],5,0)="NA",0,VLOOKUP(TES[[#This Row],[ITEM]],TbPiezas[],5,0))</f>
        <v>0.5</v>
      </c>
      <c r="Q58" s="81">
        <f>+TES[[#This Row],[TOTAL]]*TES[[#This Row],[P.U. (1)]]</f>
        <v>0</v>
      </c>
      <c r="R58" s="82">
        <f>+VLOOKUP(TES[[#This Row],[ITEM]],TbPiezas[],6,0)</f>
        <v>91.83</v>
      </c>
      <c r="S58" s="83">
        <f>+TES[[#This Row],[TOTAL]]*TES[[#This Row],[P.U. (2)]]</f>
        <v>0</v>
      </c>
      <c r="T58" s="82">
        <f>+VLOOKUP(TES[[#This Row],[ITEM]],TbPiezas[],7,0)</f>
        <v>4.5914999999999999</v>
      </c>
      <c r="U58" s="170">
        <f>+TES[[#This Row],[P.U. (3)]]*TES[[#This Row],[TOTAL]]</f>
        <v>0</v>
      </c>
    </row>
    <row r="59" spans="1:21" x14ac:dyDescent="0.3">
      <c r="A59" s="514"/>
      <c r="B59" s="135"/>
      <c r="C59" s="76" t="s">
        <v>109</v>
      </c>
      <c r="D59" s="76" t="s">
        <v>110</v>
      </c>
      <c r="F59" s="139">
        <f>+IF(OR(F$6="FERMIN",F$6="ALUMINIO",F$6="GURSAM 60"),IF(OR(AND(F5=0,F4&gt;0),AND(F5&gt;0,F4&gt;0)),IF(ISEVEN(F4-F5),0.5*(F4-F5),0.5*(F4-F5)+0.5),0),0)+IF(OR(F6="",F7="",F5&gt;0,F6="GURSAM 120"),0,INDEX(Apoyo2Despiece!$D$3:$Y$18,MATCH($C59,Apoyo2Despiece!$C$3:$C$18,0),MATCH(CONCATENATE(Escalera!F$6,Escalera!F$7),Apoyo2Despiece!$D$2:$Y$2,0)))</f>
        <v>1</v>
      </c>
      <c r="G59" s="139">
        <f>+IF(OR(G$6="FERMIN",G$6="ALUMINIO",G$6="GURSAM 60"),IF(OR(AND(G5=0,G4&gt;0),AND(G5&gt;0,G4&gt;0)),IF(ISEVEN(G4-G5),0.5*(G4-G5),0.5*(G4-G5)+0.5),0),0)+IF(OR(G6="",G7="",G5&gt;0,G6="GURSAM 120"),0,INDEX(Apoyo2Despiece!$D$3:$Y$18,MATCH($C59,Apoyo2Despiece!$C$3:$C$18,0),MATCH(CONCATENATE(Escalera!G$6,Escalera!G$7),Apoyo2Despiece!$D$2:$Y$2,0)))</f>
        <v>0</v>
      </c>
      <c r="H59" s="139">
        <f>+IF(OR(H$6="FERMIN",H$6="ALUMINIO",H$6="GURSAM 60"),IF(OR(AND(H5=0,H4&gt;0),AND(H5&gt;0,H4&gt;0)),IF(ISEVEN(H4-H5),0.5*(H4-H5),0.5*(H4-H5)+0.5),0),0)+IF(OR(H6="",H7="",H5&gt;0,H6="GURSAM 120"),0,INDEX(Apoyo2Despiece!$D$3:$Y$18,MATCH($C59,Apoyo2Despiece!$C$3:$C$18,0),MATCH(CONCATENATE(Escalera!H$6,Escalera!H$7),Apoyo2Despiece!$D$2:$Y$2,0)))</f>
        <v>0</v>
      </c>
      <c r="I59" s="139">
        <f>+IF(OR(I$6="FERMIN",I$6="ALUMINIO",I$6="GURSAM 60"),IF(OR(AND(I5=0,I4&gt;0),AND(I5&gt;0,I4&gt;0)),IF(ISEVEN(I4-I5),0.5*(I4-I5),0.5*(I4-I5)+0.5),0),0)+IF(OR(I6="",I7="",I5&gt;0,I6="GURSAM 120"),0,INDEX(Apoyo2Despiece!$D$3:$Y$18,MATCH($C59,Apoyo2Despiece!$C$3:$C$18,0),MATCH(CONCATENATE(Escalera!I$6,Escalera!I$7),Apoyo2Despiece!$D$2:$Y$2,0)))</f>
        <v>0</v>
      </c>
      <c r="J59" s="139">
        <f>+IF(OR(J$6="FERMIN",J$6="ALUMINIO",J$6="GURSAM 60"),IF(OR(AND(J5=0,J4&gt;0),AND(J5&gt;0,J4&gt;0)),IF(ISEVEN(J4-J5),0.5*(J4-J5),0.5*(J4-J5)+0.5),0),0)+IF(OR(J6="",J7="",J5&gt;0,J6="GURSAM 120"),0,INDEX(Apoyo2Despiece!$D$3:$Y$18,MATCH($C59,Apoyo2Despiece!$C$3:$C$18,0),MATCH(CONCATENATE(Escalera!J$6,Escalera!J$7),Apoyo2Despiece!$D$2:$Y$2,0)))</f>
        <v>0</v>
      </c>
      <c r="K59" s="139">
        <f>+IF(OR(K$6="FERMIN",K$6="ALUMINIO",K$6="GURSAM 60"),IF(OR(AND(K5=0,K4&gt;0),AND(K5&gt;0,K4&gt;0)),IF(ISEVEN(K4-K5),0.5*(K4-K5),0.5*(K4-K5)+0.5),0),0)+IF(OR(K6="",K7="",K5&gt;0,K6="GURSAM 120"),0,INDEX(Apoyo2Despiece!$D$3:$Y$18,MATCH($C59,Apoyo2Despiece!$C$3:$C$18,0),MATCH(CONCATENATE(Escalera!K$6,Escalera!K$7),Apoyo2Despiece!$D$2:$Y$2,0)))</f>
        <v>0</v>
      </c>
      <c r="M59" s="73" t="str">
        <f t="shared" si="4"/>
        <v>AM.5100</v>
      </c>
      <c r="N59" s="309" t="str">
        <f>+IF(TES[[#This Row],[ITEM]]=C59,"ok","mal")</f>
        <v>ok</v>
      </c>
      <c r="O59" s="330">
        <f t="shared" si="8"/>
        <v>1</v>
      </c>
      <c r="P59" s="332">
        <f>IF(VLOOKUP(TES[[#This Row],[ITEM]],TbPiezas[],5,0)="NA",0,VLOOKUP(TES[[#This Row],[ITEM]],TbPiezas[],5,0))</f>
        <v>11.299999999999997</v>
      </c>
      <c r="Q59" s="81">
        <f>+TES[[#This Row],[TOTAL]]*TES[[#This Row],[P.U. (1)]]</f>
        <v>11.299999999999997</v>
      </c>
      <c r="R59" s="82">
        <f>+VLOOKUP(TES[[#This Row],[ITEM]],TbPiezas[],6,0)</f>
        <v>316.13</v>
      </c>
      <c r="S59" s="83">
        <f>+TES[[#This Row],[TOTAL]]*TES[[#This Row],[P.U. (2)]]</f>
        <v>316.13</v>
      </c>
      <c r="T59" s="82">
        <f>+VLOOKUP(TES[[#This Row],[ITEM]],TbPiezas[],7,0)</f>
        <v>15.8065</v>
      </c>
      <c r="U59" s="170">
        <f>+TES[[#This Row],[P.U. (3)]]*TES[[#This Row],[TOTAL]]</f>
        <v>15.8065</v>
      </c>
    </row>
    <row r="60" spans="1:21" x14ac:dyDescent="0.3">
      <c r="A60" s="517"/>
      <c r="B60" s="135"/>
      <c r="C60" s="76" t="s">
        <v>111</v>
      </c>
      <c r="D60" s="76" t="s">
        <v>112</v>
      </c>
      <c r="F60" s="139">
        <f t="shared" ref="F60:K60" si="9">+IF(F$6="GURSAM 120",IF(AND(F5=0,F4&gt;0),IF(ISEVEN(F4-F5),2*(F4-F5)-1,"NE"),IF(AND(F5&gt;0,F4&gt;0),2*(F4-F5),"NE")),0)</f>
        <v>0</v>
      </c>
      <c r="G60" s="139">
        <f t="shared" si="9"/>
        <v>0</v>
      </c>
      <c r="H60" s="139">
        <f t="shared" si="9"/>
        <v>0</v>
      </c>
      <c r="I60" s="139">
        <f t="shared" si="9"/>
        <v>0</v>
      </c>
      <c r="J60" s="139">
        <f t="shared" si="9"/>
        <v>0</v>
      </c>
      <c r="K60" s="139">
        <f t="shared" si="9"/>
        <v>0</v>
      </c>
      <c r="M60" s="73" t="str">
        <f t="shared" si="4"/>
        <v>AM.5200</v>
      </c>
      <c r="N60" s="309" t="str">
        <f>+IF(TES[[#This Row],[ITEM]]=C60,"ok","mal")</f>
        <v>ok</v>
      </c>
      <c r="O60" s="330">
        <f t="shared" si="8"/>
        <v>0</v>
      </c>
      <c r="P60" s="332">
        <f>IF(VLOOKUP(TES[[#This Row],[ITEM]],TbPiezas[],5,0)="NA",0,VLOOKUP(TES[[#This Row],[ITEM]],TbPiezas[],5,0))</f>
        <v>10.899999999999991</v>
      </c>
      <c r="Q60" s="81">
        <f>+TES[[#This Row],[TOTAL]]*TES[[#This Row],[P.U. (1)]]</f>
        <v>0</v>
      </c>
      <c r="R60" s="82">
        <f>+VLOOKUP(TES[[#This Row],[ITEM]],TbPiezas[],6,0)</f>
        <v>302.58</v>
      </c>
      <c r="S60" s="83">
        <f>+TES[[#This Row],[TOTAL]]*TES[[#This Row],[P.U. (2)]]</f>
        <v>0</v>
      </c>
      <c r="T60" s="82">
        <f>+VLOOKUP(TES[[#This Row],[ITEM]],TbPiezas[],7,0)</f>
        <v>15.129</v>
      </c>
      <c r="U60" s="170">
        <f>+TES[[#This Row],[P.U. (3)]]*TES[[#This Row],[TOTAL]]</f>
        <v>0</v>
      </c>
    </row>
    <row r="61" spans="1:21" x14ac:dyDescent="0.3">
      <c r="A61" s="517"/>
      <c r="B61" s="135"/>
      <c r="C61" s="76" t="s">
        <v>113</v>
      </c>
      <c r="D61" s="76" t="s">
        <v>114</v>
      </c>
      <c r="F61" s="139">
        <f t="shared" ref="F61:K61" si="10">+IF(OR(F$6="EUROPEA",F$6="GURSAM 120"),IF(OR(AND(F5=0,F4&gt;0),AND(F5&gt;0,F4&gt;0)),IF(ISEVEN(F4-F5),0.5*(F4-F5),"NE"),0),0)</f>
        <v>0</v>
      </c>
      <c r="G61" s="139">
        <f t="shared" si="10"/>
        <v>0</v>
      </c>
      <c r="H61" s="139">
        <f t="shared" si="10"/>
        <v>0</v>
      </c>
      <c r="I61" s="139">
        <f t="shared" si="10"/>
        <v>0</v>
      </c>
      <c r="J61" s="139">
        <f t="shared" si="10"/>
        <v>0</v>
      </c>
      <c r="K61" s="139">
        <f t="shared" si="10"/>
        <v>0</v>
      </c>
      <c r="M61" s="73" t="str">
        <f t="shared" si="4"/>
        <v>AM.5300</v>
      </c>
      <c r="N61" s="309" t="str">
        <f>+IF(TES[[#This Row],[ITEM]]=C61,"ok","mal")</f>
        <v>ok</v>
      </c>
      <c r="O61" s="330">
        <f t="shared" si="8"/>
        <v>0</v>
      </c>
      <c r="P61" s="332">
        <f>IF(VLOOKUP(TES[[#This Row],[ITEM]],TbPiezas[],5,0)="NA",0,VLOOKUP(TES[[#This Row],[ITEM]],TbPiezas[],5,0))</f>
        <v>7.5</v>
      </c>
      <c r="Q61" s="81">
        <f>+TES[[#This Row],[TOTAL]]*TES[[#This Row],[P.U. (1)]]</f>
        <v>0</v>
      </c>
      <c r="R61" s="82">
        <f>+VLOOKUP(TES[[#This Row],[ITEM]],TbPiezas[],6,0)</f>
        <v>291.14</v>
      </c>
      <c r="S61" s="83">
        <f>+TES[[#This Row],[TOTAL]]*TES[[#This Row],[P.U. (2)]]</f>
        <v>0</v>
      </c>
      <c r="T61" s="82">
        <f>+VLOOKUP(TES[[#This Row],[ITEM]],TbPiezas[],7,0)</f>
        <v>14.557</v>
      </c>
      <c r="U61" s="170">
        <f>+TES[[#This Row],[P.U. (3)]]*TES[[#This Row],[TOTAL]]</f>
        <v>0</v>
      </c>
    </row>
    <row r="62" spans="1:21" x14ac:dyDescent="0.3">
      <c r="A62" s="514"/>
      <c r="B62" s="135"/>
      <c r="C62" s="76" t="s">
        <v>115</v>
      </c>
      <c r="D62" s="76" t="s">
        <v>116</v>
      </c>
      <c r="F62" s="139">
        <f t="shared" ref="F62:K62" si="11">+IF(OR(F$6="FERMIN",F$6="ALUMINIO",F$6="GURSAM 60"),IF(AND(F5=0,F4&gt;0),IF(ISEVEN(F4-F5),(F4-F5)-1,(F4-F5)),IF(AND(F5&gt;0,F4&gt;0),IF(ISEVEN(F4-F5),(F4-F5),(F4-F5)+1),0)),IF(F$6="EUROPEA",IF(AND(F5&gt;=0,F4&gt;0),IF(ISEVEN(F4-F5),1.5*(F4-F5),"NE"),0),0))</f>
        <v>1</v>
      </c>
      <c r="G62" s="139">
        <f t="shared" si="11"/>
        <v>0</v>
      </c>
      <c r="H62" s="139">
        <f t="shared" si="11"/>
        <v>0</v>
      </c>
      <c r="I62" s="139">
        <f t="shared" si="11"/>
        <v>0</v>
      </c>
      <c r="J62" s="139">
        <f t="shared" si="11"/>
        <v>0</v>
      </c>
      <c r="K62" s="139">
        <f t="shared" si="11"/>
        <v>0</v>
      </c>
      <c r="M62" s="73" t="str">
        <f t="shared" si="4"/>
        <v>AM.5400</v>
      </c>
      <c r="N62" s="309" t="str">
        <f>+IF(TES[[#This Row],[ITEM]]=C62,"ok","mal")</f>
        <v>ok</v>
      </c>
      <c r="O62" s="330">
        <f t="shared" si="8"/>
        <v>1</v>
      </c>
      <c r="P62" s="332">
        <f>IF(VLOOKUP(TES[[#This Row],[ITEM]],TbPiezas[],5,0)="NA",0,VLOOKUP(TES[[#This Row],[ITEM]],TbPiezas[],5,0))</f>
        <v>6.5999999999999943</v>
      </c>
      <c r="Q62" s="81">
        <f>+TES[[#This Row],[TOTAL]]*TES[[#This Row],[P.U. (1)]]</f>
        <v>6.5999999999999943</v>
      </c>
      <c r="R62" s="82">
        <f>+VLOOKUP(TES[[#This Row],[ITEM]],TbPiezas[],6,0)</f>
        <v>280.58999999999997</v>
      </c>
      <c r="S62" s="83">
        <f>+TES[[#This Row],[TOTAL]]*TES[[#This Row],[P.U. (2)]]</f>
        <v>280.58999999999997</v>
      </c>
      <c r="T62" s="82">
        <f>+VLOOKUP(TES[[#This Row],[ITEM]],TbPiezas[],7,0)</f>
        <v>14.029499999999999</v>
      </c>
      <c r="U62" s="170">
        <f>+TES[[#This Row],[P.U. (3)]]*TES[[#This Row],[TOTAL]]</f>
        <v>14.029499999999999</v>
      </c>
    </row>
    <row r="63" spans="1:21" x14ac:dyDescent="0.3">
      <c r="A63" s="514"/>
      <c r="B63" s="135"/>
      <c r="C63" s="76" t="s">
        <v>117</v>
      </c>
      <c r="D63" s="76" t="s">
        <v>118</v>
      </c>
      <c r="F63" s="360">
        <v>0</v>
      </c>
      <c r="G63" s="360">
        <v>0</v>
      </c>
      <c r="H63" s="360">
        <v>0</v>
      </c>
      <c r="I63" s="360">
        <v>0</v>
      </c>
      <c r="J63" s="360">
        <v>0</v>
      </c>
      <c r="K63" s="360">
        <v>0</v>
      </c>
      <c r="M63" s="73" t="str">
        <f t="shared" si="4"/>
        <v>AM.5500</v>
      </c>
      <c r="N63" s="309" t="str">
        <f>+IF(TES[[#This Row],[ITEM]]=C63,"ok","mal")</f>
        <v>ok</v>
      </c>
      <c r="O63" s="360">
        <f t="shared" si="8"/>
        <v>0</v>
      </c>
      <c r="P63" s="332">
        <f>IF(VLOOKUP(TES[[#This Row],[ITEM]],TbPiezas[],5,0)="NA",0,VLOOKUP(TES[[#This Row],[ITEM]],TbPiezas[],5,0))</f>
        <v>6</v>
      </c>
      <c r="Q63" s="81">
        <f>+TES[[#This Row],[TOTAL]]*TES[[#This Row],[P.U. (1)]]</f>
        <v>0</v>
      </c>
      <c r="R63" s="82">
        <f>+VLOOKUP(TES[[#This Row],[ITEM]],TbPiezas[],6,0)</f>
        <v>280.58999999999997</v>
      </c>
      <c r="S63" s="83">
        <f>+TES[[#This Row],[TOTAL]]*TES[[#This Row],[P.U. (2)]]</f>
        <v>0</v>
      </c>
      <c r="T63" s="82">
        <f>+VLOOKUP(TES[[#This Row],[ITEM]],TbPiezas[],7,0)</f>
        <v>14.029499999999999</v>
      </c>
      <c r="U63" s="170">
        <f>+TES[[#This Row],[P.U. (3)]]*TES[[#This Row],[TOTAL]]</f>
        <v>0</v>
      </c>
    </row>
    <row r="64" spans="1:21" x14ac:dyDescent="0.3">
      <c r="A64" s="514"/>
      <c r="B64" s="135"/>
      <c r="C64" s="76" t="s">
        <v>119</v>
      </c>
      <c r="D64" s="76" t="s">
        <v>120</v>
      </c>
      <c r="F64" s="360">
        <v>0</v>
      </c>
      <c r="G64" s="360">
        <v>0</v>
      </c>
      <c r="H64" s="360">
        <v>0</v>
      </c>
      <c r="I64" s="360">
        <v>0</v>
      </c>
      <c r="J64" s="360">
        <v>0</v>
      </c>
      <c r="K64" s="360">
        <v>0</v>
      </c>
      <c r="M64" s="73" t="str">
        <f t="shared" si="4"/>
        <v>AM.5600</v>
      </c>
      <c r="N64" s="309" t="str">
        <f>+IF(TES[[#This Row],[ITEM]]=C64,"ok","mal")</f>
        <v>ok</v>
      </c>
      <c r="O64" s="360">
        <f t="shared" si="8"/>
        <v>0</v>
      </c>
      <c r="P64" s="332">
        <f>IF(VLOOKUP(TES[[#This Row],[ITEM]],TbPiezas[],5,0)="NA",0,VLOOKUP(TES[[#This Row],[ITEM]],TbPiezas[],5,0))</f>
        <v>4.2000000000000028</v>
      </c>
      <c r="Q64" s="81">
        <f>+TES[[#This Row],[TOTAL]]*TES[[#This Row],[P.U. (1)]]</f>
        <v>0</v>
      </c>
      <c r="R64" s="82">
        <f>+VLOOKUP(TES[[#This Row],[ITEM]],TbPiezas[],6,0)</f>
        <v>266.81</v>
      </c>
      <c r="S64" s="83">
        <f>+TES[[#This Row],[TOTAL]]*TES[[#This Row],[P.U. (2)]]</f>
        <v>0</v>
      </c>
      <c r="T64" s="82">
        <f>+VLOOKUP(TES[[#This Row],[ITEM]],TbPiezas[],7,0)</f>
        <v>13.3405</v>
      </c>
      <c r="U64" s="170">
        <f>+TES[[#This Row],[P.U. (3)]]*TES[[#This Row],[TOTAL]]</f>
        <v>0</v>
      </c>
    </row>
    <row r="65" spans="1:21" x14ac:dyDescent="0.3">
      <c r="A65" s="514"/>
      <c r="B65" s="135"/>
      <c r="C65" s="76" t="s">
        <v>129</v>
      </c>
      <c r="D65" s="76" t="s">
        <v>130</v>
      </c>
      <c r="F65" s="360">
        <v>0</v>
      </c>
      <c r="G65" s="360">
        <v>0</v>
      </c>
      <c r="H65" s="360">
        <v>0</v>
      </c>
      <c r="I65" s="360">
        <v>0</v>
      </c>
      <c r="J65" s="360">
        <v>0</v>
      </c>
      <c r="K65" s="360">
        <v>0</v>
      </c>
      <c r="M65" s="73" t="str">
        <f t="shared" si="4"/>
        <v>AM.6000</v>
      </c>
      <c r="N65" s="309" t="str">
        <f>+IF(TES[[#This Row],[ITEM]]=C65,"ok","mal")</f>
        <v>ok</v>
      </c>
      <c r="O65" s="360">
        <f t="shared" si="8"/>
        <v>0</v>
      </c>
      <c r="P65" s="332">
        <f>IF(VLOOKUP(TES[[#This Row],[ITEM]],TbPiezas[],5,0)="NA",0,VLOOKUP(TES[[#This Row],[ITEM]],TbPiezas[],5,0))</f>
        <v>18.599999999999994</v>
      </c>
      <c r="Q65" s="81">
        <f>+TES[[#This Row],[TOTAL]]*TES[[#This Row],[P.U. (1)]]</f>
        <v>0</v>
      </c>
      <c r="R65" s="82">
        <f>+VLOOKUP(TES[[#This Row],[ITEM]],TbPiezas[],6,0)</f>
        <v>654.70000000000005</v>
      </c>
      <c r="S65" s="83">
        <f>+TES[[#This Row],[TOTAL]]*TES[[#This Row],[P.U. (2)]]</f>
        <v>0</v>
      </c>
      <c r="T65" s="82">
        <f>+VLOOKUP(TES[[#This Row],[ITEM]],TbPiezas[],7,0)</f>
        <v>32.735000000000007</v>
      </c>
      <c r="U65" s="170">
        <f>+TES[[#This Row],[P.U. (3)]]*TES[[#This Row],[TOTAL]]</f>
        <v>0</v>
      </c>
    </row>
    <row r="66" spans="1:21" x14ac:dyDescent="0.3">
      <c r="A66" s="514"/>
      <c r="B66" s="135"/>
      <c r="C66" s="76" t="s">
        <v>131</v>
      </c>
      <c r="D66" s="76" t="s">
        <v>132</v>
      </c>
      <c r="F66" s="360">
        <v>0</v>
      </c>
      <c r="G66" s="360">
        <v>0</v>
      </c>
      <c r="H66" s="360">
        <v>0</v>
      </c>
      <c r="I66" s="360">
        <v>0</v>
      </c>
      <c r="J66" s="360">
        <v>0</v>
      </c>
      <c r="K66" s="360">
        <v>0</v>
      </c>
      <c r="M66" s="73" t="str">
        <f t="shared" si="4"/>
        <v>AM.6100</v>
      </c>
      <c r="N66" s="309" t="str">
        <f>+IF(TES[[#This Row],[ITEM]]=C66,"ok","mal")</f>
        <v>ok</v>
      </c>
      <c r="O66" s="360">
        <f t="shared" si="8"/>
        <v>0</v>
      </c>
      <c r="P66" s="332">
        <f>IF(VLOOKUP(TES[[#This Row],[ITEM]],TbPiezas[],5,0)="NA",0,VLOOKUP(TES[[#This Row],[ITEM]],TbPiezas[],5,0))</f>
        <v>15.2</v>
      </c>
      <c r="Q66" s="81">
        <f>+TES[[#This Row],[TOTAL]]*TES[[#This Row],[P.U. (1)]]</f>
        <v>0</v>
      </c>
      <c r="R66" s="82">
        <f>+VLOOKUP(TES[[#This Row],[ITEM]],TbPiezas[],6,0)</f>
        <v>575.04</v>
      </c>
      <c r="S66" s="83">
        <f>+TES[[#This Row],[TOTAL]]*TES[[#This Row],[P.U. (2)]]</f>
        <v>0</v>
      </c>
      <c r="T66" s="82">
        <f>+VLOOKUP(TES[[#This Row],[ITEM]],TbPiezas[],7,0)</f>
        <v>28.751999999999999</v>
      </c>
      <c r="U66" s="170">
        <f>+TES[[#This Row],[P.U. (3)]]*TES[[#This Row],[TOTAL]]</f>
        <v>0</v>
      </c>
    </row>
    <row r="67" spans="1:21" x14ac:dyDescent="0.3">
      <c r="A67" s="514"/>
      <c r="B67" s="135"/>
      <c r="C67" s="76" t="s">
        <v>133</v>
      </c>
      <c r="D67" s="76" t="s">
        <v>134</v>
      </c>
      <c r="F67" s="360">
        <v>0</v>
      </c>
      <c r="G67" s="360">
        <v>0</v>
      </c>
      <c r="H67" s="360">
        <v>0</v>
      </c>
      <c r="I67" s="360">
        <v>0</v>
      </c>
      <c r="J67" s="360">
        <v>0</v>
      </c>
      <c r="K67" s="360">
        <v>0</v>
      </c>
      <c r="M67" s="73" t="str">
        <f t="shared" si="4"/>
        <v>AM.6200</v>
      </c>
      <c r="N67" s="309" t="str">
        <f>+IF(TES[[#This Row],[ITEM]]=C67,"ok","mal")</f>
        <v>ok</v>
      </c>
      <c r="O67" s="360">
        <f t="shared" si="8"/>
        <v>0</v>
      </c>
      <c r="P67" s="332">
        <f>IF(VLOOKUP(TES[[#This Row],[ITEM]],TbPiezas[],5,0)="NA",0,VLOOKUP(TES[[#This Row],[ITEM]],TbPiezas[],5,0))</f>
        <v>11.799999999999997</v>
      </c>
      <c r="Q67" s="81">
        <f>+TES[[#This Row],[TOTAL]]*TES[[#This Row],[P.U. (1)]]</f>
        <v>0</v>
      </c>
      <c r="R67" s="82">
        <f>+VLOOKUP(TES[[#This Row],[ITEM]],TbPiezas[],6,0)</f>
        <v>496.07</v>
      </c>
      <c r="S67" s="83">
        <f>+TES[[#This Row],[TOTAL]]*TES[[#This Row],[P.U. (2)]]</f>
        <v>0</v>
      </c>
      <c r="T67" s="82">
        <f>+VLOOKUP(TES[[#This Row],[ITEM]],TbPiezas[],7,0)</f>
        <v>24.8035</v>
      </c>
      <c r="U67" s="170">
        <f>+TES[[#This Row],[P.U. (3)]]*TES[[#This Row],[TOTAL]]</f>
        <v>0</v>
      </c>
    </row>
    <row r="68" spans="1:21" x14ac:dyDescent="0.3">
      <c r="A68" s="514"/>
      <c r="B68" s="135"/>
      <c r="C68" s="76" t="s">
        <v>135</v>
      </c>
      <c r="D68" s="76" t="s">
        <v>136</v>
      </c>
      <c r="F68" s="360">
        <v>0</v>
      </c>
      <c r="G68" s="360">
        <v>0</v>
      </c>
      <c r="H68" s="360">
        <v>0</v>
      </c>
      <c r="I68" s="360">
        <v>0</v>
      </c>
      <c r="J68" s="360">
        <v>0</v>
      </c>
      <c r="K68" s="360">
        <v>0</v>
      </c>
      <c r="M68" s="73" t="str">
        <f t="shared" si="4"/>
        <v>AM.6300</v>
      </c>
      <c r="N68" s="309" t="str">
        <f>+IF(TES[[#This Row],[ITEM]]=C68,"ok","mal")</f>
        <v>ok</v>
      </c>
      <c r="O68" s="360">
        <f t="shared" si="8"/>
        <v>0</v>
      </c>
      <c r="P68" s="332">
        <f>IF(VLOOKUP(TES[[#This Row],[ITEM]],TbPiezas[],5,0)="NA",0,VLOOKUP(TES[[#This Row],[ITEM]],TbPiezas[],5,0))</f>
        <v>9.8999999999999915</v>
      </c>
      <c r="Q68" s="81">
        <f>+TES[[#This Row],[TOTAL]]*TES[[#This Row],[P.U. (1)]]</f>
        <v>0</v>
      </c>
      <c r="R68" s="82">
        <f>+VLOOKUP(TES[[#This Row],[ITEM]],TbPiezas[],6,0)</f>
        <v>484.34</v>
      </c>
      <c r="S68" s="83">
        <f>+TES[[#This Row],[TOTAL]]*TES[[#This Row],[P.U. (2)]]</f>
        <v>0</v>
      </c>
      <c r="T68" s="82">
        <f>+VLOOKUP(TES[[#This Row],[ITEM]],TbPiezas[],7,0)</f>
        <v>24.216999999999999</v>
      </c>
      <c r="U68" s="170">
        <f>+TES[[#This Row],[P.U. (3)]]*TES[[#This Row],[TOTAL]]</f>
        <v>0</v>
      </c>
    </row>
    <row r="69" spans="1:21" x14ac:dyDescent="0.3">
      <c r="A69" s="514"/>
      <c r="B69" s="135"/>
      <c r="C69" s="76" t="s">
        <v>137</v>
      </c>
      <c r="D69" s="76" t="s">
        <v>138</v>
      </c>
      <c r="F69" s="360">
        <v>0</v>
      </c>
      <c r="G69" s="360">
        <v>0</v>
      </c>
      <c r="H69" s="360">
        <v>0</v>
      </c>
      <c r="I69" s="360">
        <v>0</v>
      </c>
      <c r="J69" s="360">
        <v>0</v>
      </c>
      <c r="K69" s="360">
        <v>0</v>
      </c>
      <c r="M69" s="73" t="str">
        <f t="shared" si="4"/>
        <v>AM.6400</v>
      </c>
      <c r="N69" s="309" t="str">
        <f>+IF(TES[[#This Row],[ITEM]]=C69,"ok","mal")</f>
        <v>ok</v>
      </c>
      <c r="O69" s="360">
        <f t="shared" si="8"/>
        <v>0</v>
      </c>
      <c r="P69" s="332">
        <f>IF(VLOOKUP(TES[[#This Row],[ITEM]],TbPiezas[],5,0)="NA",0,VLOOKUP(TES[[#This Row],[ITEM]],TbPiezas[],5,0))</f>
        <v>5.7999999999999972</v>
      </c>
      <c r="Q69" s="81">
        <f>+TES[[#This Row],[TOTAL]]*TES[[#This Row],[P.U. (1)]]</f>
        <v>0</v>
      </c>
      <c r="R69" s="82">
        <f>+VLOOKUP(TES[[#This Row],[ITEM]],TbPiezas[],6,0)</f>
        <v>452.11</v>
      </c>
      <c r="S69" s="83">
        <f>+TES[[#This Row],[TOTAL]]*TES[[#This Row],[P.U. (2)]]</f>
        <v>0</v>
      </c>
      <c r="T69" s="82">
        <f>+VLOOKUP(TES[[#This Row],[ITEM]],TbPiezas[],7,0)</f>
        <v>22.605500000000003</v>
      </c>
      <c r="U69" s="170">
        <f>+TES[[#This Row],[P.U. (3)]]*TES[[#This Row],[TOTAL]]</f>
        <v>0</v>
      </c>
    </row>
    <row r="70" spans="1:21" x14ac:dyDescent="0.3">
      <c r="A70" s="514"/>
      <c r="B70" s="135"/>
      <c r="C70" s="76" t="s">
        <v>139</v>
      </c>
      <c r="D70" s="76" t="s">
        <v>140</v>
      </c>
      <c r="F70" s="360">
        <v>0</v>
      </c>
      <c r="G70" s="360">
        <v>0</v>
      </c>
      <c r="H70" s="360">
        <v>0</v>
      </c>
      <c r="I70" s="360">
        <v>0</v>
      </c>
      <c r="J70" s="360">
        <v>0</v>
      </c>
      <c r="K70" s="360">
        <v>0</v>
      </c>
      <c r="M70" s="73" t="str">
        <f t="shared" si="4"/>
        <v>AM.6500</v>
      </c>
      <c r="N70" s="309" t="str">
        <f>+IF(TES[[#This Row],[ITEM]]=C70,"ok","mal")</f>
        <v>ok</v>
      </c>
      <c r="O70" s="360">
        <f t="shared" si="8"/>
        <v>0</v>
      </c>
      <c r="P70" s="332">
        <f>IF(VLOOKUP(TES[[#This Row],[ITEM]],TbPiezas[],5,0)="NA",0,VLOOKUP(TES[[#This Row],[ITEM]],TbPiezas[],5,0))</f>
        <v>5.0999999999999943</v>
      </c>
      <c r="Q70" s="81">
        <f>+TES[[#This Row],[TOTAL]]*TES[[#This Row],[P.U. (1)]]</f>
        <v>0</v>
      </c>
      <c r="R70" s="82">
        <f>+VLOOKUP(TES[[#This Row],[ITEM]],TbPiezas[],6,0)</f>
        <v>408.3</v>
      </c>
      <c r="S70" s="83">
        <f>+TES[[#This Row],[TOTAL]]*TES[[#This Row],[P.U. (2)]]</f>
        <v>0</v>
      </c>
      <c r="T70" s="82">
        <f>+VLOOKUP(TES[[#This Row],[ITEM]],TbPiezas[],7,0)</f>
        <v>20.415000000000003</v>
      </c>
      <c r="U70" s="170">
        <f>+TES[[#This Row],[P.U. (3)]]*TES[[#This Row],[TOTAL]]</f>
        <v>0</v>
      </c>
    </row>
    <row r="71" spans="1:21" x14ac:dyDescent="0.3">
      <c r="A71" s="517"/>
      <c r="B71" s="135"/>
      <c r="C71" s="76" t="s">
        <v>141</v>
      </c>
      <c r="D71" s="76" t="s">
        <v>142</v>
      </c>
      <c r="F71" s="139">
        <f>+IF(OR(F6="",F7="",F5&gt;0,F6="GURSAM 120"),0,INDEX(Apoyo2Despiece!$D$3:$Y$18,MATCH($C71,Apoyo2Despiece!$C$3:$C$18,0),MATCH(CONCATENATE(Escalera!F$6,Escalera!F$7),Apoyo2Despiece!$D$2:$Y$2,0)))</f>
        <v>0</v>
      </c>
      <c r="G71" s="139">
        <f>+IF(OR(G6="",G7="",G5&gt;0,G6="GURSAM 120"),0,INDEX(Apoyo2Despiece!$D$3:$Y$18,MATCH($C71,Apoyo2Despiece!$C$3:$C$18,0),MATCH(CONCATENATE(Escalera!G$6,Escalera!G$7),Apoyo2Despiece!$D$2:$Y$2,0)))</f>
        <v>0</v>
      </c>
      <c r="H71" s="139">
        <f>+IF(OR(H6="",H7="",H5&gt;0,H6="GURSAM 120"),0,INDEX(Apoyo2Despiece!$D$3:$Y$18,MATCH($C71,Apoyo2Despiece!$C$3:$C$18,0),MATCH(CONCATENATE(Escalera!H$6,Escalera!H$7),Apoyo2Despiece!$D$2:$Y$2,0)))</f>
        <v>0</v>
      </c>
      <c r="I71" s="139">
        <f>+IF(OR(I6="",I7="",I5&gt;0,I6="GURSAM 120"),0,INDEX(Apoyo2Despiece!$D$3:$Y$18,MATCH($C71,Apoyo2Despiece!$C$3:$C$18,0),MATCH(CONCATENATE(Escalera!I$6,Escalera!I$7),Apoyo2Despiece!$D$2:$Y$2,0)))</f>
        <v>0</v>
      </c>
      <c r="J71" s="139">
        <f>+IF(OR(J6="",J7="",J5&gt;0,J6="GURSAM 120"),0,INDEX(Apoyo2Despiece!$D$3:$Y$18,MATCH($C71,Apoyo2Despiece!$C$3:$C$18,0),MATCH(CONCATENATE(Escalera!J$6,Escalera!J$7),Apoyo2Despiece!$D$2:$Y$2,0)))</f>
        <v>0</v>
      </c>
      <c r="K71" s="139">
        <f>+IF(OR(K6="",K7="",K5&gt;0,K6="GURSAM 120"),0,INDEX(Apoyo2Despiece!$D$3:$Y$18,MATCH($C71,Apoyo2Despiece!$C$3:$C$18,0),MATCH(CONCATENATE(Escalera!K$6,Escalera!K$7),Apoyo2Despiece!$D$2:$Y$2,0)))</f>
        <v>0</v>
      </c>
      <c r="M71" s="73" t="str">
        <f t="shared" si="4"/>
        <v>AM.6600</v>
      </c>
      <c r="N71" s="309" t="str">
        <f>+IF(TES[[#This Row],[ITEM]]=C71,"ok","mal")</f>
        <v>ok</v>
      </c>
      <c r="O71" s="330">
        <f t="shared" si="8"/>
        <v>0</v>
      </c>
      <c r="P71" s="332">
        <f>IF(VLOOKUP(TES[[#This Row],[ITEM]],TbPiezas[],5,0)="NA",0,VLOOKUP(TES[[#This Row],[ITEM]],TbPiezas[],5,0))</f>
        <v>24</v>
      </c>
      <c r="Q71" s="81">
        <f>+TES[[#This Row],[TOTAL]]*TES[[#This Row],[P.U. (1)]]</f>
        <v>0</v>
      </c>
      <c r="R71" s="82">
        <f>+VLOOKUP(TES[[#This Row],[ITEM]],TbPiezas[],6,0)</f>
        <v>654.70000000000005</v>
      </c>
      <c r="S71" s="83">
        <f>+TES[[#This Row],[TOTAL]]*TES[[#This Row],[P.U. (2)]]</f>
        <v>0</v>
      </c>
      <c r="T71" s="82">
        <f>+VLOOKUP(TES[[#This Row],[ITEM]],TbPiezas[],7,0)</f>
        <v>32.735000000000007</v>
      </c>
      <c r="U71" s="170">
        <f>+TES[[#This Row],[P.U. (3)]]*TES[[#This Row],[TOTAL]]</f>
        <v>0</v>
      </c>
    </row>
    <row r="72" spans="1:21" x14ac:dyDescent="0.3">
      <c r="A72" s="517"/>
      <c r="B72" s="135"/>
      <c r="C72" s="76" t="s">
        <v>143</v>
      </c>
      <c r="D72" s="76" t="s">
        <v>144</v>
      </c>
      <c r="F72" s="139">
        <f>+IF(F6="GURSAM 120",IF(AND(F5=0,F4&gt;0),IF(ISEVEN(F4-F5),IF(F9=732,2,IF(F9=1090,3,IF(F9=1572,4,0)))*(0.5*(F4-F5)+1),"NE"),IF(AND(F5&gt;0,F4&gt;0),IF(ISEVEN(F4-F5),IF(F9=732,2,IF(F9=1090,3,IF(F9=1572,4,0)))*0.5*(F4-F5),"NE"),0)),0)+IF(OR(F6="",F7="",F5&gt;0,F6="GURSAM 120"),0,INDEX(Apoyo2Despiece!$D$3:$Y$18,MATCH($C72,Apoyo2Despiece!$C$3:$C$18,0),MATCH(CONCATENATE(Escalera!F$6,Escalera!F$7),Apoyo2Despiece!$D$2:$Y$2,0)))+IF(OR(F6="",F7="",F5&gt;0,F6="GURSAM 60",F6="EUROPEA",F6="FERMIN",F6="ALUMINIO"),0,INDEX(Apoyo2Despiece!$D$3:$AG$18,MATCH($C72,Apoyo2Despiece!$C$3:$C$18,0),MATCH(CONCATENATE(F$6,F$7,F$9),Apoyo2Despiece!$D$2:$AG$2,0)))</f>
        <v>0</v>
      </c>
      <c r="G72" s="139">
        <f>+IF(G6="GURSAM 120",IF(AND(G5=0,G4&gt;0),IF(ISEVEN(G4-G5),IF(G9=732,2,IF(G9=1090,3,IF(G9=1572,4,0)))*(0.5*(G4-G5)+1),"NE"),IF(AND(G5&gt;0,G4&gt;0),IF(ISEVEN(G4-G5),IF(G9=732,2,IF(G9=1090,3,IF(G9=1572,4,0)))*0.5*(G4-G5),"NE"),0)),0)+IF(OR(G6="",G7="",G5&gt;0,G6="GURSAM 120"),0,INDEX(Apoyo2Despiece!$D$3:$Y$18,MATCH($C72,Apoyo2Despiece!$C$3:$C$18,0),MATCH(CONCATENATE(Escalera!G$6,Escalera!G$7),Apoyo2Despiece!$D$2:$Y$2,0)))+IF(OR(G6="",G7="",G5&gt;0,G6="GURSAM 60",G6="EUROPEA",G6="FERMIN",G6="ALUMINIO"),0,INDEX(Apoyo2Despiece!$D$3:$AG$18,MATCH($C72,Apoyo2Despiece!$C$3:$C$18,0),MATCH(CONCATENATE(G$6,G$7,G$9),Apoyo2Despiece!$D$2:$AG$2,0)))</f>
        <v>0</v>
      </c>
      <c r="H72" s="139">
        <f>+IF(H6="GURSAM 120",IF(AND(H5=0,H4&gt;0),IF(ISEVEN(H4-H5),IF(H9=732,2,IF(H9=1090,3,IF(H9=1572,4,0)))*(0.5*(H4-H5)+1),"NE"),IF(AND(H5&gt;0,H4&gt;0),IF(ISEVEN(H4-H5),IF(H9=732,2,IF(H9=1090,3,IF(H9=1572,4,0)))*0.5*(H4-H5),"NE"),0)),0)+IF(OR(H6="",H7="",H5&gt;0,H6="GURSAM 120"),0,INDEX(Apoyo2Despiece!$D$3:$Y$18,MATCH($C72,Apoyo2Despiece!$C$3:$C$18,0),MATCH(CONCATENATE(Escalera!H$6,Escalera!H$7),Apoyo2Despiece!$D$2:$Y$2,0)))+IF(OR(H6="",H7="",H5&gt;0,H6="GURSAM 60",H6="EUROPEA",H6="FERMIN",H6="ALUMINIO"),0,INDEX(Apoyo2Despiece!$D$3:$AG$18,MATCH($C72,Apoyo2Despiece!$C$3:$C$18,0),MATCH(CONCATENATE(H$6,H$7,H$9),Apoyo2Despiece!$D$2:$AG$2,0)))</f>
        <v>0</v>
      </c>
      <c r="I72" s="139">
        <f>+IF(I6="GURSAM 120",IF(AND(I5=0,I4&gt;0),IF(ISEVEN(I4-I5),IF(I9=732,2,IF(I9=1090,3,IF(I9=1572,4,0)))*(0.5*(I4-I5)+1),"NE"),IF(AND(I5&gt;0,I4&gt;0),IF(ISEVEN(I4-I5),IF(I9=732,2,IF(I9=1090,3,IF(I9=1572,4,0)))*0.5*(I4-I5),"NE"),0)),0)+IF(OR(I6="",I7="",I5&gt;0,I6="GURSAM 120"),0,INDEX(Apoyo2Despiece!$D$3:$Y$18,MATCH($C72,Apoyo2Despiece!$C$3:$C$18,0),MATCH(CONCATENATE(Escalera!I$6,Escalera!I$7),Apoyo2Despiece!$D$2:$Y$2,0)))+IF(OR(I6="",I7="",I5&gt;0,I6="GURSAM 60",I6="EUROPEA",I6="FERMIN",I6="ALUMINIO"),0,INDEX(Apoyo2Despiece!$D$3:$AG$18,MATCH($C72,Apoyo2Despiece!$C$3:$C$18,0),MATCH(CONCATENATE(I$6,I$7,I$9),Apoyo2Despiece!$D$2:$AG$2,0)))</f>
        <v>0</v>
      </c>
      <c r="J72" s="139">
        <f>+IF(J6="GURSAM 120",IF(AND(J5=0,J4&gt;0),IF(ISEVEN(J4-J5),IF(J9=732,2,IF(J9=1090,3,IF(J9=1572,4,0)))*(0.5*(J4-J5)+1),"NE"),IF(AND(J5&gt;0,J4&gt;0),IF(ISEVEN(J4-J5),IF(J9=732,2,IF(J9=1090,3,IF(J9=1572,4,0)))*0.5*(J4-J5),"NE"),0)),0)+IF(OR(J6="",J7="",J5&gt;0,J6="GURSAM 120"),0,INDEX(Apoyo2Despiece!$D$3:$Y$18,MATCH($C72,Apoyo2Despiece!$C$3:$C$18,0),MATCH(CONCATENATE(Escalera!J$6,Escalera!J$7),Apoyo2Despiece!$D$2:$Y$2,0)))+IF(OR(J6="",J7="",J5&gt;0,J6="GURSAM 60",J6="EUROPEA",J6="FERMIN",J6="ALUMINIO"),0,INDEX(Apoyo2Despiece!$D$3:$AG$18,MATCH($C72,Apoyo2Despiece!$C$3:$C$18,0),MATCH(CONCATENATE(J$6,J$7,J$9),Apoyo2Despiece!$D$2:$AG$2,0)))</f>
        <v>0</v>
      </c>
      <c r="K72" s="139">
        <f>+IF(K6="GURSAM 120",IF(AND(K5=0,K4&gt;0),IF(ISEVEN(K4-K5),IF(K9=732,2,IF(K9=1090,3,IF(K9=1572,4,0)))*(0.5*(K4-K5)+1),"NE"),IF(AND(K5&gt;0,K4&gt;0),IF(ISEVEN(K4-K5),IF(K9=732,2,IF(K9=1090,3,IF(K9=1572,4,0)))*0.5*(K4-K5),"NE"),0)),0)+IF(OR(K6="",K7="",K5&gt;0,K6="GURSAM 120"),0,INDEX(Apoyo2Despiece!$D$3:$Y$18,MATCH($C72,Apoyo2Despiece!$C$3:$C$18,0),MATCH(CONCATENATE(Escalera!K$6,Escalera!K$7),Apoyo2Despiece!$D$2:$Y$2,0)))+IF(OR(K6="",K7="",K5&gt;0,K6="GURSAM 60",K6="EUROPEA",K6="FERMIN",K6="ALUMINIO"),0,INDEX(Apoyo2Despiece!$D$3:$AG$18,MATCH($C72,Apoyo2Despiece!$C$3:$C$18,0),MATCH(CONCATENATE(K$6,K$7,K$9),Apoyo2Despiece!$D$2:$AG$2,0)))</f>
        <v>0</v>
      </c>
      <c r="M72" s="73" t="str">
        <f t="shared" si="4"/>
        <v>AM.6700</v>
      </c>
      <c r="N72" s="309" t="str">
        <f>+IF(TES[[#This Row],[ITEM]]=C72,"ok","mal")</f>
        <v>ok</v>
      </c>
      <c r="O72" s="330">
        <f t="shared" si="8"/>
        <v>0</v>
      </c>
      <c r="P72" s="332">
        <f>IF(VLOOKUP(TES[[#This Row],[ITEM]],TbPiezas[],5,0)="NA",0,VLOOKUP(TES[[#This Row],[ITEM]],TbPiezas[],5,0))</f>
        <v>19.700000000000003</v>
      </c>
      <c r="Q72" s="81">
        <f>+TES[[#This Row],[TOTAL]]*TES[[#This Row],[P.U. (1)]]</f>
        <v>0</v>
      </c>
      <c r="R72" s="82">
        <f>+VLOOKUP(TES[[#This Row],[ITEM]],TbPiezas[],6,0)</f>
        <v>575.04</v>
      </c>
      <c r="S72" s="83">
        <f>+TES[[#This Row],[TOTAL]]*TES[[#This Row],[P.U. (2)]]</f>
        <v>0</v>
      </c>
      <c r="T72" s="82">
        <f>+VLOOKUP(TES[[#This Row],[ITEM]],TbPiezas[],7,0)</f>
        <v>28.751999999999999</v>
      </c>
      <c r="U72" s="170">
        <f>+TES[[#This Row],[P.U. (3)]]*TES[[#This Row],[TOTAL]]</f>
        <v>0</v>
      </c>
    </row>
    <row r="73" spans="1:21" x14ac:dyDescent="0.3">
      <c r="A73" s="517"/>
      <c r="B73" s="135"/>
      <c r="C73" s="76" t="s">
        <v>145</v>
      </c>
      <c r="D73" s="76" t="s">
        <v>146</v>
      </c>
      <c r="F73" s="139">
        <f>+IF(OR(F6="",F7="",F5&gt;0,F6="GURSAM 120"),0,INDEX(Apoyo2Despiece!$D$3:$Y$18,MATCH($C73,Apoyo2Despiece!$C$3:$C$18,0),MATCH(CONCATENATE(Escalera!F$6,Escalera!F$7),Apoyo2Despiece!$D$2:$Y$2,0)))+IF(OR(F6="",F7="",F5&gt;0,F6="GURSAM 60",F6="EUROPEA",F6="FERMIN",F6="ALUMINIO"),0,INDEX(Apoyo2Despiece!$D$3:$AG$18,MATCH($C73,Apoyo2Despiece!$C$3:$C$18,0),MATCH(CONCATENATE(F$6,F$7,F$9),Apoyo2Despiece!$D$2:$AG$2,0)))</f>
        <v>0</v>
      </c>
      <c r="G73" s="139">
        <f>+IF(OR(G6="",G7="",G5&gt;0,G6="GURSAM 120"),0,INDEX(Apoyo2Despiece!$D$3:$Y$18,MATCH($C73,Apoyo2Despiece!$C$3:$C$18,0),MATCH(CONCATENATE(Escalera!G$6,Escalera!G$7),Apoyo2Despiece!$D$2:$Y$2,0)))+IF(OR(G6="",G7="",G5&gt;0,G6="GURSAM 60",G6="EUROPEA",G6="FERMIN",G6="ALUMINIO"),0,INDEX(Apoyo2Despiece!$D$3:$AG$18,MATCH($C73,Apoyo2Despiece!$C$3:$C$18,0),MATCH(CONCATENATE(G$6,G$7,G$9),Apoyo2Despiece!$D$2:$AG$2,0)))</f>
        <v>0</v>
      </c>
      <c r="H73" s="139">
        <f>+IF(OR(H6="",H7="",H5&gt;0,H6="GURSAM 120"),0,INDEX(Apoyo2Despiece!$D$3:$Y$18,MATCH($C73,Apoyo2Despiece!$C$3:$C$18,0),MATCH(CONCATENATE(Escalera!H$6,Escalera!H$7),Apoyo2Despiece!$D$2:$Y$2,0)))+IF(OR(H6="",H7="",H5&gt;0,H6="GURSAM 60",H6="EUROPEA",H6="FERMIN",H6="ALUMINIO"),0,INDEX(Apoyo2Despiece!$D$3:$AG$18,MATCH($C73,Apoyo2Despiece!$C$3:$C$18,0),MATCH(CONCATENATE(H$6,H$7,H$9),Apoyo2Despiece!$D$2:$AG$2,0)))</f>
        <v>0</v>
      </c>
      <c r="I73" s="139">
        <f>+IF(OR(I6="",I7="",I5&gt;0,I6="GURSAM 120"),0,INDEX(Apoyo2Despiece!$D$3:$Y$18,MATCH($C73,Apoyo2Despiece!$C$3:$C$18,0),MATCH(CONCATENATE(Escalera!I$6,Escalera!I$7),Apoyo2Despiece!$D$2:$Y$2,0)))+IF(OR(I6="",I7="",I5&gt;0,I6="GURSAM 60",I6="EUROPEA",I6="FERMIN",I6="ALUMINIO"),0,INDEX(Apoyo2Despiece!$D$3:$AG$18,MATCH($C73,Apoyo2Despiece!$C$3:$C$18,0),MATCH(CONCATENATE(I$6,I$7,I$9),Apoyo2Despiece!$D$2:$AG$2,0)))</f>
        <v>0</v>
      </c>
      <c r="J73" s="139">
        <f>+IF(OR(J6="",J7="",J5&gt;0,J6="GURSAM 120"),0,INDEX(Apoyo2Despiece!$D$3:$Y$18,MATCH($C73,Apoyo2Despiece!$C$3:$C$18,0),MATCH(CONCATENATE(Escalera!J$6,Escalera!J$7),Apoyo2Despiece!$D$2:$Y$2,0)))+IF(OR(J6="",J7="",J5&gt;0,J6="GURSAM 60",J6="EUROPEA",J6="FERMIN",J6="ALUMINIO"),0,INDEX(Apoyo2Despiece!$D$3:$AG$18,MATCH($C73,Apoyo2Despiece!$C$3:$C$18,0),MATCH(CONCATENATE(J$6,J$7,J$9),Apoyo2Despiece!$D$2:$AG$2,0)))</f>
        <v>0</v>
      </c>
      <c r="K73" s="139">
        <f>+IF(OR(K6="",K7="",K5&gt;0,K6="GURSAM 120"),0,INDEX(Apoyo2Despiece!$D$3:$Y$18,MATCH($C73,Apoyo2Despiece!$C$3:$C$18,0),MATCH(CONCATENATE(Escalera!K$6,Escalera!K$7),Apoyo2Despiece!$D$2:$Y$2,0)))+IF(OR(K6="",K7="",K5&gt;0,K6="GURSAM 60",K6="EUROPEA",K6="FERMIN",K6="ALUMINIO"),0,INDEX(Apoyo2Despiece!$D$3:$AG$18,MATCH($C73,Apoyo2Despiece!$C$3:$C$18,0),MATCH(CONCATENATE(K$6,K$7,K$9),Apoyo2Despiece!$D$2:$AG$2,0)))</f>
        <v>0</v>
      </c>
      <c r="M73" s="73" t="str">
        <f t="shared" si="4"/>
        <v>AM.6800</v>
      </c>
      <c r="N73" s="309" t="str">
        <f>+IF(TES[[#This Row],[ITEM]]=C73,"ok","mal")</f>
        <v>ok</v>
      </c>
      <c r="O73" s="330">
        <f t="shared" si="8"/>
        <v>0</v>
      </c>
      <c r="P73" s="332">
        <f>IF(VLOOKUP(TES[[#This Row],[ITEM]],TbPiezas[],5,0)="NA",0,VLOOKUP(TES[[#This Row],[ITEM]],TbPiezas[],5,0))</f>
        <v>17.700000000000003</v>
      </c>
      <c r="Q73" s="81">
        <f>+TES[[#This Row],[TOTAL]]*TES[[#This Row],[P.U. (1)]]</f>
        <v>0</v>
      </c>
      <c r="R73" s="82">
        <f>+VLOOKUP(TES[[#This Row],[ITEM]],TbPiezas[],6,0)</f>
        <v>496.07</v>
      </c>
      <c r="S73" s="83">
        <f>+TES[[#This Row],[TOTAL]]*TES[[#This Row],[P.U. (2)]]</f>
        <v>0</v>
      </c>
      <c r="T73" s="82">
        <f>+VLOOKUP(TES[[#This Row],[ITEM]],TbPiezas[],7,0)</f>
        <v>24.8035</v>
      </c>
      <c r="U73" s="170">
        <f>+TES[[#This Row],[P.U. (3)]]*TES[[#This Row],[TOTAL]]</f>
        <v>0</v>
      </c>
    </row>
    <row r="74" spans="1:21" x14ac:dyDescent="0.3">
      <c r="A74" s="517"/>
      <c r="B74" s="135"/>
      <c r="C74" s="76" t="s">
        <v>147</v>
      </c>
      <c r="D74" s="76" t="s">
        <v>148</v>
      </c>
      <c r="F74" s="139">
        <f>+IF(F6="EUROPEA",IF(AND(F5=0,F4&gt;0),IF(ISEVEN(F4-F5),IF(F9=1572,4,0)*(0.5*(F4-F5)+1),"NE"),IF(AND(F5&gt;0,F4&gt;0),IF(ISEVEN(F4-F5),IF(F9=1572,4,0)*0.5*(F4-F5),"NE"),0)),0)+IF(OR(F6="",F7="",F5&gt;0,F6="GURSAM 120"),0,INDEX(Apoyo2Despiece!$D$3:$Y$18,MATCH($C74,Apoyo2Despiece!$C$3:$C$18,0),MATCH(CONCATENATE(Escalera!F$6,Escalera!F$7),Apoyo2Despiece!$D$2:$Y$2,0)))</f>
        <v>0</v>
      </c>
      <c r="G74" s="139">
        <f>+IF(G6="EUROPEA",IF(AND(G5=0,G4&gt;0),IF(ISEVEN(G4-G5),IF(G9=1572,4,0)*(0.5*(G4-G5)+1),"NE"),IF(AND(G5&gt;0,G4&gt;0),IF(ISEVEN(G4-G5),IF(G9=1572,4,0)*0.5*(G4-G5),"NE"),0)),0)+IF(OR(G6="",G7="",G5&gt;0,G6="GURSAM 120"),0,INDEX(Apoyo2Despiece!$D$3:$Y$18,MATCH($C74,Apoyo2Despiece!$C$3:$C$18,0),MATCH(CONCATENATE(Escalera!G$6,Escalera!G$7),Apoyo2Despiece!$D$2:$Y$2,0)))</f>
        <v>0</v>
      </c>
      <c r="H74" s="139">
        <f>+IF(H6="EUROPEA",IF(AND(H5=0,H4&gt;0),IF(ISEVEN(H4-H5),IF(H9=1572,4,0)*(0.5*(H4-H5)+1),"NE"),IF(AND(H5&gt;0,H4&gt;0),IF(ISEVEN(H4-H5),IF(H9=1572,4,0)*0.5*(H4-H5),"NE"),0)),0)+IF(OR(H6="",H7="",H5&gt;0,H6="GURSAM 120"),0,INDEX(Apoyo2Despiece!$D$3:$Y$18,MATCH($C74,Apoyo2Despiece!$C$3:$C$18,0),MATCH(CONCATENATE(Escalera!H$6,Escalera!H$7),Apoyo2Despiece!$D$2:$Y$2,0)))</f>
        <v>0</v>
      </c>
      <c r="I74" s="139">
        <f>+IF(I6="EUROPEA",IF(AND(I5=0,I4&gt;0),IF(ISEVEN(I4-I5),IF(I9=1572,4,0)*(0.5*(I4-I5)+1),"NE"),IF(AND(I5&gt;0,I4&gt;0),IF(ISEVEN(I4-I5),IF(I9=1572,4,0)*0.5*(I4-I5),"NE"),0)),0)+IF(OR(I6="",I7="",I5&gt;0,I6="GURSAM 120"),0,INDEX(Apoyo2Despiece!$D$3:$Y$18,MATCH($C74,Apoyo2Despiece!$C$3:$C$18,0),MATCH(CONCATENATE(Escalera!I$6,Escalera!I$7),Apoyo2Despiece!$D$2:$Y$2,0)))</f>
        <v>0</v>
      </c>
      <c r="J74" s="139">
        <f>+IF(J6="EUROPEA",IF(AND(J5=0,J4&gt;0),IF(ISEVEN(J4-J5),IF(J9=1572,4,0)*(0.5*(J4-J5)+1),"NE"),IF(AND(J5&gt;0,J4&gt;0),IF(ISEVEN(J4-J5),IF(J9=1572,4,0)*0.5*(J4-J5),"NE"),0)),0)+IF(OR(J6="",J7="",J5&gt;0,J6="GURSAM 120"),0,INDEX(Apoyo2Despiece!$D$3:$Y$18,MATCH($C74,Apoyo2Despiece!$C$3:$C$18,0),MATCH(CONCATENATE(Escalera!J$6,Escalera!J$7),Apoyo2Despiece!$D$2:$Y$2,0)))</f>
        <v>0</v>
      </c>
      <c r="K74" s="139">
        <f>+IF(K6="EUROPEA",IF(AND(K5=0,K4&gt;0),IF(ISEVEN(K4-K5),IF(K9=1572,4,0)*(0.5*(K4-K5)+1),"NE"),IF(AND(K5&gt;0,K4&gt;0),IF(ISEVEN(K4-K5),IF(K9=1572,4,0)*0.5*(K4-K5),"NE"),0)),0)+IF(OR(K6="",K7="",K5&gt;0,K6="GURSAM 120"),0,INDEX(Apoyo2Despiece!$D$3:$Y$18,MATCH($C74,Apoyo2Despiece!$C$3:$C$18,0),MATCH(CONCATENATE(Escalera!K$6,Escalera!K$7),Apoyo2Despiece!$D$2:$Y$2,0)))</f>
        <v>0</v>
      </c>
      <c r="M74" s="73" t="str">
        <f t="shared" si="4"/>
        <v>AM.6900</v>
      </c>
      <c r="N74" s="309" t="str">
        <f>+IF(TES[[#This Row],[ITEM]]=C74,"ok","mal")</f>
        <v>ok</v>
      </c>
      <c r="O74" s="330">
        <f t="shared" si="8"/>
        <v>0</v>
      </c>
      <c r="P74" s="332">
        <f>IF(VLOOKUP(TES[[#This Row],[ITEM]],TbPiezas[],5,0)="NA",0,VLOOKUP(TES[[#This Row],[ITEM]],TbPiezas[],5,0))</f>
        <v>12.200000000000003</v>
      </c>
      <c r="Q74" s="81">
        <f>+TES[[#This Row],[TOTAL]]*TES[[#This Row],[P.U. (1)]]</f>
        <v>0</v>
      </c>
      <c r="R74" s="82">
        <f>+VLOOKUP(TES[[#This Row],[ITEM]],TbPiezas[],6,0)</f>
        <v>484.34</v>
      </c>
      <c r="S74" s="83">
        <f>+TES[[#This Row],[TOTAL]]*TES[[#This Row],[P.U. (2)]]</f>
        <v>0</v>
      </c>
      <c r="T74" s="82">
        <f>+VLOOKUP(TES[[#This Row],[ITEM]],TbPiezas[],7,0)</f>
        <v>24.216999999999999</v>
      </c>
      <c r="U74" s="170">
        <f>+TES[[#This Row],[P.U. (3)]]*TES[[#This Row],[TOTAL]]</f>
        <v>0</v>
      </c>
    </row>
    <row r="75" spans="1:21" x14ac:dyDescent="0.3">
      <c r="A75" s="514"/>
      <c r="B75" s="135"/>
      <c r="C75" s="76" t="s">
        <v>149</v>
      </c>
      <c r="D75" s="76" t="s">
        <v>150</v>
      </c>
      <c r="F75" s="360">
        <v>0</v>
      </c>
      <c r="G75" s="360">
        <v>0</v>
      </c>
      <c r="H75" s="360">
        <v>0</v>
      </c>
      <c r="I75" s="360">
        <v>0</v>
      </c>
      <c r="J75" s="360">
        <v>0</v>
      </c>
      <c r="K75" s="360">
        <v>0</v>
      </c>
      <c r="M75" s="73" t="str">
        <f t="shared" si="4"/>
        <v>AM.7000</v>
      </c>
      <c r="N75" s="309" t="str">
        <f>+IF(TES[[#This Row],[ITEM]]=C75,"ok","mal")</f>
        <v>ok</v>
      </c>
      <c r="O75" s="360">
        <f t="shared" si="8"/>
        <v>0</v>
      </c>
      <c r="P75" s="332">
        <f>IF(VLOOKUP(TES[[#This Row],[ITEM]],TbPiezas[],5,0)="NA",0,VLOOKUP(TES[[#This Row],[ITEM]],TbPiezas[],5,0))</f>
        <v>10.399999999999991</v>
      </c>
      <c r="Q75" s="81">
        <f>+TES[[#This Row],[TOTAL]]*TES[[#This Row],[P.U. (1)]]</f>
        <v>0</v>
      </c>
      <c r="R75" s="82">
        <f>+VLOOKUP(TES[[#This Row],[ITEM]],TbPiezas[],6,0)</f>
        <v>452.11</v>
      </c>
      <c r="S75" s="83">
        <f>+TES[[#This Row],[TOTAL]]*TES[[#This Row],[P.U. (2)]]</f>
        <v>0</v>
      </c>
      <c r="T75" s="82">
        <f>+VLOOKUP(TES[[#This Row],[ITEM]],TbPiezas[],7,0)</f>
        <v>22.605500000000003</v>
      </c>
      <c r="U75" s="170">
        <f>+TES[[#This Row],[P.U. (3)]]*TES[[#This Row],[TOTAL]]</f>
        <v>0</v>
      </c>
    </row>
    <row r="76" spans="1:21" x14ac:dyDescent="0.3">
      <c r="A76" s="514"/>
      <c r="B76" s="135"/>
      <c r="C76" s="76" t="s">
        <v>151</v>
      </c>
      <c r="D76" s="76" t="s">
        <v>152</v>
      </c>
      <c r="F76" s="360">
        <v>0</v>
      </c>
      <c r="G76" s="360">
        <v>0</v>
      </c>
      <c r="H76" s="360">
        <v>0</v>
      </c>
      <c r="I76" s="360">
        <v>0</v>
      </c>
      <c r="J76" s="360">
        <v>0</v>
      </c>
      <c r="K76" s="360">
        <v>0</v>
      </c>
      <c r="M76" s="73" t="str">
        <f t="shared" si="4"/>
        <v>AM.7100</v>
      </c>
      <c r="N76" s="309" t="str">
        <f>+IF(TES[[#This Row],[ITEM]]=C76,"ok","mal")</f>
        <v>ok</v>
      </c>
      <c r="O76" s="360">
        <f t="shared" si="8"/>
        <v>0</v>
      </c>
      <c r="P76" s="332">
        <f>IF(VLOOKUP(TES[[#This Row],[ITEM]],TbPiezas[],5,0)="NA",0,VLOOKUP(TES[[#This Row],[ITEM]],TbPiezas[],5,0))</f>
        <v>7.9000000000000057</v>
      </c>
      <c r="Q76" s="81">
        <f>+TES[[#This Row],[TOTAL]]*TES[[#This Row],[P.U. (1)]]</f>
        <v>0</v>
      </c>
      <c r="R76" s="82">
        <f>+VLOOKUP(TES[[#This Row],[ITEM]],TbPiezas[],6,0)</f>
        <v>408.3</v>
      </c>
      <c r="S76" s="83">
        <f>+TES[[#This Row],[TOTAL]]*TES[[#This Row],[P.U. (2)]]</f>
        <v>0</v>
      </c>
      <c r="T76" s="82">
        <f>+VLOOKUP(TES[[#This Row],[ITEM]],TbPiezas[],7,0)</f>
        <v>20.415000000000003</v>
      </c>
      <c r="U76" s="170">
        <f>+TES[[#This Row],[P.U. (3)]]*TES[[#This Row],[TOTAL]]</f>
        <v>0</v>
      </c>
    </row>
    <row r="77" spans="1:21" x14ac:dyDescent="0.3">
      <c r="A77" s="514"/>
      <c r="B77" s="135"/>
      <c r="C77" s="76" t="s">
        <v>153</v>
      </c>
      <c r="D77" s="76" t="s">
        <v>154</v>
      </c>
      <c r="F77" s="139">
        <f t="shared" ref="F77:K77" si="12">+IF(OR(F6="GURSAM 60",F6="ALUMINIO"),IF(AND(F5=0,F4&gt;0),IF(ISEVEN(F4-F5),0.5*(F4-F5)-1,0.5*(F4-F5)-0.5),IF(AND(F5&gt;0,F4&gt;0),IF(ISEVEN(F4-F5),0.5*(F4-F5),0.5*(F4-F5)+0.5),0)),0)</f>
        <v>0</v>
      </c>
      <c r="G77" s="139">
        <f t="shared" si="12"/>
        <v>0</v>
      </c>
      <c r="H77" s="139">
        <f t="shared" si="12"/>
        <v>0</v>
      </c>
      <c r="I77" s="139">
        <f t="shared" si="12"/>
        <v>0</v>
      </c>
      <c r="J77" s="139">
        <f t="shared" si="12"/>
        <v>0</v>
      </c>
      <c r="K77" s="139">
        <f t="shared" si="12"/>
        <v>0</v>
      </c>
      <c r="M77" s="73" t="str">
        <f t="shared" si="4"/>
        <v>AM.7200</v>
      </c>
      <c r="N77" s="309" t="str">
        <f>+IF(TES[[#This Row],[ITEM]]=C77,"ok","mal")</f>
        <v>ok</v>
      </c>
      <c r="O77" s="330">
        <f t="shared" ref="O77:O108" si="13">SUM(E77:L77)</f>
        <v>0</v>
      </c>
      <c r="P77" s="332">
        <f>IF(VLOOKUP(TES[[#This Row],[ITEM]],TbPiezas[],5,0)="NA",0,VLOOKUP(TES[[#This Row],[ITEM]],TbPiezas[],5,0))</f>
        <v>17.799999999999997</v>
      </c>
      <c r="Q77" s="81">
        <f>+TES[[#This Row],[TOTAL]]*TES[[#This Row],[P.U. (1)]]</f>
        <v>0</v>
      </c>
      <c r="R77" s="82">
        <f>+VLOOKUP(TES[[#This Row],[ITEM]],TbPiezas[],6,0)</f>
        <v>654.70000000000005</v>
      </c>
      <c r="S77" s="83">
        <f>+TES[[#This Row],[TOTAL]]*TES[[#This Row],[P.U. (2)]]</f>
        <v>0</v>
      </c>
      <c r="T77" s="82">
        <f>+VLOOKUP(TES[[#This Row],[ITEM]],TbPiezas[],7,0)</f>
        <v>32.735000000000007</v>
      </c>
      <c r="U77" s="170">
        <f>+TES[[#This Row],[P.U. (3)]]*TES[[#This Row],[TOTAL]]</f>
        <v>0</v>
      </c>
    </row>
    <row r="78" spans="1:21" x14ac:dyDescent="0.3">
      <c r="A78" s="517"/>
      <c r="B78" s="135"/>
      <c r="C78" s="76" t="s">
        <v>155</v>
      </c>
      <c r="D78" s="76" t="s">
        <v>156</v>
      </c>
      <c r="F78" s="139">
        <f t="shared" ref="F78:K78" si="14">+IF(F6="GURSAM 120",IF(AND(F5=0,F4&gt;0),IF(ISEVEN(F4-F5),0.5*(F4-F5)+1,"NE"),IF(AND(F5&gt;0,F4&gt;0),IF(ISEVEN(F4-F5),0.5*(F4-F5),"NE"),0)),0)</f>
        <v>0</v>
      </c>
      <c r="G78" s="139">
        <f t="shared" si="14"/>
        <v>0</v>
      </c>
      <c r="H78" s="139">
        <f t="shared" si="14"/>
        <v>0</v>
      </c>
      <c r="I78" s="139">
        <f t="shared" si="14"/>
        <v>0</v>
      </c>
      <c r="J78" s="139">
        <f t="shared" si="14"/>
        <v>0</v>
      </c>
      <c r="K78" s="139">
        <f t="shared" si="14"/>
        <v>0</v>
      </c>
      <c r="M78" s="73" t="str">
        <f t="shared" ref="M78:M124" si="15">+C78</f>
        <v>AM.7300</v>
      </c>
      <c r="N78" s="309" t="str">
        <f>+IF(TES[[#This Row],[ITEM]]=C78,"ok","mal")</f>
        <v>ok</v>
      </c>
      <c r="O78" s="330">
        <f t="shared" si="13"/>
        <v>0</v>
      </c>
      <c r="P78" s="332">
        <f>IF(VLOOKUP(TES[[#This Row],[ITEM]],TbPiezas[],5,0)="NA",0,VLOOKUP(TES[[#This Row],[ITEM]],TbPiezas[],5,0))</f>
        <v>14.599999999999994</v>
      </c>
      <c r="Q78" s="81">
        <f>+TES[[#This Row],[TOTAL]]*TES[[#This Row],[P.U. (1)]]</f>
        <v>0</v>
      </c>
      <c r="R78" s="82">
        <f>+VLOOKUP(TES[[#This Row],[ITEM]],TbPiezas[],6,0)</f>
        <v>575.04</v>
      </c>
      <c r="S78" s="83">
        <f>+TES[[#This Row],[TOTAL]]*TES[[#This Row],[P.U. (2)]]</f>
        <v>0</v>
      </c>
      <c r="T78" s="82">
        <f>+VLOOKUP(TES[[#This Row],[ITEM]],TbPiezas[],7,0)</f>
        <v>28.751999999999999</v>
      </c>
      <c r="U78" s="170">
        <f>+TES[[#This Row],[P.U. (3)]]*TES[[#This Row],[TOTAL]]</f>
        <v>0</v>
      </c>
    </row>
    <row r="79" spans="1:21" x14ac:dyDescent="0.3">
      <c r="A79" s="514"/>
      <c r="B79" s="135"/>
      <c r="C79" s="76" t="s">
        <v>157</v>
      </c>
      <c r="D79" s="76" t="s">
        <v>158</v>
      </c>
      <c r="F79" s="360">
        <v>0</v>
      </c>
      <c r="G79" s="360">
        <v>0</v>
      </c>
      <c r="H79" s="360">
        <v>0</v>
      </c>
      <c r="I79" s="360">
        <v>0</v>
      </c>
      <c r="J79" s="360">
        <v>0</v>
      </c>
      <c r="K79" s="360">
        <v>0</v>
      </c>
      <c r="M79" s="73" t="str">
        <f t="shared" si="15"/>
        <v>AM.7400</v>
      </c>
      <c r="N79" s="309" t="str">
        <f>+IF(TES[[#This Row],[ITEM]]=C79,"ok","mal")</f>
        <v>ok</v>
      </c>
      <c r="O79" s="360">
        <f t="shared" si="13"/>
        <v>0</v>
      </c>
      <c r="P79" s="332">
        <f>IF(VLOOKUP(TES[[#This Row],[ITEM]],TbPiezas[],5,0)="NA",0,VLOOKUP(TES[[#This Row],[ITEM]],TbPiezas[],5,0))</f>
        <v>12.299999999999997</v>
      </c>
      <c r="Q79" s="81">
        <f>+TES[[#This Row],[TOTAL]]*TES[[#This Row],[P.U. (1)]]</f>
        <v>0</v>
      </c>
      <c r="R79" s="82">
        <f>+VLOOKUP(TES[[#This Row],[ITEM]],TbPiezas[],6,0)</f>
        <v>496.07</v>
      </c>
      <c r="S79" s="83">
        <f>+TES[[#This Row],[TOTAL]]*TES[[#This Row],[P.U. (2)]]</f>
        <v>0</v>
      </c>
      <c r="T79" s="82">
        <f>+VLOOKUP(TES[[#This Row],[ITEM]],TbPiezas[],7,0)</f>
        <v>24.8035</v>
      </c>
      <c r="U79" s="170">
        <f>+TES[[#This Row],[P.U. (3)]]*TES[[#This Row],[TOTAL]]</f>
        <v>0</v>
      </c>
    </row>
    <row r="80" spans="1:21" x14ac:dyDescent="0.3">
      <c r="A80" s="517"/>
      <c r="B80" s="135"/>
      <c r="C80" s="76" t="s">
        <v>159</v>
      </c>
      <c r="D80" s="76" t="s">
        <v>160</v>
      </c>
      <c r="F80" s="139">
        <f t="shared" ref="F80:K80" si="16">+IF(F6="EUROPEA",IF(AND(F5=0,F4&gt;0),IF(ISEVEN(F4-F5),IF(F9=1572,1,0)*(0.5*(F4-F5)+1),"NE"),IF(AND(F5&gt;0,F4&gt;0),IF(ISEVEN(F4-F5),IF(F9=1572,1,0)*0.5*(F4-F5),"NE"),0)),0)</f>
        <v>0</v>
      </c>
      <c r="G80" s="139">
        <f t="shared" si="16"/>
        <v>0</v>
      </c>
      <c r="H80" s="139">
        <f t="shared" si="16"/>
        <v>0</v>
      </c>
      <c r="I80" s="139">
        <f t="shared" si="16"/>
        <v>0</v>
      </c>
      <c r="J80" s="139">
        <f t="shared" si="16"/>
        <v>0</v>
      </c>
      <c r="K80" s="139">
        <f t="shared" si="16"/>
        <v>0</v>
      </c>
      <c r="M80" s="73" t="str">
        <f t="shared" si="15"/>
        <v>AM.7410</v>
      </c>
      <c r="N80" s="309" t="str">
        <f>+IF(TES[[#This Row],[ITEM]]=C80,"ok","mal")</f>
        <v>ok</v>
      </c>
      <c r="O80" s="330">
        <f t="shared" si="13"/>
        <v>0</v>
      </c>
      <c r="P80" s="332">
        <f>IF(VLOOKUP(TES[[#This Row],[ITEM]],TbPiezas[],5,0)="NA",0,VLOOKUP(TES[[#This Row],[ITEM]],TbPiezas[],5,0))</f>
        <v>9.0500000000000007</v>
      </c>
      <c r="Q80" s="81">
        <f>+TES[[#This Row],[TOTAL]]*TES[[#This Row],[P.U. (1)]]</f>
        <v>0</v>
      </c>
      <c r="R80" s="82">
        <f>+VLOOKUP(TES[[#This Row],[ITEM]],TbPiezas[],6,0)</f>
        <v>484.34</v>
      </c>
      <c r="S80" s="83">
        <f>+TES[[#This Row],[TOTAL]]*TES[[#This Row],[P.U. (2)]]</f>
        <v>0</v>
      </c>
      <c r="T80" s="82">
        <f>+VLOOKUP(TES[[#This Row],[ITEM]],TbPiezas[],7,0)</f>
        <v>24.216999999999999</v>
      </c>
      <c r="U80" s="170">
        <f>+TES[[#This Row],[P.U. (3)]]*TES[[#This Row],[TOTAL]]</f>
        <v>0</v>
      </c>
    </row>
    <row r="81" spans="1:21" x14ac:dyDescent="0.3">
      <c r="A81" s="514"/>
      <c r="B81" s="135"/>
      <c r="C81" s="76" t="s">
        <v>161</v>
      </c>
      <c r="D81" s="76" t="s">
        <v>162</v>
      </c>
      <c r="F81" s="360">
        <v>0</v>
      </c>
      <c r="G81" s="360">
        <v>0</v>
      </c>
      <c r="H81" s="360">
        <v>0</v>
      </c>
      <c r="I81" s="360">
        <v>0</v>
      </c>
      <c r="J81" s="360">
        <v>0</v>
      </c>
      <c r="K81" s="360">
        <v>0</v>
      </c>
      <c r="M81" s="73" t="str">
        <f t="shared" si="15"/>
        <v>AM.7420</v>
      </c>
      <c r="N81" s="309" t="str">
        <f>+IF(TES[[#This Row],[ITEM]]=C81,"ok","mal")</f>
        <v>ok</v>
      </c>
      <c r="O81" s="360">
        <f t="shared" si="13"/>
        <v>0</v>
      </c>
      <c r="P81" s="332">
        <f>IF(VLOOKUP(TES[[#This Row],[ITEM]],TbPiezas[],5,0)="NA",0,VLOOKUP(TES[[#This Row],[ITEM]],TbPiezas[],5,0))</f>
        <v>7.71</v>
      </c>
      <c r="Q81" s="81">
        <f>+TES[[#This Row],[TOTAL]]*TES[[#This Row],[P.U. (1)]]</f>
        <v>0</v>
      </c>
      <c r="R81" s="82">
        <f>+VLOOKUP(TES[[#This Row],[ITEM]],TbPiezas[],6,0)</f>
        <v>452.11</v>
      </c>
      <c r="S81" s="83">
        <f>+TES[[#This Row],[TOTAL]]*TES[[#This Row],[P.U. (2)]]</f>
        <v>0</v>
      </c>
      <c r="T81" s="82">
        <f>+VLOOKUP(TES[[#This Row],[ITEM]],TbPiezas[],7,0)</f>
        <v>22.605500000000003</v>
      </c>
      <c r="U81" s="170">
        <f>+TES[[#This Row],[P.U. (3)]]*TES[[#This Row],[TOTAL]]</f>
        <v>0</v>
      </c>
    </row>
    <row r="82" spans="1:21" x14ac:dyDescent="0.3">
      <c r="A82" s="514"/>
      <c r="B82" s="135"/>
      <c r="C82" s="76" t="s">
        <v>163</v>
      </c>
      <c r="D82" s="76" t="s">
        <v>164</v>
      </c>
      <c r="F82" s="360">
        <v>0</v>
      </c>
      <c r="G82" s="360">
        <v>0</v>
      </c>
      <c r="H82" s="360">
        <v>0</v>
      </c>
      <c r="I82" s="360">
        <v>0</v>
      </c>
      <c r="J82" s="360">
        <v>0</v>
      </c>
      <c r="K82" s="360">
        <v>0</v>
      </c>
      <c r="M82" s="73" t="str">
        <f t="shared" si="15"/>
        <v>AM.7430</v>
      </c>
      <c r="N82" s="309" t="str">
        <f>+IF(TES[[#This Row],[ITEM]]=C82,"ok","mal")</f>
        <v>ok</v>
      </c>
      <c r="O82" s="360">
        <f t="shared" si="13"/>
        <v>0</v>
      </c>
      <c r="P82" s="332">
        <f>IF(VLOOKUP(TES[[#This Row],[ITEM]],TbPiezas[],5,0)="NA",0,VLOOKUP(TES[[#This Row],[ITEM]],TbPiezas[],5,0))</f>
        <v>4.3</v>
      </c>
      <c r="Q82" s="81">
        <f>+TES[[#This Row],[TOTAL]]*TES[[#This Row],[P.U. (1)]]</f>
        <v>0</v>
      </c>
      <c r="R82" s="82">
        <f>+VLOOKUP(TES[[#This Row],[ITEM]],TbPiezas[],6,0)</f>
        <v>452.11</v>
      </c>
      <c r="S82" s="83">
        <f>+TES[[#This Row],[TOTAL]]*TES[[#This Row],[P.U. (2)]]</f>
        <v>0</v>
      </c>
      <c r="T82" s="82">
        <f>+VLOOKUP(TES[[#This Row],[ITEM]],TbPiezas[],7,0)</f>
        <v>22.605500000000003</v>
      </c>
      <c r="U82" s="170">
        <f>+TES[[#This Row],[P.U. (3)]]*TES[[#This Row],[TOTAL]]</f>
        <v>0</v>
      </c>
    </row>
    <row r="83" spans="1:21" x14ac:dyDescent="0.3">
      <c r="A83" s="514"/>
      <c r="B83" s="135"/>
      <c r="C83" s="76" t="s">
        <v>165</v>
      </c>
      <c r="D83" s="76" t="s">
        <v>166</v>
      </c>
      <c r="F83" s="360">
        <v>0</v>
      </c>
      <c r="G83" s="360">
        <v>0</v>
      </c>
      <c r="H83" s="360">
        <v>0</v>
      </c>
      <c r="I83" s="360">
        <v>0</v>
      </c>
      <c r="J83" s="360">
        <v>0</v>
      </c>
      <c r="K83" s="360">
        <v>0</v>
      </c>
      <c r="M83" s="73" t="str">
        <f t="shared" si="15"/>
        <v>AM.7440</v>
      </c>
      <c r="N83" s="309" t="str">
        <f>+IF(TES[[#This Row],[ITEM]]=C83,"ok","mal")</f>
        <v>ok</v>
      </c>
      <c r="O83" s="360">
        <f t="shared" si="13"/>
        <v>0</v>
      </c>
      <c r="P83" s="332">
        <f>IF(VLOOKUP(TES[[#This Row],[ITEM]],TbPiezas[],5,0)="NA",0,VLOOKUP(TES[[#This Row],[ITEM]],TbPiezas[],5,0))</f>
        <v>5.86</v>
      </c>
      <c r="Q83" s="81">
        <f>+TES[[#This Row],[TOTAL]]*TES[[#This Row],[P.U. (1)]]</f>
        <v>0</v>
      </c>
      <c r="R83" s="82">
        <f>+VLOOKUP(TES[[#This Row],[ITEM]],TbPiezas[],6,0)</f>
        <v>408.3</v>
      </c>
      <c r="S83" s="83">
        <f>+TES[[#This Row],[TOTAL]]*TES[[#This Row],[P.U. (2)]]</f>
        <v>0</v>
      </c>
      <c r="T83" s="82">
        <f>+VLOOKUP(TES[[#This Row],[ITEM]],TbPiezas[],7,0)</f>
        <v>20.415000000000003</v>
      </c>
      <c r="U83" s="170">
        <f>+TES[[#This Row],[P.U. (3)]]*TES[[#This Row],[TOTAL]]</f>
        <v>0</v>
      </c>
    </row>
    <row r="84" spans="1:21" x14ac:dyDescent="0.3">
      <c r="A84" s="514"/>
      <c r="B84" s="135"/>
      <c r="C84" s="76" t="s">
        <v>187</v>
      </c>
      <c r="D84" s="76" t="s">
        <v>188</v>
      </c>
      <c r="F84" s="360">
        <v>0</v>
      </c>
      <c r="G84" s="360">
        <v>0</v>
      </c>
      <c r="H84" s="360">
        <v>0</v>
      </c>
      <c r="I84" s="360">
        <v>0</v>
      </c>
      <c r="J84" s="360">
        <v>0</v>
      </c>
      <c r="K84" s="360">
        <v>0</v>
      </c>
      <c r="M84" s="73" t="str">
        <f t="shared" si="15"/>
        <v>AM.8100</v>
      </c>
      <c r="N84" s="309" t="str">
        <f>+IF(TES[[#This Row],[ITEM]]=C84,"ok","mal")</f>
        <v>ok</v>
      </c>
      <c r="O84" s="360">
        <f t="shared" si="13"/>
        <v>0</v>
      </c>
      <c r="P84" s="332">
        <f>IF(VLOOKUP(TES[[#This Row],[ITEM]],TbPiezas[],5,0)="NA",0,VLOOKUP(TES[[#This Row],[ITEM]],TbPiezas[],5,0))</f>
        <v>19.899999999999991</v>
      </c>
      <c r="Q84" s="81">
        <f>+TES[[#This Row],[TOTAL]]*TES[[#This Row],[P.U. (1)]]</f>
        <v>0</v>
      </c>
      <c r="R84" s="82">
        <f>+VLOOKUP(TES[[#This Row],[ITEM]],TbPiezas[],6,0)</f>
        <v>1236.3399999999999</v>
      </c>
      <c r="S84" s="83">
        <f>+TES[[#This Row],[TOTAL]]*TES[[#This Row],[P.U. (2)]]</f>
        <v>0</v>
      </c>
      <c r="T84" s="82">
        <f>+VLOOKUP(TES[[#This Row],[ITEM]],TbPiezas[],7,0)</f>
        <v>61.817</v>
      </c>
      <c r="U84" s="170">
        <f>+TES[[#This Row],[P.U. (3)]]*TES[[#This Row],[TOTAL]]</f>
        <v>0</v>
      </c>
    </row>
    <row r="85" spans="1:21" x14ac:dyDescent="0.3">
      <c r="A85" s="514"/>
      <c r="B85" s="135"/>
      <c r="C85" s="76" t="s">
        <v>189</v>
      </c>
      <c r="D85" s="76" t="s">
        <v>190</v>
      </c>
      <c r="F85" s="360">
        <v>0</v>
      </c>
      <c r="G85" s="360">
        <v>0</v>
      </c>
      <c r="H85" s="360">
        <v>0</v>
      </c>
      <c r="I85" s="360">
        <v>0</v>
      </c>
      <c r="J85" s="360">
        <v>0</v>
      </c>
      <c r="K85" s="360">
        <v>0</v>
      </c>
      <c r="M85" s="73" t="str">
        <f t="shared" si="15"/>
        <v>AM.8200</v>
      </c>
      <c r="N85" s="309" t="str">
        <f>+IF(TES[[#This Row],[ITEM]]=C85,"ok","mal")</f>
        <v>ok</v>
      </c>
      <c r="O85" s="360">
        <f t="shared" si="13"/>
        <v>0</v>
      </c>
      <c r="P85" s="332">
        <f>IF(VLOOKUP(TES[[#This Row],[ITEM]],TbPiezas[],5,0)="NA",0,VLOOKUP(TES[[#This Row],[ITEM]],TbPiezas[],5,0))</f>
        <v>9.2999999999999972</v>
      </c>
      <c r="Q85" s="81">
        <f>+TES[[#This Row],[TOTAL]]*TES[[#This Row],[P.U. (1)]]</f>
        <v>0</v>
      </c>
      <c r="R85" s="82">
        <f>+VLOOKUP(TES[[#This Row],[ITEM]],TbPiezas[],6,0)</f>
        <v>677.95</v>
      </c>
      <c r="S85" s="83">
        <f>+TES[[#This Row],[TOTAL]]*TES[[#This Row],[P.U. (2)]]</f>
        <v>0</v>
      </c>
      <c r="T85" s="82">
        <f>+VLOOKUP(TES[[#This Row],[ITEM]],TbPiezas[],7,0)</f>
        <v>33.897500000000001</v>
      </c>
      <c r="U85" s="170">
        <f>+TES[[#This Row],[P.U. (3)]]*TES[[#This Row],[TOTAL]]</f>
        <v>0</v>
      </c>
    </row>
    <row r="86" spans="1:21" x14ac:dyDescent="0.3">
      <c r="A86" s="514"/>
      <c r="B86" s="135"/>
      <c r="C86" s="76" t="s">
        <v>191</v>
      </c>
      <c r="D86" s="76" t="s">
        <v>192</v>
      </c>
      <c r="F86" s="360">
        <v>0</v>
      </c>
      <c r="G86" s="360">
        <v>0</v>
      </c>
      <c r="H86" s="360">
        <v>0</v>
      </c>
      <c r="I86" s="360">
        <v>0</v>
      </c>
      <c r="J86" s="360">
        <v>0</v>
      </c>
      <c r="K86" s="360">
        <v>0</v>
      </c>
      <c r="M86" s="73" t="str">
        <f t="shared" si="15"/>
        <v>AM.8300</v>
      </c>
      <c r="N86" s="309" t="str">
        <f>+IF(TES[[#This Row],[ITEM]]=C86,"ok","mal")</f>
        <v>ok</v>
      </c>
      <c r="O86" s="360">
        <f t="shared" si="13"/>
        <v>0</v>
      </c>
      <c r="P86" s="332">
        <f>IF(VLOOKUP(TES[[#This Row],[ITEM]],TbPiezas[],5,0)="NA",0,VLOOKUP(TES[[#This Row],[ITEM]],TbPiezas[],5,0))</f>
        <v>6.0999999999999943</v>
      </c>
      <c r="Q86" s="81">
        <f>+TES[[#This Row],[TOTAL]]*TES[[#This Row],[P.U. (1)]]</f>
        <v>0</v>
      </c>
      <c r="R86" s="82">
        <f>+VLOOKUP(TES[[#This Row],[ITEM]],TbPiezas[],6,0)</f>
        <v>372.73</v>
      </c>
      <c r="S86" s="83">
        <f>+TES[[#This Row],[TOTAL]]*TES[[#This Row],[P.U. (2)]]</f>
        <v>0</v>
      </c>
      <c r="T86" s="82">
        <f>+VLOOKUP(TES[[#This Row],[ITEM]],TbPiezas[],7,0)</f>
        <v>18.636500000000002</v>
      </c>
      <c r="U86" s="170">
        <f>+TES[[#This Row],[P.U. (3)]]*TES[[#This Row],[TOTAL]]</f>
        <v>0</v>
      </c>
    </row>
    <row r="87" spans="1:21" x14ac:dyDescent="0.3">
      <c r="A87" s="514"/>
      <c r="B87" s="135"/>
      <c r="C87" s="76" t="s">
        <v>193</v>
      </c>
      <c r="D87" s="76" t="s">
        <v>194</v>
      </c>
      <c r="F87" s="360">
        <v>0</v>
      </c>
      <c r="G87" s="360">
        <v>0</v>
      </c>
      <c r="H87" s="360">
        <v>0</v>
      </c>
      <c r="I87" s="360">
        <v>0</v>
      </c>
      <c r="J87" s="360">
        <v>0</v>
      </c>
      <c r="K87" s="360">
        <v>0</v>
      </c>
      <c r="M87" s="73" t="str">
        <f t="shared" si="15"/>
        <v>AM.8400</v>
      </c>
      <c r="N87" s="309" t="str">
        <f>+IF(TES[[#This Row],[ITEM]]=C87,"ok","mal")</f>
        <v>ok</v>
      </c>
      <c r="O87" s="360">
        <f t="shared" si="13"/>
        <v>0</v>
      </c>
      <c r="P87" s="332">
        <f>IF(VLOOKUP(TES[[#This Row],[ITEM]],TbPiezas[],5,0)="NA",0,VLOOKUP(TES[[#This Row],[ITEM]],TbPiezas[],5,0))</f>
        <v>1.2000000000000028</v>
      </c>
      <c r="Q87" s="81">
        <f>+TES[[#This Row],[TOTAL]]*TES[[#This Row],[P.U. (1)]]</f>
        <v>0</v>
      </c>
      <c r="R87" s="82">
        <f>+VLOOKUP(TES[[#This Row],[ITEM]],TbPiezas[],6,0)</f>
        <v>90.1</v>
      </c>
      <c r="S87" s="83">
        <f>+TES[[#This Row],[TOTAL]]*TES[[#This Row],[P.U. (2)]]</f>
        <v>0</v>
      </c>
      <c r="T87" s="82">
        <f>+VLOOKUP(TES[[#This Row],[ITEM]],TbPiezas[],7,0)</f>
        <v>4.5049999999999999</v>
      </c>
      <c r="U87" s="170">
        <f>+TES[[#This Row],[P.U. (3)]]*TES[[#This Row],[TOTAL]]</f>
        <v>0</v>
      </c>
    </row>
    <row r="88" spans="1:21" x14ac:dyDescent="0.3">
      <c r="A88" s="517"/>
      <c r="B88" s="135"/>
      <c r="C88" s="76" t="s">
        <v>195</v>
      </c>
      <c r="D88" s="76" t="s">
        <v>196</v>
      </c>
      <c r="F88" s="86">
        <f t="shared" ref="F88:K88" si="17">+IF(F8="TUBO 1.0",IF(OR(F$6="FERMIN",F$6="ALUMINIO",F$6="GURSAM 60",F6="EUROPEA"),IF(F5=0,2*ROUNDUP((F4-F5)/2,0),2*(ROUNDUP((F4)/2,0)-ROUNDUP((F5)/2,0))),IF(F$6="GURSAM 120",2*ROUNDUP((F4-F5)/6,0),0)),0)</f>
        <v>2</v>
      </c>
      <c r="G88" s="86">
        <f t="shared" si="17"/>
        <v>0</v>
      </c>
      <c r="H88" s="86">
        <f t="shared" si="17"/>
        <v>0</v>
      </c>
      <c r="I88" s="86">
        <f t="shared" si="17"/>
        <v>0</v>
      </c>
      <c r="J88" s="86">
        <f t="shared" si="17"/>
        <v>0</v>
      </c>
      <c r="K88" s="86">
        <f t="shared" si="17"/>
        <v>0</v>
      </c>
      <c r="M88" s="73" t="str">
        <f t="shared" si="15"/>
        <v>AM.8500</v>
      </c>
      <c r="N88" s="309" t="str">
        <f>+IF(TES[[#This Row],[ITEM]]=C88,"ok","mal")</f>
        <v>ok</v>
      </c>
      <c r="O88" s="330">
        <f t="shared" si="13"/>
        <v>2</v>
      </c>
      <c r="P88" s="332">
        <f>IF(VLOOKUP(TES[[#This Row],[ITEM]],TbPiezas[],5,0)="NA",0,VLOOKUP(TES[[#This Row],[ITEM]],TbPiezas[],5,0))</f>
        <v>1.2000000000000028</v>
      </c>
      <c r="Q88" s="81">
        <f>+TES[[#This Row],[TOTAL]]*TES[[#This Row],[P.U. (1)]]</f>
        <v>2.4000000000000057</v>
      </c>
      <c r="R88" s="82">
        <f>+VLOOKUP(TES[[#This Row],[ITEM]],TbPiezas[],6,0)</f>
        <v>118.69</v>
      </c>
      <c r="S88" s="83">
        <f>+TES[[#This Row],[TOTAL]]*TES[[#This Row],[P.U. (2)]]</f>
        <v>237.38</v>
      </c>
      <c r="T88" s="82">
        <f>+VLOOKUP(TES[[#This Row],[ITEM]],TbPiezas[],7,0)</f>
        <v>5.9344999999999999</v>
      </c>
      <c r="U88" s="170">
        <f>+TES[[#This Row],[P.U. (3)]]*TES[[#This Row],[TOTAL]]</f>
        <v>11.869</v>
      </c>
    </row>
    <row r="89" spans="1:21" x14ac:dyDescent="0.3">
      <c r="A89" s="517"/>
      <c r="B89" s="135"/>
      <c r="C89" s="76" t="s">
        <v>197</v>
      </c>
      <c r="D89" s="76" t="s">
        <v>198</v>
      </c>
      <c r="F89" s="314">
        <f t="shared" ref="F89:K89" si="18">+IF(F8="TUBO 0.5",IF(OR(F$6="FERMIN",F$6="ALUMINIO",F$6="GURSAM 60",F6="EUROPEA"),IF(F5=0,2*ROUNDUP((F4-F5)/2,0),2*(ROUNDUP((F4)/2,0)-ROUNDUP((F5)/2,0))),IF(F$6="GURSAM 120",2*ROUNDUP((F4-F5)/6,0),0)),0)</f>
        <v>0</v>
      </c>
      <c r="G89" s="314">
        <f t="shared" si="18"/>
        <v>0</v>
      </c>
      <c r="H89" s="314">
        <f t="shared" si="18"/>
        <v>0</v>
      </c>
      <c r="I89" s="314">
        <f t="shared" si="18"/>
        <v>0</v>
      </c>
      <c r="J89" s="314">
        <f t="shared" si="18"/>
        <v>0</v>
      </c>
      <c r="K89" s="314">
        <f t="shared" si="18"/>
        <v>0</v>
      </c>
      <c r="M89" s="73" t="str">
        <f t="shared" si="15"/>
        <v>AM.8600</v>
      </c>
      <c r="N89" s="309" t="str">
        <f>+IF(TES[[#This Row],[ITEM]]=C89,"ok","mal")</f>
        <v>ok</v>
      </c>
      <c r="O89" s="330">
        <f t="shared" si="13"/>
        <v>0</v>
      </c>
      <c r="P89" s="332">
        <f>IF(VLOOKUP(TES[[#This Row],[ITEM]],TbPiezas[],5,0)="NA",0,VLOOKUP(TES[[#This Row],[ITEM]],TbPiezas[],5,0))</f>
        <v>1.7000000000000028</v>
      </c>
      <c r="Q89" s="81">
        <f>+TES[[#This Row],[TOTAL]]*TES[[#This Row],[P.U. (1)]]</f>
        <v>0</v>
      </c>
      <c r="R89" s="82">
        <f>+VLOOKUP(TES[[#This Row],[ITEM]],TbPiezas[],6,0)</f>
        <v>59.23</v>
      </c>
      <c r="S89" s="83">
        <f>+TES[[#This Row],[TOTAL]]*TES[[#This Row],[P.U. (2)]]</f>
        <v>0</v>
      </c>
      <c r="T89" s="82">
        <f>+VLOOKUP(TES[[#This Row],[ITEM]],TbPiezas[],7,0)</f>
        <v>2.9615</v>
      </c>
      <c r="U89" s="170">
        <f>+TES[[#This Row],[P.U. (3)]]*TES[[#This Row],[TOTAL]]</f>
        <v>0</v>
      </c>
    </row>
    <row r="90" spans="1:21" x14ac:dyDescent="0.3">
      <c r="A90" s="514"/>
      <c r="B90" s="135"/>
      <c r="C90" s="76" t="s">
        <v>199</v>
      </c>
      <c r="D90" s="76" t="s">
        <v>200</v>
      </c>
      <c r="F90" s="314">
        <f t="shared" ref="F90:K90" si="19">+IF(F8="FERMIN",IF(OR(F$6="FERMIN",F$6="ALUMINIO",F$6="GURSAM 60"),IF(AND(F5=0,F4&gt;0),IF(ISEVEN(F4-F5),(F4-F5)+2,(F4-F5)+3),IF(AND(F5&gt;0,F4&gt;0),IF(ISEVEN(F4-F5),(F4-F5),(F4-F5)+1),0)),IF(OR(F$6="GURSAM 120",F6="EUROPEA"),IF(AND(F5=0,F4&gt;0),IF(ISEVEN(F4-F5),2*(F4-F5)+2,"NE"),IF(AND(F5&gt;0,F4&gt;0),IF(ISEVEN(F4-F5),2*(F4-F5),"NE"),0)),0)),0)</f>
        <v>0</v>
      </c>
      <c r="G90" s="314">
        <f t="shared" si="19"/>
        <v>0</v>
      </c>
      <c r="H90" s="314">
        <f t="shared" si="19"/>
        <v>0</v>
      </c>
      <c r="I90" s="314">
        <f t="shared" si="19"/>
        <v>0</v>
      </c>
      <c r="J90" s="314">
        <f t="shared" si="19"/>
        <v>0</v>
      </c>
      <c r="K90" s="314">
        <f t="shared" si="19"/>
        <v>0</v>
      </c>
      <c r="M90" s="73" t="str">
        <f t="shared" si="15"/>
        <v>AM.8700</v>
      </c>
      <c r="N90" s="309" t="str">
        <f>+IF(TES[[#This Row],[ITEM]]=C90,"ok","mal")</f>
        <v>ok</v>
      </c>
      <c r="O90" s="330">
        <f t="shared" si="13"/>
        <v>0</v>
      </c>
      <c r="P90" s="332">
        <f>IF(VLOOKUP(TES[[#This Row],[ITEM]],TbPiezas[],5,0)="NA",0,VLOOKUP(TES[[#This Row],[ITEM]],TbPiezas[],5,0))</f>
        <v>5.7999999999999972</v>
      </c>
      <c r="Q90" s="81">
        <f>+TES[[#This Row],[TOTAL]]*TES[[#This Row],[P.U. (1)]]</f>
        <v>0</v>
      </c>
      <c r="R90" s="82">
        <f>+VLOOKUP(TES[[#This Row],[ITEM]],TbPiezas[],6,0)</f>
        <v>304.92</v>
      </c>
      <c r="S90" s="83">
        <f>+TES[[#This Row],[TOTAL]]*TES[[#This Row],[P.U. (2)]]</f>
        <v>0</v>
      </c>
      <c r="T90" s="82">
        <f>+VLOOKUP(TES[[#This Row],[ITEM]],TbPiezas[],7,0)</f>
        <v>15.246000000000002</v>
      </c>
      <c r="U90" s="170">
        <f>+TES[[#This Row],[P.U. (3)]]*TES[[#This Row],[TOTAL]]</f>
        <v>0</v>
      </c>
    </row>
    <row r="91" spans="1:21" x14ac:dyDescent="0.3">
      <c r="A91" s="513"/>
      <c r="B91" s="135"/>
      <c r="C91" s="76" t="s">
        <v>201</v>
      </c>
      <c r="D91" s="76" t="s">
        <v>202</v>
      </c>
      <c r="F91" s="314">
        <f>IF(F$5&gt;0,F88+F89,+IF(OR(F$8="FERMIN"),0,IF(OR(F$8="TUBO 0.5",F$8="TUBO 1.0"),F88+F89,0))+IF(OR(F$6="",F$7=""),,INDEX(Apoyo2Despiece!$D$3:$AA$20,MATCH($C91,Apoyo2Despiece!$C$3:$C$20,0),MATCH(CONCATENATE(Escalera!F$6,Escalera!F$7),Apoyo2Despiece!$D$2:$AA$2,0))))</f>
        <v>4</v>
      </c>
      <c r="G91" s="314">
        <f>IF(G$5&gt;0,G88+G89,+IF(OR(G$8="FERMIN"),0,IF(OR(G$8="TUBO 0.5",G$8="TUBO 1.0"),G88+G89,0))+IF(OR(G$6="",G$7=""),,INDEX(Apoyo2Despiece!$D$3:$AA$20,MATCH($C91,Apoyo2Despiece!$C$3:$C$20,0),MATCH(CONCATENATE(Escalera!G$6,Escalera!G$7),Apoyo2Despiece!$D$2:$AA$2,0))))</f>
        <v>0</v>
      </c>
      <c r="H91" s="314">
        <f>IF(H$5&gt;0,H88+H89,+IF(OR(H$8="FERMIN"),0,IF(OR(H$8="TUBO 0.5",H$8="TUBO 1.0"),H88+H89,0))+IF(OR(H$6="",H$7=""),,INDEX(Apoyo2Despiece!$D$3:$AA$20,MATCH($C91,Apoyo2Despiece!$C$3:$C$20,0),MATCH(CONCATENATE(Escalera!H$6,Escalera!H$7),Apoyo2Despiece!$D$2:$AA$2,0))))</f>
        <v>0</v>
      </c>
      <c r="I91" s="314">
        <f>IF(I$5&gt;0,I88+I89,+IF(OR(I$8="FERMIN"),0,IF(OR(I$8="TUBO 0.5",I$8="TUBO 1.0"),I88+I89,0))+IF(OR(I$6="",I$7=""),,INDEX(Apoyo2Despiece!$D$3:$AA$20,MATCH($C91,Apoyo2Despiece!$C$3:$C$20,0),MATCH(CONCATENATE(Escalera!I$6,Escalera!I$7),Apoyo2Despiece!$D$2:$AA$2,0))))</f>
        <v>0</v>
      </c>
      <c r="J91" s="314">
        <f>IF(J$5&gt;0,J88+J89,+IF(OR(J$8="FERMIN"),0,IF(OR(J$8="TUBO 0.5",J$8="TUBO 1.0"),J88+J89,0))+IF(OR(J$6="",J$7=""),,INDEX(Apoyo2Despiece!$D$3:$AA$20,MATCH($C91,Apoyo2Despiece!$C$3:$C$20,0),MATCH(CONCATENATE(Escalera!J$6,Escalera!J$7),Apoyo2Despiece!$D$2:$AA$2,0))))</f>
        <v>0</v>
      </c>
      <c r="K91" s="314">
        <f>IF(K$5&gt;0,K88+K89,+IF(OR(K$8="FERMIN"),0,IF(OR(K$8="TUBO 0.5",K$8="TUBO 1.0"),K88+K89,0))+IF(OR(K$6="",K$7=""),,INDEX(Apoyo2Despiece!$D$3:$AA$20,MATCH($C91,Apoyo2Despiece!$C$3:$C$20,0),MATCH(CONCATENATE(Escalera!K$6,Escalera!K$7),Apoyo2Despiece!$D$2:$AA$2,0))))</f>
        <v>0</v>
      </c>
      <c r="M91" s="73" t="str">
        <f t="shared" si="15"/>
        <v>AM.8800</v>
      </c>
      <c r="N91" s="309" t="str">
        <f>+IF(TES[[#This Row],[ITEM]]=C91,"ok","mal")</f>
        <v>ok</v>
      </c>
      <c r="O91" s="330">
        <f t="shared" si="13"/>
        <v>4</v>
      </c>
      <c r="P91" s="332">
        <f>IF(VLOOKUP(TES[[#This Row],[ITEM]],TbPiezas[],5,0)="NA",0,VLOOKUP(TES[[#This Row],[ITEM]],TbPiezas[],5,0))</f>
        <v>0.4</v>
      </c>
      <c r="Q91" s="81">
        <f>+TES[[#This Row],[TOTAL]]*TES[[#This Row],[P.U. (1)]]</f>
        <v>1.6</v>
      </c>
      <c r="R91" s="82">
        <f>+VLOOKUP(TES[[#This Row],[ITEM]],TbPiezas[],6,0)</f>
        <v>44.75</v>
      </c>
      <c r="S91" s="83">
        <f>+TES[[#This Row],[TOTAL]]*TES[[#This Row],[P.U. (2)]]</f>
        <v>179</v>
      </c>
      <c r="T91" s="82">
        <f>+VLOOKUP(TES[[#This Row],[ITEM]],TbPiezas[],7,0)</f>
        <v>2.2375000000000003</v>
      </c>
      <c r="U91" s="170">
        <f>+TES[[#This Row],[P.U. (3)]]*TES[[#This Row],[TOTAL]]</f>
        <v>8.9500000000000011</v>
      </c>
    </row>
    <row r="92" spans="1:21" x14ac:dyDescent="0.3">
      <c r="A92" s="514"/>
      <c r="B92" s="135"/>
      <c r="C92" s="76" t="s">
        <v>203</v>
      </c>
      <c r="D92" s="76" t="s">
        <v>204</v>
      </c>
      <c r="F92" s="314">
        <f>IF(F$5&gt;0,F90,IF(OR(F$8="FERMIN"),F90,IF(OR(F$8="TUBO 0.5",F$8="TUBO 1.0"),0))+IF(OR(F$6="",F$7=""),,INDEX(Apoyo2Despiece!$D$3:$AA$20,MATCH($C92,Apoyo2Despiece!$C$3:$C$20,0),MATCH(CONCATENATE(Escalera!F$6,Escalera!F$7),Apoyo2Despiece!$D$2:$AA$2,0))))</f>
        <v>0</v>
      </c>
      <c r="G92" s="314">
        <f>IF(G$5&gt;0,G90,IF(OR(G$8="FERMIN"),G90,IF(OR(G$8="TUBO 0.5",G$8="TUBO 1.0"),0))+IF(OR(G$6="",G$7=""),,INDEX(Apoyo2Despiece!$D$3:$AA$20,MATCH($C92,Apoyo2Despiece!$C$3:$C$20,0),MATCH(CONCATENATE(Escalera!G$6,Escalera!G$7),Apoyo2Despiece!$D$2:$AA$2,0))))</f>
        <v>0</v>
      </c>
      <c r="H92" s="314">
        <f>IF(H$5&gt;0,H90,IF(OR(H$8="FERMIN"),H90,IF(OR(H$8="TUBO 0.5",H$8="TUBO 1.0"),0))+IF(OR(H$6="",H$7=""),,INDEX(Apoyo2Despiece!$D$3:$AA$20,MATCH($C92,Apoyo2Despiece!$C$3:$C$20,0),MATCH(CONCATENATE(Escalera!H$6,Escalera!H$7),Apoyo2Despiece!$D$2:$AA$2,0))))</f>
        <v>0</v>
      </c>
      <c r="I92" s="314">
        <f>IF(I$5&gt;0,I90,IF(OR(I$8="FERMIN"),I90,IF(OR(I$8="TUBO 0.5",I$8="TUBO 1.0"),0))+IF(OR(I$6="",I$7=""),,INDEX(Apoyo2Despiece!$D$3:$AA$20,MATCH($C92,Apoyo2Despiece!$C$3:$C$20,0),MATCH(CONCATENATE(Escalera!I$6,Escalera!I$7),Apoyo2Despiece!$D$2:$AA$2,0))))</f>
        <v>0</v>
      </c>
      <c r="J92" s="314">
        <f>IF(J$5&gt;0,J90,IF(OR(J$8="FERMIN"),J90,IF(OR(J$8="TUBO 0.5",J$8="TUBO 1.0"),0))+IF(OR(J$6="",J$7=""),,INDEX(Apoyo2Despiece!$D$3:$AA$20,MATCH($C92,Apoyo2Despiece!$C$3:$C$20,0),MATCH(CONCATENATE(Escalera!J$6,Escalera!J$7),Apoyo2Despiece!$D$2:$AA$2,0))))</f>
        <v>0</v>
      </c>
      <c r="K92" s="314">
        <f>IF(K$5&gt;0,K90,IF(OR(K$8="FERMIN"),K90,IF(OR(K$8="TUBO 0.5",K$8="TUBO 1.0"),0))+IF(OR(K$6="",K$7=""),,INDEX(Apoyo2Despiece!$D$3:$AA$20,MATCH($C92,Apoyo2Despiece!$C$3:$C$20,0),MATCH(CONCATENATE(Escalera!K$6,Escalera!K$7),Apoyo2Despiece!$D$2:$AA$2,0))))</f>
        <v>0</v>
      </c>
      <c r="M92" s="73" t="str">
        <f t="shared" si="15"/>
        <v>AM.8900</v>
      </c>
      <c r="N92" s="309" t="str">
        <f>+IF(TES[[#This Row],[ITEM]]=C92,"ok","mal")</f>
        <v>ok</v>
      </c>
      <c r="O92" s="330">
        <f t="shared" si="13"/>
        <v>0</v>
      </c>
      <c r="P92" s="332">
        <f>IF(VLOOKUP(TES[[#This Row],[ITEM]],TbPiezas[],5,0)="NA",0,VLOOKUP(TES[[#This Row],[ITEM]],TbPiezas[],5,0))</f>
        <v>0.5</v>
      </c>
      <c r="Q92" s="81">
        <f>+TES[[#This Row],[TOTAL]]*TES[[#This Row],[P.U. (1)]]</f>
        <v>0</v>
      </c>
      <c r="R92" s="82">
        <f>+VLOOKUP(TES[[#This Row],[ITEM]],TbPiezas[],6,0)</f>
        <v>44.75</v>
      </c>
      <c r="S92" s="83">
        <f>+TES[[#This Row],[TOTAL]]*TES[[#This Row],[P.U. (2)]]</f>
        <v>0</v>
      </c>
      <c r="T92" s="82">
        <f>+VLOOKUP(TES[[#This Row],[ITEM]],TbPiezas[],7,0)</f>
        <v>2.2375000000000003</v>
      </c>
      <c r="U92" s="170">
        <f>+TES[[#This Row],[P.U. (3)]]*TES[[#This Row],[TOTAL]]</f>
        <v>0</v>
      </c>
    </row>
    <row r="93" spans="1:21" x14ac:dyDescent="0.3">
      <c r="A93" s="514"/>
      <c r="B93" s="135"/>
      <c r="C93" s="76" t="s">
        <v>205</v>
      </c>
      <c r="D93" s="76" t="s">
        <v>206</v>
      </c>
      <c r="F93" s="314">
        <f>+IF(OR(F6="",F7="",F5&gt;0,F6="GURSAM 120"),0,INDEX(Apoyo2Despiece!$D$3:$Y$18,MATCH($C93,Apoyo2Despiece!$C$3:$C$18,0),MATCH(CONCATENATE(Escalera!F$6,Escalera!F$7),Apoyo2Despiece!$D$2:$Y$2,0)))+IF(OR(F6="",F7="",F5&gt;0,F6="GURSAM 60",F6="EUROPEA",F6="FERMIN",F6="ALUMINIO"),0,INDEX(Apoyo2Despiece!$D$3:$AG$18,MATCH($C93,Apoyo2Despiece!$C$3:$C$18,0),MATCH(CONCATENATE(F$6,F$7,F$9),Apoyo2Despiece!$D$2:$AG$2,0)))</f>
        <v>2</v>
      </c>
      <c r="G93" s="314">
        <f>+IF(OR(G6="",G7="",G5&gt;0,G6="GURSAM 120"),0,INDEX(Apoyo2Despiece!$D$3:$Y$18,MATCH($C93,Apoyo2Despiece!$C$3:$C$18,0),MATCH(CONCATENATE(Escalera!G$6,Escalera!G$7),Apoyo2Despiece!$D$2:$Y$2,0)))+IF(OR(G6="",G7="",G5&gt;0,G6="GURSAM 60",G6="EUROPEA",G6="FERMIN",G6="ALUMINIO"),0,INDEX(Apoyo2Despiece!$D$3:$AG$18,MATCH($C93,Apoyo2Despiece!$C$3:$C$18,0),MATCH(CONCATENATE(G$6,G$7,G$9),Apoyo2Despiece!$D$2:$AG$2,0)))</f>
        <v>0</v>
      </c>
      <c r="H93" s="314">
        <f>+IF(OR(H6="",H7="",H5&gt;0,H6="GURSAM 120"),0,INDEX(Apoyo2Despiece!$D$3:$Y$18,MATCH($C93,Apoyo2Despiece!$C$3:$C$18,0),MATCH(CONCATENATE(Escalera!H$6,Escalera!H$7),Apoyo2Despiece!$D$2:$Y$2,0)))+IF(OR(H6="",H7="",H5&gt;0,H6="GURSAM 60",H6="EUROPEA",H6="FERMIN",H6="ALUMINIO"),0,INDEX(Apoyo2Despiece!$D$3:$AG$18,MATCH($C93,Apoyo2Despiece!$C$3:$C$18,0),MATCH(CONCATENATE(H$6,H$7,H$9),Apoyo2Despiece!$D$2:$AG$2,0)))</f>
        <v>0</v>
      </c>
      <c r="I93" s="314">
        <f>+IF(OR(I6="",I7="",I5&gt;0,I6="GURSAM 120"),0,INDEX(Apoyo2Despiece!$D$3:$Y$18,MATCH($C93,Apoyo2Despiece!$C$3:$C$18,0),MATCH(CONCATENATE(Escalera!I$6,Escalera!I$7),Apoyo2Despiece!$D$2:$Y$2,0)))+IF(OR(I6="",I7="",I5&gt;0,I6="GURSAM 60",I6="EUROPEA",I6="FERMIN",I6="ALUMINIO"),0,INDEX(Apoyo2Despiece!$D$3:$AG$18,MATCH($C93,Apoyo2Despiece!$C$3:$C$18,0),MATCH(CONCATENATE(I$6,I$7,I$9),Apoyo2Despiece!$D$2:$AG$2,0)))</f>
        <v>0</v>
      </c>
      <c r="J93" s="314">
        <f>+IF(OR(J6="",J7="",J5&gt;0,J6="GURSAM 120"),0,INDEX(Apoyo2Despiece!$D$3:$Y$18,MATCH($C93,Apoyo2Despiece!$C$3:$C$18,0),MATCH(CONCATENATE(Escalera!J$6,Escalera!J$7),Apoyo2Despiece!$D$2:$Y$2,0)))+IF(OR(J6="",J7="",J5&gt;0,J6="GURSAM 60",J6="EUROPEA",J6="FERMIN",J6="ALUMINIO"),0,INDEX(Apoyo2Despiece!$D$3:$AG$18,MATCH($C93,Apoyo2Despiece!$C$3:$C$18,0),MATCH(CONCATENATE(J$6,J$7,J$9),Apoyo2Despiece!$D$2:$AG$2,0)))</f>
        <v>0</v>
      </c>
      <c r="K93" s="314">
        <f>+IF(OR(K6="",K7="",K5&gt;0,K6="GURSAM 120"),0,INDEX(Apoyo2Despiece!$D$3:$Y$18,MATCH($C93,Apoyo2Despiece!$C$3:$C$18,0),MATCH(CONCATENATE(Escalera!K$6,Escalera!K$7),Apoyo2Despiece!$D$2:$Y$2,0)))+IF(OR(K6="",K7="",K5&gt;0,K6="GURSAM 60",K6="EUROPEA",K6="FERMIN",K6="ALUMINIO"),0,INDEX(Apoyo2Despiece!$D$3:$AG$18,MATCH($C93,Apoyo2Despiece!$C$3:$C$18,0),MATCH(CONCATENATE(K$6,K$7,K$9),Apoyo2Despiece!$D$2:$AG$2,0)))</f>
        <v>0</v>
      </c>
      <c r="M93" s="73" t="str">
        <f t="shared" si="15"/>
        <v>AM.9000</v>
      </c>
      <c r="N93" s="309" t="str">
        <f>+IF(TES[[#This Row],[ITEM]]=C93,"ok","mal")</f>
        <v>ok</v>
      </c>
      <c r="O93" s="330">
        <f t="shared" si="13"/>
        <v>2</v>
      </c>
      <c r="P93" s="332">
        <f>IF(VLOOKUP(TES[[#This Row],[ITEM]],TbPiezas[],5,0)="NA",0,VLOOKUP(TES[[#This Row],[ITEM]],TbPiezas[],5,0))</f>
        <v>1.7999999999999972</v>
      </c>
      <c r="Q93" s="81">
        <f>+TES[[#This Row],[TOTAL]]*TES[[#This Row],[P.U. (1)]]</f>
        <v>3.5999999999999943</v>
      </c>
      <c r="R93" s="82">
        <f>+VLOOKUP(TES[[#This Row],[ITEM]],TbPiezas[],6,0)</f>
        <v>112.93</v>
      </c>
      <c r="S93" s="83">
        <f>+TES[[#This Row],[TOTAL]]*TES[[#This Row],[P.U. (2)]]</f>
        <v>225.86</v>
      </c>
      <c r="T93" s="82">
        <f>+VLOOKUP(TES[[#This Row],[ITEM]],TbPiezas[],7,0)</f>
        <v>5.6465000000000005</v>
      </c>
      <c r="U93" s="170">
        <f>+TES[[#This Row],[P.U. (3)]]*TES[[#This Row],[TOTAL]]</f>
        <v>11.293000000000001</v>
      </c>
    </row>
    <row r="94" spans="1:21" x14ac:dyDescent="0.3">
      <c r="A94" s="514"/>
      <c r="B94" s="135"/>
      <c r="C94" s="76" t="s">
        <v>207</v>
      </c>
      <c r="D94" s="76" t="s">
        <v>208</v>
      </c>
      <c r="F94" s="360">
        <v>0</v>
      </c>
      <c r="G94" s="360">
        <v>0</v>
      </c>
      <c r="H94" s="360">
        <v>0</v>
      </c>
      <c r="I94" s="360">
        <v>0</v>
      </c>
      <c r="J94" s="360">
        <v>0</v>
      </c>
      <c r="K94" s="360">
        <v>0</v>
      </c>
      <c r="M94" s="73" t="str">
        <f t="shared" si="15"/>
        <v>AM.9100</v>
      </c>
      <c r="N94" s="309" t="str">
        <f>+IF(TES[[#This Row],[ITEM]]=C94,"ok","mal")</f>
        <v>ok</v>
      </c>
      <c r="O94" s="360">
        <f t="shared" si="13"/>
        <v>0</v>
      </c>
      <c r="P94" s="332">
        <f>IF(VLOOKUP(TES[[#This Row],[ITEM]],TbPiezas[],5,0)="NA",0,VLOOKUP(TES[[#This Row],[ITEM]],TbPiezas[],5,0))</f>
        <v>3.8</v>
      </c>
      <c r="Q94" s="81">
        <f>+TES[[#This Row],[TOTAL]]*TES[[#This Row],[P.U. (1)]]</f>
        <v>0</v>
      </c>
      <c r="R94" s="82">
        <f>+VLOOKUP(TES[[#This Row],[ITEM]],TbPiezas[],6,0)</f>
        <v>173.65</v>
      </c>
      <c r="S94" s="83">
        <f>+TES[[#This Row],[TOTAL]]*TES[[#This Row],[P.U. (2)]]</f>
        <v>0</v>
      </c>
      <c r="T94" s="82">
        <f>+VLOOKUP(TES[[#This Row],[ITEM]],TbPiezas[],7,0)</f>
        <v>8.682500000000001</v>
      </c>
      <c r="U94" s="170">
        <f>+TES[[#This Row],[P.U. (3)]]*TES[[#This Row],[TOTAL]]</f>
        <v>0</v>
      </c>
    </row>
    <row r="95" spans="1:21" x14ac:dyDescent="0.3">
      <c r="A95" s="514"/>
      <c r="B95" s="135"/>
      <c r="C95" s="76" t="s">
        <v>209</v>
      </c>
      <c r="D95" s="76" t="s">
        <v>210</v>
      </c>
      <c r="F95" s="314">
        <f>IF(OR(F6="",F7="",F5&gt;0,F6="GURSAM 120"),0,INDEX(Apoyo2Despiece!$D$3:$Y$18,MATCH($C95,Apoyo2Despiece!$C$3:$C$18,0),MATCH(CONCATENATE(Escalera!F$6,Escalera!F$7),Apoyo2Despiece!$D$2:$Y$2,0)))+IF(OR(F6="",F7="",F5&gt;0,F6="GURSAM 60",F6="EUROPEA",F6="FERMIN",F6="ALUMINIO"),0,INDEX(Apoyo2Despiece!$D$3:$AG$18,MATCH($C95,Apoyo2Despiece!$C$3:$C$18,0),MATCH(CONCATENATE(F$6,F$7,F$9),Apoyo2Despiece!$D$2:$AG$2,0)))</f>
        <v>5</v>
      </c>
      <c r="G95" s="314">
        <f>IF(OR(G6="",G7="",G5&gt;0,G6="GURSAM 120"),0,INDEX(Apoyo2Despiece!$D$3:$Y$18,MATCH($C95,Apoyo2Despiece!$C$3:$C$18,0),MATCH(CONCATENATE(Escalera!G$6,Escalera!G$7),Apoyo2Despiece!$D$2:$Y$2,0)))+IF(OR(G6="",G7="",G5&gt;0,G6="GURSAM 60",G6="EUROPEA",G6="FERMIN",G6="ALUMINIO"),0,INDEX(Apoyo2Despiece!$D$3:$AG$18,MATCH($C95,Apoyo2Despiece!$C$3:$C$18,0),MATCH(CONCATENATE(G$6,G$7,G$9),Apoyo2Despiece!$D$2:$AG$2,0)))</f>
        <v>0</v>
      </c>
      <c r="H95" s="314">
        <f>IF(OR(H6="",H7="",H5&gt;0,H6="GURSAM 120"),0,INDEX(Apoyo2Despiece!$D$3:$Y$18,MATCH($C95,Apoyo2Despiece!$C$3:$C$18,0),MATCH(CONCATENATE(Escalera!H$6,Escalera!H$7),Apoyo2Despiece!$D$2:$Y$2,0)))+IF(OR(H6="",H7="",H5&gt;0,H6="GURSAM 60",H6="EUROPEA",H6="FERMIN",H6="ALUMINIO"),0,INDEX(Apoyo2Despiece!$D$3:$AG$18,MATCH($C95,Apoyo2Despiece!$C$3:$C$18,0),MATCH(CONCATENATE(H$6,H$7,H$9),Apoyo2Despiece!$D$2:$AG$2,0)))</f>
        <v>0</v>
      </c>
      <c r="I95" s="314">
        <f>IF(OR(I6="",I7="",I5&gt;0,I6="GURSAM 120"),0,INDEX(Apoyo2Despiece!$D$3:$Y$18,MATCH($C95,Apoyo2Despiece!$C$3:$C$18,0),MATCH(CONCATENATE(Escalera!I$6,Escalera!I$7),Apoyo2Despiece!$D$2:$Y$2,0)))+IF(OR(I6="",I7="",I5&gt;0,I6="GURSAM 60",I6="EUROPEA",I6="FERMIN",I6="ALUMINIO"),0,INDEX(Apoyo2Despiece!$D$3:$AG$18,MATCH($C95,Apoyo2Despiece!$C$3:$C$18,0),MATCH(CONCATENATE(I$6,I$7,I$9),Apoyo2Despiece!$D$2:$AG$2,0)))</f>
        <v>0</v>
      </c>
      <c r="J95" s="314">
        <f>IF(OR(J6="",J7="",J5&gt;0,J6="GURSAM 120"),0,INDEX(Apoyo2Despiece!$D$3:$Y$18,MATCH($C95,Apoyo2Despiece!$C$3:$C$18,0),MATCH(CONCATENATE(Escalera!J$6,Escalera!J$7),Apoyo2Despiece!$D$2:$Y$2,0)))+IF(OR(J6="",J7="",J5&gt;0,J6="GURSAM 60",J6="EUROPEA",J6="FERMIN",J6="ALUMINIO"),0,INDEX(Apoyo2Despiece!$D$3:$AG$18,MATCH($C95,Apoyo2Despiece!$C$3:$C$18,0),MATCH(CONCATENATE(J$6,J$7,J$9),Apoyo2Despiece!$D$2:$AG$2,0)))</f>
        <v>0</v>
      </c>
      <c r="K95" s="314">
        <f>IF(OR(K6="",K7="",K5&gt;0,K6="GURSAM 120"),0,INDEX(Apoyo2Despiece!$D$3:$Y$18,MATCH($C95,Apoyo2Despiece!$C$3:$C$18,0),MATCH(CONCATENATE(Escalera!K$6,Escalera!K$7),Apoyo2Despiece!$D$2:$Y$2,0)))+IF(OR(K6="",K7="",K5&gt;0,K6="GURSAM 60",K6="EUROPEA",K6="FERMIN",K6="ALUMINIO"),0,INDEX(Apoyo2Despiece!$D$3:$AG$18,MATCH($C95,Apoyo2Despiece!$C$3:$C$18,0),MATCH(CONCATENATE(K$6,K$7,K$9),Apoyo2Despiece!$D$2:$AG$2,0)))</f>
        <v>0</v>
      </c>
      <c r="M95" s="73" t="str">
        <f t="shared" si="15"/>
        <v>AM.9200</v>
      </c>
      <c r="N95" s="309" t="str">
        <f>+IF(TES[[#This Row],[ITEM]]=C95,"ok","mal")</f>
        <v>ok</v>
      </c>
      <c r="O95" s="330">
        <f t="shared" si="13"/>
        <v>5</v>
      </c>
      <c r="P95" s="332">
        <f>IF(VLOOKUP(TES[[#This Row],[ITEM]],TbPiezas[],5,0)="NA",0,VLOOKUP(TES[[#This Row],[ITEM]],TbPiezas[],5,0))</f>
        <v>9.9999999999994316E-2</v>
      </c>
      <c r="Q95" s="81">
        <f>+TES[[#This Row],[TOTAL]]*TES[[#This Row],[P.U. (1)]]</f>
        <v>0.49999999999997158</v>
      </c>
      <c r="R95" s="82">
        <f>+VLOOKUP(TES[[#This Row],[ITEM]],TbPiezas[],6,0)</f>
        <v>9.91</v>
      </c>
      <c r="S95" s="83">
        <f>+TES[[#This Row],[TOTAL]]*TES[[#This Row],[P.U. (2)]]</f>
        <v>49.55</v>
      </c>
      <c r="T95" s="82">
        <f>+VLOOKUP(TES[[#This Row],[ITEM]],TbPiezas[],7,0)</f>
        <v>0.49550000000000005</v>
      </c>
      <c r="U95" s="170">
        <f>+TES[[#This Row],[P.U. (3)]]*TES[[#This Row],[TOTAL]]</f>
        <v>2.4775</v>
      </c>
    </row>
    <row r="96" spans="1:21" x14ac:dyDescent="0.3">
      <c r="A96" s="514"/>
      <c r="B96" s="135"/>
      <c r="C96" s="76" t="s">
        <v>211</v>
      </c>
      <c r="D96" s="76" t="s">
        <v>212</v>
      </c>
      <c r="F96" s="314">
        <f t="shared" ref="F96:K96" si="20">+IF(F8="FERMIN",IF(OR(F$6="FERMIN",F$6="ALUMINIO",F$6="GURSAM 60"),IF(AND(F5=0,F4&gt;0),IF(ISEVEN(F4-F5),2*(F4-F5)-4,2*(F4-F5)-2),IF(AND(F5&gt;0,F4&gt;0),IF(ISEVEN(F4-F5),2*(F4-F5),2*(F4-F5)+2),0)),IF(OR(F$6="GURSAM 120",F6="EUROPEA"),IF(AND(F5=0,F4&gt;0),IF(ISEVEN(F4-F5),4*(F4-F5)-8,"NE"),IF(AND(F5&gt;0,F4&gt;0),IF(ISEVEN(F4-F5),4*(F4-F5),"NE"),0)),0)),0)</f>
        <v>0</v>
      </c>
      <c r="G96" s="314">
        <f t="shared" si="20"/>
        <v>0</v>
      </c>
      <c r="H96" s="314">
        <f t="shared" si="20"/>
        <v>0</v>
      </c>
      <c r="I96" s="314">
        <f t="shared" si="20"/>
        <v>0</v>
      </c>
      <c r="J96" s="314">
        <f t="shared" si="20"/>
        <v>0</v>
      </c>
      <c r="K96" s="314">
        <f t="shared" si="20"/>
        <v>0</v>
      </c>
      <c r="M96" s="73" t="str">
        <f t="shared" si="15"/>
        <v>AM.9300</v>
      </c>
      <c r="N96" s="309" t="str">
        <f>+IF(TES[[#This Row],[ITEM]]=C96,"ok","mal")</f>
        <v>ok</v>
      </c>
      <c r="O96" s="330">
        <f t="shared" si="13"/>
        <v>0</v>
      </c>
      <c r="P96" s="332">
        <f>IF(VLOOKUP(TES[[#This Row],[ITEM]],TbPiezas[],5,0)="NA",0,VLOOKUP(TES[[#This Row],[ITEM]],TbPiezas[],5,0))</f>
        <v>9.9999999999994316E-2</v>
      </c>
      <c r="Q96" s="81">
        <f>+TES[[#This Row],[TOTAL]]*TES[[#This Row],[P.U. (1)]]</f>
        <v>0</v>
      </c>
      <c r="R96" s="82">
        <f>+VLOOKUP(TES[[#This Row],[ITEM]],TbPiezas[],6,0)</f>
        <v>9.91</v>
      </c>
      <c r="S96" s="83">
        <f>+TES[[#This Row],[TOTAL]]*TES[[#This Row],[P.U. (2)]]</f>
        <v>0</v>
      </c>
      <c r="T96" s="82">
        <f>+VLOOKUP(TES[[#This Row],[ITEM]],TbPiezas[],7,0)</f>
        <v>0.49550000000000005</v>
      </c>
      <c r="U96" s="170">
        <f>+TES[[#This Row],[P.U. (3)]]*TES[[#This Row],[TOTAL]]</f>
        <v>0</v>
      </c>
    </row>
    <row r="97" spans="1:21" x14ac:dyDescent="0.3">
      <c r="A97" s="514"/>
      <c r="B97" s="135"/>
      <c r="C97" s="76" t="s">
        <v>213</v>
      </c>
      <c r="D97" s="76" t="s">
        <v>214</v>
      </c>
      <c r="F97" s="360">
        <v>0</v>
      </c>
      <c r="G97" s="360">
        <v>0</v>
      </c>
      <c r="H97" s="360">
        <v>0</v>
      </c>
      <c r="I97" s="360">
        <v>0</v>
      </c>
      <c r="J97" s="360">
        <v>0</v>
      </c>
      <c r="K97" s="360">
        <v>0</v>
      </c>
      <c r="M97" s="73" t="str">
        <f t="shared" si="15"/>
        <v>AM.9400</v>
      </c>
      <c r="N97" s="309" t="str">
        <f>+IF(TES[[#This Row],[ITEM]]=C97,"ok","mal")</f>
        <v>ok</v>
      </c>
      <c r="O97" s="330">
        <f t="shared" si="13"/>
        <v>0</v>
      </c>
      <c r="P97" s="332">
        <f>IF(VLOOKUP(TES[[#This Row],[ITEM]],TbPiezas[],5,0)="NA",0,VLOOKUP(TES[[#This Row],[ITEM]],TbPiezas[],5,0))</f>
        <v>9.9999999999994316E-2</v>
      </c>
      <c r="Q97" s="81">
        <f>+TES[[#This Row],[TOTAL]]*TES[[#This Row],[P.U. (1)]]</f>
        <v>0</v>
      </c>
      <c r="R97" s="82">
        <f>+VLOOKUP(TES[[#This Row],[ITEM]],TbPiezas[],6,0)</f>
        <v>9.91</v>
      </c>
      <c r="S97" s="83">
        <f>+TES[[#This Row],[TOTAL]]*TES[[#This Row],[P.U. (2)]]</f>
        <v>0</v>
      </c>
      <c r="T97" s="82">
        <f>+VLOOKUP(TES[[#This Row],[ITEM]],TbPiezas[],7,0)</f>
        <v>0.49550000000000005</v>
      </c>
      <c r="U97" s="170">
        <f>+TES[[#This Row],[P.U. (3)]]*TES[[#This Row],[TOTAL]]</f>
        <v>0</v>
      </c>
    </row>
    <row r="98" spans="1:21" x14ac:dyDescent="0.3">
      <c r="A98" s="514"/>
      <c r="B98" s="135"/>
      <c r="C98" s="76" t="s">
        <v>215</v>
      </c>
      <c r="D98" s="76" t="s">
        <v>216</v>
      </c>
      <c r="F98" s="314">
        <f t="shared" ref="F98:K98" si="21">+IF(F$6="ALUMINIO",IF(ISEVEN(F$4-F$5),(F$4-F$5)*0.5,(F$4-F$5-1)*0.5),0)</f>
        <v>0</v>
      </c>
      <c r="G98" s="314">
        <f t="shared" si="21"/>
        <v>0</v>
      </c>
      <c r="H98" s="314">
        <f t="shared" si="21"/>
        <v>0</v>
      </c>
      <c r="I98" s="314">
        <f t="shared" si="21"/>
        <v>0</v>
      </c>
      <c r="J98" s="314">
        <f t="shared" si="21"/>
        <v>0</v>
      </c>
      <c r="K98" s="314">
        <f t="shared" si="21"/>
        <v>0</v>
      </c>
      <c r="M98" s="73" t="str">
        <f t="shared" si="15"/>
        <v>EA.0100</v>
      </c>
      <c r="N98" s="309" t="str">
        <f>+IF(TES[[#This Row],[ITEM]]=C98,"ok","mal")</f>
        <v>ok</v>
      </c>
      <c r="O98" s="330">
        <f t="shared" si="13"/>
        <v>0</v>
      </c>
      <c r="P98" s="332">
        <f>IF(VLOOKUP(TES[[#This Row],[ITEM]],TbPiezas[],5,0)="NA",0,VLOOKUP(TES[[#This Row],[ITEM]],TbPiezas[],5,0))</f>
        <v>38.200000000000003</v>
      </c>
      <c r="Q98" s="81">
        <f>+TES[[#This Row],[TOTAL]]*TES[[#This Row],[P.U. (1)]]</f>
        <v>0</v>
      </c>
      <c r="R98" s="82">
        <f>+VLOOKUP(TES[[#This Row],[ITEM]],TbPiezas[],6,0)</f>
        <v>2188.16</v>
      </c>
      <c r="S98" s="83">
        <f>+TES[[#This Row],[TOTAL]]*TES[[#This Row],[P.U. (2)]]</f>
        <v>0</v>
      </c>
      <c r="T98" s="82">
        <f>+VLOOKUP(TES[[#This Row],[ITEM]],TbPiezas[],7,0)</f>
        <v>109.408</v>
      </c>
      <c r="U98" s="170">
        <f>+TES[[#This Row],[P.U. (3)]]*TES[[#This Row],[TOTAL]]</f>
        <v>0</v>
      </c>
    </row>
    <row r="99" spans="1:21" x14ac:dyDescent="0.3">
      <c r="A99" s="514"/>
      <c r="B99" s="135"/>
      <c r="C99" s="76" t="s">
        <v>217</v>
      </c>
      <c r="D99" s="76" t="s">
        <v>218</v>
      </c>
      <c r="F99" s="314">
        <f>F$98</f>
        <v>0</v>
      </c>
      <c r="G99" s="314">
        <f t="shared" ref="G99:K100" si="22">G$98</f>
        <v>0</v>
      </c>
      <c r="H99" s="314">
        <f t="shared" si="22"/>
        <v>0</v>
      </c>
      <c r="I99" s="314">
        <f t="shared" si="22"/>
        <v>0</v>
      </c>
      <c r="J99" s="314">
        <f t="shared" si="22"/>
        <v>0</v>
      </c>
      <c r="K99" s="314">
        <f t="shared" si="22"/>
        <v>0</v>
      </c>
      <c r="M99" s="73" t="str">
        <f t="shared" si="15"/>
        <v>EA.0200</v>
      </c>
      <c r="N99" s="309" t="str">
        <f>+IF(TES[[#This Row],[ITEM]]=C99,"ok","mal")</f>
        <v>ok</v>
      </c>
      <c r="O99" s="330">
        <f t="shared" si="13"/>
        <v>0</v>
      </c>
      <c r="P99" s="332">
        <f>IF(VLOOKUP(TES[[#This Row],[ITEM]],TbPiezas[],5,0)="NA",0,VLOOKUP(TES[[#This Row],[ITEM]],TbPiezas[],5,0))</f>
        <v>13.099999999999994</v>
      </c>
      <c r="Q99" s="81">
        <f>+TES[[#This Row],[TOTAL]]*TES[[#This Row],[P.U. (1)]]</f>
        <v>0</v>
      </c>
      <c r="R99" s="82">
        <f>+VLOOKUP(TES[[#This Row],[ITEM]],TbPiezas[],6,0)</f>
        <v>285.07</v>
      </c>
      <c r="S99" s="83">
        <f>+TES[[#This Row],[TOTAL]]*TES[[#This Row],[P.U. (2)]]</f>
        <v>0</v>
      </c>
      <c r="T99" s="82">
        <f>+VLOOKUP(TES[[#This Row],[ITEM]],TbPiezas[],7,0)</f>
        <v>14.253500000000001</v>
      </c>
      <c r="U99" s="170">
        <f>+TES[[#This Row],[P.U. (3)]]*TES[[#This Row],[TOTAL]]</f>
        <v>0</v>
      </c>
    </row>
    <row r="100" spans="1:21" x14ac:dyDescent="0.3">
      <c r="A100" s="514"/>
      <c r="B100" s="135"/>
      <c r="C100" s="76" t="s">
        <v>219</v>
      </c>
      <c r="D100" s="76" t="s">
        <v>220</v>
      </c>
      <c r="F100" s="314">
        <f>F$98</f>
        <v>0</v>
      </c>
      <c r="G100" s="314">
        <f t="shared" si="22"/>
        <v>0</v>
      </c>
      <c r="H100" s="314">
        <f t="shared" si="22"/>
        <v>0</v>
      </c>
      <c r="I100" s="314">
        <f t="shared" si="22"/>
        <v>0</v>
      </c>
      <c r="J100" s="314">
        <f t="shared" si="22"/>
        <v>0</v>
      </c>
      <c r="K100" s="314">
        <f t="shared" si="22"/>
        <v>0</v>
      </c>
      <c r="M100" s="73" t="str">
        <f t="shared" si="15"/>
        <v>EA.0300</v>
      </c>
      <c r="N100" s="309" t="str">
        <f>+IF(TES[[#This Row],[ITEM]]=C100,"ok","mal")</f>
        <v>ok</v>
      </c>
      <c r="O100" s="330">
        <f t="shared" si="13"/>
        <v>0</v>
      </c>
      <c r="P100" s="332">
        <f>IF(VLOOKUP(TES[[#This Row],[ITEM]],TbPiezas[],5,0)="NA",0,VLOOKUP(TES[[#This Row],[ITEM]],TbPiezas[],5,0))</f>
        <v>12.700000000000003</v>
      </c>
      <c r="Q100" s="81">
        <f>+TES[[#This Row],[TOTAL]]*TES[[#This Row],[P.U. (1)]]</f>
        <v>0</v>
      </c>
      <c r="R100" s="82">
        <f>+VLOOKUP(TES[[#This Row],[ITEM]],TbPiezas[],6,0)</f>
        <v>285.07</v>
      </c>
      <c r="S100" s="83">
        <f>+TES[[#This Row],[TOTAL]]*TES[[#This Row],[P.U. (2)]]</f>
        <v>0</v>
      </c>
      <c r="T100" s="82">
        <f>+VLOOKUP(TES[[#This Row],[ITEM]],TbPiezas[],7,0)</f>
        <v>14.253500000000001</v>
      </c>
      <c r="U100" s="170">
        <f>+TES[[#This Row],[P.U. (3)]]*TES[[#This Row],[TOTAL]]</f>
        <v>0</v>
      </c>
    </row>
    <row r="101" spans="1:21" x14ac:dyDescent="0.3">
      <c r="A101" s="517"/>
      <c r="B101" s="135"/>
      <c r="C101" s="76" t="s">
        <v>221</v>
      </c>
      <c r="D101" s="76" t="s">
        <v>222</v>
      </c>
      <c r="F101" s="313">
        <f t="shared" ref="F101:K101" si="23">+IF(F$6="EUROPEA",IF(ISEVEN(F$4-F$5),(F$4-F$5)*0.5,0),0)</f>
        <v>0</v>
      </c>
      <c r="G101" s="313">
        <f t="shared" si="23"/>
        <v>0</v>
      </c>
      <c r="H101" s="313">
        <f t="shared" si="23"/>
        <v>0</v>
      </c>
      <c r="I101" s="313">
        <f t="shared" si="23"/>
        <v>0</v>
      </c>
      <c r="J101" s="313">
        <f t="shared" si="23"/>
        <v>0</v>
      </c>
      <c r="K101" s="313">
        <f t="shared" si="23"/>
        <v>0</v>
      </c>
      <c r="M101" s="73" t="str">
        <f t="shared" si="15"/>
        <v>EA.0400</v>
      </c>
      <c r="N101" s="309" t="str">
        <f>+IF(TES[[#This Row],[ITEM]]=C101,"ok","mal")</f>
        <v>ok</v>
      </c>
      <c r="O101" s="330">
        <f t="shared" si="13"/>
        <v>0</v>
      </c>
      <c r="P101" s="332">
        <f>IF(VLOOKUP(TES[[#This Row],[ITEM]],TbPiezas[],5,0)="NA",0,VLOOKUP(TES[[#This Row],[ITEM]],TbPiezas[],5,0))</f>
        <v>46.5</v>
      </c>
      <c r="Q101" s="81">
        <f>+TES[[#This Row],[TOTAL]]*TES[[#This Row],[P.U. (1)]]</f>
        <v>0</v>
      </c>
      <c r="R101" s="82">
        <f>+VLOOKUP(TES[[#This Row],[ITEM]],TbPiezas[],6,0)</f>
        <v>2188.16</v>
      </c>
      <c r="S101" s="83">
        <f>+TES[[#This Row],[TOTAL]]*TES[[#This Row],[P.U. (2)]]</f>
        <v>0</v>
      </c>
      <c r="T101" s="82">
        <f>+VLOOKUP(TES[[#This Row],[ITEM]],TbPiezas[],7,0)</f>
        <v>109.408</v>
      </c>
      <c r="U101" s="170">
        <f>+TES[[#This Row],[P.U. (3)]]*TES[[#This Row],[TOTAL]]</f>
        <v>0</v>
      </c>
    </row>
    <row r="102" spans="1:21" x14ac:dyDescent="0.3">
      <c r="A102" s="517"/>
      <c r="B102" s="135"/>
      <c r="C102" s="76" t="s">
        <v>223</v>
      </c>
      <c r="D102" s="76" t="s">
        <v>224</v>
      </c>
      <c r="F102" s="313">
        <f t="shared" ref="F102:K102" si="24">F$101*2</f>
        <v>0</v>
      </c>
      <c r="G102" s="313">
        <f t="shared" si="24"/>
        <v>0</v>
      </c>
      <c r="H102" s="313">
        <f t="shared" si="24"/>
        <v>0</v>
      </c>
      <c r="I102" s="313">
        <f t="shared" si="24"/>
        <v>0</v>
      </c>
      <c r="J102" s="313">
        <f t="shared" si="24"/>
        <v>0</v>
      </c>
      <c r="K102" s="313">
        <f t="shared" si="24"/>
        <v>0</v>
      </c>
      <c r="M102" s="73" t="str">
        <f t="shared" si="15"/>
        <v>EA.0500</v>
      </c>
      <c r="N102" s="309" t="str">
        <f>+IF(TES[[#This Row],[ITEM]]=C102,"ok","mal")</f>
        <v>ok</v>
      </c>
      <c r="O102" s="330">
        <f t="shared" si="13"/>
        <v>0</v>
      </c>
      <c r="P102" s="332">
        <f>IF(VLOOKUP(TES[[#This Row],[ITEM]],TbPiezas[],5,0)="NA",0,VLOOKUP(TES[[#This Row],[ITEM]],TbPiezas[],5,0))</f>
        <v>6.5999999999999943</v>
      </c>
      <c r="Q102" s="81">
        <f>+TES[[#This Row],[TOTAL]]*TES[[#This Row],[P.U. (1)]]</f>
        <v>0</v>
      </c>
      <c r="R102" s="82">
        <f>+VLOOKUP(TES[[#This Row],[ITEM]],TbPiezas[],6,0)</f>
        <v>285.07</v>
      </c>
      <c r="S102" s="83">
        <f>+TES[[#This Row],[TOTAL]]*TES[[#This Row],[P.U. (2)]]</f>
        <v>0</v>
      </c>
      <c r="T102" s="82">
        <f>+VLOOKUP(TES[[#This Row],[ITEM]],TbPiezas[],7,0)</f>
        <v>14.253500000000001</v>
      </c>
      <c r="U102" s="170">
        <f>+TES[[#This Row],[P.U. (3)]]*TES[[#This Row],[TOTAL]]</f>
        <v>0</v>
      </c>
    </row>
    <row r="103" spans="1:21" x14ac:dyDescent="0.3">
      <c r="A103" s="514"/>
      <c r="B103" s="135"/>
      <c r="C103" s="76" t="s">
        <v>225</v>
      </c>
      <c r="D103" s="76" t="s">
        <v>226</v>
      </c>
      <c r="F103" s="313">
        <f t="shared" ref="F103:K103" si="25">+IF(F$6="FERMIN",IF(ISEVEN(F$4-F$5),(F$4-F$5)*0.5,(F$4-F$5-1)*0.5),0)</f>
        <v>1</v>
      </c>
      <c r="G103" s="313">
        <f t="shared" si="25"/>
        <v>0</v>
      </c>
      <c r="H103" s="313">
        <f t="shared" si="25"/>
        <v>0</v>
      </c>
      <c r="I103" s="313">
        <f t="shared" si="25"/>
        <v>0</v>
      </c>
      <c r="J103" s="313">
        <f t="shared" si="25"/>
        <v>0</v>
      </c>
      <c r="K103" s="313">
        <f t="shared" si="25"/>
        <v>0</v>
      </c>
      <c r="M103" s="73" t="str">
        <f t="shared" si="15"/>
        <v>EA.0600</v>
      </c>
      <c r="N103" s="309" t="str">
        <f>+IF(TES[[#This Row],[ITEM]]=C103,"ok","mal")</f>
        <v>ok</v>
      </c>
      <c r="O103" s="330">
        <f t="shared" si="13"/>
        <v>1</v>
      </c>
      <c r="P103" s="332">
        <f>IF(VLOOKUP(TES[[#This Row],[ITEM]],TbPiezas[],5,0)="NA",0,VLOOKUP(TES[[#This Row],[ITEM]],TbPiezas[],5,0))</f>
        <v>68.600000000000009</v>
      </c>
      <c r="Q103" s="81">
        <f>+TES[[#This Row],[TOTAL]]*TES[[#This Row],[P.U. (1)]]</f>
        <v>68.600000000000009</v>
      </c>
      <c r="R103" s="82">
        <f>+VLOOKUP(TES[[#This Row],[ITEM]],TbPiezas[],6,0)</f>
        <v>2188.16</v>
      </c>
      <c r="S103" s="83">
        <f>+TES[[#This Row],[TOTAL]]*TES[[#This Row],[P.U. (2)]]</f>
        <v>2188.16</v>
      </c>
      <c r="T103" s="82">
        <f>+VLOOKUP(TES[[#This Row],[ITEM]],TbPiezas[],7,0)</f>
        <v>109.408</v>
      </c>
      <c r="U103" s="170">
        <f>+TES[[#This Row],[P.U. (3)]]*TES[[#This Row],[TOTAL]]</f>
        <v>109.408</v>
      </c>
    </row>
    <row r="104" spans="1:21" x14ac:dyDescent="0.3">
      <c r="A104" s="517"/>
      <c r="B104" s="135"/>
      <c r="C104" s="76" t="s">
        <v>227</v>
      </c>
      <c r="D104" s="76" t="s">
        <v>228</v>
      </c>
      <c r="F104" s="314">
        <f t="shared" ref="F104:K104" si="26">+IF(OR(F$6="FERMIN",F$6="ALUMINIO", F$6="GURSAM 60"),IF(ISEVEN(F$4-F$5),0,1),0)</f>
        <v>0</v>
      </c>
      <c r="G104" s="314">
        <f t="shared" si="26"/>
        <v>0</v>
      </c>
      <c r="H104" s="314">
        <f t="shared" si="26"/>
        <v>0</v>
      </c>
      <c r="I104" s="314">
        <f t="shared" si="26"/>
        <v>0</v>
      </c>
      <c r="J104" s="314">
        <f t="shared" si="26"/>
        <v>0</v>
      </c>
      <c r="K104" s="314">
        <f t="shared" si="26"/>
        <v>0</v>
      </c>
      <c r="M104" s="73" t="str">
        <f t="shared" si="15"/>
        <v>EA.0700</v>
      </c>
      <c r="N104" s="309" t="str">
        <f>+IF(TES[[#This Row],[ITEM]]=C104,"ok","mal")</f>
        <v>ok</v>
      </c>
      <c r="O104" s="330">
        <f t="shared" si="13"/>
        <v>0</v>
      </c>
      <c r="P104" s="332">
        <f>IF(VLOOKUP(TES[[#This Row],[ITEM]],TbPiezas[],5,0)="NA",0,VLOOKUP(TES[[#This Row],[ITEM]],TbPiezas[],5,0))</f>
        <v>61.8</v>
      </c>
      <c r="Q104" s="81">
        <f>+TES[[#This Row],[TOTAL]]*TES[[#This Row],[P.U. (1)]]</f>
        <v>0</v>
      </c>
      <c r="R104" s="82">
        <f>+VLOOKUP(TES[[#This Row],[ITEM]],TbPiezas[],6,0)</f>
        <v>2188.16</v>
      </c>
      <c r="S104" s="83">
        <f>+TES[[#This Row],[TOTAL]]*TES[[#This Row],[P.U. (2)]]</f>
        <v>0</v>
      </c>
      <c r="T104" s="82">
        <f>+VLOOKUP(TES[[#This Row],[ITEM]],TbPiezas[],7,0)</f>
        <v>109.408</v>
      </c>
      <c r="U104" s="170">
        <f>+TES[[#This Row],[P.U. (3)]]*TES[[#This Row],[TOTAL]]</f>
        <v>0</v>
      </c>
    </row>
    <row r="105" spans="1:21" x14ac:dyDescent="0.3">
      <c r="A105" s="514"/>
      <c r="B105" s="135"/>
      <c r="C105" s="76" t="s">
        <v>229</v>
      </c>
      <c r="D105" s="76" t="s">
        <v>230</v>
      </c>
      <c r="F105" s="313">
        <f t="shared" ref="F105:K105" si="27">F$103*2</f>
        <v>2</v>
      </c>
      <c r="G105" s="313">
        <f t="shared" si="27"/>
        <v>0</v>
      </c>
      <c r="H105" s="313">
        <f t="shared" si="27"/>
        <v>0</v>
      </c>
      <c r="I105" s="313">
        <f t="shared" si="27"/>
        <v>0</v>
      </c>
      <c r="J105" s="313">
        <f t="shared" si="27"/>
        <v>0</v>
      </c>
      <c r="K105" s="313">
        <f t="shared" si="27"/>
        <v>0</v>
      </c>
      <c r="M105" s="73" t="str">
        <f t="shared" si="15"/>
        <v>EA.0800</v>
      </c>
      <c r="N105" s="309" t="str">
        <f>+IF(TES[[#This Row],[ITEM]]=C105,"ok","mal")</f>
        <v>ok</v>
      </c>
      <c r="O105" s="330">
        <f t="shared" si="13"/>
        <v>2</v>
      </c>
      <c r="P105" s="332">
        <f>IF(VLOOKUP(TES[[#This Row],[ITEM]],TbPiezas[],5,0)="NA",0,VLOOKUP(TES[[#This Row],[ITEM]],TbPiezas[],5,0))</f>
        <v>7.2999999999999972</v>
      </c>
      <c r="Q105" s="81">
        <f>+TES[[#This Row],[TOTAL]]*TES[[#This Row],[P.U. (1)]]</f>
        <v>14.599999999999994</v>
      </c>
      <c r="R105" s="82">
        <f>+VLOOKUP(TES[[#This Row],[ITEM]],TbPiezas[],6,0)</f>
        <v>285.07</v>
      </c>
      <c r="S105" s="83">
        <f>+TES[[#This Row],[TOTAL]]*TES[[#This Row],[P.U. (2)]]</f>
        <v>570.14</v>
      </c>
      <c r="T105" s="82">
        <f>+VLOOKUP(TES[[#This Row],[ITEM]],TbPiezas[],7,0)</f>
        <v>14.253500000000001</v>
      </c>
      <c r="U105" s="170">
        <f>+TES[[#This Row],[P.U. (3)]]*TES[[#This Row],[TOTAL]]</f>
        <v>28.507000000000001</v>
      </c>
    </row>
    <row r="106" spans="1:21" x14ac:dyDescent="0.3">
      <c r="A106" s="517"/>
      <c r="B106" s="135"/>
      <c r="C106" s="76" t="s">
        <v>231</v>
      </c>
      <c r="D106" s="76" t="s">
        <v>232</v>
      </c>
      <c r="F106" s="313">
        <f t="shared" ref="F106:K106" si="28">F$104*2</f>
        <v>0</v>
      </c>
      <c r="G106" s="313">
        <f t="shared" si="28"/>
        <v>0</v>
      </c>
      <c r="H106" s="313">
        <f t="shared" si="28"/>
        <v>0</v>
      </c>
      <c r="I106" s="313">
        <f t="shared" si="28"/>
        <v>0</v>
      </c>
      <c r="J106" s="313">
        <f t="shared" si="28"/>
        <v>0</v>
      </c>
      <c r="K106" s="313">
        <f t="shared" si="28"/>
        <v>0</v>
      </c>
      <c r="M106" s="73" t="str">
        <f t="shared" si="15"/>
        <v>EA.0900</v>
      </c>
      <c r="N106" s="309" t="str">
        <f>+IF(TES[[#This Row],[ITEM]]=C106,"ok","mal")</f>
        <v>ok</v>
      </c>
      <c r="O106" s="330">
        <f t="shared" si="13"/>
        <v>0</v>
      </c>
      <c r="P106" s="332">
        <f>IF(VLOOKUP(TES[[#This Row],[ITEM]],TbPiezas[],5,0)="NA",0,VLOOKUP(TES[[#This Row],[ITEM]],TbPiezas[],5,0))</f>
        <v>4.8999999999999915</v>
      </c>
      <c r="Q106" s="81">
        <f>+TES[[#This Row],[TOTAL]]*TES[[#This Row],[P.U. (1)]]</f>
        <v>0</v>
      </c>
      <c r="R106" s="82">
        <f>+VLOOKUP(TES[[#This Row],[ITEM]],TbPiezas[],6,0)</f>
        <v>285.07</v>
      </c>
      <c r="S106" s="83">
        <f>+TES[[#This Row],[TOTAL]]*TES[[#This Row],[P.U. (2)]]</f>
        <v>0</v>
      </c>
      <c r="T106" s="82">
        <f>+VLOOKUP(TES[[#This Row],[ITEM]],TbPiezas[],7,0)</f>
        <v>14.253500000000001</v>
      </c>
      <c r="U106" s="170">
        <f>+TES[[#This Row],[P.U. (3)]]*TES[[#This Row],[TOTAL]]</f>
        <v>0</v>
      </c>
    </row>
    <row r="107" spans="1:21" x14ac:dyDescent="0.3">
      <c r="A107" s="514"/>
      <c r="B107" s="135"/>
      <c r="C107" s="76" t="s">
        <v>233</v>
      </c>
      <c r="D107" s="76" t="s">
        <v>234</v>
      </c>
      <c r="F107" s="360">
        <v>0</v>
      </c>
      <c r="G107" s="360">
        <v>0</v>
      </c>
      <c r="H107" s="360">
        <v>0</v>
      </c>
      <c r="I107" s="360">
        <v>0</v>
      </c>
      <c r="J107" s="360">
        <v>0</v>
      </c>
      <c r="K107" s="360">
        <v>0</v>
      </c>
      <c r="M107" s="73" t="str">
        <f t="shared" si="15"/>
        <v>EA.1000</v>
      </c>
      <c r="N107" s="309" t="str">
        <f>+IF(TES[[#This Row],[ITEM]]=C107,"ok","mal")</f>
        <v>ok</v>
      </c>
      <c r="O107" s="360">
        <f t="shared" si="13"/>
        <v>0</v>
      </c>
      <c r="P107" s="332">
        <f>IF(VLOOKUP(TES[[#This Row],[ITEM]],TbPiezas[],5,0)="NA",0,VLOOKUP(TES[[#This Row],[ITEM]],TbPiezas[],5,0))</f>
        <v>2.5</v>
      </c>
      <c r="Q107" s="81">
        <f>+TES[[#This Row],[TOTAL]]*TES[[#This Row],[P.U. (1)]]</f>
        <v>0</v>
      </c>
      <c r="R107" s="82">
        <f>+VLOOKUP(TES[[#This Row],[ITEM]],TbPiezas[],6,0)</f>
        <v>208.2</v>
      </c>
      <c r="S107" s="83">
        <f>+TES[[#This Row],[TOTAL]]*TES[[#This Row],[P.U. (2)]]</f>
        <v>0</v>
      </c>
      <c r="T107" s="82">
        <f>+VLOOKUP(TES[[#This Row],[ITEM]],TbPiezas[],7,0)</f>
        <v>10.41</v>
      </c>
      <c r="U107" s="170">
        <f>+TES[[#This Row],[P.U. (3)]]*TES[[#This Row],[TOTAL]]</f>
        <v>0</v>
      </c>
    </row>
    <row r="108" spans="1:21" x14ac:dyDescent="0.3">
      <c r="A108" s="517"/>
      <c r="B108" s="135"/>
      <c r="C108" s="76" t="s">
        <v>235</v>
      </c>
      <c r="D108" s="76" t="s">
        <v>236</v>
      </c>
      <c r="F108" s="314">
        <f t="shared" ref="F108:K108" si="29">+IF(OR(F$6="FERMIN",F$6="ALUMINIO", F$6="GURSAM 60"),IF(AND(F4&gt;0,F5=0),IF(ISEVEN(F4-F5),0,2),IF(AND(F4&gt;0,F5&gt;0),IF(ISEVEN(F4-F5),0,2),0)),0)</f>
        <v>0</v>
      </c>
      <c r="G108" s="314">
        <f t="shared" si="29"/>
        <v>0</v>
      </c>
      <c r="H108" s="314">
        <f t="shared" si="29"/>
        <v>0</v>
      </c>
      <c r="I108" s="314">
        <f t="shared" si="29"/>
        <v>0</v>
      </c>
      <c r="J108" s="314">
        <f t="shared" si="29"/>
        <v>0</v>
      </c>
      <c r="K108" s="314">
        <f t="shared" si="29"/>
        <v>0</v>
      </c>
      <c r="M108" s="73" t="str">
        <f t="shared" si="15"/>
        <v>EA.1100</v>
      </c>
      <c r="N108" s="309" t="str">
        <f>+IF(TES[[#This Row],[ITEM]]=C108,"ok","mal")</f>
        <v>ok</v>
      </c>
      <c r="O108" s="330">
        <f t="shared" si="13"/>
        <v>0</v>
      </c>
      <c r="P108" s="332">
        <f>IF(VLOOKUP(TES[[#This Row],[ITEM]],TbPiezas[],5,0)="NA",0,VLOOKUP(TES[[#This Row],[ITEM]],TbPiezas[],5,0))</f>
        <v>3.7999999999999972</v>
      </c>
      <c r="Q108" s="81">
        <f>+TES[[#This Row],[TOTAL]]*TES[[#This Row],[P.U. (1)]]</f>
        <v>0</v>
      </c>
      <c r="R108" s="82">
        <f>+VLOOKUP(TES[[#This Row],[ITEM]],TbPiezas[],6,0)</f>
        <v>208.2</v>
      </c>
      <c r="S108" s="83">
        <f>+TES[[#This Row],[TOTAL]]*TES[[#This Row],[P.U. (2)]]</f>
        <v>0</v>
      </c>
      <c r="T108" s="82">
        <f>+VLOOKUP(TES[[#This Row],[ITEM]],TbPiezas[],7,0)</f>
        <v>10.41</v>
      </c>
      <c r="U108" s="170">
        <f>+TES[[#This Row],[P.U. (3)]]*TES[[#This Row],[TOTAL]]</f>
        <v>0</v>
      </c>
    </row>
    <row r="109" spans="1:21" x14ac:dyDescent="0.3">
      <c r="A109" s="514"/>
      <c r="B109" s="135"/>
      <c r="C109" s="76" t="s">
        <v>237</v>
      </c>
      <c r="D109" s="76" t="s">
        <v>238</v>
      </c>
      <c r="F109" s="360">
        <v>0</v>
      </c>
      <c r="G109" s="360">
        <v>0</v>
      </c>
      <c r="H109" s="360">
        <v>0</v>
      </c>
      <c r="I109" s="360">
        <v>0</v>
      </c>
      <c r="J109" s="360">
        <v>0</v>
      </c>
      <c r="K109" s="360">
        <v>0</v>
      </c>
      <c r="M109" s="73" t="str">
        <f t="shared" si="15"/>
        <v>EA.1200</v>
      </c>
      <c r="N109" s="309" t="str">
        <f>+IF(TES[[#This Row],[ITEM]]=C109,"ok","mal")</f>
        <v>ok</v>
      </c>
      <c r="O109" s="360">
        <f t="shared" ref="O109:O123" si="30">SUM(E109:L109)</f>
        <v>0</v>
      </c>
      <c r="P109" s="332">
        <f>IF(VLOOKUP(TES[[#This Row],[ITEM]],TbPiezas[],5,0)="NA",0,VLOOKUP(TES[[#This Row],[ITEM]],TbPiezas[],5,0))</f>
        <v>1.7999999999999972</v>
      </c>
      <c r="Q109" s="81">
        <f>+TES[[#This Row],[TOTAL]]*TES[[#This Row],[P.U. (1)]]</f>
        <v>0</v>
      </c>
      <c r="R109" s="82">
        <f>+VLOOKUP(TES[[#This Row],[ITEM]],TbPiezas[],6,0)</f>
        <v>208.2</v>
      </c>
      <c r="S109" s="83">
        <f>+TES[[#This Row],[TOTAL]]*TES[[#This Row],[P.U. (2)]]</f>
        <v>0</v>
      </c>
      <c r="T109" s="82">
        <f>+VLOOKUP(TES[[#This Row],[ITEM]],TbPiezas[],7,0)</f>
        <v>10.41</v>
      </c>
      <c r="U109" s="170">
        <f>+TES[[#This Row],[P.U. (3)]]*TES[[#This Row],[TOTAL]]</f>
        <v>0</v>
      </c>
    </row>
    <row r="110" spans="1:21" x14ac:dyDescent="0.3">
      <c r="A110" s="514"/>
      <c r="B110" s="135"/>
      <c r="C110" s="76" t="s">
        <v>239</v>
      </c>
      <c r="D110" s="76" t="s">
        <v>240</v>
      </c>
      <c r="F110" s="314">
        <f t="shared" ref="F110:K110" si="31">+IF(F$6="FERMIN",IF(AND(F4&gt;0,F5=0),2,0),0)</f>
        <v>2</v>
      </c>
      <c r="G110" s="314">
        <f t="shared" si="31"/>
        <v>0</v>
      </c>
      <c r="H110" s="314">
        <f t="shared" si="31"/>
        <v>0</v>
      </c>
      <c r="I110" s="314">
        <f t="shared" si="31"/>
        <v>0</v>
      </c>
      <c r="J110" s="314">
        <f t="shared" si="31"/>
        <v>0</v>
      </c>
      <c r="K110" s="314">
        <f t="shared" si="31"/>
        <v>0</v>
      </c>
      <c r="M110" s="73" t="str">
        <f t="shared" si="15"/>
        <v>EA.1300</v>
      </c>
      <c r="N110" s="309" t="str">
        <f>+IF(TES[[#This Row],[ITEM]]=C110,"ok","mal")</f>
        <v>ok</v>
      </c>
      <c r="O110" s="330">
        <f t="shared" si="30"/>
        <v>2</v>
      </c>
      <c r="P110" s="332">
        <f>IF(VLOOKUP(TES[[#This Row],[ITEM]],TbPiezas[],5,0)="NA",0,VLOOKUP(TES[[#This Row],[ITEM]],TbPiezas[],5,0))</f>
        <v>3.2000000000000028</v>
      </c>
      <c r="Q110" s="81">
        <f>+TES[[#This Row],[TOTAL]]*TES[[#This Row],[P.U. (1)]]</f>
        <v>6.4000000000000057</v>
      </c>
      <c r="R110" s="82">
        <f>+VLOOKUP(TES[[#This Row],[ITEM]],TbPiezas[],6,0)</f>
        <v>208.2</v>
      </c>
      <c r="S110" s="83">
        <f>+TES[[#This Row],[TOTAL]]*TES[[#This Row],[P.U. (2)]]</f>
        <v>416.4</v>
      </c>
      <c r="T110" s="82">
        <f>+VLOOKUP(TES[[#This Row],[ITEM]],TbPiezas[],7,0)</f>
        <v>10.41</v>
      </c>
      <c r="U110" s="170">
        <f>+TES[[#This Row],[P.U. (3)]]*TES[[#This Row],[TOTAL]]</f>
        <v>20.82</v>
      </c>
    </row>
    <row r="111" spans="1:21" x14ac:dyDescent="0.3">
      <c r="A111" s="517"/>
      <c r="B111" s="135"/>
      <c r="C111" s="76" t="s">
        <v>241</v>
      </c>
      <c r="D111" s="76" t="s">
        <v>242</v>
      </c>
      <c r="F111" s="139">
        <f t="shared" ref="F111:K111" si="32">+IF(F$6="GURSAM 60",IF(ISEVEN(F$4-F$5),(F$4-F$5)*0.5,(F$4-F$5-1)*0.5),0)</f>
        <v>0</v>
      </c>
      <c r="G111" s="139">
        <f t="shared" si="32"/>
        <v>0</v>
      </c>
      <c r="H111" s="139">
        <f t="shared" si="32"/>
        <v>0</v>
      </c>
      <c r="I111" s="139">
        <f t="shared" si="32"/>
        <v>0</v>
      </c>
      <c r="J111" s="139">
        <f t="shared" si="32"/>
        <v>0</v>
      </c>
      <c r="K111" s="139">
        <f t="shared" si="32"/>
        <v>0</v>
      </c>
      <c r="M111" s="73" t="str">
        <f t="shared" si="15"/>
        <v>EA.1400</v>
      </c>
      <c r="N111" s="309" t="str">
        <f>+IF(TES[[#This Row],[ITEM]]=C111,"ok","mal")</f>
        <v>ok</v>
      </c>
      <c r="O111" s="330">
        <f t="shared" si="30"/>
        <v>0</v>
      </c>
      <c r="P111" s="332">
        <f>IF(VLOOKUP(TES[[#This Row],[ITEM]],TbPiezas[],5,0)="NA",0,VLOOKUP(TES[[#This Row],[ITEM]],TbPiezas[],5,0))</f>
        <v>56.499999999999986</v>
      </c>
      <c r="Q111" s="81">
        <f>+TES[[#This Row],[TOTAL]]*TES[[#This Row],[P.U. (1)]]</f>
        <v>0</v>
      </c>
      <c r="R111" s="82">
        <f>+VLOOKUP(TES[[#This Row],[ITEM]],TbPiezas[],6,0)</f>
        <v>2297.56</v>
      </c>
      <c r="S111" s="83">
        <f>+TES[[#This Row],[TOTAL]]*TES[[#This Row],[P.U. (2)]]</f>
        <v>0</v>
      </c>
      <c r="T111" s="82">
        <f>+VLOOKUP(TES[[#This Row],[ITEM]],TbPiezas[],7,0)</f>
        <v>114.878</v>
      </c>
      <c r="U111" s="170">
        <f>+TES[[#This Row],[P.U. (3)]]*TES[[#This Row],[TOTAL]]</f>
        <v>0</v>
      </c>
    </row>
    <row r="112" spans="1:21" x14ac:dyDescent="0.3">
      <c r="A112" s="517"/>
      <c r="B112" s="135"/>
      <c r="C112" s="76" t="s">
        <v>243</v>
      </c>
      <c r="D112" s="76" t="s">
        <v>244</v>
      </c>
      <c r="F112" s="139">
        <f t="shared" ref="F112:K112" si="33">+F111*2</f>
        <v>0</v>
      </c>
      <c r="G112" s="139">
        <f t="shared" si="33"/>
        <v>0</v>
      </c>
      <c r="H112" s="139">
        <f t="shared" si="33"/>
        <v>0</v>
      </c>
      <c r="I112" s="139">
        <f t="shared" si="33"/>
        <v>0</v>
      </c>
      <c r="J112" s="139">
        <f t="shared" si="33"/>
        <v>0</v>
      </c>
      <c r="K112" s="139">
        <f t="shared" si="33"/>
        <v>0</v>
      </c>
      <c r="M112" s="73" t="str">
        <f t="shared" si="15"/>
        <v>EA.1500</v>
      </c>
      <c r="N112" s="309" t="str">
        <f>+IF(TES[[#This Row],[ITEM]]=C112,"ok","mal")</f>
        <v>ok</v>
      </c>
      <c r="O112" s="330">
        <f t="shared" si="30"/>
        <v>0</v>
      </c>
      <c r="P112" s="332">
        <f>IF(VLOOKUP(TES[[#This Row],[ITEM]],TbPiezas[],5,0)="NA",0,VLOOKUP(TES[[#This Row],[ITEM]],TbPiezas[],5,0))</f>
        <v>7.5</v>
      </c>
      <c r="Q112" s="81">
        <f>+TES[[#This Row],[TOTAL]]*TES[[#This Row],[P.U. (1)]]</f>
        <v>0</v>
      </c>
      <c r="R112" s="82">
        <f>+VLOOKUP(TES[[#This Row],[ITEM]],TbPiezas[],6,0)</f>
        <v>299.33</v>
      </c>
      <c r="S112" s="83">
        <f>+TES[[#This Row],[TOTAL]]*TES[[#This Row],[P.U. (2)]]</f>
        <v>0</v>
      </c>
      <c r="T112" s="82">
        <f>+VLOOKUP(TES[[#This Row],[ITEM]],TbPiezas[],7,0)</f>
        <v>14.9665</v>
      </c>
      <c r="U112" s="170">
        <f>+TES[[#This Row],[P.U. (3)]]*TES[[#This Row],[TOTAL]]</f>
        <v>0</v>
      </c>
    </row>
    <row r="113" spans="1:22" x14ac:dyDescent="0.3">
      <c r="A113" s="517"/>
      <c r="B113" s="135"/>
      <c r="C113" s="76" t="s">
        <v>245</v>
      </c>
      <c r="D113" s="76" t="s">
        <v>246</v>
      </c>
      <c r="F113" s="139">
        <f t="shared" ref="F113:K113" si="34">+IF(F$6="GURSAM 120",IF(OR(AND(F5=0,F4&gt;0),AND(F5&gt;0,F4&gt;0)),IF(ISEVEN(F4-F5),0.5*(F4-F5),"NE"),0),0)</f>
        <v>0</v>
      </c>
      <c r="G113" s="139">
        <f t="shared" si="34"/>
        <v>0</v>
      </c>
      <c r="H113" s="139">
        <f t="shared" si="34"/>
        <v>0</v>
      </c>
      <c r="I113" s="139">
        <f t="shared" si="34"/>
        <v>0</v>
      </c>
      <c r="J113" s="139">
        <f t="shared" si="34"/>
        <v>0</v>
      </c>
      <c r="K113" s="139">
        <f t="shared" si="34"/>
        <v>0</v>
      </c>
      <c r="M113" s="73" t="str">
        <f t="shared" si="15"/>
        <v>EA.1600</v>
      </c>
      <c r="N113" s="309" t="str">
        <f>+IF(TES[[#This Row],[ITEM]]=C113,"ok","mal")</f>
        <v>ok</v>
      </c>
      <c r="O113" s="330">
        <f t="shared" si="30"/>
        <v>0</v>
      </c>
      <c r="P113" s="332">
        <f>IF(VLOOKUP(TES[[#This Row],[ITEM]],TbPiezas[],5,0)="NA",0,VLOOKUP(TES[[#This Row],[ITEM]],TbPiezas[],5,0))</f>
        <v>14.700000000000003</v>
      </c>
      <c r="Q113" s="81">
        <f>+TES[[#This Row],[TOTAL]]*TES[[#This Row],[P.U. (1)]]</f>
        <v>0</v>
      </c>
      <c r="R113" s="82">
        <f>+VLOOKUP(TES[[#This Row],[ITEM]],TbPiezas[],6,0)</f>
        <v>864.58</v>
      </c>
      <c r="S113" s="83">
        <f>+TES[[#This Row],[TOTAL]]*TES[[#This Row],[P.U. (2)]]</f>
        <v>0</v>
      </c>
      <c r="T113" s="82">
        <f>+VLOOKUP(TES[[#This Row],[ITEM]],TbPiezas[],7,0)</f>
        <v>43.229000000000006</v>
      </c>
      <c r="U113" s="170">
        <f>+TES[[#This Row],[P.U. (3)]]*TES[[#This Row],[TOTAL]]</f>
        <v>0</v>
      </c>
    </row>
    <row r="114" spans="1:22" x14ac:dyDescent="0.3">
      <c r="A114" s="514"/>
      <c r="B114" s="135"/>
      <c r="C114" s="76" t="s">
        <v>247</v>
      </c>
      <c r="D114" s="76" t="s">
        <v>248</v>
      </c>
      <c r="F114" s="360">
        <v>0</v>
      </c>
      <c r="G114" s="360">
        <v>0</v>
      </c>
      <c r="H114" s="360">
        <v>0</v>
      </c>
      <c r="I114" s="360">
        <v>0</v>
      </c>
      <c r="J114" s="360">
        <v>0</v>
      </c>
      <c r="K114" s="360">
        <v>0</v>
      </c>
      <c r="M114" s="73" t="str">
        <f t="shared" si="15"/>
        <v>EA.1650</v>
      </c>
      <c r="N114" s="309" t="str">
        <f>+IF(TES[[#This Row],[ITEM]]=C114,"ok","mal")</f>
        <v>ok</v>
      </c>
      <c r="O114" s="360">
        <f t="shared" si="30"/>
        <v>0</v>
      </c>
      <c r="P114" s="332">
        <f>IF(VLOOKUP(TES[[#This Row],[ITEM]],TbPiezas[],5,0)="NA",0,VLOOKUP(TES[[#This Row],[ITEM]],TbPiezas[],5,0))</f>
        <v>8.6</v>
      </c>
      <c r="Q114" s="81">
        <f>+TES[[#This Row],[TOTAL]]*TES[[#This Row],[P.U. (1)]]</f>
        <v>0</v>
      </c>
      <c r="R114" s="82">
        <f>+VLOOKUP(TES[[#This Row],[ITEM]],TbPiezas[],6,0)</f>
        <v>446.77</v>
      </c>
      <c r="S114" s="83">
        <f>+TES[[#This Row],[TOTAL]]*TES[[#This Row],[P.U. (2)]]</f>
        <v>0</v>
      </c>
      <c r="T114" s="82">
        <f>+VLOOKUP(TES[[#This Row],[ITEM]],TbPiezas[],7,0)</f>
        <v>22.3385</v>
      </c>
      <c r="U114" s="170">
        <f>+TES[[#This Row],[P.U. (3)]]*TES[[#This Row],[TOTAL]]</f>
        <v>0</v>
      </c>
    </row>
    <row r="115" spans="1:22" x14ac:dyDescent="0.3">
      <c r="A115" s="517"/>
      <c r="B115" s="135"/>
      <c r="C115" s="76" t="s">
        <v>249</v>
      </c>
      <c r="D115" s="76" t="s">
        <v>250</v>
      </c>
      <c r="F115" s="139">
        <f t="shared" ref="F115:K115" si="35">+IF(F$6="GURSAM 120",IF(OR(AND(F5=0,F4&gt;0),AND(F5&gt;0,F4&gt;0)),IF(ISEVEN(F4-F5),0.5*(F4-F5),"NE"),0),0)</f>
        <v>0</v>
      </c>
      <c r="G115" s="139">
        <f t="shared" si="35"/>
        <v>0</v>
      </c>
      <c r="H115" s="139">
        <f t="shared" si="35"/>
        <v>0</v>
      </c>
      <c r="I115" s="139">
        <f t="shared" si="35"/>
        <v>0</v>
      </c>
      <c r="J115" s="139">
        <f t="shared" si="35"/>
        <v>0</v>
      </c>
      <c r="K115" s="139">
        <f t="shared" si="35"/>
        <v>0</v>
      </c>
      <c r="M115" s="73" t="str">
        <f t="shared" si="15"/>
        <v>EA.1700</v>
      </c>
      <c r="N115" s="309" t="str">
        <f>+IF(TES[[#This Row],[ITEM]]=C115,"ok","mal")</f>
        <v>ok</v>
      </c>
      <c r="O115" s="330">
        <f t="shared" si="30"/>
        <v>0</v>
      </c>
      <c r="P115" s="332">
        <f>IF(VLOOKUP(TES[[#This Row],[ITEM]],TbPiezas[],5,0)="NA",0,VLOOKUP(TES[[#This Row],[ITEM]],TbPiezas[],5,0))</f>
        <v>14.700000000000003</v>
      </c>
      <c r="Q115" s="81">
        <f>+TES[[#This Row],[TOTAL]]*TES[[#This Row],[P.U. (1)]]</f>
        <v>0</v>
      </c>
      <c r="R115" s="82">
        <f>+VLOOKUP(TES[[#This Row],[ITEM]],TbPiezas[],6,0)</f>
        <v>864.58</v>
      </c>
      <c r="S115" s="83">
        <f>+TES[[#This Row],[TOTAL]]*TES[[#This Row],[P.U. (2)]]</f>
        <v>0</v>
      </c>
      <c r="T115" s="82">
        <f>+VLOOKUP(TES[[#This Row],[ITEM]],TbPiezas[],7,0)</f>
        <v>43.229000000000006</v>
      </c>
      <c r="U115" s="170">
        <f>+TES[[#This Row],[P.U. (3)]]*TES[[#This Row],[TOTAL]]</f>
        <v>0</v>
      </c>
    </row>
    <row r="116" spans="1:22" x14ac:dyDescent="0.3">
      <c r="A116" s="514"/>
      <c r="B116" s="135"/>
      <c r="C116" s="76" t="s">
        <v>251</v>
      </c>
      <c r="D116" s="76" t="s">
        <v>252</v>
      </c>
      <c r="F116" s="360">
        <v>0</v>
      </c>
      <c r="G116" s="360">
        <v>0</v>
      </c>
      <c r="H116" s="360">
        <v>0</v>
      </c>
      <c r="I116" s="360">
        <v>0</v>
      </c>
      <c r="J116" s="360">
        <v>0</v>
      </c>
      <c r="K116" s="360">
        <v>0</v>
      </c>
      <c r="M116" s="73" t="str">
        <f t="shared" si="15"/>
        <v>EA.1750</v>
      </c>
      <c r="N116" s="309" t="str">
        <f>+IF(TES[[#This Row],[ITEM]]=C116,"ok","mal")</f>
        <v>ok</v>
      </c>
      <c r="O116" s="360">
        <f t="shared" si="30"/>
        <v>0</v>
      </c>
      <c r="P116" s="332">
        <f>IF(VLOOKUP(TES[[#This Row],[ITEM]],TbPiezas[],5,0)="NA",0,VLOOKUP(TES[[#This Row],[ITEM]],TbPiezas[],5,0))</f>
        <v>8.6</v>
      </c>
      <c r="Q116" s="81">
        <f>+TES[[#This Row],[TOTAL]]*TES[[#This Row],[P.U. (1)]]</f>
        <v>0</v>
      </c>
      <c r="R116" s="82">
        <f>+VLOOKUP(TES[[#This Row],[ITEM]],TbPiezas[],6,0)</f>
        <v>446.77</v>
      </c>
      <c r="S116" s="83">
        <f>+TES[[#This Row],[TOTAL]]*TES[[#This Row],[P.U. (2)]]</f>
        <v>0</v>
      </c>
      <c r="T116" s="82">
        <f>+VLOOKUP(TES[[#This Row],[ITEM]],TbPiezas[],7,0)</f>
        <v>22.3385</v>
      </c>
      <c r="U116" s="170">
        <f>+TES[[#This Row],[P.U. (3)]]*TES[[#This Row],[TOTAL]]</f>
        <v>0</v>
      </c>
    </row>
    <row r="117" spans="1:22" x14ac:dyDescent="0.3">
      <c r="A117" s="517"/>
      <c r="B117" s="135"/>
      <c r="C117" s="76" t="s">
        <v>253</v>
      </c>
      <c r="D117" s="76" t="s">
        <v>254</v>
      </c>
      <c r="F117" s="139">
        <f t="shared" ref="F117:K117" si="36">+IF(F$6="GURSAM 120",IF(OR(AND(F5=0,F4&gt;0),AND(F5&gt;0,F4&gt;0)),IF(ISEVEN(F4-F5),4*(F4-F5),"NE"),0),0)</f>
        <v>0</v>
      </c>
      <c r="G117" s="139">
        <f t="shared" si="36"/>
        <v>0</v>
      </c>
      <c r="H117" s="139">
        <f t="shared" si="36"/>
        <v>0</v>
      </c>
      <c r="I117" s="139">
        <f t="shared" si="36"/>
        <v>0</v>
      </c>
      <c r="J117" s="139">
        <f t="shared" si="36"/>
        <v>0</v>
      </c>
      <c r="K117" s="139">
        <f t="shared" si="36"/>
        <v>0</v>
      </c>
      <c r="M117" s="73" t="str">
        <f t="shared" si="15"/>
        <v>EA.1800</v>
      </c>
      <c r="N117" s="309" t="str">
        <f>+IF(TES[[#This Row],[ITEM]]=C117,"ok","mal")</f>
        <v>ok</v>
      </c>
      <c r="O117" s="330">
        <f t="shared" si="30"/>
        <v>0</v>
      </c>
      <c r="P117" s="332">
        <f>IF(VLOOKUP(TES[[#This Row],[ITEM]],TbPiezas[],5,0)="NA",0,VLOOKUP(TES[[#This Row],[ITEM]],TbPiezas[],5,0))</f>
        <v>3.3999999999999915</v>
      </c>
      <c r="Q117" s="81">
        <f>+TES[[#This Row],[TOTAL]]*TES[[#This Row],[P.U. (1)]]</f>
        <v>0</v>
      </c>
      <c r="R117" s="82">
        <f>+VLOOKUP(TES[[#This Row],[ITEM]],TbPiezas[],6,0)</f>
        <v>241.71</v>
      </c>
      <c r="S117" s="83">
        <f>+TES[[#This Row],[TOTAL]]*TES[[#This Row],[P.U. (2)]]</f>
        <v>0</v>
      </c>
      <c r="T117" s="82">
        <f>+VLOOKUP(TES[[#This Row],[ITEM]],TbPiezas[],7,0)</f>
        <v>12.085500000000001</v>
      </c>
      <c r="U117" s="170">
        <f>+TES[[#This Row],[P.U. (3)]]*TES[[#This Row],[TOTAL]]</f>
        <v>0</v>
      </c>
    </row>
    <row r="118" spans="1:22" x14ac:dyDescent="0.3">
      <c r="A118" s="514"/>
      <c r="B118" s="135"/>
      <c r="C118" s="76" t="s">
        <v>255</v>
      </c>
      <c r="D118" s="76" t="s">
        <v>256</v>
      </c>
      <c r="F118" s="360">
        <v>0</v>
      </c>
      <c r="G118" s="360">
        <v>0</v>
      </c>
      <c r="H118" s="360">
        <v>0</v>
      </c>
      <c r="I118" s="360">
        <v>0</v>
      </c>
      <c r="J118" s="360">
        <v>0</v>
      </c>
      <c r="K118" s="360">
        <v>0</v>
      </c>
      <c r="M118" s="73" t="str">
        <f t="shared" si="15"/>
        <v>EA.1850</v>
      </c>
      <c r="N118" s="309" t="str">
        <f>+IF(TES[[#This Row],[ITEM]]=C118,"ok","mal")</f>
        <v>ok</v>
      </c>
      <c r="O118" s="360">
        <f t="shared" si="30"/>
        <v>0</v>
      </c>
      <c r="P118" s="332">
        <f>IF(VLOOKUP(TES[[#This Row],[ITEM]],TbPiezas[],5,0)="NA",0,VLOOKUP(TES[[#This Row],[ITEM]],TbPiezas[],5,0))</f>
        <v>4</v>
      </c>
      <c r="Q118" s="81">
        <f>+TES[[#This Row],[TOTAL]]*TES[[#This Row],[P.U. (1)]]</f>
        <v>0</v>
      </c>
      <c r="R118" s="82">
        <f>+VLOOKUP(TES[[#This Row],[ITEM]],TbPiezas[],6,0)</f>
        <v>110</v>
      </c>
      <c r="S118" s="83">
        <f>+TES[[#This Row],[TOTAL]]*TES[[#This Row],[P.U. (2)]]</f>
        <v>0</v>
      </c>
      <c r="T118" s="82">
        <f>+VLOOKUP(TES[[#This Row],[ITEM]],TbPiezas[],7,0)</f>
        <v>5.5</v>
      </c>
      <c r="U118" s="170">
        <f>+TES[[#This Row],[P.U. (3)]]*TES[[#This Row],[TOTAL]]</f>
        <v>0</v>
      </c>
    </row>
    <row r="119" spans="1:22" x14ac:dyDescent="0.3">
      <c r="A119" s="517"/>
      <c r="B119" s="135"/>
      <c r="C119" s="76" t="s">
        <v>257</v>
      </c>
      <c r="D119" s="76" t="s">
        <v>258</v>
      </c>
      <c r="F119" s="139">
        <f t="shared" ref="F119:K119" si="37">+IF(F$6="GURSAM 120",IF(OR(AND(F5=0,F4&gt;0),AND(F5&gt;0,F4&gt;0)),IF(ISEVEN(F4-F5),(F4-F5),"NE"),0),0)</f>
        <v>0</v>
      </c>
      <c r="G119" s="139">
        <f t="shared" si="37"/>
        <v>0</v>
      </c>
      <c r="H119" s="139">
        <f t="shared" si="37"/>
        <v>0</v>
      </c>
      <c r="I119" s="139">
        <f t="shared" si="37"/>
        <v>0</v>
      </c>
      <c r="J119" s="139">
        <f t="shared" si="37"/>
        <v>0</v>
      </c>
      <c r="K119" s="139">
        <f t="shared" si="37"/>
        <v>0</v>
      </c>
      <c r="M119" s="73" t="str">
        <f t="shared" si="15"/>
        <v>EA.1900</v>
      </c>
      <c r="N119" s="309" t="str">
        <f>+IF(TES[[#This Row],[ITEM]]=C119,"ok","mal")</f>
        <v>ok</v>
      </c>
      <c r="O119" s="330">
        <f t="shared" si="30"/>
        <v>0</v>
      </c>
      <c r="P119" s="332">
        <f>IF(VLOOKUP(TES[[#This Row],[ITEM]],TbPiezas[],5,0)="NA",0,VLOOKUP(TES[[#This Row],[ITEM]],TbPiezas[],5,0))</f>
        <v>10.200000000000003</v>
      </c>
      <c r="Q119" s="81">
        <f>+TES[[#This Row],[TOTAL]]*TES[[#This Row],[P.U. (1)]]</f>
        <v>0</v>
      </c>
      <c r="R119" s="82">
        <f>+VLOOKUP(TES[[#This Row],[ITEM]],TbPiezas[],6,0)</f>
        <v>864.58</v>
      </c>
      <c r="S119" s="83">
        <f>+TES[[#This Row],[TOTAL]]*TES[[#This Row],[P.U. (2)]]</f>
        <v>0</v>
      </c>
      <c r="T119" s="82">
        <f>+VLOOKUP(TES[[#This Row],[ITEM]],TbPiezas[],7,0)</f>
        <v>43.229000000000006</v>
      </c>
      <c r="U119" s="170">
        <f>+TES[[#This Row],[P.U. (3)]]*TES[[#This Row],[TOTAL]]</f>
        <v>0</v>
      </c>
    </row>
    <row r="120" spans="1:22" x14ac:dyDescent="0.3">
      <c r="A120" s="514"/>
      <c r="B120" s="135"/>
      <c r="C120" s="76" t="s">
        <v>259</v>
      </c>
      <c r="D120" s="76" t="s">
        <v>260</v>
      </c>
      <c r="F120" s="360">
        <v>0</v>
      </c>
      <c r="G120" s="360">
        <v>0</v>
      </c>
      <c r="H120" s="360">
        <v>0</v>
      </c>
      <c r="I120" s="360">
        <v>0</v>
      </c>
      <c r="J120" s="360">
        <v>0</v>
      </c>
      <c r="K120" s="360">
        <v>0</v>
      </c>
      <c r="M120" s="73" t="str">
        <f t="shared" si="15"/>
        <v>EA.1950</v>
      </c>
      <c r="N120" s="309" t="str">
        <f>+IF(TES[[#This Row],[ITEM]]=C120,"ok","mal")</f>
        <v>ok</v>
      </c>
      <c r="O120" s="360">
        <f t="shared" si="30"/>
        <v>0</v>
      </c>
      <c r="P120" s="332">
        <f>IF(VLOOKUP(TES[[#This Row],[ITEM]],TbPiezas[],5,0)="NA",0,VLOOKUP(TES[[#This Row],[ITEM]],TbPiezas[],5,0))</f>
        <v>6.3</v>
      </c>
      <c r="Q120" s="81">
        <f>+TES[[#This Row],[TOTAL]]*TES[[#This Row],[P.U. (1)]]</f>
        <v>0</v>
      </c>
      <c r="R120" s="82">
        <f>+VLOOKUP(TES[[#This Row],[ITEM]],TbPiezas[],6,0)</f>
        <v>446.77</v>
      </c>
      <c r="S120" s="83">
        <f>+TES[[#This Row],[TOTAL]]*TES[[#This Row],[P.U. (2)]]</f>
        <v>0</v>
      </c>
      <c r="T120" s="82">
        <f>+VLOOKUP(TES[[#This Row],[ITEM]],TbPiezas[],7,0)</f>
        <v>22.3385</v>
      </c>
      <c r="U120" s="170">
        <f>+TES[[#This Row],[P.U. (3)]]*TES[[#This Row],[TOTAL]]</f>
        <v>0</v>
      </c>
    </row>
    <row r="121" spans="1:22" x14ac:dyDescent="0.3">
      <c r="A121" s="517"/>
      <c r="B121" s="135"/>
      <c r="C121" s="76" t="s">
        <v>261</v>
      </c>
      <c r="D121" s="76" t="s">
        <v>262</v>
      </c>
      <c r="F121" s="139">
        <f t="shared" ref="F121:K121" si="38">+F112*2+F119*2</f>
        <v>0</v>
      </c>
      <c r="G121" s="139">
        <f t="shared" si="38"/>
        <v>0</v>
      </c>
      <c r="H121" s="139">
        <f t="shared" si="38"/>
        <v>0</v>
      </c>
      <c r="I121" s="139">
        <f t="shared" si="38"/>
        <v>0</v>
      </c>
      <c r="J121" s="139">
        <f t="shared" si="38"/>
        <v>0</v>
      </c>
      <c r="K121" s="139">
        <f t="shared" si="38"/>
        <v>0</v>
      </c>
      <c r="M121" s="73" t="str">
        <f t="shared" si="15"/>
        <v>EA.2000</v>
      </c>
      <c r="N121" s="309" t="str">
        <f>+IF(TES[[#This Row],[ITEM]]=C121,"ok","mal")</f>
        <v>ok</v>
      </c>
      <c r="O121" s="330">
        <f t="shared" si="30"/>
        <v>0</v>
      </c>
      <c r="P121" s="332">
        <f>IF(VLOOKUP(TES[[#This Row],[ITEM]],TbPiezas[],5,0)="NA",0,VLOOKUP(TES[[#This Row],[ITEM]],TbPiezas[],5,0))</f>
        <v>9.9999999999994316E-2</v>
      </c>
      <c r="Q121" s="81">
        <f>+TES[[#This Row],[TOTAL]]*TES[[#This Row],[P.U. (1)]]</f>
        <v>0</v>
      </c>
      <c r="R121" s="82">
        <f>+VLOOKUP(TES[[#This Row],[ITEM]],TbPiezas[],6,0)</f>
        <v>10.16</v>
      </c>
      <c r="S121" s="83">
        <f>+TES[[#This Row],[TOTAL]]*TES[[#This Row],[P.U. (2)]]</f>
        <v>0</v>
      </c>
      <c r="T121" s="82">
        <f>+VLOOKUP(TES[[#This Row],[ITEM]],TbPiezas[],7,0)</f>
        <v>0.50800000000000001</v>
      </c>
      <c r="U121" s="170">
        <f>+TES[[#This Row],[P.U. (3)]]*TES[[#This Row],[TOTAL]]</f>
        <v>0</v>
      </c>
    </row>
    <row r="122" spans="1:22" x14ac:dyDescent="0.3">
      <c r="A122" s="517"/>
      <c r="B122" s="135"/>
      <c r="C122" s="172" t="s">
        <v>299</v>
      </c>
      <c r="D122" s="172" t="s">
        <v>300</v>
      </c>
      <c r="F122" s="141">
        <f t="shared" ref="F122:K122" si="39">+F89+F88</f>
        <v>2</v>
      </c>
      <c r="G122" s="141">
        <f t="shared" si="39"/>
        <v>0</v>
      </c>
      <c r="H122" s="141">
        <f t="shared" si="39"/>
        <v>0</v>
      </c>
      <c r="I122" s="141">
        <f t="shared" si="39"/>
        <v>0</v>
      </c>
      <c r="J122" s="141">
        <f t="shared" si="39"/>
        <v>0</v>
      </c>
      <c r="K122" s="141">
        <f t="shared" si="39"/>
        <v>0</v>
      </c>
      <c r="M122" s="172" t="str">
        <f t="shared" si="15"/>
        <v>CON.0100</v>
      </c>
      <c r="N122" s="317" t="str">
        <f>+IF(TES[[#This Row],[ITEM]]=C122,"ok","mal")</f>
        <v>ok</v>
      </c>
      <c r="O122" s="331">
        <f t="shared" si="30"/>
        <v>2</v>
      </c>
      <c r="P122" s="333">
        <f>IF(VLOOKUP(TES[[#This Row],[ITEM]],TbPiezas[],5,0)="NA",0,VLOOKUP(TES[[#This Row],[ITEM]],TbPiezas[],5,0))</f>
        <v>0.15000000000000568</v>
      </c>
      <c r="Q122" s="145">
        <f>+TES[[#This Row],[TOTAL]]*TES[[#This Row],[P.U. (1)]]</f>
        <v>0.30000000000001137</v>
      </c>
      <c r="R122" s="146">
        <f>+VLOOKUP(TES[[#This Row],[ITEM]],TbPiezas[],6,0)</f>
        <v>0</v>
      </c>
      <c r="S122" s="147">
        <f>+TES[[#This Row],[TOTAL]]*TES[[#This Row],[P.U. (2)]]</f>
        <v>0</v>
      </c>
      <c r="T122" s="146">
        <f>+VLOOKUP(TES[[#This Row],[ITEM]],TbPiezas[],7,0)</f>
        <v>0</v>
      </c>
      <c r="U122" s="176">
        <f>+TES[[#This Row],[P.U. (3)]]*TES[[#This Row],[TOTAL]]</f>
        <v>0</v>
      </c>
    </row>
    <row r="123" spans="1:22" x14ac:dyDescent="0.3">
      <c r="A123" s="514"/>
      <c r="B123" s="135"/>
      <c r="C123" s="172" t="s">
        <v>301</v>
      </c>
      <c r="D123" s="172" t="s">
        <v>302</v>
      </c>
      <c r="F123" s="141">
        <f t="shared" ref="F123:K123" si="40">+F90*2</f>
        <v>0</v>
      </c>
      <c r="G123" s="141">
        <f t="shared" si="40"/>
        <v>0</v>
      </c>
      <c r="H123" s="141">
        <f t="shared" si="40"/>
        <v>0</v>
      </c>
      <c r="I123" s="141">
        <f t="shared" si="40"/>
        <v>0</v>
      </c>
      <c r="J123" s="141">
        <f t="shared" si="40"/>
        <v>0</v>
      </c>
      <c r="K123" s="141">
        <f t="shared" si="40"/>
        <v>0</v>
      </c>
      <c r="M123" s="172" t="str">
        <f t="shared" si="15"/>
        <v>CON.0200</v>
      </c>
      <c r="N123" s="317" t="str">
        <f>+IF(TES[[#This Row],[ITEM]]=C123,"ok","mal")</f>
        <v>ok</v>
      </c>
      <c r="O123" s="331">
        <f t="shared" si="30"/>
        <v>0</v>
      </c>
      <c r="P123" s="333">
        <f>IF(VLOOKUP(TES[[#This Row],[ITEM]],TbPiezas[],5,0)="NA",0,VLOOKUP(TES[[#This Row],[ITEM]],TbPiezas[],5,0))</f>
        <v>0.25</v>
      </c>
      <c r="Q123" s="145">
        <f>+TES[[#This Row],[TOTAL]]*TES[[#This Row],[P.U. (1)]]</f>
        <v>0</v>
      </c>
      <c r="R123" s="146">
        <f>+VLOOKUP(TES[[#This Row],[ITEM]],TbPiezas[],6,0)</f>
        <v>0</v>
      </c>
      <c r="S123" s="147">
        <f>+TES[[#This Row],[TOTAL]]*TES[[#This Row],[P.U. (2)]]</f>
        <v>0</v>
      </c>
      <c r="T123" s="146">
        <f>+VLOOKUP(TES[[#This Row],[ITEM]],TbPiezas[],7,0)</f>
        <v>0</v>
      </c>
      <c r="U123" s="176">
        <f>+TES[[#This Row],[P.U. (3)]]*TES[[#This Row],[TOTAL]]</f>
        <v>0</v>
      </c>
    </row>
    <row r="124" spans="1:22" x14ac:dyDescent="0.3">
      <c r="A124" s="514"/>
      <c r="B124" s="135"/>
      <c r="C124" s="76" t="s">
        <v>583</v>
      </c>
      <c r="D124" s="76" t="s">
        <v>584</v>
      </c>
      <c r="F124" s="139">
        <f t="shared" ref="F124:K124" si="41">+IF(F$5&gt;0,0,IF(OR(F$8="FERMIN"),4,IF(OR(F$8="TUBO 0.5",F$8="TUBO 1.0"),0,0)))</f>
        <v>0</v>
      </c>
      <c r="G124" s="139">
        <f t="shared" si="41"/>
        <v>0</v>
      </c>
      <c r="H124" s="139">
        <f t="shared" si="41"/>
        <v>0</v>
      </c>
      <c r="I124" s="139">
        <f t="shared" si="41"/>
        <v>0</v>
      </c>
      <c r="J124" s="139">
        <f t="shared" si="41"/>
        <v>0</v>
      </c>
      <c r="K124" s="139">
        <f t="shared" si="41"/>
        <v>0</v>
      </c>
      <c r="M124" s="73" t="str">
        <f t="shared" si="15"/>
        <v>AE.11400</v>
      </c>
      <c r="N124" s="394" t="str">
        <f>+IF(TES[[#This Row],[ITEM]]=C124,"ok","mal")</f>
        <v>ok</v>
      </c>
      <c r="O124" s="395">
        <f>SUM(E124:L124)</f>
        <v>0</v>
      </c>
      <c r="P124" s="396">
        <f>IF(VLOOKUP(TES[[#This Row],[ITEM]],TbPiezas[],5,0)="NA",0,VLOOKUP(TES[[#This Row],[ITEM]],TbPiezas[],5,0))</f>
        <v>9.9999999999994316E-2</v>
      </c>
      <c r="Q124" s="397">
        <f>+TES[[#This Row],[TOTAL]]*TES[[#This Row],[P.U. (1)]]</f>
        <v>0</v>
      </c>
      <c r="R124" s="398">
        <f>+VLOOKUP(TES[[#This Row],[ITEM]],TbPiezas[],6,0)</f>
        <v>10.16</v>
      </c>
      <c r="S124" s="398">
        <f>+TES[[#This Row],[TOTAL]]*TES[[#This Row],[P.U. (2)]]</f>
        <v>0</v>
      </c>
      <c r="T124" s="398">
        <f>+VLOOKUP(TES[[#This Row],[ITEM]],TbPiezas[],7,0)</f>
        <v>0.50800000000000001</v>
      </c>
      <c r="U124" s="399">
        <f>+TES[[#This Row],[P.U. (3)]]*TES[[#This Row],[TOTAL]]</f>
        <v>0</v>
      </c>
    </row>
    <row r="125" spans="1:22" ht="7.5" customHeight="1" x14ac:dyDescent="0.3">
      <c r="R125" s="42"/>
      <c r="S125" s="42"/>
      <c r="T125" s="42"/>
      <c r="U125" s="42"/>
      <c r="V125" s="42"/>
    </row>
    <row r="126" spans="1:22" ht="15" customHeight="1" x14ac:dyDescent="0.3">
      <c r="M126" s="303"/>
      <c r="N126" s="304"/>
      <c r="O126" s="334"/>
      <c r="P126" s="327" t="s">
        <v>1169</v>
      </c>
      <c r="Q126" s="89">
        <f>SUM(Q12:Q125)</f>
        <v>326.39999999999981</v>
      </c>
      <c r="R126" s="90" t="s">
        <v>1170</v>
      </c>
      <c r="S126" s="91">
        <f>SUM(S12:S125)</f>
        <v>11342.289999999999</v>
      </c>
      <c r="T126" s="92" t="s">
        <v>1170</v>
      </c>
      <c r="U126" s="93">
        <f>SUM(U12:U125)</f>
        <v>567.11450000000002</v>
      </c>
    </row>
    <row r="127" spans="1:22" ht="15" customHeight="1" x14ac:dyDescent="0.3">
      <c r="M127" s="500"/>
      <c r="N127" s="310"/>
      <c r="O127" s="335"/>
      <c r="P127" s="502" t="s">
        <v>1286</v>
      </c>
      <c r="Q127" s="492">
        <f>+Q126/1000</f>
        <v>0.3263999999999998</v>
      </c>
      <c r="R127" s="344" t="s">
        <v>1289</v>
      </c>
      <c r="S127" s="449">
        <f>-S126*R128</f>
        <v>0</v>
      </c>
      <c r="T127" s="95" t="s">
        <v>1289</v>
      </c>
      <c r="U127" s="450">
        <f>-U126*T128</f>
        <v>0</v>
      </c>
    </row>
    <row r="128" spans="1:22" x14ac:dyDescent="0.3">
      <c r="D128" s="40"/>
      <c r="M128" s="500"/>
      <c r="N128" s="310"/>
      <c r="O128" s="335"/>
      <c r="P128" s="502"/>
      <c r="Q128" s="492"/>
      <c r="R128" s="345"/>
      <c r="S128" s="449"/>
      <c r="T128" s="97"/>
      <c r="U128" s="450"/>
    </row>
    <row r="129" spans="13:22" ht="7.5" customHeight="1" x14ac:dyDescent="0.3">
      <c r="M129" s="2"/>
      <c r="N129" s="68"/>
      <c r="O129" s="2"/>
      <c r="P129" s="2"/>
      <c r="Q129" s="2"/>
      <c r="V129" s="43"/>
    </row>
    <row r="130" spans="13:22" ht="15" customHeight="1" x14ac:dyDescent="0.3">
      <c r="M130" s="501"/>
      <c r="N130" s="311"/>
      <c r="O130" s="315"/>
      <c r="P130" s="503" t="s">
        <v>1173</v>
      </c>
      <c r="Q130" s="83">
        <v>0</v>
      </c>
      <c r="R130" s="98" t="s">
        <v>1170</v>
      </c>
      <c r="S130" s="83">
        <f>S126+S127</f>
        <v>11342.289999999999</v>
      </c>
      <c r="T130" s="82" t="s">
        <v>1170</v>
      </c>
      <c r="U130" s="84">
        <f>U126+U127</f>
        <v>567.11450000000002</v>
      </c>
    </row>
    <row r="131" spans="13:22" x14ac:dyDescent="0.3">
      <c r="M131" s="501"/>
      <c r="N131" s="311"/>
      <c r="O131" s="315"/>
      <c r="P131" s="503"/>
      <c r="Q131" s="83">
        <v>0</v>
      </c>
      <c r="R131" s="98" t="s">
        <v>1174</v>
      </c>
      <c r="S131" s="83">
        <f>0.18*S130</f>
        <v>2041.6121999999998</v>
      </c>
      <c r="T131" s="82" t="s">
        <v>1174</v>
      </c>
      <c r="U131" s="84">
        <f>0.18*U130</f>
        <v>102.08060999999999</v>
      </c>
    </row>
    <row r="132" spans="13:22" ht="7.5" customHeight="1" x14ac:dyDescent="0.3">
      <c r="M132" s="2"/>
      <c r="N132" s="68"/>
      <c r="O132" s="2"/>
      <c r="P132" s="2"/>
      <c r="Q132" s="2"/>
      <c r="V132" s="43"/>
    </row>
    <row r="133" spans="13:22" x14ac:dyDescent="0.3">
      <c r="M133" s="2"/>
      <c r="N133" s="68"/>
      <c r="O133" s="2"/>
      <c r="P133" s="2"/>
      <c r="Q133" s="99"/>
      <c r="R133" s="100" t="s">
        <v>1162</v>
      </c>
      <c r="S133" s="101">
        <f>+S130+S131</f>
        <v>13383.902199999999</v>
      </c>
      <c r="T133" s="100" t="s">
        <v>1162</v>
      </c>
      <c r="U133" s="102">
        <f>+U130+U131</f>
        <v>669.19511</v>
      </c>
    </row>
    <row r="134" spans="13:22" x14ac:dyDescent="0.3">
      <c r="M134" s="2"/>
      <c r="N134" s="68"/>
      <c r="O134" s="2"/>
      <c r="P134" s="2"/>
      <c r="Q134" s="2"/>
      <c r="R134" s="2"/>
      <c r="S134" s="2"/>
      <c r="T134" s="2"/>
      <c r="U134" s="2"/>
    </row>
    <row r="136" spans="13:22" x14ac:dyDescent="0.3">
      <c r="M136" s="2"/>
      <c r="N136" s="68"/>
      <c r="O136" s="2"/>
      <c r="P136" s="2"/>
      <c r="Q136" s="2"/>
      <c r="R136" s="2"/>
      <c r="S136" s="2"/>
      <c r="T136" s="2"/>
      <c r="U136" s="2"/>
    </row>
  </sheetData>
  <autoFilter ref="B12:K124" xr:uid="{8148C1AA-7AEC-4F44-A6AD-0A27363E7048}"/>
  <mergeCells count="10">
    <mergeCell ref="M127:M128"/>
    <mergeCell ref="M130:M131"/>
    <mergeCell ref="P11:Q11"/>
    <mergeCell ref="R11:S11"/>
    <mergeCell ref="T11:U11"/>
    <mergeCell ref="P127:P128"/>
    <mergeCell ref="Q127:Q128"/>
    <mergeCell ref="S127:S128"/>
    <mergeCell ref="U127:U128"/>
    <mergeCell ref="P130:P131"/>
  </mergeCells>
  <conditionalFormatting sqref="F29:K31 F20:K20 F18:K18 F15:K16 F63:K70 F81:K87 F79:K79 F75:K76 F109:K109 F114:K114 F116:K116 F118:K118 F120:K120 F94:K94 F107:K107 F33:K58 F97:K97 F27:K27">
    <cfRule type="cellIs" dxfId="150" priority="106" operator="greaterThanOrEqual">
      <formula>1</formula>
    </cfRule>
  </conditionalFormatting>
  <conditionalFormatting sqref="F32:K32 F59:K62 F28:K28 F71:K74 F77:K78 F80:K80 F23:K26">
    <cfRule type="containsText" dxfId="149" priority="96" operator="containsText" text="NE">
      <formula>NOT(ISERROR(SEARCH("NE",F23)))</formula>
    </cfRule>
  </conditionalFormatting>
  <conditionalFormatting sqref="O15:O16">
    <cfRule type="cellIs" dxfId="148" priority="64" operator="greaterThanOrEqual">
      <formula>1</formula>
    </cfRule>
  </conditionalFormatting>
  <conditionalFormatting sqref="O18">
    <cfRule type="cellIs" dxfId="147" priority="63" operator="greaterThanOrEqual">
      <formula>1</formula>
    </cfRule>
  </conditionalFormatting>
  <conditionalFormatting sqref="O20">
    <cfRule type="cellIs" dxfId="146" priority="62" operator="greaterThanOrEqual">
      <formula>1</formula>
    </cfRule>
  </conditionalFormatting>
  <conditionalFormatting sqref="O29:O31">
    <cfRule type="cellIs" dxfId="145" priority="61" operator="greaterThanOrEqual">
      <formula>1</formula>
    </cfRule>
  </conditionalFormatting>
  <conditionalFormatting sqref="O33:O40">
    <cfRule type="cellIs" dxfId="144" priority="60" operator="greaterThanOrEqual">
      <formula>1</formula>
    </cfRule>
  </conditionalFormatting>
  <conditionalFormatting sqref="O41:O51">
    <cfRule type="cellIs" dxfId="143" priority="59" operator="greaterThanOrEqual">
      <formula>1</formula>
    </cfRule>
  </conditionalFormatting>
  <conditionalFormatting sqref="O52:O58">
    <cfRule type="cellIs" dxfId="142" priority="58" operator="greaterThanOrEqual">
      <formula>1</formula>
    </cfRule>
  </conditionalFormatting>
  <conditionalFormatting sqref="O63:O70">
    <cfRule type="cellIs" dxfId="141" priority="57" operator="greaterThanOrEqual">
      <formula>1</formula>
    </cfRule>
  </conditionalFormatting>
  <conditionalFormatting sqref="O75:O76">
    <cfRule type="cellIs" dxfId="140" priority="55" operator="greaterThanOrEqual">
      <formula>1</formula>
    </cfRule>
  </conditionalFormatting>
  <conditionalFormatting sqref="O79">
    <cfRule type="cellIs" dxfId="139" priority="54" operator="greaterThanOrEqual">
      <formula>1</formula>
    </cfRule>
  </conditionalFormatting>
  <conditionalFormatting sqref="O81:O87">
    <cfRule type="cellIs" dxfId="138" priority="53" operator="greaterThanOrEqual">
      <formula>1</formula>
    </cfRule>
  </conditionalFormatting>
  <conditionalFormatting sqref="O94">
    <cfRule type="cellIs" dxfId="137" priority="52" operator="greaterThanOrEqual">
      <formula>1</formula>
    </cfRule>
  </conditionalFormatting>
  <conditionalFormatting sqref="O107">
    <cfRule type="cellIs" dxfId="136" priority="51" operator="greaterThanOrEqual">
      <formula>1</formula>
    </cfRule>
  </conditionalFormatting>
  <conditionalFormatting sqref="O109">
    <cfRule type="cellIs" dxfId="135" priority="50" operator="greaterThanOrEqual">
      <formula>1</formula>
    </cfRule>
  </conditionalFormatting>
  <conditionalFormatting sqref="O114">
    <cfRule type="cellIs" dxfId="134" priority="49" operator="greaterThanOrEqual">
      <formula>1</formula>
    </cfRule>
  </conditionalFormatting>
  <conditionalFormatting sqref="O116">
    <cfRule type="cellIs" dxfId="133" priority="48" operator="greaterThanOrEqual">
      <formula>1</formula>
    </cfRule>
  </conditionalFormatting>
  <conditionalFormatting sqref="O118">
    <cfRule type="cellIs" dxfId="132" priority="47" operator="greaterThanOrEqual">
      <formula>1</formula>
    </cfRule>
  </conditionalFormatting>
  <conditionalFormatting sqref="O120">
    <cfRule type="cellIs" dxfId="131" priority="46" operator="greaterThanOrEqual">
      <formula>1</formula>
    </cfRule>
  </conditionalFormatting>
  <conditionalFormatting sqref="F9:K9">
    <cfRule type="cellIs" dxfId="130" priority="13" operator="equal">
      <formula>1572</formula>
    </cfRule>
    <cfRule type="cellIs" dxfId="129" priority="14" operator="equal">
      <formula>1090</formula>
    </cfRule>
    <cfRule type="cellIs" dxfId="128" priority="15" operator="equal">
      <formula>732</formula>
    </cfRule>
  </conditionalFormatting>
  <conditionalFormatting sqref="F7:K7">
    <cfRule type="containsText" dxfId="127" priority="9" operator="containsText" text="4">
      <formula>NOT(ISERROR(SEARCH("4",F7)))</formula>
    </cfRule>
    <cfRule type="containsText" dxfId="126" priority="10" operator="containsText" text="3">
      <formula>NOT(ISERROR(SEARCH("3",F7)))</formula>
    </cfRule>
    <cfRule type="containsText" dxfId="125" priority="11" operator="containsText" text="2">
      <formula>NOT(ISERROR(SEARCH("2",F7)))</formula>
    </cfRule>
    <cfRule type="containsText" dxfId="124" priority="12" operator="containsText" text="1">
      <formula>NOT(ISERROR(SEARCH("1",F7)))</formula>
    </cfRule>
  </conditionalFormatting>
  <conditionalFormatting sqref="F8:K8">
    <cfRule type="containsText" dxfId="123" priority="7" operator="containsText" text="1.0">
      <formula>NOT(ISERROR(SEARCH("1.0",F8)))</formula>
    </cfRule>
    <cfRule type="containsText" dxfId="122" priority="8" operator="containsText" text="0.5">
      <formula>NOT(ISERROR(SEARCH("0.5",F8)))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0F4FD8-1048-476B-8699-BB647167B78F}">
          <x14:formula1>
            <xm:f>Apoyo1Despiece!$D$30:$D$34</xm:f>
          </x14:formula1>
          <xm:sqref>F6:K6</xm:sqref>
        </x14:dataValidation>
        <x14:dataValidation type="list" allowBlank="1" showInputMessage="1" showErrorMessage="1" xr:uid="{D03D25A3-CC6B-44A1-9468-CA210DC5B762}">
          <x14:formula1>
            <xm:f>Apoyo1Despiece!$F$30:$F$32</xm:f>
          </x14:formula1>
          <xm:sqref>F8:K8</xm:sqref>
        </x14:dataValidation>
        <x14:dataValidation type="list" allowBlank="1" showInputMessage="1" showErrorMessage="1" xr:uid="{C1DB877A-8C2B-4417-8B52-6F53BAD306DE}">
          <x14:formula1>
            <xm:f>Apoyo1Despiece!$G$30:$G$32</xm:f>
          </x14:formula1>
          <xm:sqref>F9:K9</xm:sqref>
        </x14:dataValidation>
        <x14:dataValidation type="list" allowBlank="1" showInputMessage="1" showErrorMessage="1" xr:uid="{12B778F5-28B9-47DE-B773-143D959D7562}">
          <x14:formula1>
            <xm:f>Apoyo1Despiece!$E$30:$E$34</xm:f>
          </x14:formula1>
          <xm:sqref>F7:K7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2D05-54BB-45C3-B7B5-5D6AA4528507}">
  <sheetPr codeName="Hoja25">
    <tabColor rgb="FFFFC000"/>
  </sheetPr>
  <dimension ref="B1:AB122"/>
  <sheetViews>
    <sheetView topLeftCell="F1" zoomScale="85" zoomScaleNormal="85" workbookViewId="0">
      <selection activeCell="V10" sqref="V10"/>
    </sheetView>
  </sheetViews>
  <sheetFormatPr baseColWidth="10" defaultColWidth="11.44140625" defaultRowHeight="14.4" outlineLevelRow="1" outlineLevelCol="1" x14ac:dyDescent="0.3"/>
  <cols>
    <col min="1" max="1" width="1.6640625" style="2" customWidth="1"/>
    <col min="2" max="2" width="8.33203125" style="2" hidden="1" customWidth="1"/>
    <col min="3" max="3" width="12.5546875" style="2" customWidth="1"/>
    <col min="4" max="4" width="44.33203125" style="2" customWidth="1"/>
    <col min="5" max="5" width="1.6640625" style="40" customWidth="1" outlineLevel="1"/>
    <col min="6" max="16" width="10.6640625" style="40" customWidth="1" outlineLevel="1"/>
    <col min="17" max="17" width="3.6640625" style="40" customWidth="1"/>
    <col min="18" max="18" width="11.44140625" hidden="1" customWidth="1"/>
    <col min="19" max="19" width="6.88671875" style="40" hidden="1" customWidth="1"/>
    <col min="20" max="20" width="11.88671875" style="40" customWidth="1"/>
    <col min="21" max="21" width="12.88671875" style="42" customWidth="1"/>
    <col min="22" max="22" width="14.109375" style="42" customWidth="1"/>
    <col min="23" max="23" width="13.5546875" style="43" customWidth="1"/>
    <col min="24" max="24" width="15.77734375" style="43" customWidth="1"/>
    <col min="25" max="25" width="13.6640625" style="43" customWidth="1"/>
    <col min="26" max="26" width="12.44140625" style="43" customWidth="1"/>
    <col min="27" max="27" width="2.88671875" style="2" customWidth="1"/>
    <col min="28" max="28" width="11.44140625" style="2" customWidth="1"/>
    <col min="29" max="16384" width="11.44140625" style="2"/>
  </cols>
  <sheetData>
    <row r="1" spans="3:26" ht="7.5" customHeight="1" x14ac:dyDescent="0.3">
      <c r="E1" s="2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2"/>
      <c r="S1" s="2"/>
      <c r="T1" s="2"/>
      <c r="U1" s="2"/>
    </row>
    <row r="2" spans="3:26" ht="15" customHeight="1" x14ac:dyDescent="0.3">
      <c r="C2" s="124" t="s">
        <v>1284</v>
      </c>
      <c r="D2" s="124"/>
      <c r="E2" s="2"/>
      <c r="F2" s="150"/>
      <c r="G2" s="150"/>
      <c r="H2" s="150"/>
      <c r="I2" s="150"/>
      <c r="J2" s="150"/>
      <c r="K2" s="150"/>
      <c r="L2" s="150"/>
      <c r="M2" s="42"/>
      <c r="N2" s="42"/>
      <c r="O2" s="42"/>
      <c r="P2" s="42"/>
      <c r="Q2" s="42"/>
      <c r="S2" s="42"/>
      <c r="T2" s="42"/>
      <c r="U2" s="2"/>
    </row>
    <row r="3" spans="3:26" ht="7.5" customHeight="1" x14ac:dyDescent="0.3">
      <c r="E3" s="2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2"/>
      <c r="S3" s="2"/>
      <c r="T3" s="2"/>
      <c r="U3" s="2"/>
    </row>
    <row r="4" spans="3:26" ht="15" customHeight="1" outlineLevel="1" x14ac:dyDescent="0.3">
      <c r="D4" s="372" t="s">
        <v>1180</v>
      </c>
      <c r="E4" s="2"/>
      <c r="F4" s="373">
        <v>2572</v>
      </c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2"/>
      <c r="S4" s="2"/>
      <c r="T4" s="340" t="s">
        <v>1288</v>
      </c>
      <c r="U4" s="2"/>
      <c r="W4" s="53"/>
      <c r="X4" s="53"/>
      <c r="Y4" s="53"/>
      <c r="Z4" s="128"/>
    </row>
    <row r="5" spans="3:26" ht="15" customHeight="1" outlineLevel="1" x14ac:dyDescent="0.3">
      <c r="D5" s="127" t="s">
        <v>1182</v>
      </c>
      <c r="E5" s="2"/>
      <c r="F5" s="59">
        <v>2572</v>
      </c>
      <c r="G5" s="59"/>
      <c r="H5" s="59"/>
      <c r="I5" s="59"/>
      <c r="J5" s="59"/>
      <c r="K5" s="59"/>
      <c r="L5" s="59"/>
      <c r="M5" s="59"/>
      <c r="N5" s="59"/>
      <c r="O5" s="59"/>
      <c r="P5" s="59"/>
      <c r="Q5" s="2"/>
      <c r="S5" s="2"/>
      <c r="T5" s="2" t="s">
        <v>1353</v>
      </c>
      <c r="U5" s="2"/>
      <c r="Z5" s="128"/>
    </row>
    <row r="6" spans="3:26" ht="15" customHeight="1" outlineLevel="1" x14ac:dyDescent="0.3">
      <c r="D6" s="127" t="s">
        <v>1184</v>
      </c>
      <c r="E6" s="2"/>
      <c r="F6" s="59">
        <v>2</v>
      </c>
      <c r="G6" s="59"/>
      <c r="H6" s="59"/>
      <c r="I6" s="59"/>
      <c r="J6" s="59"/>
      <c r="K6" s="59"/>
      <c r="L6" s="59"/>
      <c r="M6" s="59"/>
      <c r="N6" s="59"/>
      <c r="O6" s="59"/>
      <c r="P6" s="59"/>
      <c r="Q6" s="2"/>
      <c r="S6" s="2"/>
      <c r="T6" s="2" t="s">
        <v>1354</v>
      </c>
      <c r="U6" s="2"/>
      <c r="Z6" s="128"/>
    </row>
    <row r="7" spans="3:26" ht="15" customHeight="1" outlineLevel="1" x14ac:dyDescent="0.3">
      <c r="D7" s="127" t="s">
        <v>1285</v>
      </c>
      <c r="E7" s="2"/>
      <c r="F7" s="59" t="s">
        <v>1350</v>
      </c>
      <c r="G7" s="59"/>
      <c r="H7" s="59"/>
      <c r="I7" s="59"/>
      <c r="J7" s="59"/>
      <c r="K7" s="59"/>
      <c r="L7" s="59"/>
      <c r="M7" s="59"/>
      <c r="N7" s="59"/>
      <c r="O7" s="59"/>
      <c r="P7" s="59"/>
      <c r="Q7" s="2"/>
      <c r="S7" s="2"/>
      <c r="T7" s="2"/>
      <c r="U7" s="2"/>
      <c r="Z7" s="128"/>
    </row>
    <row r="8" spans="3:26" ht="15" customHeight="1" outlineLevel="1" x14ac:dyDescent="0.3">
      <c r="D8" s="374" t="s">
        <v>1358</v>
      </c>
      <c r="E8" s="2"/>
      <c r="F8" s="375" t="s">
        <v>1023</v>
      </c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2"/>
      <c r="S8" s="2"/>
      <c r="T8" s="2"/>
      <c r="U8" s="2"/>
      <c r="Z8" s="128"/>
    </row>
    <row r="9" spans="3:26" ht="15" customHeight="1" outlineLevel="1" x14ac:dyDescent="0.3">
      <c r="D9" s="376" t="s">
        <v>1359</v>
      </c>
      <c r="E9" s="2"/>
      <c r="F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Q9" s="2"/>
      <c r="S9" s="2"/>
      <c r="T9" s="2"/>
      <c r="U9" s="2"/>
      <c r="Z9" s="128"/>
    </row>
    <row r="10" spans="3:26" ht="15" customHeight="1" outlineLevel="1" x14ac:dyDescent="0.3">
      <c r="D10" s="370" t="s">
        <v>1031</v>
      </c>
      <c r="E10" s="2"/>
      <c r="F10" s="371" t="s">
        <v>1019</v>
      </c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2"/>
      <c r="S10" s="2"/>
      <c r="T10" s="2"/>
      <c r="U10" s="2"/>
      <c r="Z10" s="128"/>
    </row>
    <row r="11" spans="3:26" ht="15" customHeight="1" outlineLevel="1" x14ac:dyDescent="0.3">
      <c r="D11" s="127" t="s">
        <v>1351</v>
      </c>
      <c r="E11" s="2"/>
      <c r="F11" s="59" t="s">
        <v>1036</v>
      </c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2"/>
      <c r="S11" s="2"/>
      <c r="T11" s="2"/>
      <c r="U11" s="2"/>
      <c r="Z11" s="128"/>
    </row>
    <row r="12" spans="3:26" ht="15" customHeight="1" outlineLevel="1" x14ac:dyDescent="0.3">
      <c r="D12" s="127" t="s">
        <v>1187</v>
      </c>
      <c r="E12" s="2"/>
      <c r="F12" s="59" t="s">
        <v>1024</v>
      </c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2"/>
      <c r="S12" s="2"/>
      <c r="T12" s="2"/>
      <c r="U12" s="2"/>
      <c r="Z12" s="128"/>
    </row>
    <row r="13" spans="3:26" ht="15" customHeight="1" outlineLevel="1" x14ac:dyDescent="0.3">
      <c r="D13" s="127" t="s">
        <v>1188</v>
      </c>
      <c r="E13" s="2"/>
      <c r="F13" s="59" t="s">
        <v>1026</v>
      </c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129"/>
      <c r="S13" s="129"/>
      <c r="T13" s="129"/>
      <c r="U13" s="129"/>
      <c r="Z13" s="128"/>
    </row>
    <row r="14" spans="3:26" ht="15" customHeight="1" outlineLevel="1" x14ac:dyDescent="0.3">
      <c r="D14" s="127" t="s">
        <v>1189</v>
      </c>
      <c r="E14" s="2"/>
      <c r="F14" s="130">
        <v>1</v>
      </c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2"/>
      <c r="S14" s="2"/>
      <c r="T14" s="2"/>
      <c r="Z14" s="131"/>
    </row>
    <row r="15" spans="3:26" ht="15" customHeight="1" outlineLevel="1" x14ac:dyDescent="0.3">
      <c r="D15" s="127" t="s">
        <v>1355</v>
      </c>
      <c r="E15" s="2"/>
      <c r="F15" s="59" t="s">
        <v>1019</v>
      </c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2"/>
      <c r="S15" s="2"/>
      <c r="T15" s="2"/>
      <c r="Z15" s="131"/>
    </row>
    <row r="16" spans="3:26" ht="7.5" customHeight="1" outlineLevel="1" x14ac:dyDescent="0.3">
      <c r="E16" s="2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2"/>
      <c r="S16" s="2"/>
      <c r="T16" s="2"/>
      <c r="U16" s="2"/>
    </row>
    <row r="17" spans="2:26" s="68" customFormat="1" x14ac:dyDescent="0.3">
      <c r="B17" s="105"/>
      <c r="C17" s="105"/>
      <c r="D17" s="105"/>
      <c r="E17" s="2"/>
      <c r="F17" s="106" t="s">
        <v>1191</v>
      </c>
      <c r="G17" s="106" t="s">
        <v>1191</v>
      </c>
      <c r="H17" s="106" t="s">
        <v>1191</v>
      </c>
      <c r="I17" s="106" t="s">
        <v>1191</v>
      </c>
      <c r="J17" s="106" t="s">
        <v>1191</v>
      </c>
      <c r="K17" s="106" t="s">
        <v>1191</v>
      </c>
      <c r="L17" s="106" t="s">
        <v>1191</v>
      </c>
      <c r="M17" s="106" t="s">
        <v>1176</v>
      </c>
      <c r="N17" s="106" t="s">
        <v>1177</v>
      </c>
      <c r="O17" s="106" t="s">
        <v>1360</v>
      </c>
      <c r="P17" s="106" t="s">
        <v>1191</v>
      </c>
      <c r="Q17" s="2"/>
      <c r="S17"/>
      <c r="T17" s="132">
        <f>SUM(TT[TOTAL])</f>
        <v>67</v>
      </c>
      <c r="U17" s="454" t="s">
        <v>2</v>
      </c>
      <c r="V17" s="455"/>
      <c r="W17" s="456" t="s">
        <v>1158</v>
      </c>
      <c r="X17" s="457"/>
      <c r="Y17" s="443" t="s">
        <v>1159</v>
      </c>
      <c r="Z17" s="444"/>
    </row>
    <row r="18" spans="2:26" s="68" customFormat="1" x14ac:dyDescent="0.3">
      <c r="B18" s="109" t="s">
        <v>1190</v>
      </c>
      <c r="C18" s="109" t="s">
        <v>1</v>
      </c>
      <c r="D18" s="109" t="s">
        <v>0</v>
      </c>
      <c r="E18" s="2"/>
      <c r="F18" s="110">
        <f>SUM(F19:F101)</f>
        <v>67</v>
      </c>
      <c r="G18" s="110">
        <f t="shared" ref="G18:L18" si="0">SUM(G19:G101)</f>
        <v>0</v>
      </c>
      <c r="H18" s="110">
        <f t="shared" si="0"/>
        <v>0</v>
      </c>
      <c r="I18" s="110">
        <f t="shared" si="0"/>
        <v>0</v>
      </c>
      <c r="J18" s="110">
        <f t="shared" si="0"/>
        <v>0</v>
      </c>
      <c r="K18" s="110">
        <f t="shared" si="0"/>
        <v>0</v>
      </c>
      <c r="L18" s="110">
        <f t="shared" si="0"/>
        <v>0</v>
      </c>
      <c r="M18" s="110">
        <f>SUM(M19:M101)</f>
        <v>0</v>
      </c>
      <c r="N18" s="110">
        <f>SUM(N19:N101)</f>
        <v>0</v>
      </c>
      <c r="O18" s="110">
        <f>SUM(O19:O101)</f>
        <v>0</v>
      </c>
      <c r="P18" s="110">
        <f>SUM(P19:P101)</f>
        <v>0</v>
      </c>
      <c r="Q18" s="2"/>
      <c r="R18" s="112" t="s">
        <v>1</v>
      </c>
      <c r="S18" s="111" t="s">
        <v>1161</v>
      </c>
      <c r="T18" s="133" t="s">
        <v>1162</v>
      </c>
      <c r="U18" s="134" t="s">
        <v>1163</v>
      </c>
      <c r="V18" s="114" t="s">
        <v>1164</v>
      </c>
      <c r="W18" s="115" t="s">
        <v>1165</v>
      </c>
      <c r="X18" s="116" t="s">
        <v>1166</v>
      </c>
      <c r="Y18" s="117" t="s">
        <v>1167</v>
      </c>
      <c r="Z18" s="118" t="s">
        <v>1168</v>
      </c>
    </row>
    <row r="19" spans="2:26" x14ac:dyDescent="0.3">
      <c r="B19" s="135"/>
      <c r="C19" s="135" t="s">
        <v>3</v>
      </c>
      <c r="D19" s="135" t="s">
        <v>4</v>
      </c>
      <c r="E19" s="2"/>
      <c r="F19" s="136">
        <f>IF(F$7="GARRUCHA",0,IF(AND(F$4&gt;0,E$4=0,F7="HUSILLOS"),4,IF(AND(F$4&gt;0,E$4&gt;0),IF(F7="",0,2),0)))</f>
        <v>4</v>
      </c>
      <c r="G19" s="136">
        <f t="shared" ref="G19:L19" si="1">IF(G$7="GARRUCHA",0,IF(AND(G$4&gt;0,F$4=0,G7="HUSILLOS"),4,IF(AND(G$4&gt;0,F$4&gt;0),IF(G7="",0,2),0)))</f>
        <v>0</v>
      </c>
      <c r="H19" s="136">
        <f t="shared" si="1"/>
        <v>0</v>
      </c>
      <c r="I19" s="136">
        <f t="shared" si="1"/>
        <v>0</v>
      </c>
      <c r="J19" s="136">
        <f t="shared" si="1"/>
        <v>0</v>
      </c>
      <c r="K19" s="136">
        <f t="shared" si="1"/>
        <v>0</v>
      </c>
      <c r="L19" s="136">
        <f t="shared" si="1"/>
        <v>0</v>
      </c>
      <c r="M19" s="136">
        <f>IF(M$7="GARRUCHA",0,IF(AND(M$4&gt;0,L$4=0,M7="HUSILLOS"),4,IF(AND(M$4&gt;0,L$4&gt;0),IF(M7="",0,2),0)))</f>
        <v>0</v>
      </c>
      <c r="N19" s="136">
        <f>IF(N$7="GARRUCHA",0,IF(AND(N$4&gt;0,M$4=0,N7="HUSILLOS"),4,IF(AND(N$4&gt;0,M$4&gt;0),IF(N7="",0,2),0)))</f>
        <v>0</v>
      </c>
      <c r="O19" s="136">
        <f>IF(O$7="GARRUCHA",0,IF(AND(O$4&gt;0,N$4=0,O7="HUSILLOS"),4,IF(AND(O$4&gt;0,N$4&gt;0),IF(O7="",0,2),0)))</f>
        <v>0</v>
      </c>
      <c r="P19" s="136">
        <f>IF(P$7="GARRUCHA",0,IF(AND(P$4&gt;0,O$4=0,P7="HUSILLOS"),4,IF(AND(P$4&gt;0,O$4&gt;0),IF(P7="",0,2),0)))</f>
        <v>0</v>
      </c>
      <c r="Q19" s="2"/>
      <c r="R19" s="135" t="str">
        <f>+C19</f>
        <v>AM.0100</v>
      </c>
      <c r="S19" s="245" t="str">
        <f>+IF(C19=TT[[#This Row],[ITEM]],"ok","mal")</f>
        <v>ok</v>
      </c>
      <c r="T19" s="246">
        <f t="shared" ref="T19:T50" si="2">SUM(E19:Q19)</f>
        <v>4</v>
      </c>
      <c r="U19" s="80">
        <f>IF(VLOOKUP(R19,TbPiezas[],5,0)="NA",0,VLOOKUP(R19,TbPiezas[],5,0))</f>
        <v>3.2999999999999972</v>
      </c>
      <c r="V19" s="81">
        <f>+TT[[#This Row],[TOTAL]]*TT[[#This Row],[P.U. (1)]]</f>
        <v>13.199999999999989</v>
      </c>
      <c r="W19" s="247">
        <f>+VLOOKUP(R19,TbPiezas[],6,0)</f>
        <v>86.53</v>
      </c>
      <c r="X19" s="441">
        <f>ROUND(TT[[#This Row],[TOTAL]]*TT[[#This Row],[P.U. (2)]],2)</f>
        <v>346.12</v>
      </c>
      <c r="Y19" s="247">
        <f>+VLOOKUP(R19,TbPiezas[],7,0)</f>
        <v>4.3265000000000002</v>
      </c>
      <c r="Z19" s="249">
        <f>ROUND(TT[[#This Row],[TOTAL]]*TT[[#This Row],[P.U. (3)]],2)</f>
        <v>17.309999999999999</v>
      </c>
    </row>
    <row r="20" spans="2:26" x14ac:dyDescent="0.3">
      <c r="B20" s="135"/>
      <c r="C20" s="76" t="s">
        <v>5</v>
      </c>
      <c r="D20" s="76" t="s">
        <v>6</v>
      </c>
      <c r="E20" s="2"/>
      <c r="F20" s="136">
        <f>IF(F$7="HUSILLOS",0,IF(AND(F$4&gt;0,E$4=0,F7="GARRUCHA"),4,IF(AND(F$4&gt;0,E$4&gt;0),IF(F7="",0,2),0)))</f>
        <v>0</v>
      </c>
      <c r="G20" s="136">
        <f t="shared" ref="G20:L20" si="3">IF(G$7="HUSILLOS",0,IF(AND(G$4&gt;0,F$4=0,G7="GARRUCHA"),4,IF(AND(G$4&gt;0,F$4&gt;0),IF(G7="",0,2),0)))</f>
        <v>0</v>
      </c>
      <c r="H20" s="136">
        <f t="shared" si="3"/>
        <v>0</v>
      </c>
      <c r="I20" s="136">
        <f t="shared" si="3"/>
        <v>0</v>
      </c>
      <c r="J20" s="136">
        <f t="shared" si="3"/>
        <v>0</v>
      </c>
      <c r="K20" s="136">
        <f t="shared" si="3"/>
        <v>0</v>
      </c>
      <c r="L20" s="136">
        <f t="shared" si="3"/>
        <v>0</v>
      </c>
      <c r="M20" s="136">
        <f>IF(M$7="HUSILLOS",0,IF(AND(M$4&gt;0,L$4=0,M7="GARRUCHA"),4,IF(AND(M$4&gt;0,L$4&gt;0),IF(M7="",0,2),0)))</f>
        <v>0</v>
      </c>
      <c r="N20" s="136">
        <f>IF(N$7="HUSILLOS",0,IF(AND(N$4&gt;0,M$4=0,N7="GARRUCHA"),4,IF(AND(N$4&gt;0,M$4&gt;0),IF(N7="",0,2),0)))</f>
        <v>0</v>
      </c>
      <c r="O20" s="136">
        <f>IF(O$7="HUSILLOS",0,IF(AND(O$4&gt;0,N$4=0,O7="GARRUCHA"),4,IF(AND(O$4&gt;0,N$4&gt;0),IF(O7="",0,2),0)))</f>
        <v>0</v>
      </c>
      <c r="P20" s="136">
        <f>IF(P$7="HUSILLOS",0,IF(AND(P$4&gt;0,O$4=0,P7="GARRUCHA"),4,IF(AND(P$4&gt;0,O$4&gt;0),IF(P7="",0,2),0)))</f>
        <v>0</v>
      </c>
      <c r="Q20" s="2"/>
      <c r="R20" s="135" t="str">
        <f t="shared" ref="R20:R83" si="4">+C20</f>
        <v>AM.0200</v>
      </c>
      <c r="S20" s="245" t="str">
        <f>+IF(C20=TT[[#This Row],[ITEM]],"ok","mal")</f>
        <v>ok</v>
      </c>
      <c r="T20" s="246">
        <f t="shared" si="2"/>
        <v>0</v>
      </c>
      <c r="U20" s="80">
        <f>IF(VLOOKUP(R20,TbPiezas[],5,0)="NA",0,VLOOKUP(R20,TbPiezas[],5,0))</f>
        <v>5.9000000000000057</v>
      </c>
      <c r="V20" s="81">
        <f>+TT[[#This Row],[TOTAL]]*TT[[#This Row],[P.U. (1)]]</f>
        <v>0</v>
      </c>
      <c r="W20" s="247">
        <f>+VLOOKUP(R20,TbPiezas[],6,0)</f>
        <v>371.46</v>
      </c>
      <c r="X20" s="441">
        <f>ROUND(TT[[#This Row],[TOTAL]]*TT[[#This Row],[P.U. (2)]],2)</f>
        <v>0</v>
      </c>
      <c r="Y20" s="247">
        <f>+VLOOKUP(R20,TbPiezas[],7,0)</f>
        <v>18.573</v>
      </c>
      <c r="Z20" s="249">
        <f>ROUND(TT[[#This Row],[TOTAL]]*TT[[#This Row],[P.U. (3)]],2)</f>
        <v>0</v>
      </c>
    </row>
    <row r="21" spans="2:26" x14ac:dyDescent="0.3">
      <c r="B21" s="135"/>
      <c r="C21" s="135" t="s">
        <v>7</v>
      </c>
      <c r="D21" s="135" t="s">
        <v>8</v>
      </c>
      <c r="E21" s="2"/>
      <c r="F21" s="136">
        <f>+F19+F20</f>
        <v>4</v>
      </c>
      <c r="G21" s="136">
        <f t="shared" ref="G21:L21" si="5">+G19+G20</f>
        <v>0</v>
      </c>
      <c r="H21" s="136">
        <f t="shared" si="5"/>
        <v>0</v>
      </c>
      <c r="I21" s="136">
        <f t="shared" si="5"/>
        <v>0</v>
      </c>
      <c r="J21" s="136">
        <f t="shared" si="5"/>
        <v>0</v>
      </c>
      <c r="K21" s="136">
        <f t="shared" si="5"/>
        <v>0</v>
      </c>
      <c r="L21" s="136">
        <f t="shared" si="5"/>
        <v>0</v>
      </c>
      <c r="M21" s="136">
        <f>+M19+M20</f>
        <v>0</v>
      </c>
      <c r="N21" s="136">
        <f>+N19+N20</f>
        <v>0</v>
      </c>
      <c r="O21" s="136">
        <f>+O19+O20</f>
        <v>0</v>
      </c>
      <c r="P21" s="136">
        <f>+P19+P20</f>
        <v>0</v>
      </c>
      <c r="Q21" s="138"/>
      <c r="R21" s="135" t="str">
        <f t="shared" si="4"/>
        <v>AM.0300</v>
      </c>
      <c r="S21" s="245" t="str">
        <f>+IF(C21=TT[[#This Row],[ITEM]],"ok","mal")</f>
        <v>ok</v>
      </c>
      <c r="T21" s="246">
        <f t="shared" si="2"/>
        <v>4</v>
      </c>
      <c r="U21" s="80">
        <f>IF(VLOOKUP(R21,TbPiezas[],5,0)="NA",0,VLOOKUP(R21,TbPiezas[],5,0))</f>
        <v>1.8999999999999915</v>
      </c>
      <c r="V21" s="81">
        <f>+TT[[#This Row],[TOTAL]]*TT[[#This Row],[P.U. (1)]]</f>
        <v>7.5999999999999659</v>
      </c>
      <c r="W21" s="247">
        <f>+VLOOKUP(R21,TbPiezas[],6,0)</f>
        <v>78.02</v>
      </c>
      <c r="X21" s="441">
        <f>ROUND(TT[[#This Row],[TOTAL]]*TT[[#This Row],[P.U. (2)]],2)</f>
        <v>312.08</v>
      </c>
      <c r="Y21" s="247">
        <f>+VLOOKUP(R21,TbPiezas[],7,0)</f>
        <v>3.9009999999999998</v>
      </c>
      <c r="Z21" s="249">
        <f>ROUND(TT[[#This Row],[TOTAL]]*TT[[#This Row],[P.U. (3)]],2)</f>
        <v>15.6</v>
      </c>
    </row>
    <row r="22" spans="2:26" x14ac:dyDescent="0.3">
      <c r="B22" s="135"/>
      <c r="C22" s="76" t="s">
        <v>13</v>
      </c>
      <c r="D22" s="76" t="s">
        <v>14</v>
      </c>
      <c r="E22" s="2"/>
      <c r="F22" s="360">
        <v>0</v>
      </c>
      <c r="G22" s="360">
        <v>0</v>
      </c>
      <c r="H22" s="360">
        <v>0</v>
      </c>
      <c r="I22" s="360">
        <v>0</v>
      </c>
      <c r="J22" s="360">
        <v>0</v>
      </c>
      <c r="K22" s="360">
        <v>0</v>
      </c>
      <c r="L22" s="360">
        <v>0</v>
      </c>
      <c r="M22" s="360">
        <v>0</v>
      </c>
      <c r="N22" s="360">
        <v>0</v>
      </c>
      <c r="O22" s="360">
        <v>0</v>
      </c>
      <c r="P22" s="360">
        <v>0</v>
      </c>
      <c r="Q22" s="2"/>
      <c r="R22" s="135" t="str">
        <f t="shared" si="4"/>
        <v>AM.0600</v>
      </c>
      <c r="S22" s="245" t="str">
        <f>+IF(C22=TT[[#This Row],[ITEM]],"ok","mal")</f>
        <v>ok</v>
      </c>
      <c r="T22" s="246">
        <f t="shared" si="2"/>
        <v>0</v>
      </c>
      <c r="U22" s="80">
        <f>IF(VLOOKUP(R22,TbPiezas[],5,0)="NA",0,VLOOKUP(R22,TbPiezas[],5,0))</f>
        <v>11.700000000000003</v>
      </c>
      <c r="V22" s="81">
        <f>+TT[[#This Row],[TOTAL]]*TT[[#This Row],[P.U. (1)]]</f>
        <v>0</v>
      </c>
      <c r="W22" s="247">
        <f>+VLOOKUP(R22,TbPiezas[],6,0)</f>
        <v>428.32</v>
      </c>
      <c r="X22" s="248">
        <f>ROUND(TT[[#This Row],[TOTAL]]*TT[[#This Row],[P.U. (2)]],2)</f>
        <v>0</v>
      </c>
      <c r="Y22" s="247">
        <f>+VLOOKUP(R22,TbPiezas[],7,0)</f>
        <v>21.416</v>
      </c>
      <c r="Z22" s="249">
        <f>ROUND(TT[[#This Row],[TOTAL]]*TT[[#This Row],[P.U. (3)]],2)</f>
        <v>0</v>
      </c>
    </row>
    <row r="23" spans="2:26" x14ac:dyDescent="0.3">
      <c r="B23" s="135"/>
      <c r="C23" s="135" t="s">
        <v>15</v>
      </c>
      <c r="D23" s="135" t="s">
        <v>16</v>
      </c>
      <c r="E23" s="2"/>
      <c r="F23" s="250">
        <f>IF(AND(F$4&gt;0,E$4=0),IF(ISEVEN(F$6),F$6*2,(F$6+1)*2),IF(AND(F$4&gt;0,E$4&gt;0),IF(ISEVEN(F$6),F$6,F$6+1),0))</f>
        <v>4</v>
      </c>
      <c r="G23" s="250">
        <f t="shared" ref="G23:L23" si="6">IF(AND(G$4&gt;0,F$4=0),IF(ISEVEN(G$6),G$6*2,(G$6+1)*2),IF(AND(G$4&gt;0,F$4&gt;0),IF(ISEVEN(G$6),G$6,G$6+1),0))</f>
        <v>0</v>
      </c>
      <c r="H23" s="250">
        <f t="shared" si="6"/>
        <v>0</v>
      </c>
      <c r="I23" s="250">
        <f t="shared" si="6"/>
        <v>0</v>
      </c>
      <c r="J23" s="250">
        <f t="shared" si="6"/>
        <v>0</v>
      </c>
      <c r="K23" s="250">
        <f t="shared" si="6"/>
        <v>0</v>
      </c>
      <c r="L23" s="250">
        <f t="shared" si="6"/>
        <v>0</v>
      </c>
      <c r="M23" s="250">
        <f>IF(AND(M$4&gt;0,L$4=0),IF(ISEVEN(M$6),M$6*2,(M$6+1)*2),IF(AND(M$4&gt;0,L$4&gt;0),IF(ISEVEN(M$6),M$6,M$6+1),0))</f>
        <v>0</v>
      </c>
      <c r="N23" s="250">
        <f>IF(AND(N$4&gt;0,M$4=0),IF(ISEVEN(N$6),N$6*2,(N$6+1)*2),IF(AND(N$4&gt;0,M$4&gt;0),IF(ISEVEN(N$6),N$6,N$6+1),0))</f>
        <v>0</v>
      </c>
      <c r="O23" s="250">
        <f>IF(AND(O$4&gt;0,N$4=0),IF(ISEVEN(O$6),O$6*2,(O$6+1)*2),IF(AND(O$4&gt;0,N$4&gt;0),IF(ISEVEN(O$6),O$6,O$6+1),0))</f>
        <v>0</v>
      </c>
      <c r="P23" s="250">
        <f>IF(AND(P$4&gt;0,O$4=0),IF(ISEVEN(P$6),P$6*2,(P$6+1)*2),IF(AND(P$4&gt;0,O$4&gt;0),IF(ISEVEN(P$6),P$6,P$6+1),0))</f>
        <v>0</v>
      </c>
      <c r="Q23" s="2"/>
      <c r="R23" s="135" t="str">
        <f t="shared" si="4"/>
        <v>AM.0700</v>
      </c>
      <c r="S23" s="245" t="str">
        <f>+IF(C23=TT[[#This Row],[ITEM]],"ok","mal")</f>
        <v>ok</v>
      </c>
      <c r="T23" s="246">
        <f t="shared" si="2"/>
        <v>4</v>
      </c>
      <c r="U23" s="80">
        <f>IF(VLOOKUP(R23,TbPiezas[],5,0)="NA",0,VLOOKUP(R23,TbPiezas[],5,0))</f>
        <v>7</v>
      </c>
      <c r="V23" s="81">
        <f>+TT[[#This Row],[TOTAL]]*TT[[#This Row],[P.U. (1)]]</f>
        <v>28</v>
      </c>
      <c r="W23" s="247">
        <f>+VLOOKUP(R23,TbPiezas[],6,0)</f>
        <v>261.63</v>
      </c>
      <c r="X23" s="441">
        <f>ROUND(TT[[#This Row],[TOTAL]]*TT[[#This Row],[P.U. (2)]],2)</f>
        <v>1046.52</v>
      </c>
      <c r="Y23" s="247">
        <f>+VLOOKUP(R23,TbPiezas[],7,0)</f>
        <v>13.0815</v>
      </c>
      <c r="Z23" s="249">
        <f>ROUND(TT[[#This Row],[TOTAL]]*TT[[#This Row],[P.U. (3)]],2)</f>
        <v>52.33</v>
      </c>
    </row>
    <row r="24" spans="2:26" x14ac:dyDescent="0.3">
      <c r="B24" s="135"/>
      <c r="C24" s="135" t="s">
        <v>17</v>
      </c>
      <c r="D24" s="135" t="s">
        <v>18</v>
      </c>
      <c r="E24" s="2"/>
      <c r="F24" s="360">
        <v>0</v>
      </c>
      <c r="G24" s="360">
        <v>0</v>
      </c>
      <c r="H24" s="360">
        <v>0</v>
      </c>
      <c r="I24" s="360"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2"/>
      <c r="R24" s="135" t="str">
        <f t="shared" si="4"/>
        <v>AM.0900</v>
      </c>
      <c r="S24" s="245" t="str">
        <f>+IF(C24=TT[[#This Row],[ITEM]],"ok","mal")</f>
        <v>ok</v>
      </c>
      <c r="T24" s="246">
        <f t="shared" si="2"/>
        <v>0</v>
      </c>
      <c r="U24" s="80">
        <f>IF(VLOOKUP(R24,TbPiezas[],5,0)="NA",0,VLOOKUP(R24,TbPiezas[],5,0))</f>
        <v>5.9</v>
      </c>
      <c r="V24" s="81">
        <f>+TT[[#This Row],[TOTAL]]*TT[[#This Row],[P.U. (1)]]</f>
        <v>0</v>
      </c>
      <c r="W24" s="247">
        <f>+VLOOKUP(R24,TbPiezas[],6,0)</f>
        <v>212.52</v>
      </c>
      <c r="X24" s="248">
        <f>ROUND(TT[[#This Row],[TOTAL]]*TT[[#This Row],[P.U. (2)]],2)</f>
        <v>0</v>
      </c>
      <c r="Y24" s="247">
        <f>+VLOOKUP(R24,TbPiezas[],7,0)</f>
        <v>10.626000000000001</v>
      </c>
      <c r="Z24" s="249">
        <f>ROUND(TT[[#This Row],[TOTAL]]*TT[[#This Row],[P.U. (3)]],2)</f>
        <v>0</v>
      </c>
    </row>
    <row r="25" spans="2:26" x14ac:dyDescent="0.3">
      <c r="B25" s="135"/>
      <c r="C25" s="135" t="s">
        <v>19</v>
      </c>
      <c r="D25" s="135" t="s">
        <v>20</v>
      </c>
      <c r="E25" s="2"/>
      <c r="F25" s="250">
        <f>IF(F$6="",0,IF(AND(F$4&gt;0,E$4=0),IF(ISEVEN(F$6),4,0),IF(AND(F$4&gt;0,E$4&gt;0),IF(ISEVEN(F$6),2,0),0)))+IF(F$5=732,0,IF(F$11="TODO",0,IF(F$11="ARRIBA",IF(AND(F$4&gt;0,E$4=0),IF(ISEVEN(F$6),F$6-2,F$6-1),0),)))</f>
        <v>4</v>
      </c>
      <c r="G25" s="250">
        <f t="shared" ref="G25:L25" si="7">IF(G$6="",0,IF(AND(G$4&gt;0,F$4=0),IF(ISEVEN(G$6),4,0),IF(AND(G$4&gt;0,F$4&gt;0),IF(ISEVEN(G$6),2,0),0)))+IF(G$5=732,0,IF(G$11="TODO",0,IF(G$11="ARRIBA",IF(AND(G$4&gt;0,F$4=0),IF(ISEVEN(G$6),G$6-2,G$6-1),0),)))</f>
        <v>0</v>
      </c>
      <c r="H25" s="250">
        <f t="shared" si="7"/>
        <v>0</v>
      </c>
      <c r="I25" s="250">
        <f t="shared" si="7"/>
        <v>0</v>
      </c>
      <c r="J25" s="250">
        <f t="shared" si="7"/>
        <v>0</v>
      </c>
      <c r="K25" s="250">
        <f t="shared" si="7"/>
        <v>0</v>
      </c>
      <c r="L25" s="250">
        <f t="shared" si="7"/>
        <v>0</v>
      </c>
      <c r="M25" s="250">
        <f>IF(M$6="",0,IF(AND(M$4&gt;0,L$4=0),IF(ISEVEN(M$6),4,0),IF(AND(M$4&gt;0,L$4&gt;0),IF(ISEVEN(M$6),2,0),0)))+IF(M$5=732,0,IF(M$11="TODO",0,IF(M$11="ARRIBA",IF(AND(M$4&gt;0,L$4=0),IF(ISEVEN(M$6),M$6-2,M$6-1),0),)))</f>
        <v>0</v>
      </c>
      <c r="N25" s="250">
        <f>IF(N$6="",0,IF(AND(N$4&gt;0,M$4=0),IF(ISEVEN(N$6),4,0),IF(AND(N$4&gt;0,M$4&gt;0),IF(ISEVEN(N$6),2,0),0)))+IF(N$5=732,0,IF(N$11="TODO",0,IF(N$11="ARRIBA",IF(AND(N$4&gt;0,M$4=0),IF(ISEVEN(N$6),N$6-2,N$6-1),0),)))</f>
        <v>0</v>
      </c>
      <c r="O25" s="250">
        <f>IF(O$6="",0,IF(AND(O$4&gt;0,N$4=0),IF(ISEVEN(O$6),4,0),IF(AND(O$4&gt;0,N$4&gt;0),IF(ISEVEN(O$6),2,0),0)))+IF(O$5=732,0,IF(O$11="TODO",0,IF(O$11="ARRIBA",IF(AND(O$4&gt;0,N$4=0),IF(ISEVEN(O$6),O$6-2,O$6-1),0),)))</f>
        <v>0</v>
      </c>
      <c r="P25" s="250">
        <f>IF(P$6="",0,IF(AND(P$4&gt;0,O$4=0),IF(ISEVEN(P$6),4,0),IF(AND(P$4&gt;0,O$4&gt;0),IF(ISEVEN(P$6),2,0),0)))+IF(P$5=732,0,IF(P$11="TODO",0,IF(P$11="ARRIBA",IF(AND(P$4&gt;0,O$4=0),IF(ISEVEN(P$6),P$6-2,P$6-1),0),)))</f>
        <v>0</v>
      </c>
      <c r="Q25" s="2"/>
      <c r="R25" s="135" t="str">
        <f t="shared" si="4"/>
        <v>AM.1000</v>
      </c>
      <c r="S25" s="245" t="str">
        <f>+IF(C25=TT[[#This Row],[ITEM]],"ok","mal")</f>
        <v>ok</v>
      </c>
      <c r="T25" s="246">
        <f t="shared" si="2"/>
        <v>4</v>
      </c>
      <c r="U25" s="80">
        <f>IF(VLOOKUP(R25,TbPiezas[],5,0)="NA",0,VLOOKUP(R25,TbPiezas[],5,0))</f>
        <v>2.9</v>
      </c>
      <c r="V25" s="81">
        <f>+TT[[#This Row],[TOTAL]]*TT[[#This Row],[P.U. (1)]]</f>
        <v>11.6</v>
      </c>
      <c r="W25" s="247">
        <f>+VLOOKUP(R25,TbPiezas[],6,0)</f>
        <v>143.16999999999999</v>
      </c>
      <c r="X25" s="441">
        <f>ROUND(TT[[#This Row],[TOTAL]]*TT[[#This Row],[P.U. (2)]],2)</f>
        <v>572.67999999999995</v>
      </c>
      <c r="Y25" s="247">
        <f>+VLOOKUP(R25,TbPiezas[],7,0)</f>
        <v>7.1585000000000001</v>
      </c>
      <c r="Z25" s="249">
        <f>ROUND(TT[[#This Row],[TOTAL]]*TT[[#This Row],[P.U. (3)]],2)</f>
        <v>28.63</v>
      </c>
    </row>
    <row r="26" spans="2:26" x14ac:dyDescent="0.3">
      <c r="B26" s="135"/>
      <c r="C26" s="135" t="s">
        <v>21</v>
      </c>
      <c r="D26" s="135" t="s">
        <v>22</v>
      </c>
      <c r="E26" s="2"/>
      <c r="F26" s="360">
        <v>0</v>
      </c>
      <c r="G26" s="360">
        <v>0</v>
      </c>
      <c r="H26" s="360">
        <v>0</v>
      </c>
      <c r="I26" s="360">
        <v>0</v>
      </c>
      <c r="J26" s="360">
        <v>0</v>
      </c>
      <c r="K26" s="360">
        <v>0</v>
      </c>
      <c r="L26" s="360">
        <v>0</v>
      </c>
      <c r="M26" s="360">
        <v>0</v>
      </c>
      <c r="N26" s="360">
        <v>0</v>
      </c>
      <c r="O26" s="360">
        <v>0</v>
      </c>
      <c r="P26" s="360">
        <v>0</v>
      </c>
      <c r="Q26" s="2"/>
      <c r="R26" s="135" t="str">
        <f t="shared" si="4"/>
        <v>AM.1100</v>
      </c>
      <c r="S26" s="245" t="str">
        <f>+IF(C26=TT[[#This Row],[ITEM]],"ok","mal")</f>
        <v>ok</v>
      </c>
      <c r="T26" s="246">
        <f t="shared" si="2"/>
        <v>0</v>
      </c>
      <c r="U26" s="80">
        <f>IF(VLOOKUP(R26,TbPiezas[],5,0)="NA",0,VLOOKUP(R26,TbPiezas[],5,0))</f>
        <v>1.5</v>
      </c>
      <c r="V26" s="81">
        <f>+TT[[#This Row],[TOTAL]]*TT[[#This Row],[P.U. (1)]]</f>
        <v>0</v>
      </c>
      <c r="W26" s="247">
        <f>+VLOOKUP(R26,TbPiezas[],6,0)</f>
        <v>75.16</v>
      </c>
      <c r="X26" s="248">
        <f>ROUND(TT[[#This Row],[TOTAL]]*TT[[#This Row],[P.U. (2)]],2)</f>
        <v>0</v>
      </c>
      <c r="Y26" s="247">
        <f>+VLOOKUP(R26,TbPiezas[],7,0)</f>
        <v>3.758</v>
      </c>
      <c r="Z26" s="249">
        <f>ROUND(TT[[#This Row],[TOTAL]]*TT[[#This Row],[P.U. (3)]],2)</f>
        <v>0</v>
      </c>
    </row>
    <row r="27" spans="2:26" x14ac:dyDescent="0.3">
      <c r="B27" s="135"/>
      <c r="C27" s="135" t="s">
        <v>23</v>
      </c>
      <c r="D27" s="135" t="s">
        <v>24</v>
      </c>
      <c r="E27" s="2"/>
      <c r="F27" s="139">
        <f>F23+F24+F25+F26+F40+F41+F42+F95</f>
        <v>8</v>
      </c>
      <c r="G27" s="139">
        <f t="shared" ref="G27:L27" si="8">G23+G24+G25+G26+G40+G41+G42+G95</f>
        <v>0</v>
      </c>
      <c r="H27" s="139">
        <f t="shared" si="8"/>
        <v>0</v>
      </c>
      <c r="I27" s="139">
        <f t="shared" si="8"/>
        <v>0</v>
      </c>
      <c r="J27" s="139">
        <f t="shared" si="8"/>
        <v>0</v>
      </c>
      <c r="K27" s="139">
        <f t="shared" si="8"/>
        <v>0</v>
      </c>
      <c r="L27" s="139">
        <f t="shared" si="8"/>
        <v>0</v>
      </c>
      <c r="M27" s="139">
        <f>M23+M24+M25+M26+M40+M41+M42+M95</f>
        <v>0</v>
      </c>
      <c r="N27" s="139">
        <f>N23+N24+N25+N26+N40+N41+N42+N95</f>
        <v>0</v>
      </c>
      <c r="O27" s="139">
        <f>O23+O24+O25+O26+O40+O41+O42+O95</f>
        <v>0</v>
      </c>
      <c r="P27" s="139">
        <f>P23+P24+P25+P26+P40+P41+P42+P95</f>
        <v>0</v>
      </c>
      <c r="Q27" s="2"/>
      <c r="R27" s="135" t="str">
        <f t="shared" si="4"/>
        <v>AM.1150</v>
      </c>
      <c r="S27" s="245" t="str">
        <f>+IF(C27=TT[[#This Row],[ITEM]],"ok","mal")</f>
        <v>ok</v>
      </c>
      <c r="T27" s="246">
        <f t="shared" si="2"/>
        <v>8</v>
      </c>
      <c r="U27" s="80">
        <f>IF(VLOOKUP(R27,TbPiezas[],5,0)="NA",0,VLOOKUP(R27,TbPiezas[],5,0))</f>
        <v>0.8</v>
      </c>
      <c r="V27" s="81">
        <f>+TT[[#This Row],[TOTAL]]*TT[[#This Row],[P.U. (1)]]</f>
        <v>6.4</v>
      </c>
      <c r="W27" s="247">
        <f>+VLOOKUP(R27,TbPiezas[],6,0)</f>
        <v>76.23</v>
      </c>
      <c r="X27" s="441">
        <f>ROUND(TT[[#This Row],[TOTAL]]*TT[[#This Row],[P.U. (2)]],2)</f>
        <v>609.84</v>
      </c>
      <c r="Y27" s="247">
        <f>+VLOOKUP(R27,TbPiezas[],7,0)</f>
        <v>3.8115000000000006</v>
      </c>
      <c r="Z27" s="249">
        <f>ROUND(TT[[#This Row],[TOTAL]]*TT[[#This Row],[P.U. (3)]],2)</f>
        <v>30.49</v>
      </c>
    </row>
    <row r="28" spans="2:26" x14ac:dyDescent="0.3">
      <c r="B28" s="135">
        <v>3072</v>
      </c>
      <c r="C28" s="135" t="s">
        <v>27</v>
      </c>
      <c r="D28" s="135" t="s">
        <v>28</v>
      </c>
      <c r="E28" s="2"/>
      <c r="F28" s="136">
        <f t="shared" ref="F28:P28" si="9">+IF($B28=F$4,IF(OR(F$11="TODO",AND(F$11="ARRIBA",F$10="SI")),IF(ISEVEN(F$6),3*F$6+2,3*F$6+5),IF(AND(F$11="ARRIBA",F$10="NO"),IF(ISEVEN(F$6),F$6+6,F$6+7),0)),0)+IF($B28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</f>
        <v>0</v>
      </c>
      <c r="G28" s="136">
        <f t="shared" si="9"/>
        <v>0</v>
      </c>
      <c r="H28" s="136">
        <f t="shared" si="9"/>
        <v>0</v>
      </c>
      <c r="I28" s="136">
        <f t="shared" si="9"/>
        <v>0</v>
      </c>
      <c r="J28" s="136">
        <f t="shared" si="9"/>
        <v>0</v>
      </c>
      <c r="K28" s="136">
        <f t="shared" si="9"/>
        <v>0</v>
      </c>
      <c r="L28" s="136">
        <f t="shared" si="9"/>
        <v>0</v>
      </c>
      <c r="M28" s="136">
        <f t="shared" si="9"/>
        <v>0</v>
      </c>
      <c r="N28" s="136">
        <f t="shared" si="9"/>
        <v>0</v>
      </c>
      <c r="O28" s="136">
        <f t="shared" si="9"/>
        <v>0</v>
      </c>
      <c r="P28" s="136">
        <f t="shared" si="9"/>
        <v>0</v>
      </c>
      <c r="Q28" s="138"/>
      <c r="R28" s="135" t="str">
        <f t="shared" si="4"/>
        <v>AM.1300</v>
      </c>
      <c r="S28" s="245" t="str">
        <f>+IF(C28=TT[[#This Row],[ITEM]],"ok","mal")</f>
        <v>ok</v>
      </c>
      <c r="T28" s="246">
        <f t="shared" si="2"/>
        <v>0</v>
      </c>
      <c r="U28" s="80">
        <f>IF(VLOOKUP(R28,TbPiezas[],5,0)="NA",0,VLOOKUP(R28,TbPiezas[],5,0))</f>
        <v>11.200000000000003</v>
      </c>
      <c r="V28" s="81">
        <f>+TT[[#This Row],[TOTAL]]*TT[[#This Row],[P.U. (1)]]</f>
        <v>0</v>
      </c>
      <c r="W28" s="247">
        <f>+VLOOKUP(R28,TbPiezas[],6,0)</f>
        <v>238.1</v>
      </c>
      <c r="X28" s="248">
        <f>ROUND(TT[[#This Row],[TOTAL]]*TT[[#This Row],[P.U. (2)]],2)</f>
        <v>0</v>
      </c>
      <c r="Y28" s="247">
        <f>+VLOOKUP(R28,TbPiezas[],7,0)</f>
        <v>11.905000000000001</v>
      </c>
      <c r="Z28" s="249">
        <f>ROUND(TT[[#This Row],[TOTAL]]*TT[[#This Row],[P.U. (3)]],2)</f>
        <v>0</v>
      </c>
    </row>
    <row r="29" spans="2:26" x14ac:dyDescent="0.3">
      <c r="B29" s="135">
        <v>2572</v>
      </c>
      <c r="C29" s="135" t="s">
        <v>29</v>
      </c>
      <c r="D29" s="135" t="s">
        <v>30</v>
      </c>
      <c r="E29" s="2"/>
      <c r="F29" s="136">
        <f t="shared" ref="F29:P29" si="10">+IF($B29=F$4,IF(OR(F$11="TODO",AND(F$11="ARRIBA",F$10="SI")),IF(ISEVEN(F$6),3*F$6+2,3*F$6+5),IF(AND(F$11="ARRIBA",F$10="NO"),IF(ISEVEN(F$6),F$6+6,F$6+7),0)),0)+IF($B29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</f>
        <v>16</v>
      </c>
      <c r="G29" s="136">
        <f t="shared" si="10"/>
        <v>0</v>
      </c>
      <c r="H29" s="136">
        <f t="shared" si="10"/>
        <v>0</v>
      </c>
      <c r="I29" s="136">
        <f t="shared" si="10"/>
        <v>0</v>
      </c>
      <c r="J29" s="136">
        <f t="shared" si="10"/>
        <v>0</v>
      </c>
      <c r="K29" s="136">
        <f t="shared" si="10"/>
        <v>0</v>
      </c>
      <c r="L29" s="136">
        <f t="shared" si="10"/>
        <v>0</v>
      </c>
      <c r="M29" s="136">
        <f t="shared" si="10"/>
        <v>0</v>
      </c>
      <c r="N29" s="136">
        <f t="shared" si="10"/>
        <v>0</v>
      </c>
      <c r="O29" s="136">
        <f t="shared" si="10"/>
        <v>0</v>
      </c>
      <c r="P29" s="136">
        <f t="shared" si="10"/>
        <v>0</v>
      </c>
      <c r="Q29" s="2"/>
      <c r="R29" s="135" t="str">
        <f t="shared" si="4"/>
        <v>AM.1400</v>
      </c>
      <c r="S29" s="245" t="str">
        <f>+IF(C29=TT[[#This Row],[ITEM]],"ok","mal")</f>
        <v>ok</v>
      </c>
      <c r="T29" s="246">
        <f t="shared" si="2"/>
        <v>16</v>
      </c>
      <c r="U29" s="80">
        <f>IF(VLOOKUP(R29,TbPiezas[],5,0)="NA",0,VLOOKUP(R29,TbPiezas[],5,0))</f>
        <v>10</v>
      </c>
      <c r="V29" s="81">
        <f>+TT[[#This Row],[TOTAL]]*TT[[#This Row],[P.U. (1)]]</f>
        <v>160</v>
      </c>
      <c r="W29" s="247">
        <f>+VLOOKUP(R29,TbPiezas[],6,0)</f>
        <v>226.89</v>
      </c>
      <c r="X29" s="441">
        <f>ROUND(TT[[#This Row],[TOTAL]]*TT[[#This Row],[P.U. (2)]],2)</f>
        <v>3630.24</v>
      </c>
      <c r="Y29" s="247">
        <f>+VLOOKUP(R29,TbPiezas[],7,0)</f>
        <v>11.3445</v>
      </c>
      <c r="Z29" s="249">
        <f>ROUND(TT[[#This Row],[TOTAL]]*TT[[#This Row],[P.U. (3)]],2)</f>
        <v>181.51</v>
      </c>
    </row>
    <row r="30" spans="2:26" x14ac:dyDescent="0.3">
      <c r="B30" s="135">
        <v>2072</v>
      </c>
      <c r="C30" s="135" t="s">
        <v>31</v>
      </c>
      <c r="D30" s="135" t="s">
        <v>32</v>
      </c>
      <c r="E30" s="2"/>
      <c r="F30" s="136">
        <f t="shared" ref="F30:P30" si="11">+IF($B30=F$4,IF(OR(F$11="TODO",AND(F$11="ARRIBA",F$10="SI")),IF(ISEVEN(F$6),3*F$6+2,3*F$6+5),IF(AND(F$11="ARRIBA",F$10="NO"),IF(ISEVEN(F$6),F$6+6,F$6+7),0)),0)+IF($B30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</f>
        <v>0</v>
      </c>
      <c r="G30" s="136">
        <f t="shared" si="11"/>
        <v>0</v>
      </c>
      <c r="H30" s="136">
        <f t="shared" si="11"/>
        <v>0</v>
      </c>
      <c r="I30" s="136">
        <f t="shared" si="11"/>
        <v>0</v>
      </c>
      <c r="J30" s="136">
        <f t="shared" si="11"/>
        <v>0</v>
      </c>
      <c r="K30" s="136">
        <f t="shared" si="11"/>
        <v>0</v>
      </c>
      <c r="L30" s="136">
        <f t="shared" si="11"/>
        <v>0</v>
      </c>
      <c r="M30" s="136">
        <f t="shared" si="11"/>
        <v>0</v>
      </c>
      <c r="N30" s="136">
        <f t="shared" si="11"/>
        <v>0</v>
      </c>
      <c r="O30" s="136">
        <f t="shared" si="11"/>
        <v>0</v>
      </c>
      <c r="P30" s="136">
        <f t="shared" si="11"/>
        <v>0</v>
      </c>
      <c r="Q30" s="2"/>
      <c r="R30" s="135" t="str">
        <f t="shared" si="4"/>
        <v>AM.1500</v>
      </c>
      <c r="S30" s="245" t="str">
        <f>+IF(C30=TT[[#This Row],[ITEM]],"ok","mal")</f>
        <v>ok</v>
      </c>
      <c r="T30" s="246">
        <f t="shared" si="2"/>
        <v>0</v>
      </c>
      <c r="U30" s="80">
        <f>IF(VLOOKUP(R30,TbPiezas[],5,0)="NA",0,VLOOKUP(R30,TbPiezas[],5,0))</f>
        <v>6.2000000000000028</v>
      </c>
      <c r="V30" s="81">
        <f>+TT[[#This Row],[TOTAL]]*TT[[#This Row],[P.U. (1)]]</f>
        <v>0</v>
      </c>
      <c r="W30" s="247">
        <f>+VLOOKUP(R30,TbPiezas[],6,0)</f>
        <v>225.13</v>
      </c>
      <c r="X30" s="441">
        <f>ROUND(TT[[#This Row],[TOTAL]]*TT[[#This Row],[P.U. (2)]],2)</f>
        <v>0</v>
      </c>
      <c r="Y30" s="247">
        <f>+VLOOKUP(R30,TbPiezas[],7,0)</f>
        <v>11.256500000000001</v>
      </c>
      <c r="Z30" s="249">
        <f>ROUND(TT[[#This Row],[TOTAL]]*TT[[#This Row],[P.U. (3)]],2)</f>
        <v>0</v>
      </c>
    </row>
    <row r="31" spans="2:26" x14ac:dyDescent="0.3">
      <c r="B31" s="135">
        <v>1572</v>
      </c>
      <c r="C31" s="135" t="s">
        <v>33</v>
      </c>
      <c r="D31" s="135" t="s">
        <v>34</v>
      </c>
      <c r="E31" s="2"/>
      <c r="F31" s="136">
        <f t="shared" ref="F31:P31" si="12">+IF($B31=F$4,IF(OR(F$11="TODO",AND(F$11="ARRIBA",F$10="SI")),IF(ISEVEN(F$6),3*F$6+2,3*F$6+5),IF(AND(F$11="ARRIBA",F$10="NO"),IF(ISEVEN(F$6),F$6+6,F$6+7),0)),0)+IF($B31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</f>
        <v>0</v>
      </c>
      <c r="G31" s="136">
        <f t="shared" si="12"/>
        <v>0</v>
      </c>
      <c r="H31" s="136">
        <f t="shared" si="12"/>
        <v>0</v>
      </c>
      <c r="I31" s="136">
        <f t="shared" si="12"/>
        <v>0</v>
      </c>
      <c r="J31" s="136">
        <f t="shared" si="12"/>
        <v>0</v>
      </c>
      <c r="K31" s="136">
        <f t="shared" si="12"/>
        <v>0</v>
      </c>
      <c r="L31" s="136">
        <f t="shared" si="12"/>
        <v>0</v>
      </c>
      <c r="M31" s="136">
        <f t="shared" si="12"/>
        <v>0</v>
      </c>
      <c r="N31" s="136">
        <f t="shared" si="12"/>
        <v>0</v>
      </c>
      <c r="O31" s="136">
        <f t="shared" si="12"/>
        <v>0</v>
      </c>
      <c r="P31" s="136">
        <f t="shared" si="12"/>
        <v>0</v>
      </c>
      <c r="Q31" s="2"/>
      <c r="R31" s="135" t="str">
        <f t="shared" si="4"/>
        <v>AM.1600</v>
      </c>
      <c r="S31" s="245" t="str">
        <f>+IF(C31=TT[[#This Row],[ITEM]],"ok","mal")</f>
        <v>ok</v>
      </c>
      <c r="T31" s="246">
        <f t="shared" si="2"/>
        <v>0</v>
      </c>
      <c r="U31" s="80">
        <f>IF(VLOOKUP(R31,TbPiezas[],5,0)="NA",0,VLOOKUP(R31,TbPiezas[],5,0))</f>
        <v>4.0999999999999943</v>
      </c>
      <c r="V31" s="81">
        <f>+TT[[#This Row],[TOTAL]]*TT[[#This Row],[P.U. (1)]]</f>
        <v>0</v>
      </c>
      <c r="W31" s="247">
        <f>+VLOOKUP(R31,TbPiezas[],6,0)</f>
        <v>204.03</v>
      </c>
      <c r="X31" s="248">
        <f>ROUND(TT[[#This Row],[TOTAL]]*TT[[#This Row],[P.U. (2)]],2)</f>
        <v>0</v>
      </c>
      <c r="Y31" s="247">
        <f>+VLOOKUP(R31,TbPiezas[],7,0)</f>
        <v>10.201500000000001</v>
      </c>
      <c r="Z31" s="249">
        <f>ROUND(TT[[#This Row],[TOTAL]]*TT[[#This Row],[P.U. (3)]],2)</f>
        <v>0</v>
      </c>
    </row>
    <row r="32" spans="2:26" x14ac:dyDescent="0.3">
      <c r="B32" s="135">
        <v>1090</v>
      </c>
      <c r="C32" s="135" t="s">
        <v>37</v>
      </c>
      <c r="D32" s="135" t="s">
        <v>38</v>
      </c>
      <c r="E32" s="2"/>
      <c r="F32" s="136">
        <f t="shared" ref="F32:P32" si="13">+IF($B32=F$4,IF(OR(F$11="TODO",AND(F$11="ARRIBA",F$10="SI")),IF(ISEVEN(F$6),3*F$6+2,3*F$6+5),IF(AND(F$11="ARRIBA",F$10="NO"),IF(ISEVEN(F$6),F$6+6,F$6+7),0)),0)+IF($B32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</f>
        <v>0</v>
      </c>
      <c r="G32" s="136">
        <f t="shared" si="13"/>
        <v>0</v>
      </c>
      <c r="H32" s="136">
        <f t="shared" si="13"/>
        <v>0</v>
      </c>
      <c r="I32" s="136">
        <f t="shared" si="13"/>
        <v>0</v>
      </c>
      <c r="J32" s="136">
        <f t="shared" si="13"/>
        <v>0</v>
      </c>
      <c r="K32" s="136">
        <f t="shared" si="13"/>
        <v>0</v>
      </c>
      <c r="L32" s="136">
        <f t="shared" si="13"/>
        <v>0</v>
      </c>
      <c r="M32" s="136">
        <f t="shared" si="13"/>
        <v>0</v>
      </c>
      <c r="N32" s="136">
        <f t="shared" si="13"/>
        <v>0</v>
      </c>
      <c r="O32" s="136">
        <f t="shared" si="13"/>
        <v>0</v>
      </c>
      <c r="P32" s="136">
        <f t="shared" si="13"/>
        <v>0</v>
      </c>
      <c r="Q32" s="2"/>
      <c r="R32" s="135" t="str">
        <f t="shared" si="4"/>
        <v>AM.1800</v>
      </c>
      <c r="S32" s="245" t="str">
        <f>+IF(C32=TT[[#This Row],[ITEM]],"ok","mal")</f>
        <v>ok</v>
      </c>
      <c r="T32" s="246">
        <f t="shared" si="2"/>
        <v>0</v>
      </c>
      <c r="U32" s="80">
        <f>IF(VLOOKUP(R32,TbPiezas[],5,0)="NA",0,VLOOKUP(R32,TbPiezas[],5,0))</f>
        <v>2.3999999999999915</v>
      </c>
      <c r="V32" s="81">
        <f>+TT[[#This Row],[TOTAL]]*TT[[#This Row],[P.U. (1)]]</f>
        <v>0</v>
      </c>
      <c r="W32" s="247">
        <f>+VLOOKUP(R32,TbPiezas[],6,0)</f>
        <v>158.74</v>
      </c>
      <c r="X32" s="248">
        <f>ROUND(TT[[#This Row],[TOTAL]]*TT[[#This Row],[P.U. (2)]],2)</f>
        <v>0</v>
      </c>
      <c r="Y32" s="247">
        <f>+VLOOKUP(R32,TbPiezas[],7,0)</f>
        <v>7.9370000000000012</v>
      </c>
      <c r="Z32" s="249">
        <f>ROUND(TT[[#This Row],[TOTAL]]*TT[[#This Row],[P.U. (3)]],2)</f>
        <v>0</v>
      </c>
    </row>
    <row r="33" spans="2:26" x14ac:dyDescent="0.3">
      <c r="B33" s="135">
        <v>1020</v>
      </c>
      <c r="C33" s="135" t="s">
        <v>39</v>
      </c>
      <c r="D33" s="135" t="s">
        <v>40</v>
      </c>
      <c r="E33" s="2"/>
      <c r="F33" s="360">
        <v>0</v>
      </c>
      <c r="G33" s="360">
        <v>0</v>
      </c>
      <c r="H33" s="360">
        <v>0</v>
      </c>
      <c r="I33" s="360">
        <v>0</v>
      </c>
      <c r="J33" s="360">
        <v>0</v>
      </c>
      <c r="K33" s="360">
        <v>0</v>
      </c>
      <c r="L33" s="360">
        <v>0</v>
      </c>
      <c r="M33" s="360">
        <v>0</v>
      </c>
      <c r="N33" s="360">
        <v>0</v>
      </c>
      <c r="O33" s="360">
        <v>0</v>
      </c>
      <c r="P33" s="360">
        <v>0</v>
      </c>
      <c r="Q33" s="2"/>
      <c r="R33" s="135" t="str">
        <f t="shared" si="4"/>
        <v>AM.1900</v>
      </c>
      <c r="S33" s="245" t="str">
        <f>+IF(C33=TT[[#This Row],[ITEM]],"ok","mal")</f>
        <v>ok</v>
      </c>
      <c r="T33" s="246">
        <f t="shared" si="2"/>
        <v>0</v>
      </c>
      <c r="U33" s="80">
        <f>IF(VLOOKUP(R33,TbPiezas[],5,0)="NA",0,VLOOKUP(R33,TbPiezas[],5,0))</f>
        <v>4.5999999999999943</v>
      </c>
      <c r="V33" s="81">
        <f>+TT[[#This Row],[TOTAL]]*TT[[#This Row],[P.U. (1)]]</f>
        <v>0</v>
      </c>
      <c r="W33" s="247">
        <f>+VLOOKUP(R33,TbPiezas[],6,0)</f>
        <v>158.74</v>
      </c>
      <c r="X33" s="248">
        <f>ROUND(TT[[#This Row],[TOTAL]]*TT[[#This Row],[P.U. (2)]],2)</f>
        <v>0</v>
      </c>
      <c r="Y33" s="247">
        <f>+VLOOKUP(R33,TbPiezas[],7,0)</f>
        <v>7.9370000000000012</v>
      </c>
      <c r="Z33" s="249">
        <f>ROUND(TT[[#This Row],[TOTAL]]*TT[[#This Row],[P.U. (3)]],2)</f>
        <v>0</v>
      </c>
    </row>
    <row r="34" spans="2:26" x14ac:dyDescent="0.3">
      <c r="B34" s="135">
        <v>732</v>
      </c>
      <c r="C34" s="135" t="s">
        <v>41</v>
      </c>
      <c r="D34" s="135" t="s">
        <v>42</v>
      </c>
      <c r="E34" s="2"/>
      <c r="F34" s="136">
        <f>+IF($B34=F$4,IF(OR(F$11="TODO",AND(F$11="ARRIBA",F$10="SI")),IF(ISEVEN(F$6),3*F$6+2,3*F$6+5),IF(AND(F$11="ARRIBA",F$10="NO"),IF(ISEVEN(F$6),F$6+6,F$6+7),0)),0)+IF($B34=F$5,IF(F$11="TODO",IF(AND(F$4&gt;0,E$4=0),IF(ISEVEN(F$6),3*F$6+2,3*F$6+7),IF(AND(F$4&gt;0,E$4&gt;0),IF(ISEVEN(F$6),0.5*F$6+1,0.5*F$6+1.5),0)),IF(F$11="ARRIBA",IF(AND(F$4&gt;0,E$4=0),IF(ISEVEN(F$6),F$6+6,F$6+9),IF(AND(F$4&gt;0,E$4&gt;0),IF(ISEVEN(F$6),0.5*F$6+1,0.5*F$6+1.5),0)),0)),0)+IF(AND(F$10="SI",F$11="ARRIBA"),IF(AND(F$4&gt;0,E$4=0),IF(ISEVEN(F$6),2*F$6-4,2*F$6-2),IF(AND(F$4&gt;0,E$4&gt;0),IF(ISEVEN(F$6),F$6-2,F$6-1),0)),)</f>
        <v>0</v>
      </c>
      <c r="G34" s="136">
        <f t="shared" ref="G34:L34" si="14">+IF($B34=G$4,IF(OR(G$11="TODO",AND(G$11="ARRIBA",G$10="SI")),IF(ISEVEN(G$6),3*G$6+2,3*G$6+5),IF(AND(G$11="ARRIBA",G$10="NO"),IF(ISEVEN(G$6),G$6+6,G$6+7),0)),0)+IF($B34=G$5,IF(G$11="TODO",IF(AND(G$4&gt;0,F$4=0),IF(ISEVEN(G$6),3*G$6+2,3*G$6+7),IF(AND(G$4&gt;0,F$4&gt;0),IF(ISEVEN(G$6),0.5*G$6+1,0.5*G$6+1.5),0)),IF(G$11="ARRIBA",IF(AND(G$4&gt;0,F$4=0),IF(ISEVEN(G$6),G$6+6,G$6+9),IF(AND(G$4&gt;0,F$4&gt;0),IF(ISEVEN(G$6),0.5*G$6+1,0.5*G$6+1.5),0)),0)),0)+IF(AND(G$10="SI",G$11="ARRIBA"),IF(AND(G$4&gt;0,F$4=0),IF(ISEVEN(G$6),2*G$6-4,2*G$6-2),IF(AND(G$4&gt;0,F$4&gt;0),IF(ISEVEN(G$6),G$6-2,G$6-1),0)),)</f>
        <v>0</v>
      </c>
      <c r="H34" s="136">
        <f t="shared" si="14"/>
        <v>0</v>
      </c>
      <c r="I34" s="136">
        <f t="shared" si="14"/>
        <v>0</v>
      </c>
      <c r="J34" s="136">
        <f t="shared" si="14"/>
        <v>0</v>
      </c>
      <c r="K34" s="136">
        <f t="shared" si="14"/>
        <v>0</v>
      </c>
      <c r="L34" s="136">
        <f t="shared" si="14"/>
        <v>0</v>
      </c>
      <c r="M34" s="136">
        <f>+IF($B34=M$4,IF(OR(M$11="TODO",AND(M$11="ARRIBA",M$10="SI")),IF(ISEVEN(M$6),3*M$6+2,3*M$6+5),IF(AND(M$11="ARRIBA",M$10="NO"),IF(ISEVEN(M$6),M$6+6,M$6+7),0)),0)+IF($B34=M$5,IF(M$11="TODO",IF(AND(M$4&gt;0,L$4=0),IF(ISEVEN(M$6),3*M$6+2,3*M$6+7),IF(AND(M$4&gt;0,L$4&gt;0),IF(ISEVEN(M$6),0.5*M$6+1,0.5*M$6+1.5),0)),IF(M$11="ARRIBA",IF(AND(M$4&gt;0,L$4=0),IF(ISEVEN(M$6),M$6+6,M$6+9),IF(AND(M$4&gt;0,L$4&gt;0),IF(ISEVEN(M$6),0.5*M$6+1,0.5*M$6+1.5),0)),0)),0)+IF(AND(M$10="SI",M$11="ARRIBA"),IF(AND(M$4&gt;0,L$4=0),IF(ISEVEN(M$6),2*M$6-4,2*M$6-2),0),)</f>
        <v>0</v>
      </c>
      <c r="N34" s="136">
        <f>+IF($B34=N$4,IF(OR(N$11="TODO",AND(N$11="ARRIBA",N$10="SI")),IF(ISEVEN(N$6),3*N$6+2,3*N$6+5),IF(AND(N$11="ARRIBA",N$10="NO"),IF(ISEVEN(N$6),N$6+6,N$6+7),0)),0)+IF($B34=N$5,IF(N$11="TODO",IF(AND(N$4&gt;0,M$4=0),IF(ISEVEN(N$6),3*N$6+2,3*N$6+7),IF(AND(N$4&gt;0,M$4&gt;0),IF(ISEVEN(N$6),0.5*N$6+1,0.5*N$6+1.5),0)),IF(N$11="ARRIBA",IF(AND(N$4&gt;0,M$4=0),IF(ISEVEN(N$6),N$6+6,N$6+9),IF(AND(N$4&gt;0,M$4&gt;0),IF(ISEVEN(N$6),0.5*N$6+1,0.5*N$6+1.5),0)),0)),0)+IF(AND(N$10="SI",N$11="ARRIBA"),IF(AND(N$4&gt;0,M$4=0),IF(ISEVEN(N$6),2*N$6-4,2*N$6-2),0),)</f>
        <v>0</v>
      </c>
      <c r="O34" s="136">
        <f>+IF($B34=O$4,IF(OR(O$11="TODO",AND(O$11="ARRIBA",O$10="SI")),IF(ISEVEN(O$6),3*O$6+2,3*O$6+5),IF(AND(O$11="ARRIBA",O$10="NO"),IF(ISEVEN(O$6),O$6+6,O$6+7),0)),0)+IF($B34=O$5,IF(O$11="TODO",IF(AND(O$4&gt;0,N$4=0),IF(ISEVEN(O$6),3*O$6+2,3*O$6+7),IF(AND(O$4&gt;0,N$4&gt;0),IF(ISEVEN(O$6),0.5*O$6+1,0.5*O$6+1.5),0)),IF(O$11="ARRIBA",IF(AND(O$4&gt;0,N$4=0),IF(ISEVEN(O$6),O$6+6,O$6+9),IF(AND(O$4&gt;0,N$4&gt;0),IF(ISEVEN(O$6),0.5*O$6+1,0.5*O$6+1.5),0)),0)),0)+IF(AND(O$10="SI",O$11="ARRIBA"),IF(AND(O$4&gt;0,N$4=0),IF(ISEVEN(O$6),2*O$6-4,2*O$6-2),0),)</f>
        <v>0</v>
      </c>
      <c r="P34" s="136">
        <f>+IF($B34=P$4,IF(OR(P$11="TODO",AND(P$11="ARRIBA",P$10="SI")),IF(ISEVEN(P$6),3*P$6+2,3*P$6+5),IF(AND(P$11="ARRIBA",P$10="NO"),IF(ISEVEN(P$6),P$6+6,P$6+7),0)),0)+IF($B34=P$5,IF(P$11="TODO",IF(AND(P$4&gt;0,O$4=0),IF(ISEVEN(P$6),3*P$6+2,3*P$6+7),IF(AND(P$4&gt;0,O$4&gt;0),IF(ISEVEN(P$6),0.5*P$6+1,0.5*P$6+1.5),0)),IF(P$11="ARRIBA",IF(AND(P$4&gt;0,O$4=0),IF(ISEVEN(P$6),P$6+6,P$6+9),IF(AND(P$4&gt;0,O$4&gt;0),IF(ISEVEN(P$6),0.5*P$6+1,0.5*P$6+1.5),0)),0)),0)+IF(AND(P$10="SI",P$11="ARRIBA"),IF(AND(P$4&gt;0,O$4=0),IF(ISEVEN(P$6),2*P$6-4,2*P$6-2),0),)</f>
        <v>0</v>
      </c>
      <c r="Q34" s="2"/>
      <c r="R34" s="135" t="str">
        <f t="shared" si="4"/>
        <v>AM.2000</v>
      </c>
      <c r="S34" s="245" t="str">
        <f>+IF(C34=TT[[#This Row],[ITEM]],"ok","mal")</f>
        <v>ok</v>
      </c>
      <c r="T34" s="246">
        <f t="shared" si="2"/>
        <v>0</v>
      </c>
      <c r="U34" s="80">
        <f>IF(VLOOKUP(R34,TbPiezas[],5,0)="NA",0,VLOOKUP(R34,TbPiezas[],5,0))</f>
        <v>3.7999999999999972</v>
      </c>
      <c r="V34" s="81">
        <f>+TT[[#This Row],[TOTAL]]*TT[[#This Row],[P.U. (1)]]</f>
        <v>0</v>
      </c>
      <c r="W34" s="247">
        <f>+VLOOKUP(R34,TbPiezas[],6,0)</f>
        <v>132.06</v>
      </c>
      <c r="X34" s="441">
        <f>ROUND(TT[[#This Row],[TOTAL]]*TT[[#This Row],[P.U. (2)]],2)</f>
        <v>0</v>
      </c>
      <c r="Y34" s="247">
        <f>+VLOOKUP(R34,TbPiezas[],7,0)</f>
        <v>6.6030000000000006</v>
      </c>
      <c r="Z34" s="249">
        <f>ROUND(TT[[#This Row],[TOTAL]]*TT[[#This Row],[P.U. (3)]],2)</f>
        <v>0</v>
      </c>
    </row>
    <row r="35" spans="2:26" x14ac:dyDescent="0.3">
      <c r="B35" s="135"/>
      <c r="C35" s="135" t="s">
        <v>43</v>
      </c>
      <c r="D35" s="135" t="s">
        <v>44</v>
      </c>
      <c r="E35" s="2"/>
      <c r="F35" s="360">
        <v>0</v>
      </c>
      <c r="G35" s="360">
        <v>0</v>
      </c>
      <c r="H35" s="360">
        <v>0</v>
      </c>
      <c r="I35" s="360">
        <v>0</v>
      </c>
      <c r="J35" s="360">
        <v>0</v>
      </c>
      <c r="K35" s="360">
        <v>0</v>
      </c>
      <c r="L35" s="360">
        <v>0</v>
      </c>
      <c r="M35" s="360">
        <v>0</v>
      </c>
      <c r="N35" s="360">
        <v>0</v>
      </c>
      <c r="O35" s="360">
        <v>0</v>
      </c>
      <c r="P35" s="360">
        <v>0</v>
      </c>
      <c r="Q35" s="2"/>
      <c r="R35" s="135" t="str">
        <f t="shared" si="4"/>
        <v>AM.2020</v>
      </c>
      <c r="S35" s="245" t="str">
        <f>+IF(C35=TT[[#This Row],[ITEM]],"ok","mal")</f>
        <v>ok</v>
      </c>
      <c r="T35" s="246">
        <f t="shared" si="2"/>
        <v>0</v>
      </c>
      <c r="U35" s="80">
        <f>IF(VLOOKUP(R35,TbPiezas[],5,0)="NA",0,VLOOKUP(R35,TbPiezas[],5,0))</f>
        <v>1.9</v>
      </c>
      <c r="V35" s="81">
        <f>+TT[[#This Row],[TOTAL]]*TT[[#This Row],[P.U. (1)]]</f>
        <v>0</v>
      </c>
      <c r="W35" s="247">
        <f>+VLOOKUP(R35,TbPiezas[],6,0)</f>
        <v>59.5</v>
      </c>
      <c r="X35" s="248">
        <f>ROUND(TT[[#This Row],[TOTAL]]*TT[[#This Row],[P.U. (2)]],2)</f>
        <v>0</v>
      </c>
      <c r="Y35" s="247">
        <f>+VLOOKUP(R35,TbPiezas[],7,0)</f>
        <v>2.9750000000000001</v>
      </c>
      <c r="Z35" s="249">
        <f>ROUND(TT[[#This Row],[TOTAL]]*TT[[#This Row],[P.U. (3)]],2)</f>
        <v>0</v>
      </c>
    </row>
    <row r="36" spans="2:26" x14ac:dyDescent="0.3">
      <c r="B36" s="135"/>
      <c r="C36" s="135" t="s">
        <v>45</v>
      </c>
      <c r="D36" s="135" t="s">
        <v>46</v>
      </c>
      <c r="E36" s="2"/>
      <c r="F36" s="360">
        <v>0</v>
      </c>
      <c r="G36" s="360">
        <v>0</v>
      </c>
      <c r="H36" s="360">
        <v>0</v>
      </c>
      <c r="I36" s="360">
        <v>0</v>
      </c>
      <c r="J36" s="360">
        <v>0</v>
      </c>
      <c r="K36" s="360">
        <v>0</v>
      </c>
      <c r="L36" s="360">
        <v>0</v>
      </c>
      <c r="M36" s="360">
        <v>0</v>
      </c>
      <c r="N36" s="360">
        <v>0</v>
      </c>
      <c r="O36" s="360">
        <v>0</v>
      </c>
      <c r="P36" s="360">
        <v>0</v>
      </c>
      <c r="Q36" s="2"/>
      <c r="R36" s="135" t="str">
        <f t="shared" si="4"/>
        <v>AM.2050</v>
      </c>
      <c r="S36" s="245" t="str">
        <f>+IF(C36=TT[[#This Row],[ITEM]],"ok","mal")</f>
        <v>ok</v>
      </c>
      <c r="T36" s="246">
        <f t="shared" si="2"/>
        <v>0</v>
      </c>
      <c r="U36" s="80">
        <f>IF(VLOOKUP(R36,TbPiezas[],5,0)="NA",0,VLOOKUP(R36,TbPiezas[],5,0))</f>
        <v>1.9</v>
      </c>
      <c r="V36" s="81">
        <f>+TT[[#This Row],[TOTAL]]*TT[[#This Row],[P.U. (1)]]</f>
        <v>0</v>
      </c>
      <c r="W36" s="247">
        <f>+VLOOKUP(R36,TbPiezas[],6,0)</f>
        <v>59.5</v>
      </c>
      <c r="X36" s="248">
        <f>ROUND(TT[[#This Row],[TOTAL]]*TT[[#This Row],[P.U. (2)]],2)</f>
        <v>0</v>
      </c>
      <c r="Y36" s="247">
        <f>+VLOOKUP(R36,TbPiezas[],7,0)</f>
        <v>2.9750000000000001</v>
      </c>
      <c r="Z36" s="249">
        <f>ROUND(TT[[#This Row],[TOTAL]]*TT[[#This Row],[P.U. (3)]],2)</f>
        <v>0</v>
      </c>
    </row>
    <row r="37" spans="2:26" x14ac:dyDescent="0.3">
      <c r="B37" s="135">
        <v>3072</v>
      </c>
      <c r="C37" s="135" t="s">
        <v>63</v>
      </c>
      <c r="D37" s="135" t="s">
        <v>64</v>
      </c>
      <c r="E37" s="2"/>
      <c r="F37" s="360">
        <v>0</v>
      </c>
      <c r="G37" s="360">
        <v>0</v>
      </c>
      <c r="H37" s="360">
        <v>0</v>
      </c>
      <c r="I37" s="360">
        <v>0</v>
      </c>
      <c r="J37" s="360">
        <v>0</v>
      </c>
      <c r="K37" s="360">
        <v>0</v>
      </c>
      <c r="L37" s="360">
        <v>0</v>
      </c>
      <c r="M37" s="360">
        <v>0</v>
      </c>
      <c r="N37" s="360">
        <v>0</v>
      </c>
      <c r="O37" s="360">
        <v>0</v>
      </c>
      <c r="P37" s="360">
        <v>0</v>
      </c>
      <c r="Q37" s="2"/>
      <c r="R37" s="135" t="str">
        <f t="shared" si="4"/>
        <v>AM.2800</v>
      </c>
      <c r="S37" s="245" t="str">
        <f>+IF(C37=TT[[#This Row],[ITEM]],"ok","mal")</f>
        <v>ok</v>
      </c>
      <c r="T37" s="246">
        <f t="shared" si="2"/>
        <v>0</v>
      </c>
      <c r="U37" s="80">
        <f>IF(VLOOKUP(R37,TbPiezas[],5,0)="NA",0,VLOOKUP(R37,TbPiezas[],5,0))</f>
        <v>11.799999999999997</v>
      </c>
      <c r="V37" s="81">
        <f>+TT[[#This Row],[TOTAL]]*TT[[#This Row],[P.U. (1)]]</f>
        <v>0</v>
      </c>
      <c r="W37" s="247">
        <f>+VLOOKUP(R37,TbPiezas[],6,0)</f>
        <v>276.36</v>
      </c>
      <c r="X37" s="248">
        <f>ROUND(TT[[#This Row],[TOTAL]]*TT[[#This Row],[P.U. (2)]],2)</f>
        <v>0</v>
      </c>
      <c r="Y37" s="247">
        <f>+VLOOKUP(R37,TbPiezas[],7,0)</f>
        <v>13.818000000000001</v>
      </c>
      <c r="Z37" s="249">
        <f>ROUND(TT[[#This Row],[TOTAL]]*TT[[#This Row],[P.U. (3)]],2)</f>
        <v>0</v>
      </c>
    </row>
    <row r="38" spans="2:26" x14ac:dyDescent="0.3">
      <c r="B38" s="135">
        <v>2072</v>
      </c>
      <c r="C38" s="135" t="s">
        <v>65</v>
      </c>
      <c r="D38" s="135" t="s">
        <v>66</v>
      </c>
      <c r="E38" s="2"/>
      <c r="F38" s="360">
        <v>0</v>
      </c>
      <c r="G38" s="360">
        <v>0</v>
      </c>
      <c r="H38" s="360">
        <v>0</v>
      </c>
      <c r="I38" s="360">
        <v>0</v>
      </c>
      <c r="J38" s="360">
        <v>0</v>
      </c>
      <c r="K38" s="360">
        <v>0</v>
      </c>
      <c r="L38" s="360">
        <v>0</v>
      </c>
      <c r="M38" s="360">
        <v>0</v>
      </c>
      <c r="N38" s="360">
        <v>0</v>
      </c>
      <c r="O38" s="360">
        <v>0</v>
      </c>
      <c r="P38" s="360">
        <v>0</v>
      </c>
      <c r="Q38" s="2"/>
      <c r="R38" s="135" t="str">
        <f t="shared" si="4"/>
        <v>AM.2900</v>
      </c>
      <c r="S38" s="245" t="str">
        <f>+IF(C38=TT[[#This Row],[ITEM]],"ok","mal")</f>
        <v>ok</v>
      </c>
      <c r="T38" s="246">
        <f t="shared" si="2"/>
        <v>0</v>
      </c>
      <c r="U38" s="80">
        <f>IF(VLOOKUP(R38,TbPiezas[],5,0)="NA",0,VLOOKUP(R38,TbPiezas[],5,0))</f>
        <v>7.7999999999999972</v>
      </c>
      <c r="V38" s="81">
        <f>+TT[[#This Row],[TOTAL]]*TT[[#This Row],[P.U. (1)]]</f>
        <v>0</v>
      </c>
      <c r="W38" s="247">
        <f>+VLOOKUP(R38,TbPiezas[],6,0)</f>
        <v>255.03</v>
      </c>
      <c r="X38" s="248">
        <f>ROUND(TT[[#This Row],[TOTAL]]*TT[[#This Row],[P.U. (2)]],2)</f>
        <v>0</v>
      </c>
      <c r="Y38" s="247">
        <f>+VLOOKUP(R38,TbPiezas[],7,0)</f>
        <v>12.7515</v>
      </c>
      <c r="Z38" s="249">
        <f>ROUND(TT[[#This Row],[TOTAL]]*TT[[#This Row],[P.U. (3)]],2)</f>
        <v>0</v>
      </c>
    </row>
    <row r="39" spans="2:26" x14ac:dyDescent="0.3">
      <c r="B39" s="135">
        <v>732</v>
      </c>
      <c r="C39" s="135" t="s">
        <v>67</v>
      </c>
      <c r="D39" s="135" t="s">
        <v>68</v>
      </c>
      <c r="E39" s="2"/>
      <c r="F39" s="360">
        <v>0</v>
      </c>
      <c r="G39" s="360">
        <v>0</v>
      </c>
      <c r="H39" s="360">
        <v>0</v>
      </c>
      <c r="I39" s="360">
        <v>0</v>
      </c>
      <c r="J39" s="360">
        <v>0</v>
      </c>
      <c r="K39" s="360">
        <v>0</v>
      </c>
      <c r="L39" s="360">
        <v>0</v>
      </c>
      <c r="M39" s="360">
        <v>0</v>
      </c>
      <c r="N39" s="360">
        <v>0</v>
      </c>
      <c r="O39" s="360">
        <v>0</v>
      </c>
      <c r="P39" s="360">
        <v>0</v>
      </c>
      <c r="Q39" s="2"/>
      <c r="R39" s="135" t="str">
        <f t="shared" si="4"/>
        <v>AM.3000</v>
      </c>
      <c r="S39" s="245" t="str">
        <f>+IF(C39=TT[[#This Row],[ITEM]],"ok","mal")</f>
        <v>ok</v>
      </c>
      <c r="T39" s="246">
        <f t="shared" si="2"/>
        <v>0</v>
      </c>
      <c r="U39" s="80">
        <f>IF(VLOOKUP(R39,TbPiezas[],5,0)="NA",0,VLOOKUP(R39,TbPiezas[],5,0))</f>
        <v>0.5</v>
      </c>
      <c r="V39" s="81">
        <f>+TT[[#This Row],[TOTAL]]*TT[[#This Row],[P.U. (1)]]</f>
        <v>0</v>
      </c>
      <c r="W39" s="247">
        <f>+VLOOKUP(R39,TbPiezas[],6,0)</f>
        <v>105.43</v>
      </c>
      <c r="X39" s="248">
        <f>ROUND(TT[[#This Row],[TOTAL]]*TT[[#This Row],[P.U. (2)]],2)</f>
        <v>0</v>
      </c>
      <c r="Y39" s="247">
        <f>+VLOOKUP(R39,TbPiezas[],7,0)</f>
        <v>5.2715000000000005</v>
      </c>
      <c r="Z39" s="249">
        <f>ROUND(TT[[#This Row],[TOTAL]]*TT[[#This Row],[P.U. (3)]],2)</f>
        <v>0</v>
      </c>
    </row>
    <row r="40" spans="2:26" x14ac:dyDescent="0.3">
      <c r="B40" s="135">
        <v>1090</v>
      </c>
      <c r="C40" s="135" t="s">
        <v>69</v>
      </c>
      <c r="D40" s="135" t="s">
        <v>70</v>
      </c>
      <c r="E40" s="2"/>
      <c r="F40" s="360">
        <v>0</v>
      </c>
      <c r="G40" s="360">
        <v>0</v>
      </c>
      <c r="H40" s="360">
        <v>0</v>
      </c>
      <c r="I40" s="360">
        <v>0</v>
      </c>
      <c r="J40" s="360">
        <v>0</v>
      </c>
      <c r="K40" s="360">
        <v>0</v>
      </c>
      <c r="L40" s="360">
        <v>0</v>
      </c>
      <c r="M40" s="360">
        <v>0</v>
      </c>
      <c r="N40" s="360">
        <v>0</v>
      </c>
      <c r="O40" s="360">
        <v>0</v>
      </c>
      <c r="P40" s="360">
        <v>0</v>
      </c>
      <c r="Q40" s="2"/>
      <c r="R40" s="135" t="str">
        <f t="shared" si="4"/>
        <v>AM.3100</v>
      </c>
      <c r="S40" s="245" t="str">
        <f>+IF(C40=TT[[#This Row],[ITEM]],"ok","mal")</f>
        <v>ok</v>
      </c>
      <c r="T40" s="246">
        <f t="shared" si="2"/>
        <v>0</v>
      </c>
      <c r="U40" s="80">
        <f>IF(VLOOKUP(R40,TbPiezas[],5,0)="NA",0,VLOOKUP(R40,TbPiezas[],5,0))</f>
        <v>10.91</v>
      </c>
      <c r="V40" s="81">
        <f>+TT[[#This Row],[TOTAL]]*TT[[#This Row],[P.U. (1)]]</f>
        <v>0</v>
      </c>
      <c r="W40" s="247">
        <f>+VLOOKUP(R40,TbPiezas[],6,0)</f>
        <v>808.35</v>
      </c>
      <c r="X40" s="248">
        <f>ROUND(TT[[#This Row],[TOTAL]]*TT[[#This Row],[P.U. (2)]],2)</f>
        <v>0</v>
      </c>
      <c r="Y40" s="247">
        <f>+VLOOKUP(R40,TbPiezas[],7,0)</f>
        <v>40.417500000000004</v>
      </c>
      <c r="Z40" s="249">
        <f>ROUND(TT[[#This Row],[TOTAL]]*TT[[#This Row],[P.U. (3)]],2)</f>
        <v>0</v>
      </c>
    </row>
    <row r="41" spans="2:26" x14ac:dyDescent="0.3">
      <c r="B41" s="135">
        <v>700</v>
      </c>
      <c r="C41" s="135" t="s">
        <v>71</v>
      </c>
      <c r="D41" s="135" t="s">
        <v>72</v>
      </c>
      <c r="E41" s="2"/>
      <c r="F41" s="360">
        <v>0</v>
      </c>
      <c r="G41" s="360">
        <v>0</v>
      </c>
      <c r="H41" s="360">
        <v>0</v>
      </c>
      <c r="I41" s="360">
        <v>0</v>
      </c>
      <c r="J41" s="360">
        <v>0</v>
      </c>
      <c r="K41" s="360">
        <v>0</v>
      </c>
      <c r="L41" s="360">
        <v>0</v>
      </c>
      <c r="M41" s="360">
        <v>0</v>
      </c>
      <c r="N41" s="360">
        <v>0</v>
      </c>
      <c r="O41" s="360">
        <v>0</v>
      </c>
      <c r="P41" s="360">
        <v>0</v>
      </c>
      <c r="Q41" s="2"/>
      <c r="R41" s="135" t="str">
        <f t="shared" si="4"/>
        <v>AM.3200</v>
      </c>
      <c r="S41" s="245" t="str">
        <f>+IF(C41=TT[[#This Row],[ITEM]],"ok","mal")</f>
        <v>ok</v>
      </c>
      <c r="T41" s="246">
        <f t="shared" si="2"/>
        <v>0</v>
      </c>
      <c r="U41" s="80">
        <f>IF(VLOOKUP(R41,TbPiezas[],5,0)="NA",0,VLOOKUP(R41,TbPiezas[],5,0))</f>
        <v>4.2999999999999972</v>
      </c>
      <c r="V41" s="81">
        <f>+TT[[#This Row],[TOTAL]]*TT[[#This Row],[P.U. (1)]]</f>
        <v>0</v>
      </c>
      <c r="W41" s="247">
        <f>+VLOOKUP(R41,TbPiezas[],6,0)</f>
        <v>519.13</v>
      </c>
      <c r="X41" s="248">
        <f>ROUND(TT[[#This Row],[TOTAL]]*TT[[#This Row],[P.U. (2)]],2)</f>
        <v>0</v>
      </c>
      <c r="Y41" s="247">
        <f>+VLOOKUP(R41,TbPiezas[],7,0)</f>
        <v>25.956500000000002</v>
      </c>
      <c r="Z41" s="249">
        <f>ROUND(TT[[#This Row],[TOTAL]]*TT[[#This Row],[P.U. (3)]],2)</f>
        <v>0</v>
      </c>
    </row>
    <row r="42" spans="2:26" x14ac:dyDescent="0.3">
      <c r="B42" s="135">
        <v>300</v>
      </c>
      <c r="C42" s="135" t="s">
        <v>73</v>
      </c>
      <c r="D42" s="135" t="s">
        <v>74</v>
      </c>
      <c r="E42" s="2"/>
      <c r="F42" s="360">
        <v>0</v>
      </c>
      <c r="G42" s="360">
        <v>0</v>
      </c>
      <c r="H42" s="360">
        <v>0</v>
      </c>
      <c r="I42" s="360">
        <v>0</v>
      </c>
      <c r="J42" s="360">
        <v>0</v>
      </c>
      <c r="K42" s="360">
        <v>0</v>
      </c>
      <c r="L42" s="360">
        <v>0</v>
      </c>
      <c r="M42" s="360">
        <v>0</v>
      </c>
      <c r="N42" s="360">
        <v>0</v>
      </c>
      <c r="O42" s="360">
        <v>0</v>
      </c>
      <c r="P42" s="360">
        <v>0</v>
      </c>
      <c r="Q42" s="2"/>
      <c r="R42" s="135" t="str">
        <f t="shared" si="4"/>
        <v>AM.3300</v>
      </c>
      <c r="S42" s="245" t="str">
        <f>+IF(C42=TT[[#This Row],[ITEM]],"ok","mal")</f>
        <v>ok</v>
      </c>
      <c r="T42" s="246">
        <f t="shared" si="2"/>
        <v>0</v>
      </c>
      <c r="U42" s="80">
        <f>IF(VLOOKUP(R42,TbPiezas[],5,0)="NA",0,VLOOKUP(R42,TbPiezas[],5,0))</f>
        <v>3.2999999999999972</v>
      </c>
      <c r="V42" s="81">
        <f>+TT[[#This Row],[TOTAL]]*TT[[#This Row],[P.U. (1)]]</f>
        <v>0</v>
      </c>
      <c r="W42" s="247">
        <f>+VLOOKUP(R42,TbPiezas[],6,0)</f>
        <v>259.56</v>
      </c>
      <c r="X42" s="248">
        <f>ROUND(TT[[#This Row],[TOTAL]]*TT[[#This Row],[P.U. (2)]],2)</f>
        <v>0</v>
      </c>
      <c r="Y42" s="247">
        <f>+VLOOKUP(R42,TbPiezas[],7,0)</f>
        <v>12.978000000000002</v>
      </c>
      <c r="Z42" s="249">
        <f>ROUND(TT[[#This Row],[TOTAL]]*TT[[#This Row],[P.U. (3)]],2)</f>
        <v>0</v>
      </c>
    </row>
    <row r="43" spans="2:26" x14ac:dyDescent="0.3">
      <c r="B43" s="135">
        <v>3072</v>
      </c>
      <c r="C43" s="135" t="s">
        <v>75</v>
      </c>
      <c r="D43" s="135" t="s">
        <v>76</v>
      </c>
      <c r="E43" s="2"/>
      <c r="F43" s="360">
        <v>0</v>
      </c>
      <c r="G43" s="360">
        <v>0</v>
      </c>
      <c r="H43" s="360">
        <v>0</v>
      </c>
      <c r="I43" s="360">
        <v>0</v>
      </c>
      <c r="J43" s="360">
        <v>0</v>
      </c>
      <c r="K43" s="360">
        <v>0</v>
      </c>
      <c r="L43" s="360">
        <v>0</v>
      </c>
      <c r="M43" s="360">
        <v>0</v>
      </c>
      <c r="N43" s="360">
        <v>0</v>
      </c>
      <c r="O43" s="360">
        <v>0</v>
      </c>
      <c r="P43" s="360">
        <v>0</v>
      </c>
      <c r="Q43" s="2"/>
      <c r="R43" s="135" t="str">
        <f t="shared" si="4"/>
        <v>AM.3400</v>
      </c>
      <c r="S43" s="245" t="str">
        <f>+IF(C43=TT[[#This Row],[ITEM]],"ok","mal")</f>
        <v>ok</v>
      </c>
      <c r="T43" s="246">
        <f t="shared" si="2"/>
        <v>0</v>
      </c>
      <c r="U43" s="80">
        <f>IF(VLOOKUP(R43,TbPiezas[],5,0)="NA",0,VLOOKUP(R43,TbPiezas[],5,0))</f>
        <v>5</v>
      </c>
      <c r="V43" s="81">
        <f>+TT[[#This Row],[TOTAL]]*TT[[#This Row],[P.U. (1)]]</f>
        <v>0</v>
      </c>
      <c r="W43" s="247">
        <f>+VLOOKUP(R43,TbPiezas[],6,0)</f>
        <v>139.11000000000001</v>
      </c>
      <c r="X43" s="248">
        <f>ROUND(TT[[#This Row],[TOTAL]]*TT[[#This Row],[P.U. (2)]],2)</f>
        <v>0</v>
      </c>
      <c r="Y43" s="247">
        <f>+VLOOKUP(R43,TbPiezas[],7,0)</f>
        <v>6.9555000000000007</v>
      </c>
      <c r="Z43" s="249">
        <f>ROUND(TT[[#This Row],[TOTAL]]*TT[[#This Row],[P.U. (3)]],2)</f>
        <v>0</v>
      </c>
    </row>
    <row r="44" spans="2:26" x14ac:dyDescent="0.3">
      <c r="B44" s="135">
        <v>2572</v>
      </c>
      <c r="C44" s="135" t="s">
        <v>77</v>
      </c>
      <c r="D44" s="135" t="s">
        <v>78</v>
      </c>
      <c r="E44" s="2"/>
      <c r="F44" s="360">
        <v>0</v>
      </c>
      <c r="G44" s="360">
        <v>0</v>
      </c>
      <c r="H44" s="360">
        <v>0</v>
      </c>
      <c r="I44" s="360">
        <v>0</v>
      </c>
      <c r="J44" s="360">
        <v>0</v>
      </c>
      <c r="K44" s="360">
        <v>0</v>
      </c>
      <c r="L44" s="360">
        <v>0</v>
      </c>
      <c r="M44" s="360">
        <v>0</v>
      </c>
      <c r="N44" s="360">
        <v>0</v>
      </c>
      <c r="O44" s="360">
        <v>0</v>
      </c>
      <c r="P44" s="360">
        <v>0</v>
      </c>
      <c r="Q44" s="2"/>
      <c r="R44" s="135" t="str">
        <f t="shared" si="4"/>
        <v>AM.3500</v>
      </c>
      <c r="S44" s="245" t="str">
        <f>+IF(C44=TT[[#This Row],[ITEM]],"ok","mal")</f>
        <v>ok</v>
      </c>
      <c r="T44" s="246">
        <f t="shared" si="2"/>
        <v>0</v>
      </c>
      <c r="U44" s="80">
        <f>IF(VLOOKUP(R44,TbPiezas[],5,0)="NA",0,VLOOKUP(R44,TbPiezas[],5,0))</f>
        <v>3.5</v>
      </c>
      <c r="V44" s="81">
        <f>+TT[[#This Row],[TOTAL]]*TT[[#This Row],[P.U. (1)]]</f>
        <v>0</v>
      </c>
      <c r="W44" s="247">
        <f>+VLOOKUP(R44,TbPiezas[],6,0)</f>
        <v>136.57</v>
      </c>
      <c r="X44" s="248">
        <f>ROUND(TT[[#This Row],[TOTAL]]*TT[[#This Row],[P.U. (2)]],2)</f>
        <v>0</v>
      </c>
      <c r="Y44" s="247">
        <f>+VLOOKUP(R44,TbPiezas[],7,0)</f>
        <v>6.8285</v>
      </c>
      <c r="Z44" s="249">
        <f>ROUND(TT[[#This Row],[TOTAL]]*TT[[#This Row],[P.U. (3)]],2)</f>
        <v>0</v>
      </c>
    </row>
    <row r="45" spans="2:26" x14ac:dyDescent="0.3">
      <c r="B45" s="135">
        <v>2072</v>
      </c>
      <c r="C45" s="135" t="s">
        <v>79</v>
      </c>
      <c r="D45" s="135" t="s">
        <v>80</v>
      </c>
      <c r="E45" s="2"/>
      <c r="F45" s="360">
        <v>0</v>
      </c>
      <c r="G45" s="360">
        <v>0</v>
      </c>
      <c r="H45" s="360">
        <v>0</v>
      </c>
      <c r="I45" s="360">
        <v>0</v>
      </c>
      <c r="J45" s="360">
        <v>0</v>
      </c>
      <c r="K45" s="360">
        <v>0</v>
      </c>
      <c r="L45" s="360">
        <v>0</v>
      </c>
      <c r="M45" s="360">
        <v>0</v>
      </c>
      <c r="N45" s="360">
        <v>0</v>
      </c>
      <c r="O45" s="360">
        <v>0</v>
      </c>
      <c r="P45" s="360">
        <v>0</v>
      </c>
      <c r="Q45" s="2"/>
      <c r="R45" s="135" t="str">
        <f t="shared" si="4"/>
        <v>AM.3600</v>
      </c>
      <c r="S45" s="245" t="str">
        <f>+IF(C45=TT[[#This Row],[ITEM]],"ok","mal")</f>
        <v>ok</v>
      </c>
      <c r="T45" s="246">
        <f t="shared" si="2"/>
        <v>0</v>
      </c>
      <c r="U45" s="80">
        <f>IF(VLOOKUP(R45,TbPiezas[],5,0)="NA",0,VLOOKUP(R45,TbPiezas[],5,0))</f>
        <v>2.5999999999999943</v>
      </c>
      <c r="V45" s="81">
        <f>+TT[[#This Row],[TOTAL]]*TT[[#This Row],[P.U. (1)]]</f>
        <v>0</v>
      </c>
      <c r="W45" s="247">
        <f>+VLOOKUP(R45,TbPiezas[],6,0)</f>
        <v>128.38</v>
      </c>
      <c r="X45" s="248">
        <f>ROUND(TT[[#This Row],[TOTAL]]*TT[[#This Row],[P.U. (2)]],2)</f>
        <v>0</v>
      </c>
      <c r="Y45" s="247">
        <f>+VLOOKUP(R45,TbPiezas[],7,0)</f>
        <v>6.4190000000000005</v>
      </c>
      <c r="Z45" s="249">
        <f>ROUND(TT[[#This Row],[TOTAL]]*TT[[#This Row],[P.U. (3)]],2)</f>
        <v>0</v>
      </c>
    </row>
    <row r="46" spans="2:26" x14ac:dyDescent="0.3">
      <c r="B46" s="135">
        <v>1020</v>
      </c>
      <c r="C46" s="135" t="s">
        <v>81</v>
      </c>
      <c r="D46" s="135" t="s">
        <v>82</v>
      </c>
      <c r="E46" s="2"/>
      <c r="F46" s="360">
        <v>0</v>
      </c>
      <c r="G46" s="360">
        <v>0</v>
      </c>
      <c r="H46" s="360">
        <v>0</v>
      </c>
      <c r="I46" s="360">
        <v>0</v>
      </c>
      <c r="J46" s="360">
        <v>0</v>
      </c>
      <c r="K46" s="360">
        <v>0</v>
      </c>
      <c r="L46" s="360">
        <v>0</v>
      </c>
      <c r="M46" s="360">
        <v>0</v>
      </c>
      <c r="N46" s="360">
        <v>0</v>
      </c>
      <c r="O46" s="360">
        <v>0</v>
      </c>
      <c r="P46" s="360">
        <v>0</v>
      </c>
      <c r="Q46" s="2"/>
      <c r="R46" s="135" t="str">
        <f t="shared" si="4"/>
        <v>AM.3700</v>
      </c>
      <c r="S46" s="245" t="str">
        <f>+IF(C46=TT[[#This Row],[ITEM]],"ok","mal")</f>
        <v>ok</v>
      </c>
      <c r="T46" s="246">
        <f t="shared" si="2"/>
        <v>0</v>
      </c>
      <c r="U46" s="80">
        <f>IF(VLOOKUP(R46,TbPiezas[],5,0)="NA",0,VLOOKUP(R46,TbPiezas[],5,0))</f>
        <v>1.4000000000000057</v>
      </c>
      <c r="V46" s="81">
        <f>+TT[[#This Row],[TOTAL]]*TT[[#This Row],[P.U. (1)]]</f>
        <v>0</v>
      </c>
      <c r="W46" s="247">
        <f>+VLOOKUP(R46,TbPiezas[],6,0)</f>
        <v>109.33</v>
      </c>
      <c r="X46" s="248">
        <f>ROUND(TT[[#This Row],[TOTAL]]*TT[[#This Row],[P.U. (2)]],2)</f>
        <v>0</v>
      </c>
      <c r="Y46" s="247">
        <f>+VLOOKUP(R46,TbPiezas[],7,0)</f>
        <v>5.4664999999999999</v>
      </c>
      <c r="Z46" s="249">
        <f>ROUND(TT[[#This Row],[TOTAL]]*TT[[#This Row],[P.U. (3)]],2)</f>
        <v>0</v>
      </c>
    </row>
    <row r="47" spans="2:26" x14ac:dyDescent="0.3">
      <c r="B47" s="135">
        <v>732</v>
      </c>
      <c r="C47" s="135" t="s">
        <v>83</v>
      </c>
      <c r="D47" s="135" t="s">
        <v>84</v>
      </c>
      <c r="E47" s="2"/>
      <c r="F47" s="360">
        <v>0</v>
      </c>
      <c r="G47" s="360">
        <v>0</v>
      </c>
      <c r="H47" s="360">
        <v>0</v>
      </c>
      <c r="I47" s="360">
        <v>0</v>
      </c>
      <c r="J47" s="360">
        <v>0</v>
      </c>
      <c r="K47" s="360">
        <v>0</v>
      </c>
      <c r="L47" s="360">
        <v>0</v>
      </c>
      <c r="M47" s="360">
        <v>0</v>
      </c>
      <c r="N47" s="360">
        <v>0</v>
      </c>
      <c r="O47" s="360">
        <v>0</v>
      </c>
      <c r="P47" s="360">
        <v>0</v>
      </c>
      <c r="Q47" s="2"/>
      <c r="R47" s="135" t="str">
        <f t="shared" si="4"/>
        <v>AM.3800</v>
      </c>
      <c r="S47" s="245" t="str">
        <f>+IF(C47=TT[[#This Row],[ITEM]],"ok","mal")</f>
        <v>ok</v>
      </c>
      <c r="T47" s="246">
        <f t="shared" si="2"/>
        <v>0</v>
      </c>
      <c r="U47" s="80">
        <f>IF(VLOOKUP(R47,TbPiezas[],5,0)="NA",0,VLOOKUP(R47,TbPiezas[],5,0))</f>
        <v>0.79999999999999716</v>
      </c>
      <c r="V47" s="81">
        <f>+TT[[#This Row],[TOTAL]]*TT[[#This Row],[P.U. (1)]]</f>
        <v>0</v>
      </c>
      <c r="W47" s="247">
        <f>+VLOOKUP(R47,TbPiezas[],6,0)</f>
        <v>91.83</v>
      </c>
      <c r="X47" s="248">
        <f>ROUND(TT[[#This Row],[TOTAL]]*TT[[#This Row],[P.U. (2)]],2)</f>
        <v>0</v>
      </c>
      <c r="Y47" s="247">
        <f>+VLOOKUP(R47,TbPiezas[],7,0)</f>
        <v>4.5914999999999999</v>
      </c>
      <c r="Z47" s="249">
        <f>ROUND(TT[[#This Row],[TOTAL]]*TT[[#This Row],[P.U. (3)]],2)</f>
        <v>0</v>
      </c>
    </row>
    <row r="48" spans="2:26" x14ac:dyDescent="0.3">
      <c r="B48" s="135">
        <v>3072</v>
      </c>
      <c r="C48" s="135" t="s">
        <v>85</v>
      </c>
      <c r="D48" s="135" t="s">
        <v>86</v>
      </c>
      <c r="E48" s="2"/>
      <c r="F48" s="136">
        <f t="shared" ref="F48:F53" si="15">+IF(AND(F$4=$B48,F$13="CHI"),IF(F$11="TODO",IF(ISEVEN(F$6),F$6,F$6+1),IF(F$11="ARRIBA",2,0)),0)+IF(AND(F$5=$B48,F$13="CHI"),IF(F$11="TODO",IF(AND(F$4&gt;0,E$4=0),IF(ISEVEN(F$6),F$6,F$6+1),0),IF(F$11="ARRIBA",IF(AND(F$4&gt;0,E$4=0),2,0),0)),0)</f>
        <v>0</v>
      </c>
      <c r="G48" s="136">
        <f t="shared" ref="G48:G53" si="16">+IF(AND(G$4=$B48,G$13="CHI"),IF(G$11="TODO",IF(ISEVEN(G$6),G$6,G$6+1),IF(G$11="ARRIBA",2,0)),0)+IF(AND(G$5=$B48,G$13="CHI"),IF(G$11="TODO",IF(AND(G$4&gt;0,F$4=0),IF(ISEVEN(G$6),G$6,G$6+1),0),IF(G$11="ARRIBA",IF(AND(G$4&gt;0,F$4=0),2,0),0)),0)</f>
        <v>0</v>
      </c>
      <c r="H48" s="136">
        <f t="shared" ref="H48:H53" si="17">+IF(AND(H$4=$B48,H$13="CHI"),IF(H$11="TODO",IF(ISEVEN(H$6),H$6,H$6+1),IF(H$11="ARRIBA",2,0)),0)+IF(AND(H$5=$B48,H$13="CHI"),IF(H$11="TODO",IF(AND(H$4&gt;0,G$4=0),IF(ISEVEN(H$6),H$6,H$6+1),0),IF(H$11="ARRIBA",IF(AND(H$4&gt;0,G$4=0),2,0),0)),0)</f>
        <v>0</v>
      </c>
      <c r="I48" s="136">
        <f t="shared" ref="I48:I53" si="18">+IF(AND(I$4=$B48,I$13="CHI"),IF(I$11="TODO",IF(ISEVEN(I$6),I$6,I$6+1),IF(I$11="ARRIBA",2,0)),0)+IF(AND(I$5=$B48,I$13="CHI"),IF(I$11="TODO",IF(AND(I$4&gt;0,H$4=0),IF(ISEVEN(I$6),I$6,I$6+1),0),IF(I$11="ARRIBA",IF(AND(I$4&gt;0,H$4=0),2,0),0)),0)</f>
        <v>0</v>
      </c>
      <c r="J48" s="136">
        <f t="shared" ref="J48:J53" si="19">+IF(AND(J$4=$B48,J$13="CHI"),IF(J$11="TODO",IF(ISEVEN(J$6),J$6,J$6+1),IF(J$11="ARRIBA",2,0)),0)+IF(AND(J$5=$B48,J$13="CHI"),IF(J$11="TODO",IF(AND(J$4&gt;0,I$4=0),IF(ISEVEN(J$6),J$6,J$6+1),0),IF(J$11="ARRIBA",IF(AND(J$4&gt;0,I$4=0),2,0),0)),0)</f>
        <v>0</v>
      </c>
      <c r="K48" s="136">
        <f t="shared" ref="K48:K53" si="20">+IF(AND(K$4=$B48,K$13="CHI"),IF(K$11="TODO",IF(ISEVEN(K$6),K$6,K$6+1),IF(K$11="ARRIBA",2,0)),0)+IF(AND(K$5=$B48,K$13="CHI"),IF(K$11="TODO",IF(AND(K$4&gt;0,J$4=0),IF(ISEVEN(K$6),K$6,K$6+1),0),IF(K$11="ARRIBA",IF(AND(K$4&gt;0,J$4=0),2,0),0)),0)</f>
        <v>0</v>
      </c>
      <c r="L48" s="136">
        <f t="shared" ref="L48:L53" si="21">+IF(AND(L$4=$B48,L$13="CHI"),IF(L$11="TODO",IF(ISEVEN(L$6),L$6,L$6+1),IF(L$11="ARRIBA",2,0)),0)+IF(AND(L$5=$B48,L$13="CHI"),IF(L$11="TODO",IF(AND(L$4&gt;0,K$4=0),IF(ISEVEN(L$6),L$6,L$6+1),0),IF(L$11="ARRIBA",IF(AND(L$4&gt;0,K$4=0),2,0),0)),0)</f>
        <v>0</v>
      </c>
      <c r="M48" s="136">
        <f t="shared" ref="M48:M53" si="22">+IF(AND(M$4=$B48,M$13="CHI"),IF(M$11="TODO",IF(ISEVEN(M$6),M$6,M$6+1),IF(M$11="ARRIBA",2,0)),0)+IF(AND(M$5=$B48,M$13="CHI"),IF(M$11="TODO",IF(AND(M$4&gt;0,L$4=0),IF(ISEVEN(M$6),M$6,M$6+1),0),IF(M$11="ARRIBA",IF(AND(M$4&gt;0,L$4=0),2,0),0)),0)</f>
        <v>0</v>
      </c>
      <c r="N48" s="136">
        <f t="shared" ref="N48:P53" si="23">+IF(AND(N$4=$B48,N$13="CHI"),IF(N$11="TODO",IF(ISEVEN(N$6),N$6,N$6+1),IF(N$11="ARRIBA",2,0)),0)+IF(AND(N$5=$B48,N$13="CHI"),IF(N$11="TODO",IF(AND(N$4&gt;0,M$4=0),IF(ISEVEN(N$6),N$6,N$6+1),0),IF(N$11="ARRIBA",IF(AND(N$4&gt;0,M$4=0),2,0),0)),0)</f>
        <v>0</v>
      </c>
      <c r="O48" s="136">
        <f t="shared" si="23"/>
        <v>0</v>
      </c>
      <c r="P48" s="136">
        <f t="shared" si="23"/>
        <v>0</v>
      </c>
      <c r="Q48" s="2"/>
      <c r="R48" s="135" t="str">
        <f t="shared" si="4"/>
        <v>AM.3900</v>
      </c>
      <c r="S48" s="245" t="str">
        <f>+IF(C48=TT[[#This Row],[ITEM]],"ok","mal")</f>
        <v>ok</v>
      </c>
      <c r="T48" s="246">
        <f t="shared" si="2"/>
        <v>0</v>
      </c>
      <c r="U48" s="80">
        <f>IF(VLOOKUP(R48,TbPiezas[],5,0)="NA",0,VLOOKUP(R48,TbPiezas[],5,0))</f>
        <v>7.5</v>
      </c>
      <c r="V48" s="81">
        <f>+TT[[#This Row],[TOTAL]]*TT[[#This Row],[P.U. (1)]]</f>
        <v>0</v>
      </c>
      <c r="W48" s="247">
        <f>+VLOOKUP(R48,TbPiezas[],6,0)</f>
        <v>139.11000000000001</v>
      </c>
      <c r="X48" s="248">
        <f>ROUND(TT[[#This Row],[TOTAL]]*TT[[#This Row],[P.U. (2)]],2)</f>
        <v>0</v>
      </c>
      <c r="Y48" s="247">
        <f>+VLOOKUP(R48,TbPiezas[],7,0)</f>
        <v>6.9555000000000007</v>
      </c>
      <c r="Z48" s="249">
        <f>ROUND(TT[[#This Row],[TOTAL]]*TT[[#This Row],[P.U. (3)]],2)</f>
        <v>0</v>
      </c>
    </row>
    <row r="49" spans="2:26" x14ac:dyDescent="0.3">
      <c r="B49" s="135">
        <v>2572</v>
      </c>
      <c r="C49" s="135" t="s">
        <v>87</v>
      </c>
      <c r="D49" s="135" t="s">
        <v>88</v>
      </c>
      <c r="E49" s="2"/>
      <c r="F49" s="136">
        <f t="shared" si="15"/>
        <v>0</v>
      </c>
      <c r="G49" s="136">
        <f t="shared" si="16"/>
        <v>0</v>
      </c>
      <c r="H49" s="136">
        <f t="shared" si="17"/>
        <v>0</v>
      </c>
      <c r="I49" s="136">
        <f t="shared" si="18"/>
        <v>0</v>
      </c>
      <c r="J49" s="136">
        <f t="shared" si="19"/>
        <v>0</v>
      </c>
      <c r="K49" s="136">
        <f t="shared" si="20"/>
        <v>0</v>
      </c>
      <c r="L49" s="136">
        <f t="shared" si="21"/>
        <v>0</v>
      </c>
      <c r="M49" s="136">
        <f t="shared" si="22"/>
        <v>0</v>
      </c>
      <c r="N49" s="136">
        <f t="shared" si="23"/>
        <v>0</v>
      </c>
      <c r="O49" s="136">
        <f t="shared" si="23"/>
        <v>0</v>
      </c>
      <c r="P49" s="136">
        <f t="shared" si="23"/>
        <v>0</v>
      </c>
      <c r="Q49" s="2"/>
      <c r="R49" s="135" t="str">
        <f t="shared" si="4"/>
        <v>AM.4000</v>
      </c>
      <c r="S49" s="245" t="str">
        <f>+IF(C49=TT[[#This Row],[ITEM]],"ok","mal")</f>
        <v>ok</v>
      </c>
      <c r="T49" s="246">
        <f t="shared" si="2"/>
        <v>0</v>
      </c>
      <c r="U49" s="80">
        <f>IF(VLOOKUP(R49,TbPiezas[],5,0)="NA",0,VLOOKUP(R49,TbPiezas[],5,0))</f>
        <v>5.7999999999999972</v>
      </c>
      <c r="V49" s="81">
        <f>+TT[[#This Row],[TOTAL]]*TT[[#This Row],[P.U. (1)]]</f>
        <v>0</v>
      </c>
      <c r="W49" s="247">
        <f>+VLOOKUP(R49,TbPiezas[],6,0)</f>
        <v>136.57</v>
      </c>
      <c r="X49" s="248">
        <f>ROUND(TT[[#This Row],[TOTAL]]*TT[[#This Row],[P.U. (2)]],2)</f>
        <v>0</v>
      </c>
      <c r="Y49" s="247">
        <f>+VLOOKUP(R49,TbPiezas[],7,0)</f>
        <v>6.8285</v>
      </c>
      <c r="Z49" s="249">
        <f>ROUND(TT[[#This Row],[TOTAL]]*TT[[#This Row],[P.U. (3)]],2)</f>
        <v>0</v>
      </c>
    </row>
    <row r="50" spans="2:26" x14ac:dyDescent="0.3">
      <c r="B50" s="135">
        <v>2072</v>
      </c>
      <c r="C50" s="135" t="s">
        <v>89</v>
      </c>
      <c r="D50" s="135" t="s">
        <v>90</v>
      </c>
      <c r="E50" s="2"/>
      <c r="F50" s="136">
        <f t="shared" si="15"/>
        <v>0</v>
      </c>
      <c r="G50" s="136">
        <f t="shared" si="16"/>
        <v>0</v>
      </c>
      <c r="H50" s="136">
        <f t="shared" si="17"/>
        <v>0</v>
      </c>
      <c r="I50" s="136">
        <f t="shared" si="18"/>
        <v>0</v>
      </c>
      <c r="J50" s="136">
        <f t="shared" si="19"/>
        <v>0</v>
      </c>
      <c r="K50" s="136">
        <f t="shared" si="20"/>
        <v>0</v>
      </c>
      <c r="L50" s="136">
        <f t="shared" si="21"/>
        <v>0</v>
      </c>
      <c r="M50" s="136">
        <f t="shared" si="22"/>
        <v>0</v>
      </c>
      <c r="N50" s="136">
        <f t="shared" si="23"/>
        <v>0</v>
      </c>
      <c r="O50" s="136">
        <f t="shared" si="23"/>
        <v>0</v>
      </c>
      <c r="P50" s="136">
        <f t="shared" si="23"/>
        <v>0</v>
      </c>
      <c r="Q50" s="2"/>
      <c r="R50" s="135" t="str">
        <f t="shared" si="4"/>
        <v>AM.4100</v>
      </c>
      <c r="S50" s="245" t="str">
        <f>+IF(C50=TT[[#This Row],[ITEM]],"ok","mal")</f>
        <v>ok</v>
      </c>
      <c r="T50" s="246">
        <f t="shared" si="2"/>
        <v>0</v>
      </c>
      <c r="U50" s="80">
        <f>IF(VLOOKUP(R50,TbPiezas[],5,0)="NA",0,VLOOKUP(R50,TbPiezas[],5,0))</f>
        <v>4.7999999999999972</v>
      </c>
      <c r="V50" s="81">
        <f>+TT[[#This Row],[TOTAL]]*TT[[#This Row],[P.U. (1)]]</f>
        <v>0</v>
      </c>
      <c r="W50" s="247">
        <f>+VLOOKUP(R50,TbPiezas[],6,0)</f>
        <v>128.38</v>
      </c>
      <c r="X50" s="441">
        <f>ROUND(TT[[#This Row],[TOTAL]]*TT[[#This Row],[P.U. (2)]],2)</f>
        <v>0</v>
      </c>
      <c r="Y50" s="247">
        <f>+VLOOKUP(R50,TbPiezas[],7,0)</f>
        <v>6.4190000000000005</v>
      </c>
      <c r="Z50" s="249">
        <f>ROUND(TT[[#This Row],[TOTAL]]*TT[[#This Row],[P.U. (3)]],2)</f>
        <v>0</v>
      </c>
    </row>
    <row r="51" spans="2:26" x14ac:dyDescent="0.3">
      <c r="B51" s="135">
        <v>1572</v>
      </c>
      <c r="C51" s="135" t="s">
        <v>91</v>
      </c>
      <c r="D51" s="135" t="s">
        <v>92</v>
      </c>
      <c r="E51" s="2"/>
      <c r="F51" s="136">
        <f t="shared" si="15"/>
        <v>0</v>
      </c>
      <c r="G51" s="136">
        <f t="shared" si="16"/>
        <v>0</v>
      </c>
      <c r="H51" s="136">
        <f t="shared" si="17"/>
        <v>0</v>
      </c>
      <c r="I51" s="136">
        <f t="shared" si="18"/>
        <v>0</v>
      </c>
      <c r="J51" s="136">
        <f t="shared" si="19"/>
        <v>0</v>
      </c>
      <c r="K51" s="136">
        <f t="shared" si="20"/>
        <v>0</v>
      </c>
      <c r="L51" s="136">
        <f t="shared" si="21"/>
        <v>0</v>
      </c>
      <c r="M51" s="136">
        <f t="shared" si="22"/>
        <v>0</v>
      </c>
      <c r="N51" s="136">
        <f t="shared" si="23"/>
        <v>0</v>
      </c>
      <c r="O51" s="136">
        <f t="shared" si="23"/>
        <v>0</v>
      </c>
      <c r="P51" s="136">
        <f t="shared" si="23"/>
        <v>0</v>
      </c>
      <c r="Q51" s="2"/>
      <c r="R51" s="135" t="str">
        <f t="shared" si="4"/>
        <v>AM.4200</v>
      </c>
      <c r="S51" s="245" t="str">
        <f>+IF(C51=TT[[#This Row],[ITEM]],"ok","mal")</f>
        <v>ok</v>
      </c>
      <c r="T51" s="246">
        <f t="shared" ref="T51:T82" si="24">SUM(E51:Q51)</f>
        <v>0</v>
      </c>
      <c r="U51" s="80">
        <f>IF(VLOOKUP(R51,TbPiezas[],5,0)="NA",0,VLOOKUP(R51,TbPiezas[],5,0))</f>
        <v>2.7000000000000028</v>
      </c>
      <c r="V51" s="81">
        <f>+TT[[#This Row],[TOTAL]]*TT[[#This Row],[P.U. (1)]]</f>
        <v>0</v>
      </c>
      <c r="W51" s="247">
        <f>+VLOOKUP(R51,TbPiezas[],6,0)</f>
        <v>124.8</v>
      </c>
      <c r="X51" s="248">
        <f>ROUND(TT[[#This Row],[TOTAL]]*TT[[#This Row],[P.U. (2)]],2)</f>
        <v>0</v>
      </c>
      <c r="Y51" s="247">
        <f>+VLOOKUP(R51,TbPiezas[],7,0)</f>
        <v>6.24</v>
      </c>
      <c r="Z51" s="249">
        <f>ROUND(TT[[#This Row],[TOTAL]]*TT[[#This Row],[P.U. (3)]],2)</f>
        <v>0</v>
      </c>
    </row>
    <row r="52" spans="2:26" x14ac:dyDescent="0.3">
      <c r="B52" s="135">
        <v>1090</v>
      </c>
      <c r="C52" s="135" t="s">
        <v>93</v>
      </c>
      <c r="D52" s="135" t="s">
        <v>94</v>
      </c>
      <c r="E52" s="2"/>
      <c r="F52" s="136">
        <f t="shared" si="15"/>
        <v>0</v>
      </c>
      <c r="G52" s="136">
        <f t="shared" si="16"/>
        <v>0</v>
      </c>
      <c r="H52" s="136">
        <f t="shared" si="17"/>
        <v>0</v>
      </c>
      <c r="I52" s="136">
        <f t="shared" si="18"/>
        <v>0</v>
      </c>
      <c r="J52" s="136">
        <f t="shared" si="19"/>
        <v>0</v>
      </c>
      <c r="K52" s="136">
        <f t="shared" si="20"/>
        <v>0</v>
      </c>
      <c r="L52" s="136">
        <f t="shared" si="21"/>
        <v>0</v>
      </c>
      <c r="M52" s="136">
        <f t="shared" si="22"/>
        <v>0</v>
      </c>
      <c r="N52" s="136">
        <f t="shared" si="23"/>
        <v>0</v>
      </c>
      <c r="O52" s="136">
        <f t="shared" si="23"/>
        <v>0</v>
      </c>
      <c r="P52" s="136">
        <f t="shared" si="23"/>
        <v>0</v>
      </c>
      <c r="Q52" s="2"/>
      <c r="R52" s="135" t="str">
        <f t="shared" si="4"/>
        <v>AM.4300</v>
      </c>
      <c r="S52" s="245" t="str">
        <f>+IF(C52=TT[[#This Row],[ITEM]],"ok","mal")</f>
        <v>ok</v>
      </c>
      <c r="T52" s="246">
        <f t="shared" si="24"/>
        <v>0</v>
      </c>
      <c r="U52" s="80">
        <f>IF(VLOOKUP(R52,TbPiezas[],5,0)="NA",0,VLOOKUP(R52,TbPiezas[],5,0))</f>
        <v>1.2999999999999972</v>
      </c>
      <c r="V52" s="81">
        <f>+TT[[#This Row],[TOTAL]]*TT[[#This Row],[P.U. (1)]]</f>
        <v>0</v>
      </c>
      <c r="W52" s="247">
        <f>+VLOOKUP(R52,TbPiezas[],6,0)</f>
        <v>109.33</v>
      </c>
      <c r="X52" s="248">
        <f>ROUND(TT[[#This Row],[TOTAL]]*TT[[#This Row],[P.U. (2)]],2)</f>
        <v>0</v>
      </c>
      <c r="Y52" s="247">
        <f>+VLOOKUP(R52,TbPiezas[],7,0)</f>
        <v>5.4664999999999999</v>
      </c>
      <c r="Z52" s="249">
        <f>ROUND(TT[[#This Row],[TOTAL]]*TT[[#This Row],[P.U. (3)]],2)</f>
        <v>0</v>
      </c>
    </row>
    <row r="53" spans="2:26" x14ac:dyDescent="0.3">
      <c r="B53" s="135">
        <v>732</v>
      </c>
      <c r="C53" s="135" t="s">
        <v>95</v>
      </c>
      <c r="D53" s="135" t="s">
        <v>96</v>
      </c>
      <c r="E53" s="2"/>
      <c r="F53" s="136">
        <f t="shared" si="15"/>
        <v>0</v>
      </c>
      <c r="G53" s="136">
        <f t="shared" si="16"/>
        <v>0</v>
      </c>
      <c r="H53" s="136">
        <f t="shared" si="17"/>
        <v>0</v>
      </c>
      <c r="I53" s="136">
        <f t="shared" si="18"/>
        <v>0</v>
      </c>
      <c r="J53" s="136">
        <f t="shared" si="19"/>
        <v>0</v>
      </c>
      <c r="K53" s="136">
        <f t="shared" si="20"/>
        <v>0</v>
      </c>
      <c r="L53" s="136">
        <f t="shared" si="21"/>
        <v>0</v>
      </c>
      <c r="M53" s="136">
        <f t="shared" si="22"/>
        <v>0</v>
      </c>
      <c r="N53" s="136">
        <f t="shared" si="23"/>
        <v>0</v>
      </c>
      <c r="O53" s="136">
        <f t="shared" si="23"/>
        <v>0</v>
      </c>
      <c r="P53" s="136">
        <f t="shared" si="23"/>
        <v>0</v>
      </c>
      <c r="Q53" s="2"/>
      <c r="R53" s="135" t="str">
        <f t="shared" si="4"/>
        <v>AM.4400</v>
      </c>
      <c r="S53" s="245" t="str">
        <f>+IF(C53=TT[[#This Row],[ITEM]],"ok","mal")</f>
        <v>ok</v>
      </c>
      <c r="T53" s="246">
        <f t="shared" si="24"/>
        <v>0</v>
      </c>
      <c r="U53" s="80">
        <f>IF(VLOOKUP(R53,TbPiezas[],5,0)="NA",0,VLOOKUP(R53,TbPiezas[],5,0))</f>
        <v>2.0999999999999943</v>
      </c>
      <c r="V53" s="81">
        <f>+TT[[#This Row],[TOTAL]]*TT[[#This Row],[P.U. (1)]]</f>
        <v>0</v>
      </c>
      <c r="W53" s="247">
        <f>+VLOOKUP(R53,TbPiezas[],6,0)</f>
        <v>91.83</v>
      </c>
      <c r="X53" s="248">
        <f>ROUND(TT[[#This Row],[TOTAL]]*TT[[#This Row],[P.U. (2)]],2)</f>
        <v>0</v>
      </c>
      <c r="Y53" s="247">
        <f>+VLOOKUP(R53,TbPiezas[],7,0)</f>
        <v>4.5914999999999999</v>
      </c>
      <c r="Z53" s="249">
        <f>ROUND(TT[[#This Row],[TOTAL]]*TT[[#This Row],[P.U. (3)]],2)</f>
        <v>0</v>
      </c>
    </row>
    <row r="54" spans="2:26" x14ac:dyDescent="0.3">
      <c r="B54" s="135">
        <v>3072</v>
      </c>
      <c r="C54" s="135" t="s">
        <v>97</v>
      </c>
      <c r="D54" s="135" t="s">
        <v>98</v>
      </c>
      <c r="E54" s="2"/>
      <c r="F54" s="136">
        <f t="shared" ref="F54:F59" si="25">+IF(AND(F$4=$B54,F$13="NEO"),IF(F$11="TODO",IF(ISEVEN(F$6),F$6,F$6+1),IF(F$11="ARRIBA",2,0)),0)+IF(AND(F$5=$B54,F$13="NEO"),IF(F$11="TODO",IF(AND(F$4&gt;0,E$4=0),IF(ISEVEN(F$6),F$6,F$6+1),0),IF(F$11="ARRIBA",IF(AND(F$4&gt;0,E$4=0),2,0),0)),0)</f>
        <v>0</v>
      </c>
      <c r="G54" s="136">
        <f t="shared" ref="G54:G59" si="26">+IF(AND(G$4=$B54,G$13="NEO"),IF(G$11="TODO",IF(ISEVEN(G$6),G$6,G$6+1),IF(G$11="ARRIBA",2,0)),0)+IF(AND(G$5=$B54,G$13="NEO"),IF(G$11="TODO",IF(AND(G$4&gt;0,F$4=0),IF(ISEVEN(G$6),G$6,G$6+1),0),IF(G$11="ARRIBA",IF(AND(G$4&gt;0,F$4=0),2,0),0)),0)</f>
        <v>0</v>
      </c>
      <c r="H54" s="136">
        <f t="shared" ref="H54:H59" si="27">+IF(AND(H$4=$B54,H$13="NEO"),IF(H$11="TODO",IF(ISEVEN(H$6),H$6,H$6+1),IF(H$11="ARRIBA",2,0)),0)+IF(AND(H$5=$B54,H$13="NEO"),IF(H$11="TODO",IF(AND(H$4&gt;0,G$4=0),IF(ISEVEN(H$6),H$6,H$6+1),0),IF(H$11="ARRIBA",IF(AND(H$4&gt;0,G$4=0),2,0),0)),0)</f>
        <v>0</v>
      </c>
      <c r="I54" s="136">
        <f t="shared" ref="I54:I59" si="28">+IF(AND(I$4=$B54,I$13="NEO"),IF(I$11="TODO",IF(ISEVEN(I$6),I$6,I$6+1),IF(I$11="ARRIBA",2,0)),0)+IF(AND(I$5=$B54,I$13="NEO"),IF(I$11="TODO",IF(AND(I$4&gt;0,H$4=0),IF(ISEVEN(I$6),I$6,I$6+1),0),IF(I$11="ARRIBA",IF(AND(I$4&gt;0,H$4=0),2,0),0)),0)</f>
        <v>0</v>
      </c>
      <c r="J54" s="136">
        <f t="shared" ref="J54:J59" si="29">+IF(AND(J$4=$B54,J$13="NEO"),IF(J$11="TODO",IF(ISEVEN(J$6),J$6,J$6+1),IF(J$11="ARRIBA",2,0)),0)+IF(AND(J$5=$B54,J$13="NEO"),IF(J$11="TODO",IF(AND(J$4&gt;0,I$4=0),IF(ISEVEN(J$6),J$6,J$6+1),0),IF(J$11="ARRIBA",IF(AND(J$4&gt;0,I$4=0),2,0),0)),0)</f>
        <v>0</v>
      </c>
      <c r="K54" s="136">
        <f t="shared" ref="K54:K59" si="30">+IF(AND(K$4=$B54,K$13="NEO"),IF(K$11="TODO",IF(ISEVEN(K$6),K$6,K$6+1),IF(K$11="ARRIBA",2,0)),0)+IF(AND(K$5=$B54,K$13="NEO"),IF(K$11="TODO",IF(AND(K$4&gt;0,J$4=0),IF(ISEVEN(K$6),K$6,K$6+1),0),IF(K$11="ARRIBA",IF(AND(K$4&gt;0,J$4=0),2,0),0)),0)</f>
        <v>0</v>
      </c>
      <c r="L54" s="136">
        <f t="shared" ref="L54:L59" si="31">+IF(AND(L$4=$B54,L$13="NEO"),IF(L$11="TODO",IF(ISEVEN(L$6),L$6,L$6+1),IF(L$11="ARRIBA",2,0)),0)+IF(AND(L$5=$B54,L$13="NEO"),IF(L$11="TODO",IF(AND(L$4&gt;0,K$4=0),IF(ISEVEN(L$6),L$6,L$6+1),0),IF(L$11="ARRIBA",IF(AND(L$4&gt;0,K$4=0),2,0),0)),0)</f>
        <v>0</v>
      </c>
      <c r="M54" s="136">
        <f t="shared" ref="M54:M59" si="32">+IF(AND(M$4=$B54,M$13="NEO"),IF(M$11="TODO",IF(ISEVEN(M$6),M$6,M$6+1),IF(M$11="ARRIBA",2,0)),0)+IF(AND(M$5=$B54,M$13="NEO"),IF(M$11="TODO",IF(AND(M$4&gt;0,L$4=0),IF(ISEVEN(M$6),M$6,M$6+1),0),IF(M$11="ARRIBA",IF(AND(M$4&gt;0,L$4=0),2,0),0)),0)</f>
        <v>0</v>
      </c>
      <c r="N54" s="136">
        <f t="shared" ref="N54:P59" si="33">+IF(AND(N$4=$B54,N$13="NEO"),IF(N$11="TODO",IF(ISEVEN(N$6),N$6,N$6+1),IF(N$11="ARRIBA",2,0)),0)+IF(AND(N$5=$B54,N$13="NEO"),IF(N$11="TODO",IF(AND(N$4&gt;0,M$4=0),IF(ISEVEN(N$6),N$6,N$6+1),0),IF(N$11="ARRIBA",IF(AND(N$4&gt;0,M$4=0),2,0),0)),0)</f>
        <v>0</v>
      </c>
      <c r="O54" s="136">
        <f t="shared" si="33"/>
        <v>0</v>
      </c>
      <c r="P54" s="136">
        <f t="shared" si="33"/>
        <v>0</v>
      </c>
      <c r="Q54" s="2"/>
      <c r="R54" s="135" t="str">
        <f t="shared" si="4"/>
        <v>AM.4500</v>
      </c>
      <c r="S54" s="245" t="str">
        <f>+IF(C54=TT[[#This Row],[ITEM]],"ok","mal")</f>
        <v>ok</v>
      </c>
      <c r="T54" s="246">
        <f t="shared" si="24"/>
        <v>0</v>
      </c>
      <c r="U54" s="80">
        <f>IF(VLOOKUP(R54,TbPiezas[],5,0)="NA",0,VLOOKUP(R54,TbPiezas[],5,0))</f>
        <v>10.5</v>
      </c>
      <c r="V54" s="81">
        <f>+TT[[#This Row],[TOTAL]]*TT[[#This Row],[P.U. (1)]]</f>
        <v>0</v>
      </c>
      <c r="W54" s="247">
        <f>+VLOOKUP(R54,TbPiezas[],6,0)</f>
        <v>139.11000000000001</v>
      </c>
      <c r="X54" s="248">
        <f>ROUND(TT[[#This Row],[TOTAL]]*TT[[#This Row],[P.U. (2)]],2)</f>
        <v>0</v>
      </c>
      <c r="Y54" s="247">
        <f>+VLOOKUP(R54,TbPiezas[],7,0)</f>
        <v>6.9555000000000007</v>
      </c>
      <c r="Z54" s="249">
        <f>ROUND(TT[[#This Row],[TOTAL]]*TT[[#This Row],[P.U. (3)]],2)</f>
        <v>0</v>
      </c>
    </row>
    <row r="55" spans="2:26" x14ac:dyDescent="0.3">
      <c r="B55" s="135">
        <v>2572</v>
      </c>
      <c r="C55" s="135" t="s">
        <v>99</v>
      </c>
      <c r="D55" s="135" t="s">
        <v>100</v>
      </c>
      <c r="E55" s="2"/>
      <c r="F55" s="136">
        <f t="shared" si="25"/>
        <v>4</v>
      </c>
      <c r="G55" s="136">
        <f t="shared" si="26"/>
        <v>0</v>
      </c>
      <c r="H55" s="136">
        <f t="shared" si="27"/>
        <v>0</v>
      </c>
      <c r="I55" s="136">
        <f t="shared" si="28"/>
        <v>0</v>
      </c>
      <c r="J55" s="136">
        <f t="shared" si="29"/>
        <v>0</v>
      </c>
      <c r="K55" s="136">
        <f t="shared" si="30"/>
        <v>0</v>
      </c>
      <c r="L55" s="136">
        <f t="shared" si="31"/>
        <v>0</v>
      </c>
      <c r="M55" s="136">
        <f t="shared" si="32"/>
        <v>0</v>
      </c>
      <c r="N55" s="136">
        <f t="shared" si="33"/>
        <v>0</v>
      </c>
      <c r="O55" s="136">
        <f t="shared" si="33"/>
        <v>0</v>
      </c>
      <c r="P55" s="136">
        <f t="shared" si="33"/>
        <v>0</v>
      </c>
      <c r="Q55" s="2"/>
      <c r="R55" s="135" t="str">
        <f t="shared" si="4"/>
        <v>AM.4600</v>
      </c>
      <c r="S55" s="245" t="str">
        <f>+IF(C55=TT[[#This Row],[ITEM]],"ok","mal")</f>
        <v>ok</v>
      </c>
      <c r="T55" s="246">
        <f t="shared" si="24"/>
        <v>4</v>
      </c>
      <c r="U55" s="80">
        <f>IF(VLOOKUP(R55,TbPiezas[],5,0)="NA",0,VLOOKUP(R55,TbPiezas[],5,0))</f>
        <v>8.7999999999999972</v>
      </c>
      <c r="V55" s="81">
        <f>+TT[[#This Row],[TOTAL]]*TT[[#This Row],[P.U. (1)]]</f>
        <v>35.199999999999989</v>
      </c>
      <c r="W55" s="247">
        <f>+VLOOKUP(R55,TbPiezas[],6,0)</f>
        <v>136.57</v>
      </c>
      <c r="X55" s="441">
        <f>ROUND(TT[[#This Row],[TOTAL]]*TT[[#This Row],[P.U. (2)]],2)</f>
        <v>546.28</v>
      </c>
      <c r="Y55" s="247">
        <f>+VLOOKUP(R55,TbPiezas[],7,0)</f>
        <v>6.8285</v>
      </c>
      <c r="Z55" s="249">
        <f>ROUND(TT[[#This Row],[TOTAL]]*TT[[#This Row],[P.U. (3)]],2)</f>
        <v>27.31</v>
      </c>
    </row>
    <row r="56" spans="2:26" x14ac:dyDescent="0.3">
      <c r="B56" s="135">
        <v>2072</v>
      </c>
      <c r="C56" s="135" t="s">
        <v>101</v>
      </c>
      <c r="D56" s="135" t="s">
        <v>102</v>
      </c>
      <c r="E56" s="2"/>
      <c r="F56" s="136">
        <f t="shared" si="25"/>
        <v>0</v>
      </c>
      <c r="G56" s="136">
        <f t="shared" si="26"/>
        <v>0</v>
      </c>
      <c r="H56" s="136">
        <f t="shared" si="27"/>
        <v>0</v>
      </c>
      <c r="I56" s="136">
        <f t="shared" si="28"/>
        <v>0</v>
      </c>
      <c r="J56" s="136">
        <f t="shared" si="29"/>
        <v>0</v>
      </c>
      <c r="K56" s="136">
        <f t="shared" si="30"/>
        <v>0</v>
      </c>
      <c r="L56" s="136">
        <f t="shared" si="31"/>
        <v>0</v>
      </c>
      <c r="M56" s="136">
        <f t="shared" si="32"/>
        <v>0</v>
      </c>
      <c r="N56" s="136">
        <f t="shared" si="33"/>
        <v>0</v>
      </c>
      <c r="O56" s="136">
        <f t="shared" si="33"/>
        <v>0</v>
      </c>
      <c r="P56" s="136">
        <f t="shared" si="33"/>
        <v>0</v>
      </c>
      <c r="Q56" s="2"/>
      <c r="R56" s="135" t="str">
        <f t="shared" si="4"/>
        <v>AM.4700</v>
      </c>
      <c r="S56" s="245" t="str">
        <f>+IF(C56=TT[[#This Row],[ITEM]],"ok","mal")</f>
        <v>ok</v>
      </c>
      <c r="T56" s="246">
        <f t="shared" si="24"/>
        <v>0</v>
      </c>
      <c r="U56" s="80">
        <f>IF(VLOOKUP(R56,TbPiezas[],5,0)="NA",0,VLOOKUP(R56,TbPiezas[],5,0))</f>
        <v>5</v>
      </c>
      <c r="V56" s="81">
        <f>+TT[[#This Row],[TOTAL]]*TT[[#This Row],[P.U. (1)]]</f>
        <v>0</v>
      </c>
      <c r="W56" s="247">
        <f>+VLOOKUP(R56,TbPiezas[],6,0)</f>
        <v>128.38</v>
      </c>
      <c r="X56" s="248">
        <f>ROUND(TT[[#This Row],[TOTAL]]*TT[[#This Row],[P.U. (2)]],2)</f>
        <v>0</v>
      </c>
      <c r="Y56" s="247">
        <f>+VLOOKUP(R56,TbPiezas[],7,0)</f>
        <v>6.4190000000000005</v>
      </c>
      <c r="Z56" s="249">
        <f>ROUND(TT[[#This Row],[TOTAL]]*TT[[#This Row],[P.U. (3)]],2)</f>
        <v>0</v>
      </c>
    </row>
    <row r="57" spans="2:26" x14ac:dyDescent="0.3">
      <c r="B57" s="135">
        <v>1572</v>
      </c>
      <c r="C57" s="135" t="s">
        <v>103</v>
      </c>
      <c r="D57" s="135" t="s">
        <v>104</v>
      </c>
      <c r="E57" s="2"/>
      <c r="F57" s="136">
        <f t="shared" si="25"/>
        <v>0</v>
      </c>
      <c r="G57" s="136">
        <f t="shared" si="26"/>
        <v>0</v>
      </c>
      <c r="H57" s="136">
        <f t="shared" si="27"/>
        <v>0</v>
      </c>
      <c r="I57" s="136">
        <f t="shared" si="28"/>
        <v>0</v>
      </c>
      <c r="J57" s="136">
        <f t="shared" si="29"/>
        <v>0</v>
      </c>
      <c r="K57" s="136">
        <f t="shared" si="30"/>
        <v>0</v>
      </c>
      <c r="L57" s="136">
        <f t="shared" si="31"/>
        <v>0</v>
      </c>
      <c r="M57" s="136">
        <f t="shared" si="32"/>
        <v>0</v>
      </c>
      <c r="N57" s="136">
        <f t="shared" si="33"/>
        <v>0</v>
      </c>
      <c r="O57" s="136">
        <f t="shared" si="33"/>
        <v>0</v>
      </c>
      <c r="P57" s="136">
        <f t="shared" si="33"/>
        <v>0</v>
      </c>
      <c r="Q57" s="2"/>
      <c r="R57" s="135" t="str">
        <f t="shared" si="4"/>
        <v>AM.4800</v>
      </c>
      <c r="S57" s="245" t="str">
        <f>+IF(C57=TT[[#This Row],[ITEM]],"ok","mal")</f>
        <v>ok</v>
      </c>
      <c r="T57" s="246">
        <f t="shared" si="24"/>
        <v>0</v>
      </c>
      <c r="U57" s="80">
        <f>IF(VLOOKUP(R57,TbPiezas[],5,0)="NA",0,VLOOKUP(R57,TbPiezas[],5,0))</f>
        <v>3.3999999999999915</v>
      </c>
      <c r="V57" s="81">
        <f>+TT[[#This Row],[TOTAL]]*TT[[#This Row],[P.U. (1)]]</f>
        <v>0</v>
      </c>
      <c r="W57" s="247">
        <f>+VLOOKUP(R57,TbPiezas[],6,0)</f>
        <v>124.8</v>
      </c>
      <c r="X57" s="248">
        <f>ROUND(TT[[#This Row],[TOTAL]]*TT[[#This Row],[P.U. (2)]],2)</f>
        <v>0</v>
      </c>
      <c r="Y57" s="247">
        <f>+VLOOKUP(R57,TbPiezas[],7,0)</f>
        <v>6.24</v>
      </c>
      <c r="Z57" s="249">
        <f>ROUND(TT[[#This Row],[TOTAL]]*TT[[#This Row],[P.U. (3)]],2)</f>
        <v>0</v>
      </c>
    </row>
    <row r="58" spans="2:26" x14ac:dyDescent="0.3">
      <c r="B58" s="135">
        <v>1090</v>
      </c>
      <c r="C58" s="135" t="s">
        <v>105</v>
      </c>
      <c r="D58" s="135" t="s">
        <v>106</v>
      </c>
      <c r="E58" s="2"/>
      <c r="F58" s="136">
        <f t="shared" si="25"/>
        <v>0</v>
      </c>
      <c r="G58" s="136">
        <f t="shared" si="26"/>
        <v>0</v>
      </c>
      <c r="H58" s="136">
        <f t="shared" si="27"/>
        <v>0</v>
      </c>
      <c r="I58" s="136">
        <f t="shared" si="28"/>
        <v>0</v>
      </c>
      <c r="J58" s="136">
        <f t="shared" si="29"/>
        <v>0</v>
      </c>
      <c r="K58" s="136">
        <f t="shared" si="30"/>
        <v>0</v>
      </c>
      <c r="L58" s="136">
        <f t="shared" si="31"/>
        <v>0</v>
      </c>
      <c r="M58" s="136">
        <f t="shared" si="32"/>
        <v>0</v>
      </c>
      <c r="N58" s="136">
        <f t="shared" si="33"/>
        <v>0</v>
      </c>
      <c r="O58" s="136">
        <f t="shared" si="33"/>
        <v>0</v>
      </c>
      <c r="P58" s="136">
        <f t="shared" si="33"/>
        <v>0</v>
      </c>
      <c r="Q58" s="2"/>
      <c r="R58" s="135" t="str">
        <f t="shared" si="4"/>
        <v>AM.4900</v>
      </c>
      <c r="S58" s="245" t="str">
        <f>+IF(C58=TT[[#This Row],[ITEM]],"ok","mal")</f>
        <v>ok</v>
      </c>
      <c r="T58" s="246">
        <f t="shared" si="24"/>
        <v>0</v>
      </c>
      <c r="U58" s="80">
        <f>IF(VLOOKUP(R58,TbPiezas[],5,0)="NA",0,VLOOKUP(R58,TbPiezas[],5,0))</f>
        <v>4.0999999999999943</v>
      </c>
      <c r="V58" s="81">
        <f>+TT[[#This Row],[TOTAL]]*TT[[#This Row],[P.U. (1)]]</f>
        <v>0</v>
      </c>
      <c r="W58" s="247">
        <f>+VLOOKUP(R58,TbPiezas[],6,0)</f>
        <v>109.33</v>
      </c>
      <c r="X58" s="248">
        <f>ROUND(TT[[#This Row],[TOTAL]]*TT[[#This Row],[P.U. (2)]],2)</f>
        <v>0</v>
      </c>
      <c r="Y58" s="247">
        <f>+VLOOKUP(R58,TbPiezas[],7,0)</f>
        <v>5.4664999999999999</v>
      </c>
      <c r="Z58" s="249">
        <f>ROUND(TT[[#This Row],[TOTAL]]*TT[[#This Row],[P.U. (3)]],2)</f>
        <v>0</v>
      </c>
    </row>
    <row r="59" spans="2:26" x14ac:dyDescent="0.3">
      <c r="B59" s="135">
        <v>732</v>
      </c>
      <c r="C59" s="135" t="s">
        <v>107</v>
      </c>
      <c r="D59" s="135" t="s">
        <v>108</v>
      </c>
      <c r="E59" s="2"/>
      <c r="F59" s="136">
        <f t="shared" si="25"/>
        <v>0</v>
      </c>
      <c r="G59" s="136">
        <f t="shared" si="26"/>
        <v>0</v>
      </c>
      <c r="H59" s="136">
        <f t="shared" si="27"/>
        <v>0</v>
      </c>
      <c r="I59" s="136">
        <f t="shared" si="28"/>
        <v>0</v>
      </c>
      <c r="J59" s="136">
        <f t="shared" si="29"/>
        <v>0</v>
      </c>
      <c r="K59" s="136">
        <f t="shared" si="30"/>
        <v>0</v>
      </c>
      <c r="L59" s="136">
        <f t="shared" si="31"/>
        <v>0</v>
      </c>
      <c r="M59" s="136">
        <f t="shared" si="32"/>
        <v>0</v>
      </c>
      <c r="N59" s="136">
        <f t="shared" si="33"/>
        <v>0</v>
      </c>
      <c r="O59" s="136">
        <f t="shared" si="33"/>
        <v>0</v>
      </c>
      <c r="P59" s="136">
        <f t="shared" si="33"/>
        <v>0</v>
      </c>
      <c r="Q59" s="2"/>
      <c r="R59" s="135" t="str">
        <f t="shared" si="4"/>
        <v>AM.5000</v>
      </c>
      <c r="S59" s="245" t="str">
        <f>+IF(C59=TT[[#This Row],[ITEM]],"ok","mal")</f>
        <v>ok</v>
      </c>
      <c r="T59" s="246">
        <f t="shared" si="24"/>
        <v>0</v>
      </c>
      <c r="U59" s="80">
        <f>IF(VLOOKUP(R59,TbPiezas[],5,0)="NA",0,VLOOKUP(R59,TbPiezas[],5,0))</f>
        <v>0.5</v>
      </c>
      <c r="V59" s="81">
        <f>+TT[[#This Row],[TOTAL]]*TT[[#This Row],[P.U. (1)]]</f>
        <v>0</v>
      </c>
      <c r="W59" s="247">
        <f>+VLOOKUP(R59,TbPiezas[],6,0)</f>
        <v>91.83</v>
      </c>
      <c r="X59" s="248">
        <f>ROUND(TT[[#This Row],[TOTAL]]*TT[[#This Row],[P.U. (2)]],2)</f>
        <v>0</v>
      </c>
      <c r="Y59" s="247">
        <f>+VLOOKUP(R59,TbPiezas[],7,0)</f>
        <v>4.5914999999999999</v>
      </c>
      <c r="Z59" s="249">
        <f>ROUND(TT[[#This Row],[TOTAL]]*TT[[#This Row],[P.U. (3)]],2)</f>
        <v>0</v>
      </c>
    </row>
    <row r="60" spans="2:26" x14ac:dyDescent="0.3">
      <c r="B60" s="135">
        <v>3072</v>
      </c>
      <c r="C60" s="135" t="s">
        <v>109</v>
      </c>
      <c r="D60" s="135" t="s">
        <v>110</v>
      </c>
      <c r="E60" s="2"/>
      <c r="F60" s="136">
        <f t="shared" ref="F60:F65" si="34">+IF(F$4=$B60,IF(F$6&gt;0,IF(ISEVEN(F$6),F$6,F$6+1),0),0)+IF(F$5=$B60,IF(F$6&gt;0,IF(AND(F$4&gt;0,E$4=0),IF(ISEVEN(F$6),F$6,F$6+1),IF(AND(F$4&gt;0,E$4&gt;0),IF(ISEVEN(F$6),0.5*F$6,0.5*F$6+0.5),0)),0),0)</f>
        <v>0</v>
      </c>
      <c r="G60" s="136">
        <f t="shared" ref="G60:G65" si="35">+IF(G$4=$B60,IF(G$6&gt;0,IF(ISEVEN(G$6),G$6,G$6+1),0),0)+IF(G$5=$B60,IF(G$6&gt;0,IF(AND(G$4&gt;0,F$4=0),IF(ISEVEN(G$6),G$6,G$6+1),IF(AND(G$4&gt;0,F$4&gt;0),IF(ISEVEN(G$6),0.5*G$6,0.5*G$6+0.5),0)),0),0)</f>
        <v>0</v>
      </c>
      <c r="H60" s="136">
        <f t="shared" ref="H60:H65" si="36">+IF(H$4=$B60,IF(H$6&gt;0,IF(ISEVEN(H$6),H$6,H$6+1),0),0)+IF(H$5=$B60,IF(H$6&gt;0,IF(AND(H$4&gt;0,G$4=0),IF(ISEVEN(H$6),H$6,H$6+1),IF(AND(H$4&gt;0,G$4&gt;0),IF(ISEVEN(H$6),0.5*H$6,0.5*H$6+0.5),0)),0),0)</f>
        <v>0</v>
      </c>
      <c r="I60" s="136">
        <f t="shared" ref="I60:I65" si="37">+IF(I$4=$B60,IF(I$6&gt;0,IF(ISEVEN(I$6),I$6,I$6+1),0),0)+IF(I$5=$B60,IF(I$6&gt;0,IF(AND(I$4&gt;0,H$4=0),IF(ISEVEN(I$6),I$6,I$6+1),IF(AND(I$4&gt;0,H$4&gt;0),IF(ISEVEN(I$6),0.5*I$6,0.5*I$6+0.5),0)),0),0)</f>
        <v>0</v>
      </c>
      <c r="J60" s="136">
        <f t="shared" ref="J60:J65" si="38">+IF(J$4=$B60,IF(J$6&gt;0,IF(ISEVEN(J$6),J$6,J$6+1),0),0)+IF(J$5=$B60,IF(J$6&gt;0,IF(AND(J$4&gt;0,I$4=0),IF(ISEVEN(J$6),J$6,J$6+1),IF(AND(J$4&gt;0,I$4&gt;0),IF(ISEVEN(J$6),0.5*J$6,0.5*J$6+0.5),0)),0),0)</f>
        <v>0</v>
      </c>
      <c r="K60" s="136">
        <f t="shared" ref="K60:K65" si="39">+IF(K$4=$B60,IF(K$6&gt;0,IF(ISEVEN(K$6),K$6,K$6+1),0),0)+IF(K$5=$B60,IF(K$6&gt;0,IF(AND(K$4&gt;0,J$4=0),IF(ISEVEN(K$6),K$6,K$6+1),IF(AND(K$4&gt;0,J$4&gt;0),IF(ISEVEN(K$6),0.5*K$6,0.5*K$6+0.5),0)),0),0)</f>
        <v>0</v>
      </c>
      <c r="L60" s="136">
        <f t="shared" ref="L60:L65" si="40">+IF(L$4=$B60,IF(L$6&gt;0,IF(ISEVEN(L$6),L$6,L$6+1),0),0)+IF(L$5=$B60,IF(L$6&gt;0,IF(AND(L$4&gt;0,K$4=0),IF(ISEVEN(L$6),L$6,L$6+1),IF(AND(L$4&gt;0,K$4&gt;0),IF(ISEVEN(L$6),0.5*L$6,0.5*L$6+0.5),0)),0),0)</f>
        <v>0</v>
      </c>
      <c r="M60" s="136">
        <f t="shared" ref="M60:P65" si="41">+IF(M$4=$B60,IF(AND(M$6&gt;0,M$8="SI"),IF(ISEVEN(M$6),0.5*M$6,0.5*M$6+0.5),0),0)+IF(AND(M$9&gt;0,M$5=$B60),M$9*IF(ISEVEN(M$6),0.5*M$6,0.5*M$6+0.5),0)</f>
        <v>0</v>
      </c>
      <c r="N60" s="136">
        <f t="shared" si="41"/>
        <v>0</v>
      </c>
      <c r="O60" s="136">
        <f t="shared" si="41"/>
        <v>0</v>
      </c>
      <c r="P60" s="136">
        <f t="shared" si="41"/>
        <v>0</v>
      </c>
      <c r="Q60" s="2"/>
      <c r="R60" s="135" t="str">
        <f t="shared" si="4"/>
        <v>AM.5100</v>
      </c>
      <c r="S60" s="245" t="str">
        <f>+IF(C60=TT[[#This Row],[ITEM]],"ok","mal")</f>
        <v>ok</v>
      </c>
      <c r="T60" s="246">
        <f t="shared" si="24"/>
        <v>0</v>
      </c>
      <c r="U60" s="80">
        <f>IF(VLOOKUP(R60,TbPiezas[],5,0)="NA",0,VLOOKUP(R60,TbPiezas[],5,0))</f>
        <v>11.299999999999997</v>
      </c>
      <c r="V60" s="81">
        <f>+TT[[#This Row],[TOTAL]]*TT[[#This Row],[P.U. (1)]]</f>
        <v>0</v>
      </c>
      <c r="W60" s="247">
        <f>+VLOOKUP(R60,TbPiezas[],6,0)</f>
        <v>316.13</v>
      </c>
      <c r="X60" s="248">
        <f>ROUND(TT[[#This Row],[TOTAL]]*TT[[#This Row],[P.U. (2)]],2)</f>
        <v>0</v>
      </c>
      <c r="Y60" s="247">
        <f>+VLOOKUP(R60,TbPiezas[],7,0)</f>
        <v>15.8065</v>
      </c>
      <c r="Z60" s="249">
        <f>ROUND(TT[[#This Row],[TOTAL]]*TT[[#This Row],[P.U. (3)]],2)</f>
        <v>0</v>
      </c>
    </row>
    <row r="61" spans="2:26" x14ac:dyDescent="0.3">
      <c r="B61" s="135">
        <v>2572</v>
      </c>
      <c r="C61" s="135" t="s">
        <v>111</v>
      </c>
      <c r="D61" s="135" t="s">
        <v>112</v>
      </c>
      <c r="E61" s="2"/>
      <c r="F61" s="136">
        <f t="shared" si="34"/>
        <v>4</v>
      </c>
      <c r="G61" s="136">
        <f t="shared" si="35"/>
        <v>0</v>
      </c>
      <c r="H61" s="136">
        <f t="shared" si="36"/>
        <v>0</v>
      </c>
      <c r="I61" s="136">
        <f t="shared" si="37"/>
        <v>0</v>
      </c>
      <c r="J61" s="136">
        <f t="shared" si="38"/>
        <v>0</v>
      </c>
      <c r="K61" s="136">
        <f t="shared" si="39"/>
        <v>0</v>
      </c>
      <c r="L61" s="136">
        <f t="shared" si="40"/>
        <v>0</v>
      </c>
      <c r="M61" s="136">
        <f t="shared" si="41"/>
        <v>0</v>
      </c>
      <c r="N61" s="136">
        <f t="shared" si="41"/>
        <v>0</v>
      </c>
      <c r="O61" s="136">
        <f t="shared" si="41"/>
        <v>0</v>
      </c>
      <c r="P61" s="136">
        <f t="shared" si="41"/>
        <v>0</v>
      </c>
      <c r="Q61" s="138"/>
      <c r="R61" s="135" t="str">
        <f t="shared" si="4"/>
        <v>AM.5200</v>
      </c>
      <c r="S61" s="245" t="str">
        <f>+IF(C61=TT[[#This Row],[ITEM]],"ok","mal")</f>
        <v>ok</v>
      </c>
      <c r="T61" s="246">
        <f t="shared" si="24"/>
        <v>4</v>
      </c>
      <c r="U61" s="80">
        <f>IF(VLOOKUP(R61,TbPiezas[],5,0)="NA",0,VLOOKUP(R61,TbPiezas[],5,0))</f>
        <v>10.899999999999991</v>
      </c>
      <c r="V61" s="81">
        <f>+TT[[#This Row],[TOTAL]]*TT[[#This Row],[P.U. (1)]]</f>
        <v>43.599999999999966</v>
      </c>
      <c r="W61" s="247">
        <f>+VLOOKUP(R61,TbPiezas[],6,0)</f>
        <v>302.58</v>
      </c>
      <c r="X61" s="441">
        <f>ROUND(TT[[#This Row],[TOTAL]]*TT[[#This Row],[P.U. (2)]],2)</f>
        <v>1210.32</v>
      </c>
      <c r="Y61" s="247">
        <f>+VLOOKUP(R61,TbPiezas[],7,0)</f>
        <v>15.129</v>
      </c>
      <c r="Z61" s="249">
        <f>ROUND(TT[[#This Row],[TOTAL]]*TT[[#This Row],[P.U. (3)]],2)</f>
        <v>60.52</v>
      </c>
    </row>
    <row r="62" spans="2:26" x14ac:dyDescent="0.3">
      <c r="B62" s="135">
        <v>2072</v>
      </c>
      <c r="C62" s="135" t="s">
        <v>113</v>
      </c>
      <c r="D62" s="135" t="s">
        <v>114</v>
      </c>
      <c r="E62" s="2"/>
      <c r="F62" s="136">
        <f t="shared" si="34"/>
        <v>0</v>
      </c>
      <c r="G62" s="136">
        <f t="shared" si="35"/>
        <v>0</v>
      </c>
      <c r="H62" s="136">
        <f t="shared" si="36"/>
        <v>0</v>
      </c>
      <c r="I62" s="136">
        <f t="shared" si="37"/>
        <v>0</v>
      </c>
      <c r="J62" s="136">
        <f t="shared" si="38"/>
        <v>0</v>
      </c>
      <c r="K62" s="136">
        <f t="shared" si="39"/>
        <v>0</v>
      </c>
      <c r="L62" s="136">
        <f t="shared" si="40"/>
        <v>0</v>
      </c>
      <c r="M62" s="136">
        <f t="shared" si="41"/>
        <v>0</v>
      </c>
      <c r="N62" s="136">
        <f t="shared" si="41"/>
        <v>0</v>
      </c>
      <c r="O62" s="136">
        <f t="shared" si="41"/>
        <v>0</v>
      </c>
      <c r="P62" s="136">
        <f t="shared" si="41"/>
        <v>0</v>
      </c>
      <c r="Q62" s="2"/>
      <c r="R62" s="135" t="str">
        <f t="shared" si="4"/>
        <v>AM.5300</v>
      </c>
      <c r="S62" s="245" t="str">
        <f>+IF(C62=TT[[#This Row],[ITEM]],"ok","mal")</f>
        <v>ok</v>
      </c>
      <c r="T62" s="246">
        <f t="shared" si="24"/>
        <v>0</v>
      </c>
      <c r="U62" s="80">
        <f>IF(VLOOKUP(R62,TbPiezas[],5,0)="NA",0,VLOOKUP(R62,TbPiezas[],5,0))</f>
        <v>7.5</v>
      </c>
      <c r="V62" s="81">
        <f>+TT[[#This Row],[TOTAL]]*TT[[#This Row],[P.U. (1)]]</f>
        <v>0</v>
      </c>
      <c r="W62" s="247">
        <f>+VLOOKUP(R62,TbPiezas[],6,0)</f>
        <v>291.14</v>
      </c>
      <c r="X62" s="441">
        <f>ROUND(TT[[#This Row],[TOTAL]]*TT[[#This Row],[P.U. (2)]],2)</f>
        <v>0</v>
      </c>
      <c r="Y62" s="247">
        <f>+VLOOKUP(R62,TbPiezas[],7,0)</f>
        <v>14.557</v>
      </c>
      <c r="Z62" s="249">
        <f>ROUND(TT[[#This Row],[TOTAL]]*TT[[#This Row],[P.U. (3)]],2)</f>
        <v>0</v>
      </c>
    </row>
    <row r="63" spans="2:26" x14ac:dyDescent="0.3">
      <c r="B63" s="135">
        <v>1572</v>
      </c>
      <c r="C63" s="135" t="s">
        <v>115</v>
      </c>
      <c r="D63" s="135" t="s">
        <v>116</v>
      </c>
      <c r="E63" s="2"/>
      <c r="F63" s="136">
        <f t="shared" si="34"/>
        <v>0</v>
      </c>
      <c r="G63" s="136">
        <f t="shared" si="35"/>
        <v>0</v>
      </c>
      <c r="H63" s="136">
        <f t="shared" si="36"/>
        <v>0</v>
      </c>
      <c r="I63" s="136">
        <f t="shared" si="37"/>
        <v>0</v>
      </c>
      <c r="J63" s="136">
        <f t="shared" si="38"/>
        <v>0</v>
      </c>
      <c r="K63" s="136">
        <f t="shared" si="39"/>
        <v>0</v>
      </c>
      <c r="L63" s="136">
        <f t="shared" si="40"/>
        <v>0</v>
      </c>
      <c r="M63" s="136">
        <f t="shared" si="41"/>
        <v>0</v>
      </c>
      <c r="N63" s="136">
        <f t="shared" si="41"/>
        <v>0</v>
      </c>
      <c r="O63" s="136">
        <f t="shared" si="41"/>
        <v>0</v>
      </c>
      <c r="P63" s="136">
        <f t="shared" si="41"/>
        <v>0</v>
      </c>
      <c r="Q63" s="2"/>
      <c r="R63" s="135" t="str">
        <f t="shared" si="4"/>
        <v>AM.5400</v>
      </c>
      <c r="S63" s="245" t="str">
        <f>+IF(C63=TT[[#This Row],[ITEM]],"ok","mal")</f>
        <v>ok</v>
      </c>
      <c r="T63" s="246">
        <f t="shared" si="24"/>
        <v>0</v>
      </c>
      <c r="U63" s="80">
        <f>IF(VLOOKUP(R63,TbPiezas[],5,0)="NA",0,VLOOKUP(R63,TbPiezas[],5,0))</f>
        <v>6.5999999999999943</v>
      </c>
      <c r="V63" s="81">
        <f>+TT[[#This Row],[TOTAL]]*TT[[#This Row],[P.U. (1)]]</f>
        <v>0</v>
      </c>
      <c r="W63" s="247">
        <f>+VLOOKUP(R63,TbPiezas[],6,0)</f>
        <v>280.58999999999997</v>
      </c>
      <c r="X63" s="248">
        <f>ROUND(TT[[#This Row],[TOTAL]]*TT[[#This Row],[P.U. (2)]],2)</f>
        <v>0</v>
      </c>
      <c r="Y63" s="247">
        <f>+VLOOKUP(R63,TbPiezas[],7,0)</f>
        <v>14.029499999999999</v>
      </c>
      <c r="Z63" s="249">
        <f>ROUND(TT[[#This Row],[TOTAL]]*TT[[#This Row],[P.U. (3)]],2)</f>
        <v>0</v>
      </c>
    </row>
    <row r="64" spans="2:26" x14ac:dyDescent="0.3">
      <c r="B64" s="135">
        <v>1090</v>
      </c>
      <c r="C64" s="135" t="s">
        <v>117</v>
      </c>
      <c r="D64" s="135" t="s">
        <v>118</v>
      </c>
      <c r="E64" s="2"/>
      <c r="F64" s="136">
        <f t="shared" si="34"/>
        <v>0</v>
      </c>
      <c r="G64" s="136">
        <f t="shared" si="35"/>
        <v>0</v>
      </c>
      <c r="H64" s="136">
        <f t="shared" si="36"/>
        <v>0</v>
      </c>
      <c r="I64" s="136">
        <f t="shared" si="37"/>
        <v>0</v>
      </c>
      <c r="J64" s="136">
        <f t="shared" si="38"/>
        <v>0</v>
      </c>
      <c r="K64" s="136">
        <f t="shared" si="39"/>
        <v>0</v>
      </c>
      <c r="L64" s="136">
        <f t="shared" si="40"/>
        <v>0</v>
      </c>
      <c r="M64" s="136">
        <f t="shared" si="41"/>
        <v>0</v>
      </c>
      <c r="N64" s="136">
        <f t="shared" si="41"/>
        <v>0</v>
      </c>
      <c r="O64" s="136">
        <f t="shared" si="41"/>
        <v>0</v>
      </c>
      <c r="P64" s="136">
        <f t="shared" si="41"/>
        <v>0</v>
      </c>
      <c r="Q64" s="2"/>
      <c r="R64" s="135" t="str">
        <f t="shared" si="4"/>
        <v>AM.5500</v>
      </c>
      <c r="S64" s="245" t="str">
        <f>+IF(C64=TT[[#This Row],[ITEM]],"ok","mal")</f>
        <v>ok</v>
      </c>
      <c r="T64" s="246">
        <f t="shared" si="24"/>
        <v>0</v>
      </c>
      <c r="U64" s="80">
        <f>IF(VLOOKUP(R64,TbPiezas[],5,0)="NA",0,VLOOKUP(R64,TbPiezas[],5,0))</f>
        <v>6</v>
      </c>
      <c r="V64" s="81">
        <f>+TT[[#This Row],[TOTAL]]*TT[[#This Row],[P.U. (1)]]</f>
        <v>0</v>
      </c>
      <c r="W64" s="247">
        <f>+VLOOKUP(R64,TbPiezas[],6,0)</f>
        <v>280.58999999999997</v>
      </c>
      <c r="X64" s="248">
        <f>ROUND(TT[[#This Row],[TOTAL]]*TT[[#This Row],[P.U. (2)]],2)</f>
        <v>0</v>
      </c>
      <c r="Y64" s="247">
        <f>+VLOOKUP(R64,TbPiezas[],7,0)</f>
        <v>14.029499999999999</v>
      </c>
      <c r="Z64" s="249">
        <f>ROUND(TT[[#This Row],[TOTAL]]*TT[[#This Row],[P.U. (3)]],2)</f>
        <v>0</v>
      </c>
    </row>
    <row r="65" spans="2:26" x14ac:dyDescent="0.3">
      <c r="B65" s="135">
        <v>1020</v>
      </c>
      <c r="C65" s="135" t="s">
        <v>119</v>
      </c>
      <c r="D65" s="135" t="s">
        <v>120</v>
      </c>
      <c r="E65" s="2"/>
      <c r="F65" s="136">
        <f t="shared" si="34"/>
        <v>0</v>
      </c>
      <c r="G65" s="136">
        <f t="shared" si="35"/>
        <v>0</v>
      </c>
      <c r="H65" s="136">
        <f t="shared" si="36"/>
        <v>0</v>
      </c>
      <c r="I65" s="136">
        <f t="shared" si="37"/>
        <v>0</v>
      </c>
      <c r="J65" s="136">
        <f t="shared" si="38"/>
        <v>0</v>
      </c>
      <c r="K65" s="136">
        <f t="shared" si="39"/>
        <v>0</v>
      </c>
      <c r="L65" s="136">
        <f t="shared" si="40"/>
        <v>0</v>
      </c>
      <c r="M65" s="136">
        <f t="shared" si="41"/>
        <v>0</v>
      </c>
      <c r="N65" s="136">
        <f t="shared" si="41"/>
        <v>0</v>
      </c>
      <c r="O65" s="136">
        <f t="shared" si="41"/>
        <v>0</v>
      </c>
      <c r="P65" s="136">
        <f t="shared" si="41"/>
        <v>0</v>
      </c>
      <c r="Q65" s="2"/>
      <c r="R65" s="135" t="str">
        <f t="shared" si="4"/>
        <v>AM.5600</v>
      </c>
      <c r="S65" s="245" t="str">
        <f>+IF(C65=TT[[#This Row],[ITEM]],"ok","mal")</f>
        <v>ok</v>
      </c>
      <c r="T65" s="246">
        <f t="shared" si="24"/>
        <v>0</v>
      </c>
      <c r="U65" s="80">
        <f>IF(VLOOKUP(R65,TbPiezas[],5,0)="NA",0,VLOOKUP(R65,TbPiezas[],5,0))</f>
        <v>4.2000000000000028</v>
      </c>
      <c r="V65" s="81">
        <f>+TT[[#This Row],[TOTAL]]*TT[[#This Row],[P.U. (1)]]</f>
        <v>0</v>
      </c>
      <c r="W65" s="247">
        <f>+VLOOKUP(R65,TbPiezas[],6,0)</f>
        <v>266.81</v>
      </c>
      <c r="X65" s="248">
        <f>ROUND(TT[[#This Row],[TOTAL]]*TT[[#This Row],[P.U. (2)]],2)</f>
        <v>0</v>
      </c>
      <c r="Y65" s="247">
        <f>+VLOOKUP(R65,TbPiezas[],7,0)</f>
        <v>13.3405</v>
      </c>
      <c r="Z65" s="249">
        <f>ROUND(TT[[#This Row],[TOTAL]]*TT[[#This Row],[P.U. (3)]],2)</f>
        <v>0</v>
      </c>
    </row>
    <row r="66" spans="2:26" x14ac:dyDescent="0.3">
      <c r="B66" s="135">
        <v>3072</v>
      </c>
      <c r="C66" s="135" t="s">
        <v>129</v>
      </c>
      <c r="D66" s="135" t="s">
        <v>130</v>
      </c>
      <c r="E66" s="2"/>
      <c r="F66" s="136">
        <f t="shared" ref="F66:L71" si="42">+IF(AND(F$4=$B66,F$12="ESP"),(IF(F$10="SI",2,0)+IF(F$11="TODO",IF(ISEVEN(F$6),0.5*F$6,0.5*F$6+0.5),IF(F$11="ARRIBA",1,0))*IF(F$10="SI",IF(F$5=732,0,IF(F$5=1090,1,IF(F$5=1572,3,IF(F$5=2072,4,IF(F$5=2572,6,IF(F$5=3072,8,0)))))),IF(F$10="NO",IF(F$5=732,2,IF(F$5=1090,3,IF(F$5=1572,5,IF(F$5=2072,6,IF(F$5=2572,8,IF(F$5=3072,10,0)))))),0))),0)</f>
        <v>0</v>
      </c>
      <c r="G66" s="136">
        <f t="shared" si="42"/>
        <v>0</v>
      </c>
      <c r="H66" s="136">
        <f t="shared" si="42"/>
        <v>0</v>
      </c>
      <c r="I66" s="136">
        <f t="shared" si="42"/>
        <v>0</v>
      </c>
      <c r="J66" s="136">
        <f t="shared" si="42"/>
        <v>0</v>
      </c>
      <c r="K66" s="136">
        <f t="shared" si="42"/>
        <v>0</v>
      </c>
      <c r="L66" s="136">
        <f t="shared" si="42"/>
        <v>0</v>
      </c>
      <c r="M66" s="136">
        <f t="shared" ref="M66:P71" si="43">+IF(AND(M$4=$B66,M$12="ESP"),(IF(M$10="SI",2,0)+IF(M$11="TODO",IF(ISEVEN(M$6),0.5*M$6,0.5*M$6+0.5),IF(M$11="ARRIBA",1,0))*IF(M$10="SI",IF(M$5=732,0,IF(M$5=1090,1,IF(M$5=1572,3,IF(M$5=2072,4,IF(M$5=2572,6,IF(M$5=3072,8,0)))))),IF(M$10="NO",IF(M$5=732,2,IF(M$5=1090,3,IF(M$5=1572,5,IF(M$5=2072,6,IF(M$5=2572,8,IF(M$5=3072,10,0)))))),0))),0)</f>
        <v>0</v>
      </c>
      <c r="N66" s="136">
        <f t="shared" si="43"/>
        <v>0</v>
      </c>
      <c r="O66" s="136">
        <f t="shared" si="43"/>
        <v>0</v>
      </c>
      <c r="P66" s="136">
        <f t="shared" si="43"/>
        <v>0</v>
      </c>
      <c r="Q66" s="138"/>
      <c r="R66" s="135" t="str">
        <f t="shared" si="4"/>
        <v>AM.6000</v>
      </c>
      <c r="S66" s="245" t="str">
        <f>+IF(C66=TT[[#This Row],[ITEM]],"ok","mal")</f>
        <v>ok</v>
      </c>
      <c r="T66" s="246">
        <f t="shared" si="24"/>
        <v>0</v>
      </c>
      <c r="U66" s="80">
        <f>IF(VLOOKUP(R66,TbPiezas[],5,0)="NA",0,VLOOKUP(R66,TbPiezas[],5,0))</f>
        <v>18.599999999999994</v>
      </c>
      <c r="V66" s="81">
        <f>+TT[[#This Row],[TOTAL]]*TT[[#This Row],[P.U. (1)]]</f>
        <v>0</v>
      </c>
      <c r="W66" s="247">
        <f>+VLOOKUP(R66,TbPiezas[],6,0)</f>
        <v>654.70000000000005</v>
      </c>
      <c r="X66" s="248">
        <f>ROUND(TT[[#This Row],[TOTAL]]*TT[[#This Row],[P.U. (2)]],2)</f>
        <v>0</v>
      </c>
      <c r="Y66" s="247">
        <f>+VLOOKUP(R66,TbPiezas[],7,0)</f>
        <v>32.735000000000007</v>
      </c>
      <c r="Z66" s="249">
        <f>ROUND(TT[[#This Row],[TOTAL]]*TT[[#This Row],[P.U. (3)]],2)</f>
        <v>0</v>
      </c>
    </row>
    <row r="67" spans="2:26" x14ac:dyDescent="0.3">
      <c r="B67" s="135">
        <v>2572</v>
      </c>
      <c r="C67" s="135" t="s">
        <v>131</v>
      </c>
      <c r="D67" s="135" t="s">
        <v>132</v>
      </c>
      <c r="E67" s="2"/>
      <c r="F67" s="136">
        <f t="shared" si="42"/>
        <v>8</v>
      </c>
      <c r="G67" s="136">
        <f t="shared" si="42"/>
        <v>0</v>
      </c>
      <c r="H67" s="136">
        <f t="shared" si="42"/>
        <v>0</v>
      </c>
      <c r="I67" s="136">
        <f t="shared" si="42"/>
        <v>0</v>
      </c>
      <c r="J67" s="136">
        <f t="shared" si="42"/>
        <v>0</v>
      </c>
      <c r="K67" s="136">
        <f t="shared" si="42"/>
        <v>0</v>
      </c>
      <c r="L67" s="136">
        <f t="shared" si="42"/>
        <v>0</v>
      </c>
      <c r="M67" s="136">
        <f t="shared" si="43"/>
        <v>0</v>
      </c>
      <c r="N67" s="136">
        <f t="shared" si="43"/>
        <v>0</v>
      </c>
      <c r="O67" s="136">
        <f t="shared" si="43"/>
        <v>0</v>
      </c>
      <c r="P67" s="136">
        <f t="shared" si="43"/>
        <v>0</v>
      </c>
      <c r="Q67" s="138"/>
      <c r="R67" s="135" t="str">
        <f t="shared" si="4"/>
        <v>AM.6100</v>
      </c>
      <c r="S67" s="245" t="str">
        <f>+IF(C67=TT[[#This Row],[ITEM]],"ok","mal")</f>
        <v>ok</v>
      </c>
      <c r="T67" s="246">
        <f t="shared" si="24"/>
        <v>8</v>
      </c>
      <c r="U67" s="80">
        <f>IF(VLOOKUP(R67,TbPiezas[],5,0)="NA",0,VLOOKUP(R67,TbPiezas[],5,0))</f>
        <v>15.2</v>
      </c>
      <c r="V67" s="81">
        <f>+TT[[#This Row],[TOTAL]]*TT[[#This Row],[P.U. (1)]]</f>
        <v>121.6</v>
      </c>
      <c r="W67" s="247">
        <f>+VLOOKUP(R67,TbPiezas[],6,0)</f>
        <v>575.04</v>
      </c>
      <c r="X67" s="248">
        <f>ROUND(TT[[#This Row],[TOTAL]]*TT[[#This Row],[P.U. (2)]],2)</f>
        <v>4600.32</v>
      </c>
      <c r="Y67" s="247">
        <f>+VLOOKUP(R67,TbPiezas[],7,0)</f>
        <v>28.751999999999999</v>
      </c>
      <c r="Z67" s="249">
        <f>ROUND(TT[[#This Row],[TOTAL]]*TT[[#This Row],[P.U. (3)]],2)</f>
        <v>230.02</v>
      </c>
    </row>
    <row r="68" spans="2:26" x14ac:dyDescent="0.3">
      <c r="B68" s="135">
        <v>2072</v>
      </c>
      <c r="C68" s="135" t="s">
        <v>133</v>
      </c>
      <c r="D68" s="135" t="s">
        <v>134</v>
      </c>
      <c r="E68" s="2"/>
      <c r="F68" s="136">
        <f t="shared" si="42"/>
        <v>0</v>
      </c>
      <c r="G68" s="136">
        <f t="shared" si="42"/>
        <v>0</v>
      </c>
      <c r="H68" s="136">
        <f t="shared" si="42"/>
        <v>0</v>
      </c>
      <c r="I68" s="136">
        <f t="shared" si="42"/>
        <v>0</v>
      </c>
      <c r="J68" s="136">
        <f t="shared" si="42"/>
        <v>0</v>
      </c>
      <c r="K68" s="136">
        <f t="shared" si="42"/>
        <v>0</v>
      </c>
      <c r="L68" s="136">
        <f t="shared" si="42"/>
        <v>0</v>
      </c>
      <c r="M68" s="136">
        <f t="shared" si="43"/>
        <v>0</v>
      </c>
      <c r="N68" s="136">
        <f t="shared" si="43"/>
        <v>0</v>
      </c>
      <c r="O68" s="136">
        <f t="shared" si="43"/>
        <v>0</v>
      </c>
      <c r="P68" s="136">
        <f t="shared" si="43"/>
        <v>0</v>
      </c>
      <c r="Q68" s="138"/>
      <c r="R68" s="135" t="str">
        <f t="shared" si="4"/>
        <v>AM.6200</v>
      </c>
      <c r="S68" s="245" t="str">
        <f>+IF(C68=TT[[#This Row],[ITEM]],"ok","mal")</f>
        <v>ok</v>
      </c>
      <c r="T68" s="246">
        <f t="shared" si="24"/>
        <v>0</v>
      </c>
      <c r="U68" s="80">
        <f>IF(VLOOKUP(R68,TbPiezas[],5,0)="NA",0,VLOOKUP(R68,TbPiezas[],5,0))</f>
        <v>11.799999999999997</v>
      </c>
      <c r="V68" s="81">
        <f>+TT[[#This Row],[TOTAL]]*TT[[#This Row],[P.U. (1)]]</f>
        <v>0</v>
      </c>
      <c r="W68" s="247">
        <f>+VLOOKUP(R68,TbPiezas[],6,0)</f>
        <v>496.07</v>
      </c>
      <c r="X68" s="248">
        <f>ROUND(TT[[#This Row],[TOTAL]]*TT[[#This Row],[P.U. (2)]],2)</f>
        <v>0</v>
      </c>
      <c r="Y68" s="247">
        <f>+VLOOKUP(R68,TbPiezas[],7,0)</f>
        <v>24.8035</v>
      </c>
      <c r="Z68" s="249">
        <f>ROUND(TT[[#This Row],[TOTAL]]*TT[[#This Row],[P.U. (3)]],2)</f>
        <v>0</v>
      </c>
    </row>
    <row r="69" spans="2:26" x14ac:dyDescent="0.3">
      <c r="B69" s="135">
        <v>1572</v>
      </c>
      <c r="C69" s="135" t="s">
        <v>135</v>
      </c>
      <c r="D69" s="135" t="s">
        <v>136</v>
      </c>
      <c r="E69" s="2"/>
      <c r="F69" s="136">
        <f t="shared" si="42"/>
        <v>0</v>
      </c>
      <c r="G69" s="136">
        <f t="shared" si="42"/>
        <v>0</v>
      </c>
      <c r="H69" s="136">
        <f t="shared" si="42"/>
        <v>0</v>
      </c>
      <c r="I69" s="136">
        <f t="shared" si="42"/>
        <v>0</v>
      </c>
      <c r="J69" s="136">
        <f t="shared" si="42"/>
        <v>0</v>
      </c>
      <c r="K69" s="136">
        <f t="shared" si="42"/>
        <v>0</v>
      </c>
      <c r="L69" s="136">
        <f t="shared" si="42"/>
        <v>0</v>
      </c>
      <c r="M69" s="136">
        <f t="shared" si="43"/>
        <v>0</v>
      </c>
      <c r="N69" s="136">
        <f t="shared" si="43"/>
        <v>0</v>
      </c>
      <c r="O69" s="136">
        <f t="shared" si="43"/>
        <v>0</v>
      </c>
      <c r="P69" s="136">
        <f t="shared" si="43"/>
        <v>0</v>
      </c>
      <c r="Q69" s="138"/>
      <c r="R69" s="135" t="str">
        <f t="shared" si="4"/>
        <v>AM.6300</v>
      </c>
      <c r="S69" s="245" t="str">
        <f>+IF(C69=TT[[#This Row],[ITEM]],"ok","mal")</f>
        <v>ok</v>
      </c>
      <c r="T69" s="246">
        <f t="shared" si="24"/>
        <v>0</v>
      </c>
      <c r="U69" s="80">
        <f>IF(VLOOKUP(R69,TbPiezas[],5,0)="NA",0,VLOOKUP(R69,TbPiezas[],5,0))</f>
        <v>9.8999999999999915</v>
      </c>
      <c r="V69" s="81">
        <f>+TT[[#This Row],[TOTAL]]*TT[[#This Row],[P.U. (1)]]</f>
        <v>0</v>
      </c>
      <c r="W69" s="247">
        <f>+VLOOKUP(R69,TbPiezas[],6,0)</f>
        <v>484.34</v>
      </c>
      <c r="X69" s="248">
        <f>ROUND(TT[[#This Row],[TOTAL]]*TT[[#This Row],[P.U. (2)]],2)</f>
        <v>0</v>
      </c>
      <c r="Y69" s="247">
        <f>+VLOOKUP(R69,TbPiezas[],7,0)</f>
        <v>24.216999999999999</v>
      </c>
      <c r="Z69" s="249">
        <f>ROUND(TT[[#This Row],[TOTAL]]*TT[[#This Row],[P.U. (3)]],2)</f>
        <v>0</v>
      </c>
    </row>
    <row r="70" spans="2:26" x14ac:dyDescent="0.3">
      <c r="B70" s="135">
        <v>1020</v>
      </c>
      <c r="C70" s="135" t="s">
        <v>137</v>
      </c>
      <c r="D70" s="135" t="s">
        <v>138</v>
      </c>
      <c r="E70" s="2"/>
      <c r="F70" s="136">
        <f t="shared" si="42"/>
        <v>0</v>
      </c>
      <c r="G70" s="136">
        <f t="shared" si="42"/>
        <v>0</v>
      </c>
      <c r="H70" s="136">
        <f t="shared" si="42"/>
        <v>0</v>
      </c>
      <c r="I70" s="136">
        <f t="shared" si="42"/>
        <v>0</v>
      </c>
      <c r="J70" s="136">
        <f t="shared" si="42"/>
        <v>0</v>
      </c>
      <c r="K70" s="136">
        <f t="shared" si="42"/>
        <v>0</v>
      </c>
      <c r="L70" s="136">
        <f t="shared" si="42"/>
        <v>0</v>
      </c>
      <c r="M70" s="136">
        <f t="shared" si="43"/>
        <v>0</v>
      </c>
      <c r="N70" s="136">
        <f t="shared" si="43"/>
        <v>0</v>
      </c>
      <c r="O70" s="136">
        <f t="shared" si="43"/>
        <v>0</v>
      </c>
      <c r="P70" s="136">
        <f t="shared" si="43"/>
        <v>0</v>
      </c>
      <c r="Q70" s="138"/>
      <c r="R70" s="135" t="str">
        <f t="shared" si="4"/>
        <v>AM.6400</v>
      </c>
      <c r="S70" s="245" t="str">
        <f>+IF(C70=TT[[#This Row],[ITEM]],"ok","mal")</f>
        <v>ok</v>
      </c>
      <c r="T70" s="246">
        <f t="shared" si="24"/>
        <v>0</v>
      </c>
      <c r="U70" s="80">
        <f>IF(VLOOKUP(R70,TbPiezas[],5,0)="NA",0,VLOOKUP(R70,TbPiezas[],5,0))</f>
        <v>5.7999999999999972</v>
      </c>
      <c r="V70" s="81">
        <f>+TT[[#This Row],[TOTAL]]*TT[[#This Row],[P.U. (1)]]</f>
        <v>0</v>
      </c>
      <c r="W70" s="247">
        <f>+VLOOKUP(R70,TbPiezas[],6,0)</f>
        <v>452.11</v>
      </c>
      <c r="X70" s="248">
        <f>ROUND(TT[[#This Row],[TOTAL]]*TT[[#This Row],[P.U. (2)]],2)</f>
        <v>0</v>
      </c>
      <c r="Y70" s="247">
        <f>+VLOOKUP(R70,TbPiezas[],7,0)</f>
        <v>22.605500000000003</v>
      </c>
      <c r="Z70" s="249">
        <f>ROUND(TT[[#This Row],[TOTAL]]*TT[[#This Row],[P.U. (3)]],2)</f>
        <v>0</v>
      </c>
    </row>
    <row r="71" spans="2:26" x14ac:dyDescent="0.3">
      <c r="B71" s="135">
        <v>732</v>
      </c>
      <c r="C71" s="135" t="s">
        <v>139</v>
      </c>
      <c r="D71" s="135" t="s">
        <v>140</v>
      </c>
      <c r="E71" s="2"/>
      <c r="F71" s="136">
        <f t="shared" si="42"/>
        <v>0</v>
      </c>
      <c r="G71" s="136">
        <f t="shared" si="42"/>
        <v>0</v>
      </c>
      <c r="H71" s="136">
        <f t="shared" si="42"/>
        <v>0</v>
      </c>
      <c r="I71" s="136">
        <f t="shared" si="42"/>
        <v>0</v>
      </c>
      <c r="J71" s="136">
        <f t="shared" si="42"/>
        <v>0</v>
      </c>
      <c r="K71" s="136">
        <f t="shared" si="42"/>
        <v>0</v>
      </c>
      <c r="L71" s="136">
        <f t="shared" si="42"/>
        <v>0</v>
      </c>
      <c r="M71" s="136">
        <f t="shared" si="43"/>
        <v>0</v>
      </c>
      <c r="N71" s="136">
        <f t="shared" si="43"/>
        <v>0</v>
      </c>
      <c r="O71" s="136">
        <f t="shared" si="43"/>
        <v>0</v>
      </c>
      <c r="P71" s="136">
        <f t="shared" si="43"/>
        <v>0</v>
      </c>
      <c r="Q71" s="138"/>
      <c r="R71" s="135" t="str">
        <f t="shared" si="4"/>
        <v>AM.6500</v>
      </c>
      <c r="S71" s="245" t="str">
        <f>+IF(C71=TT[[#This Row],[ITEM]],"ok","mal")</f>
        <v>ok</v>
      </c>
      <c r="T71" s="246">
        <f t="shared" si="24"/>
        <v>0</v>
      </c>
      <c r="U71" s="80">
        <f>IF(VLOOKUP(R71,TbPiezas[],5,0)="NA",0,VLOOKUP(R71,TbPiezas[],5,0))</f>
        <v>5.0999999999999943</v>
      </c>
      <c r="V71" s="81">
        <f>+TT[[#This Row],[TOTAL]]*TT[[#This Row],[P.U. (1)]]</f>
        <v>0</v>
      </c>
      <c r="W71" s="247">
        <f>+VLOOKUP(R71,TbPiezas[],6,0)</f>
        <v>408.3</v>
      </c>
      <c r="X71" s="248">
        <f>ROUND(TT[[#This Row],[TOTAL]]*TT[[#This Row],[P.U. (2)]],2)</f>
        <v>0</v>
      </c>
      <c r="Y71" s="247">
        <f>+VLOOKUP(R71,TbPiezas[],7,0)</f>
        <v>20.415000000000003</v>
      </c>
      <c r="Z71" s="249">
        <f>ROUND(TT[[#This Row],[TOTAL]]*TT[[#This Row],[P.U. (3)]],2)</f>
        <v>0</v>
      </c>
    </row>
    <row r="72" spans="2:26" x14ac:dyDescent="0.3">
      <c r="B72" s="135">
        <v>3072</v>
      </c>
      <c r="C72" s="135" t="s">
        <v>141</v>
      </c>
      <c r="D72" s="135" t="s">
        <v>142</v>
      </c>
      <c r="E72" s="2"/>
      <c r="F72" s="136">
        <f t="shared" ref="F72:L77" si="44">+IF(AND(F$4=$B72,F$12="CHI"),(IF(F$10="SI",2,0)+IF(F$11="TODO",IF(ISEVEN(F$6),0.5*F$6,0.5*F$6+0.5),IF(F$11="ARRIBA",1,0))*IF(F$10="SI",IF(F$5=732,0,IF(F$5=1090,1,IF(F$5=1572,2,IF(F$5=2072,4,IF(F$5=2572,5,IF(F$5=3072,7,0)))))),IF(F$10="NO",IF(F$5=732,2,IF(F$5=1090,3,IF(F$5=1572,4,IF(F$5=2072,6,IF(F$5=2572,7,IF(F$5=3072,9,0)))))),0))),0)</f>
        <v>0</v>
      </c>
      <c r="G72" s="136">
        <f t="shared" si="44"/>
        <v>0</v>
      </c>
      <c r="H72" s="136">
        <f t="shared" si="44"/>
        <v>0</v>
      </c>
      <c r="I72" s="136">
        <f t="shared" si="44"/>
        <v>0</v>
      </c>
      <c r="J72" s="136">
        <f t="shared" si="44"/>
        <v>0</v>
      </c>
      <c r="K72" s="136">
        <f t="shared" si="44"/>
        <v>0</v>
      </c>
      <c r="L72" s="136">
        <f t="shared" si="44"/>
        <v>0</v>
      </c>
      <c r="M72" s="136">
        <f t="shared" ref="M72:P77" si="45">+IF(AND(M$4=$B72,M$12="CHI"),(IF(M$10="SI",2,0)+IF(M$11="TODO",IF(ISEVEN(M$6),0.5*M$6,0.5*M$6+0.5),IF(M$11="ARRIBA",1,0))*IF(M$10="SI",IF(M$5=732,0,IF(M$5=1090,1,IF(M$5=1572,2,IF(M$5=2072,4,IF(M$5=2572,5,IF(M$5=3072,7,0)))))),IF(M$10="NO",IF(M$5=732,2,IF(M$5=1090,3,IF(M$5=1572,4,IF(M$5=2072,6,IF(M$5=2572,7,IF(M$5=3072,9,0)))))),0))),0)</f>
        <v>0</v>
      </c>
      <c r="N72" s="136">
        <f t="shared" si="45"/>
        <v>0</v>
      </c>
      <c r="O72" s="136">
        <f t="shared" si="45"/>
        <v>0</v>
      </c>
      <c r="P72" s="136">
        <f t="shared" si="45"/>
        <v>0</v>
      </c>
      <c r="Q72" s="138"/>
      <c r="R72" s="135" t="str">
        <f t="shared" si="4"/>
        <v>AM.6600</v>
      </c>
      <c r="S72" s="245" t="str">
        <f>+IF(C72=TT[[#This Row],[ITEM]],"ok","mal")</f>
        <v>ok</v>
      </c>
      <c r="T72" s="246">
        <f t="shared" si="24"/>
        <v>0</v>
      </c>
      <c r="U72" s="80">
        <f>IF(VLOOKUP(R72,TbPiezas[],5,0)="NA",0,VLOOKUP(R72,TbPiezas[],5,0))</f>
        <v>24</v>
      </c>
      <c r="V72" s="81">
        <f>+TT[[#This Row],[TOTAL]]*TT[[#This Row],[P.U. (1)]]</f>
        <v>0</v>
      </c>
      <c r="W72" s="247">
        <f>+VLOOKUP(R72,TbPiezas[],6,0)</f>
        <v>654.70000000000005</v>
      </c>
      <c r="X72" s="248">
        <f>ROUND(TT[[#This Row],[TOTAL]]*TT[[#This Row],[P.U. (2)]],2)</f>
        <v>0</v>
      </c>
      <c r="Y72" s="247">
        <f>+VLOOKUP(R72,TbPiezas[],7,0)</f>
        <v>32.735000000000007</v>
      </c>
      <c r="Z72" s="249">
        <f>ROUND(TT[[#This Row],[TOTAL]]*TT[[#This Row],[P.U. (3)]],2)</f>
        <v>0</v>
      </c>
    </row>
    <row r="73" spans="2:26" x14ac:dyDescent="0.3">
      <c r="B73" s="135">
        <v>2572</v>
      </c>
      <c r="C73" s="135" t="s">
        <v>143</v>
      </c>
      <c r="D73" s="135" t="s">
        <v>144</v>
      </c>
      <c r="E73" s="2"/>
      <c r="F73" s="136">
        <f t="shared" si="44"/>
        <v>0</v>
      </c>
      <c r="G73" s="136">
        <f t="shared" si="44"/>
        <v>0</v>
      </c>
      <c r="H73" s="136">
        <f t="shared" si="44"/>
        <v>0</v>
      </c>
      <c r="I73" s="136">
        <f t="shared" si="44"/>
        <v>0</v>
      </c>
      <c r="J73" s="136">
        <f t="shared" si="44"/>
        <v>0</v>
      </c>
      <c r="K73" s="136">
        <f t="shared" si="44"/>
        <v>0</v>
      </c>
      <c r="L73" s="136">
        <f t="shared" si="44"/>
        <v>0</v>
      </c>
      <c r="M73" s="136">
        <f t="shared" si="45"/>
        <v>0</v>
      </c>
      <c r="N73" s="136">
        <f t="shared" si="45"/>
        <v>0</v>
      </c>
      <c r="O73" s="136">
        <f t="shared" si="45"/>
        <v>0</v>
      </c>
      <c r="P73" s="136">
        <f t="shared" si="45"/>
        <v>0</v>
      </c>
      <c r="Q73" s="138"/>
      <c r="R73" s="135" t="str">
        <f t="shared" si="4"/>
        <v>AM.6700</v>
      </c>
      <c r="S73" s="245" t="str">
        <f>+IF(C73=TT[[#This Row],[ITEM]],"ok","mal")</f>
        <v>ok</v>
      </c>
      <c r="T73" s="246">
        <f t="shared" si="24"/>
        <v>0</v>
      </c>
      <c r="U73" s="80">
        <f>IF(VLOOKUP(R73,TbPiezas[],5,0)="NA",0,VLOOKUP(R73,TbPiezas[],5,0))</f>
        <v>19.700000000000003</v>
      </c>
      <c r="V73" s="81">
        <f>+TT[[#This Row],[TOTAL]]*TT[[#This Row],[P.U. (1)]]</f>
        <v>0</v>
      </c>
      <c r="W73" s="247">
        <f>+VLOOKUP(R73,TbPiezas[],6,0)</f>
        <v>575.04</v>
      </c>
      <c r="X73" s="441">
        <f>ROUND(TT[[#This Row],[TOTAL]]*TT[[#This Row],[P.U. (2)]],2)</f>
        <v>0</v>
      </c>
      <c r="Y73" s="247">
        <f>+VLOOKUP(R73,TbPiezas[],7,0)</f>
        <v>28.751999999999999</v>
      </c>
      <c r="Z73" s="249">
        <f>ROUND(TT[[#This Row],[TOTAL]]*TT[[#This Row],[P.U. (3)]],2)</f>
        <v>0</v>
      </c>
    </row>
    <row r="74" spans="2:26" x14ac:dyDescent="0.3">
      <c r="B74" s="135">
        <v>2072</v>
      </c>
      <c r="C74" s="135" t="s">
        <v>145</v>
      </c>
      <c r="D74" s="135" t="s">
        <v>146</v>
      </c>
      <c r="E74" s="2"/>
      <c r="F74" s="136">
        <f t="shared" si="44"/>
        <v>0</v>
      </c>
      <c r="G74" s="136">
        <f t="shared" si="44"/>
        <v>0</v>
      </c>
      <c r="H74" s="136">
        <f t="shared" si="44"/>
        <v>0</v>
      </c>
      <c r="I74" s="136">
        <f t="shared" si="44"/>
        <v>0</v>
      </c>
      <c r="J74" s="136">
        <f t="shared" si="44"/>
        <v>0</v>
      </c>
      <c r="K74" s="136">
        <f t="shared" si="44"/>
        <v>0</v>
      </c>
      <c r="L74" s="136">
        <f t="shared" si="44"/>
        <v>0</v>
      </c>
      <c r="M74" s="136">
        <f t="shared" si="45"/>
        <v>0</v>
      </c>
      <c r="N74" s="136">
        <f t="shared" si="45"/>
        <v>0</v>
      </c>
      <c r="O74" s="136">
        <f t="shared" si="45"/>
        <v>0</v>
      </c>
      <c r="P74" s="136">
        <f t="shared" si="45"/>
        <v>0</v>
      </c>
      <c r="Q74" s="138"/>
      <c r="R74" s="135" t="str">
        <f t="shared" si="4"/>
        <v>AM.6800</v>
      </c>
      <c r="S74" s="245" t="str">
        <f>+IF(C74=TT[[#This Row],[ITEM]],"ok","mal")</f>
        <v>ok</v>
      </c>
      <c r="T74" s="246">
        <f t="shared" si="24"/>
        <v>0</v>
      </c>
      <c r="U74" s="80">
        <f>IF(VLOOKUP(R74,TbPiezas[],5,0)="NA",0,VLOOKUP(R74,TbPiezas[],5,0))</f>
        <v>17.700000000000003</v>
      </c>
      <c r="V74" s="81">
        <f>+TT[[#This Row],[TOTAL]]*TT[[#This Row],[P.U. (1)]]</f>
        <v>0</v>
      </c>
      <c r="W74" s="247">
        <f>+VLOOKUP(R74,TbPiezas[],6,0)</f>
        <v>496.07</v>
      </c>
      <c r="X74" s="441">
        <f>ROUND(TT[[#This Row],[TOTAL]]*TT[[#This Row],[P.U. (2)]],2)</f>
        <v>0</v>
      </c>
      <c r="Y74" s="247">
        <f>+VLOOKUP(R74,TbPiezas[],7,0)</f>
        <v>24.8035</v>
      </c>
      <c r="Z74" s="249">
        <f>ROUND(TT[[#This Row],[TOTAL]]*TT[[#This Row],[P.U. (3)]],2)</f>
        <v>0</v>
      </c>
    </row>
    <row r="75" spans="2:26" x14ac:dyDescent="0.3">
      <c r="B75" s="135">
        <v>1572</v>
      </c>
      <c r="C75" s="135" t="s">
        <v>147</v>
      </c>
      <c r="D75" s="135" t="s">
        <v>148</v>
      </c>
      <c r="E75" s="2"/>
      <c r="F75" s="136">
        <f t="shared" si="44"/>
        <v>0</v>
      </c>
      <c r="G75" s="136">
        <f t="shared" si="44"/>
        <v>0</v>
      </c>
      <c r="H75" s="136">
        <f t="shared" si="44"/>
        <v>0</v>
      </c>
      <c r="I75" s="136">
        <f t="shared" si="44"/>
        <v>0</v>
      </c>
      <c r="J75" s="136">
        <f t="shared" si="44"/>
        <v>0</v>
      </c>
      <c r="K75" s="136">
        <f t="shared" si="44"/>
        <v>0</v>
      </c>
      <c r="L75" s="136">
        <f t="shared" si="44"/>
        <v>0</v>
      </c>
      <c r="M75" s="136">
        <f t="shared" si="45"/>
        <v>0</v>
      </c>
      <c r="N75" s="136">
        <f t="shared" si="45"/>
        <v>0</v>
      </c>
      <c r="O75" s="136">
        <f t="shared" si="45"/>
        <v>0</v>
      </c>
      <c r="P75" s="136">
        <f t="shared" si="45"/>
        <v>0</v>
      </c>
      <c r="Q75" s="138"/>
      <c r="R75" s="135" t="str">
        <f t="shared" si="4"/>
        <v>AM.6900</v>
      </c>
      <c r="S75" s="245" t="str">
        <f>+IF(C75=TT[[#This Row],[ITEM]],"ok","mal")</f>
        <v>ok</v>
      </c>
      <c r="T75" s="246">
        <f t="shared" si="24"/>
        <v>0</v>
      </c>
      <c r="U75" s="80">
        <f>IF(VLOOKUP(R75,TbPiezas[],5,0)="NA",0,VLOOKUP(R75,TbPiezas[],5,0))</f>
        <v>12.200000000000003</v>
      </c>
      <c r="V75" s="81">
        <f>+TT[[#This Row],[TOTAL]]*TT[[#This Row],[P.U. (1)]]</f>
        <v>0</v>
      </c>
      <c r="W75" s="247">
        <f>+VLOOKUP(R75,TbPiezas[],6,0)</f>
        <v>484.34</v>
      </c>
      <c r="X75" s="248">
        <f>ROUND(TT[[#This Row],[TOTAL]]*TT[[#This Row],[P.U. (2)]],2)</f>
        <v>0</v>
      </c>
      <c r="Y75" s="247">
        <f>+VLOOKUP(R75,TbPiezas[],7,0)</f>
        <v>24.216999999999999</v>
      </c>
      <c r="Z75" s="249">
        <f>ROUND(TT[[#This Row],[TOTAL]]*TT[[#This Row],[P.U. (3)]],2)</f>
        <v>0</v>
      </c>
    </row>
    <row r="76" spans="2:26" x14ac:dyDescent="0.3">
      <c r="B76" s="135">
        <v>1090</v>
      </c>
      <c r="C76" s="135" t="s">
        <v>149</v>
      </c>
      <c r="D76" s="135" t="s">
        <v>150</v>
      </c>
      <c r="E76" s="2"/>
      <c r="F76" s="136">
        <f t="shared" si="44"/>
        <v>0</v>
      </c>
      <c r="G76" s="136">
        <f t="shared" si="44"/>
        <v>0</v>
      </c>
      <c r="H76" s="136">
        <f t="shared" si="44"/>
        <v>0</v>
      </c>
      <c r="I76" s="136">
        <f t="shared" si="44"/>
        <v>0</v>
      </c>
      <c r="J76" s="136">
        <f t="shared" si="44"/>
        <v>0</v>
      </c>
      <c r="K76" s="136">
        <f t="shared" si="44"/>
        <v>0</v>
      </c>
      <c r="L76" s="136">
        <f t="shared" si="44"/>
        <v>0</v>
      </c>
      <c r="M76" s="136">
        <f t="shared" si="45"/>
        <v>0</v>
      </c>
      <c r="N76" s="136">
        <f t="shared" si="45"/>
        <v>0</v>
      </c>
      <c r="O76" s="136">
        <f t="shared" si="45"/>
        <v>0</v>
      </c>
      <c r="P76" s="136">
        <f t="shared" si="45"/>
        <v>0</v>
      </c>
      <c r="Q76" s="138"/>
      <c r="R76" s="135" t="str">
        <f t="shared" si="4"/>
        <v>AM.7000</v>
      </c>
      <c r="S76" s="245" t="str">
        <f>+IF(C76=TT[[#This Row],[ITEM]],"ok","mal")</f>
        <v>ok</v>
      </c>
      <c r="T76" s="246">
        <f t="shared" si="24"/>
        <v>0</v>
      </c>
      <c r="U76" s="80">
        <f>IF(VLOOKUP(R76,TbPiezas[],5,0)="NA",0,VLOOKUP(R76,TbPiezas[],5,0))</f>
        <v>10.399999999999991</v>
      </c>
      <c r="V76" s="81">
        <f>+TT[[#This Row],[TOTAL]]*TT[[#This Row],[P.U. (1)]]</f>
        <v>0</v>
      </c>
      <c r="W76" s="247">
        <f>+VLOOKUP(R76,TbPiezas[],6,0)</f>
        <v>452.11</v>
      </c>
      <c r="X76" s="248">
        <f>ROUND(TT[[#This Row],[TOTAL]]*TT[[#This Row],[P.U. (2)]],2)</f>
        <v>0</v>
      </c>
      <c r="Y76" s="247">
        <f>+VLOOKUP(R76,TbPiezas[],7,0)</f>
        <v>22.605500000000003</v>
      </c>
      <c r="Z76" s="249">
        <f>ROUND(TT[[#This Row],[TOTAL]]*TT[[#This Row],[P.U. (3)]],2)</f>
        <v>0</v>
      </c>
    </row>
    <row r="77" spans="2:26" x14ac:dyDescent="0.3">
      <c r="B77" s="135">
        <v>732</v>
      </c>
      <c r="C77" s="135" t="s">
        <v>151</v>
      </c>
      <c r="D77" s="135" t="s">
        <v>152</v>
      </c>
      <c r="E77" s="2"/>
      <c r="F77" s="136">
        <f t="shared" si="44"/>
        <v>0</v>
      </c>
      <c r="G77" s="136">
        <f t="shared" si="44"/>
        <v>0</v>
      </c>
      <c r="H77" s="136">
        <f t="shared" si="44"/>
        <v>0</v>
      </c>
      <c r="I77" s="136">
        <f t="shared" si="44"/>
        <v>0</v>
      </c>
      <c r="J77" s="136">
        <f t="shared" si="44"/>
        <v>0</v>
      </c>
      <c r="K77" s="136">
        <f t="shared" si="44"/>
        <v>0</v>
      </c>
      <c r="L77" s="136">
        <f t="shared" si="44"/>
        <v>0</v>
      </c>
      <c r="M77" s="136">
        <f t="shared" si="45"/>
        <v>0</v>
      </c>
      <c r="N77" s="136">
        <f t="shared" si="45"/>
        <v>0</v>
      </c>
      <c r="O77" s="136">
        <f t="shared" si="45"/>
        <v>0</v>
      </c>
      <c r="P77" s="136">
        <f t="shared" si="45"/>
        <v>0</v>
      </c>
      <c r="Q77" s="2"/>
      <c r="R77" s="135" t="str">
        <f t="shared" si="4"/>
        <v>AM.7100</v>
      </c>
      <c r="S77" s="245" t="str">
        <f>+IF(C77=TT[[#This Row],[ITEM]],"ok","mal")</f>
        <v>ok</v>
      </c>
      <c r="T77" s="246">
        <f t="shared" si="24"/>
        <v>0</v>
      </c>
      <c r="U77" s="80">
        <f>IF(VLOOKUP(R77,TbPiezas[],5,0)="NA",0,VLOOKUP(R77,TbPiezas[],5,0))</f>
        <v>7.9000000000000057</v>
      </c>
      <c r="V77" s="81">
        <f>+TT[[#This Row],[TOTAL]]*TT[[#This Row],[P.U. (1)]]</f>
        <v>0</v>
      </c>
      <c r="W77" s="247">
        <f>+VLOOKUP(R77,TbPiezas[],6,0)</f>
        <v>408.3</v>
      </c>
      <c r="X77" s="248">
        <f>ROUND(TT[[#This Row],[TOTAL]]*TT[[#This Row],[P.U. (2)]],2)</f>
        <v>0</v>
      </c>
      <c r="Y77" s="247">
        <f>+VLOOKUP(R77,TbPiezas[],7,0)</f>
        <v>20.415000000000003</v>
      </c>
      <c r="Z77" s="249">
        <f>ROUND(TT[[#This Row],[TOTAL]]*TT[[#This Row],[P.U. (3)]],2)</f>
        <v>0</v>
      </c>
    </row>
    <row r="78" spans="2:26" x14ac:dyDescent="0.3">
      <c r="B78" s="135">
        <v>3072</v>
      </c>
      <c r="C78" s="135" t="s">
        <v>153</v>
      </c>
      <c r="D78" s="135" t="s">
        <v>154</v>
      </c>
      <c r="E78" s="2"/>
      <c r="F78" s="136">
        <f t="shared" ref="F78:L84" si="46">+IF(AND(F$4=$B78,F$12="CHI"),IF(F$11="TODO",IF(ISEVEN(F$6),0.5*F$6,0.5*F$6+0.5),IF(F$11="ARRIBA",1,0))*IF(F$5=732,0,IF(F$5=1090,0,IF(F$5=1572,1,IF(F$5=2072,0,IF(F$5=2572,1,IF(F$5=3072,0,0)))))),0)+IF(AND(F$4=$B78,F$12="ESP"),IF(F$11="TODO",IF(ISEVEN(F$6),0.5*F$6,0.5*F$6+0.5),IF(F$11="ARRIBA",1,0))*IF(F$5=732,0,IF(F$5=1090,0,IF(F$5=1572,0,IF(F$5=2072,1,IF(F$5=2572,0,IF(F$5=3072,0,0)))))),0)</f>
        <v>0</v>
      </c>
      <c r="G78" s="136">
        <f t="shared" si="46"/>
        <v>0</v>
      </c>
      <c r="H78" s="136">
        <f t="shared" si="46"/>
        <v>0</v>
      </c>
      <c r="I78" s="136">
        <f t="shared" si="46"/>
        <v>0</v>
      </c>
      <c r="J78" s="136">
        <f t="shared" si="46"/>
        <v>0</v>
      </c>
      <c r="K78" s="136">
        <f t="shared" si="46"/>
        <v>0</v>
      </c>
      <c r="L78" s="136">
        <f t="shared" si="46"/>
        <v>0</v>
      </c>
      <c r="M78" s="136">
        <f t="shared" ref="M78:P84" si="47">+IF(AND(M$4=$B78,M$12="CHI"),IF(M$11="TODO",IF(ISEVEN(M$6),0.5*M$6,0.5*M$6+0.5),IF(M$11="ARRIBA",1,0))*IF(M$5=732,0,IF(M$5=1090,0,IF(M$5=1572,1,IF(M$5=2072,0,IF(M$5=2572,1,IF(M$5=3072,0,0)))))),0)+IF(AND(M$4=$B78,M$12="ESP"),IF(M$11="TODO",IF(ISEVEN(M$6),0.5*M$6,0.5*M$6+0.5),IF(M$11="ARRIBA",1,0))*IF(M$5=732,0,IF(M$5=1090,0,IF(M$5=1572,0,IF(M$5=2072,1,IF(M$5=2572,0,IF(M$5=3072,0,0)))))),0)</f>
        <v>0</v>
      </c>
      <c r="N78" s="136">
        <f t="shared" si="47"/>
        <v>0</v>
      </c>
      <c r="O78" s="136">
        <f t="shared" si="47"/>
        <v>0</v>
      </c>
      <c r="P78" s="136">
        <f t="shared" si="47"/>
        <v>0</v>
      </c>
      <c r="Q78" s="2"/>
      <c r="R78" s="135" t="str">
        <f t="shared" si="4"/>
        <v>AM.7200</v>
      </c>
      <c r="S78" s="245" t="str">
        <f>+IF(C78=TT[[#This Row],[ITEM]],"ok","mal")</f>
        <v>ok</v>
      </c>
      <c r="T78" s="246">
        <f t="shared" si="24"/>
        <v>0</v>
      </c>
      <c r="U78" s="80">
        <f>IF(VLOOKUP(R78,TbPiezas[],5,0)="NA",0,VLOOKUP(R78,TbPiezas[],5,0))</f>
        <v>17.799999999999997</v>
      </c>
      <c r="V78" s="81">
        <f>+TT[[#This Row],[TOTAL]]*TT[[#This Row],[P.U. (1)]]</f>
        <v>0</v>
      </c>
      <c r="W78" s="247">
        <f>+VLOOKUP(R78,TbPiezas[],6,0)</f>
        <v>654.70000000000005</v>
      </c>
      <c r="X78" s="248">
        <f>ROUND(TT[[#This Row],[TOTAL]]*TT[[#This Row],[P.U. (2)]],2)</f>
        <v>0</v>
      </c>
      <c r="Y78" s="247">
        <f>+VLOOKUP(R78,TbPiezas[],7,0)</f>
        <v>32.735000000000007</v>
      </c>
      <c r="Z78" s="249">
        <f>ROUND(TT[[#This Row],[TOTAL]]*TT[[#This Row],[P.U. (3)]],2)</f>
        <v>0</v>
      </c>
    </row>
    <row r="79" spans="2:26" x14ac:dyDescent="0.3">
      <c r="B79" s="135">
        <v>2572</v>
      </c>
      <c r="C79" s="135" t="s">
        <v>155</v>
      </c>
      <c r="D79" s="135" t="s">
        <v>156</v>
      </c>
      <c r="E79" s="2"/>
      <c r="F79" s="136">
        <f t="shared" si="46"/>
        <v>0</v>
      </c>
      <c r="G79" s="136">
        <f t="shared" si="46"/>
        <v>0</v>
      </c>
      <c r="H79" s="136">
        <f t="shared" si="46"/>
        <v>0</v>
      </c>
      <c r="I79" s="136">
        <f t="shared" si="46"/>
        <v>0</v>
      </c>
      <c r="J79" s="136">
        <f t="shared" si="46"/>
        <v>0</v>
      </c>
      <c r="K79" s="136">
        <f t="shared" si="46"/>
        <v>0</v>
      </c>
      <c r="L79" s="136">
        <f t="shared" si="46"/>
        <v>0</v>
      </c>
      <c r="M79" s="136">
        <f t="shared" si="47"/>
        <v>0</v>
      </c>
      <c r="N79" s="136">
        <f t="shared" si="47"/>
        <v>0</v>
      </c>
      <c r="O79" s="136">
        <f t="shared" si="47"/>
        <v>0</v>
      </c>
      <c r="P79" s="136">
        <f t="shared" si="47"/>
        <v>0</v>
      </c>
      <c r="Q79" s="2"/>
      <c r="R79" s="135" t="str">
        <f t="shared" si="4"/>
        <v>AM.7300</v>
      </c>
      <c r="S79" s="245" t="str">
        <f>+IF(C79=TT[[#This Row],[ITEM]],"ok","mal")</f>
        <v>ok</v>
      </c>
      <c r="T79" s="246">
        <f t="shared" si="24"/>
        <v>0</v>
      </c>
      <c r="U79" s="80">
        <f>IF(VLOOKUP(R79,TbPiezas[],5,0)="NA",0,VLOOKUP(R79,TbPiezas[],5,0))</f>
        <v>14.599999999999994</v>
      </c>
      <c r="V79" s="81">
        <f>+TT[[#This Row],[TOTAL]]*TT[[#This Row],[P.U. (1)]]</f>
        <v>0</v>
      </c>
      <c r="W79" s="247">
        <f>+VLOOKUP(R79,TbPiezas[],6,0)</f>
        <v>575.04</v>
      </c>
      <c r="X79" s="441">
        <f>ROUND(TT[[#This Row],[TOTAL]]*TT[[#This Row],[P.U. (2)]],2)</f>
        <v>0</v>
      </c>
      <c r="Y79" s="247">
        <f>+VLOOKUP(R79,TbPiezas[],7,0)</f>
        <v>28.751999999999999</v>
      </c>
      <c r="Z79" s="249">
        <f>ROUND(TT[[#This Row],[TOTAL]]*TT[[#This Row],[P.U. (3)]],2)</f>
        <v>0</v>
      </c>
    </row>
    <row r="80" spans="2:26" x14ac:dyDescent="0.3">
      <c r="B80" s="135">
        <v>2072</v>
      </c>
      <c r="C80" s="135" t="s">
        <v>157</v>
      </c>
      <c r="D80" s="135" t="s">
        <v>158</v>
      </c>
      <c r="E80" s="2"/>
      <c r="F80" s="136">
        <f t="shared" si="46"/>
        <v>0</v>
      </c>
      <c r="G80" s="136">
        <f t="shared" si="46"/>
        <v>0</v>
      </c>
      <c r="H80" s="136">
        <f t="shared" si="46"/>
        <v>0</v>
      </c>
      <c r="I80" s="136">
        <f t="shared" si="46"/>
        <v>0</v>
      </c>
      <c r="J80" s="136">
        <f t="shared" si="46"/>
        <v>0</v>
      </c>
      <c r="K80" s="136">
        <f t="shared" si="46"/>
        <v>0</v>
      </c>
      <c r="L80" s="136">
        <f t="shared" si="46"/>
        <v>0</v>
      </c>
      <c r="M80" s="136">
        <f t="shared" si="47"/>
        <v>0</v>
      </c>
      <c r="N80" s="136">
        <f t="shared" si="47"/>
        <v>0</v>
      </c>
      <c r="O80" s="136">
        <f t="shared" si="47"/>
        <v>0</v>
      </c>
      <c r="P80" s="136">
        <f t="shared" si="47"/>
        <v>0</v>
      </c>
      <c r="Q80" s="2"/>
      <c r="R80" s="135" t="str">
        <f t="shared" si="4"/>
        <v>AM.7400</v>
      </c>
      <c r="S80" s="245" t="str">
        <f>+IF(C80=TT[[#This Row],[ITEM]],"ok","mal")</f>
        <v>ok</v>
      </c>
      <c r="T80" s="246">
        <f t="shared" si="24"/>
        <v>0</v>
      </c>
      <c r="U80" s="80">
        <f>IF(VLOOKUP(R80,TbPiezas[],5,0)="NA",0,VLOOKUP(R80,TbPiezas[],5,0))</f>
        <v>12.299999999999997</v>
      </c>
      <c r="V80" s="81">
        <f>+TT[[#This Row],[TOTAL]]*TT[[#This Row],[P.U. (1)]]</f>
        <v>0</v>
      </c>
      <c r="W80" s="247">
        <f>+VLOOKUP(R80,TbPiezas[],6,0)</f>
        <v>496.07</v>
      </c>
      <c r="X80" s="248">
        <f>ROUND(TT[[#This Row],[TOTAL]]*TT[[#This Row],[P.U. (2)]],2)</f>
        <v>0</v>
      </c>
      <c r="Y80" s="247">
        <f>+VLOOKUP(R80,TbPiezas[],7,0)</f>
        <v>24.8035</v>
      </c>
      <c r="Z80" s="249">
        <f>ROUND(TT[[#This Row],[TOTAL]]*TT[[#This Row],[P.U. (3)]],2)</f>
        <v>0</v>
      </c>
    </row>
    <row r="81" spans="2:26" x14ac:dyDescent="0.3">
      <c r="B81" s="135">
        <v>1572</v>
      </c>
      <c r="C81" s="135" t="s">
        <v>159</v>
      </c>
      <c r="D81" s="135" t="s">
        <v>160</v>
      </c>
      <c r="E81" s="2"/>
      <c r="F81" s="136">
        <f t="shared" si="46"/>
        <v>0</v>
      </c>
      <c r="G81" s="136">
        <f t="shared" si="46"/>
        <v>0</v>
      </c>
      <c r="H81" s="136">
        <f t="shared" si="46"/>
        <v>0</v>
      </c>
      <c r="I81" s="136">
        <f t="shared" si="46"/>
        <v>0</v>
      </c>
      <c r="J81" s="136">
        <f t="shared" si="46"/>
        <v>0</v>
      </c>
      <c r="K81" s="136">
        <f t="shared" si="46"/>
        <v>0</v>
      </c>
      <c r="L81" s="136">
        <f t="shared" si="46"/>
        <v>0</v>
      </c>
      <c r="M81" s="136">
        <f t="shared" si="47"/>
        <v>0</v>
      </c>
      <c r="N81" s="136">
        <f t="shared" si="47"/>
        <v>0</v>
      </c>
      <c r="O81" s="136">
        <f t="shared" si="47"/>
        <v>0</v>
      </c>
      <c r="P81" s="136">
        <f t="shared" si="47"/>
        <v>0</v>
      </c>
      <c r="Q81" s="2"/>
      <c r="R81" s="135" t="str">
        <f t="shared" si="4"/>
        <v>AM.7410</v>
      </c>
      <c r="S81" s="245" t="str">
        <f>+IF(C81=TT[[#This Row],[ITEM]],"ok","mal")</f>
        <v>ok</v>
      </c>
      <c r="T81" s="246">
        <f t="shared" si="24"/>
        <v>0</v>
      </c>
      <c r="U81" s="80">
        <f>IF(VLOOKUP(R81,TbPiezas[],5,0)="NA",0,VLOOKUP(R81,TbPiezas[],5,0))</f>
        <v>9.0500000000000007</v>
      </c>
      <c r="V81" s="81">
        <f>+TT[[#This Row],[TOTAL]]*TT[[#This Row],[P.U. (1)]]</f>
        <v>0</v>
      </c>
      <c r="W81" s="247">
        <f>+VLOOKUP(R81,TbPiezas[],6,0)</f>
        <v>484.34</v>
      </c>
      <c r="X81" s="248">
        <f>ROUND(TT[[#This Row],[TOTAL]]*TT[[#This Row],[P.U. (2)]],2)</f>
        <v>0</v>
      </c>
      <c r="Y81" s="247">
        <f>+VLOOKUP(R81,TbPiezas[],7,0)</f>
        <v>24.216999999999999</v>
      </c>
      <c r="Z81" s="249">
        <f>ROUND(TT[[#This Row],[TOTAL]]*TT[[#This Row],[P.U. (3)]],2)</f>
        <v>0</v>
      </c>
    </row>
    <row r="82" spans="2:26" x14ac:dyDescent="0.3">
      <c r="B82" s="135">
        <v>1090</v>
      </c>
      <c r="C82" s="135" t="s">
        <v>161</v>
      </c>
      <c r="D82" s="135" t="s">
        <v>162</v>
      </c>
      <c r="E82" s="2"/>
      <c r="F82" s="136">
        <f t="shared" si="46"/>
        <v>0</v>
      </c>
      <c r="G82" s="136">
        <f t="shared" si="46"/>
        <v>0</v>
      </c>
      <c r="H82" s="136">
        <f t="shared" si="46"/>
        <v>0</v>
      </c>
      <c r="I82" s="136">
        <f t="shared" si="46"/>
        <v>0</v>
      </c>
      <c r="J82" s="136">
        <f t="shared" si="46"/>
        <v>0</v>
      </c>
      <c r="K82" s="136">
        <f t="shared" si="46"/>
        <v>0</v>
      </c>
      <c r="L82" s="136">
        <f t="shared" si="46"/>
        <v>0</v>
      </c>
      <c r="M82" s="136">
        <f t="shared" si="47"/>
        <v>0</v>
      </c>
      <c r="N82" s="136">
        <f t="shared" si="47"/>
        <v>0</v>
      </c>
      <c r="O82" s="136">
        <f t="shared" si="47"/>
        <v>0</v>
      </c>
      <c r="P82" s="136">
        <f t="shared" si="47"/>
        <v>0</v>
      </c>
      <c r="Q82" s="2"/>
      <c r="R82" s="135" t="str">
        <f t="shared" si="4"/>
        <v>AM.7420</v>
      </c>
      <c r="S82" s="245" t="str">
        <f>+IF(C82=TT[[#This Row],[ITEM]],"ok","mal")</f>
        <v>ok</v>
      </c>
      <c r="T82" s="246">
        <f t="shared" si="24"/>
        <v>0</v>
      </c>
      <c r="U82" s="80">
        <f>IF(VLOOKUP(R82,TbPiezas[],5,0)="NA",0,VLOOKUP(R82,TbPiezas[],5,0))</f>
        <v>7.71</v>
      </c>
      <c r="V82" s="81">
        <f>+TT[[#This Row],[TOTAL]]*TT[[#This Row],[P.U. (1)]]</f>
        <v>0</v>
      </c>
      <c r="W82" s="247">
        <f>+VLOOKUP(R82,TbPiezas[],6,0)</f>
        <v>452.11</v>
      </c>
      <c r="X82" s="248">
        <f>ROUND(TT[[#This Row],[TOTAL]]*TT[[#This Row],[P.U. (2)]],2)</f>
        <v>0</v>
      </c>
      <c r="Y82" s="247">
        <f>+VLOOKUP(R82,TbPiezas[],7,0)</f>
        <v>22.605500000000003</v>
      </c>
      <c r="Z82" s="249">
        <f>ROUND(TT[[#This Row],[TOTAL]]*TT[[#This Row],[P.U. (3)]],2)</f>
        <v>0</v>
      </c>
    </row>
    <row r="83" spans="2:26" x14ac:dyDescent="0.3">
      <c r="B83" s="135">
        <v>1020</v>
      </c>
      <c r="C83" s="135" t="s">
        <v>163</v>
      </c>
      <c r="D83" s="135" t="s">
        <v>164</v>
      </c>
      <c r="E83" s="2"/>
      <c r="F83" s="136">
        <f t="shared" si="46"/>
        <v>0</v>
      </c>
      <c r="G83" s="136">
        <f t="shared" si="46"/>
        <v>0</v>
      </c>
      <c r="H83" s="136">
        <f t="shared" si="46"/>
        <v>0</v>
      </c>
      <c r="I83" s="136">
        <f t="shared" si="46"/>
        <v>0</v>
      </c>
      <c r="J83" s="136">
        <f t="shared" si="46"/>
        <v>0</v>
      </c>
      <c r="K83" s="136">
        <f t="shared" si="46"/>
        <v>0</v>
      </c>
      <c r="L83" s="136">
        <f t="shared" si="46"/>
        <v>0</v>
      </c>
      <c r="M83" s="136">
        <f t="shared" si="47"/>
        <v>0</v>
      </c>
      <c r="N83" s="136">
        <f t="shared" si="47"/>
        <v>0</v>
      </c>
      <c r="O83" s="136">
        <f t="shared" si="47"/>
        <v>0</v>
      </c>
      <c r="P83" s="136">
        <f t="shared" si="47"/>
        <v>0</v>
      </c>
      <c r="Q83" s="2"/>
      <c r="R83" s="135" t="str">
        <f t="shared" si="4"/>
        <v>AM.7430</v>
      </c>
      <c r="S83" s="245" t="str">
        <f>+IF(C83=TT[[#This Row],[ITEM]],"ok","mal")</f>
        <v>ok</v>
      </c>
      <c r="T83" s="246">
        <f t="shared" ref="T83:T100" si="48">SUM(E83:Q83)</f>
        <v>0</v>
      </c>
      <c r="U83" s="80">
        <f>IF(VLOOKUP(R83,TbPiezas[],5,0)="NA",0,VLOOKUP(R83,TbPiezas[],5,0))</f>
        <v>4.3</v>
      </c>
      <c r="V83" s="81">
        <f>+TT[[#This Row],[TOTAL]]*TT[[#This Row],[P.U. (1)]]</f>
        <v>0</v>
      </c>
      <c r="W83" s="247">
        <f>+VLOOKUP(R83,TbPiezas[],6,0)</f>
        <v>452.11</v>
      </c>
      <c r="X83" s="248">
        <f>ROUND(TT[[#This Row],[TOTAL]]*TT[[#This Row],[P.U. (2)]],2)</f>
        <v>0</v>
      </c>
      <c r="Y83" s="247">
        <f>+VLOOKUP(R83,TbPiezas[],7,0)</f>
        <v>22.605500000000003</v>
      </c>
      <c r="Z83" s="249">
        <f>ROUND(TT[[#This Row],[TOTAL]]*TT[[#This Row],[P.U. (3)]],2)</f>
        <v>0</v>
      </c>
    </row>
    <row r="84" spans="2:26" x14ac:dyDescent="0.3">
      <c r="B84" s="135">
        <v>732</v>
      </c>
      <c r="C84" s="135" t="s">
        <v>165</v>
      </c>
      <c r="D84" s="135" t="s">
        <v>166</v>
      </c>
      <c r="E84" s="2"/>
      <c r="F84" s="136">
        <f t="shared" si="46"/>
        <v>0</v>
      </c>
      <c r="G84" s="136">
        <f t="shared" si="46"/>
        <v>0</v>
      </c>
      <c r="H84" s="136">
        <f t="shared" si="46"/>
        <v>0</v>
      </c>
      <c r="I84" s="136">
        <f t="shared" si="46"/>
        <v>0</v>
      </c>
      <c r="J84" s="136">
        <f t="shared" si="46"/>
        <v>0</v>
      </c>
      <c r="K84" s="136">
        <f t="shared" si="46"/>
        <v>0</v>
      </c>
      <c r="L84" s="136">
        <f t="shared" si="46"/>
        <v>0</v>
      </c>
      <c r="M84" s="136">
        <f t="shared" si="47"/>
        <v>0</v>
      </c>
      <c r="N84" s="136">
        <f t="shared" si="47"/>
        <v>0</v>
      </c>
      <c r="O84" s="136">
        <f t="shared" si="47"/>
        <v>0</v>
      </c>
      <c r="P84" s="136">
        <f t="shared" si="47"/>
        <v>0</v>
      </c>
      <c r="Q84" s="2"/>
      <c r="R84" s="135" t="str">
        <f t="shared" ref="R84:R100" si="49">+C84</f>
        <v>AM.7440</v>
      </c>
      <c r="S84" s="245" t="str">
        <f>+IF(C84=TT[[#This Row],[ITEM]],"ok","mal")</f>
        <v>ok</v>
      </c>
      <c r="T84" s="246">
        <f t="shared" si="48"/>
        <v>0</v>
      </c>
      <c r="U84" s="80">
        <f>IF(VLOOKUP(R84,TbPiezas[],5,0)="NA",0,VLOOKUP(R84,TbPiezas[],5,0))</f>
        <v>5.86</v>
      </c>
      <c r="V84" s="81">
        <f>+TT[[#This Row],[TOTAL]]*TT[[#This Row],[P.U. (1)]]</f>
        <v>0</v>
      </c>
      <c r="W84" s="247">
        <f>+VLOOKUP(R84,TbPiezas[],6,0)</f>
        <v>408.3</v>
      </c>
      <c r="X84" s="248">
        <f>ROUND(TT[[#This Row],[TOTAL]]*TT[[#This Row],[P.U. (2)]],2)</f>
        <v>0</v>
      </c>
      <c r="Y84" s="247">
        <f>+VLOOKUP(R84,TbPiezas[],7,0)</f>
        <v>20.415000000000003</v>
      </c>
      <c r="Z84" s="249">
        <f>ROUND(TT[[#This Row],[TOTAL]]*TT[[#This Row],[P.U. (3)]],2)</f>
        <v>0</v>
      </c>
    </row>
    <row r="85" spans="2:26" x14ac:dyDescent="0.3">
      <c r="B85" s="135">
        <v>3072</v>
      </c>
      <c r="C85" s="135" t="s">
        <v>167</v>
      </c>
      <c r="D85" s="135" t="s">
        <v>168</v>
      </c>
      <c r="E85" s="2"/>
      <c r="F85" s="136">
        <f t="shared" ref="F85:L88" si="50">IF(AND(F$10="SI",F$4=$B85),IF(ISEVEN(F$6),0.5*F$6,0.5*F$6-0.5),0)</f>
        <v>0</v>
      </c>
      <c r="G85" s="136">
        <f t="shared" si="50"/>
        <v>0</v>
      </c>
      <c r="H85" s="136">
        <f t="shared" si="50"/>
        <v>0</v>
      </c>
      <c r="I85" s="136">
        <f t="shared" si="50"/>
        <v>0</v>
      </c>
      <c r="J85" s="136">
        <f t="shared" si="50"/>
        <v>0</v>
      </c>
      <c r="K85" s="136">
        <f t="shared" si="50"/>
        <v>0</v>
      </c>
      <c r="L85" s="136">
        <f t="shared" si="50"/>
        <v>0</v>
      </c>
      <c r="M85" s="136">
        <f t="shared" ref="M85:P88" si="51">IF(AND(M$10="SI",M$4=$B85),IF(ISEVEN(M$6),0.5*M$6,0.5*M$6-0.5),0)</f>
        <v>0</v>
      </c>
      <c r="N85" s="136">
        <f t="shared" si="51"/>
        <v>0</v>
      </c>
      <c r="O85" s="136">
        <f t="shared" si="51"/>
        <v>0</v>
      </c>
      <c r="P85" s="136">
        <f t="shared" si="51"/>
        <v>0</v>
      </c>
      <c r="Q85" s="2"/>
      <c r="R85" s="135" t="str">
        <f t="shared" si="49"/>
        <v>AM.7450</v>
      </c>
      <c r="S85" s="245" t="str">
        <f>+IF(C85=TT[[#This Row],[ITEM]],"ok","mal")</f>
        <v>ok</v>
      </c>
      <c r="T85" s="246">
        <f t="shared" si="48"/>
        <v>0</v>
      </c>
      <c r="U85" s="80">
        <f>IF(VLOOKUP(R85,TbPiezas[],5,0)="NA",0,VLOOKUP(R85,TbPiezas[],5,0))</f>
        <v>43.499999999999986</v>
      </c>
      <c r="V85" s="81">
        <f>+TT[[#This Row],[TOTAL]]*TT[[#This Row],[P.U. (1)]]</f>
        <v>0</v>
      </c>
      <c r="W85" s="247">
        <f>+VLOOKUP(R85,TbPiezas[],6,0)</f>
        <v>2658.2</v>
      </c>
      <c r="X85" s="248">
        <f>ROUND(TT[[#This Row],[TOTAL]]*TT[[#This Row],[P.U. (2)]],2)</f>
        <v>0</v>
      </c>
      <c r="Y85" s="247">
        <f>+VLOOKUP(R85,TbPiezas[],7,0)</f>
        <v>132.91</v>
      </c>
      <c r="Z85" s="249">
        <f>ROUND(TT[[#This Row],[TOTAL]]*TT[[#This Row],[P.U. (3)]],2)</f>
        <v>0</v>
      </c>
    </row>
    <row r="86" spans="2:26" x14ac:dyDescent="0.3">
      <c r="B86" s="135">
        <v>2572</v>
      </c>
      <c r="C86" s="135" t="s">
        <v>169</v>
      </c>
      <c r="D86" s="135" t="s">
        <v>170</v>
      </c>
      <c r="E86" s="2"/>
      <c r="F86" s="136">
        <f t="shared" si="50"/>
        <v>1</v>
      </c>
      <c r="G86" s="136">
        <f t="shared" si="50"/>
        <v>0</v>
      </c>
      <c r="H86" s="136">
        <f t="shared" si="50"/>
        <v>0</v>
      </c>
      <c r="I86" s="136">
        <f t="shared" si="50"/>
        <v>0</v>
      </c>
      <c r="J86" s="136">
        <f t="shared" si="50"/>
        <v>0</v>
      </c>
      <c r="K86" s="136">
        <f t="shared" si="50"/>
        <v>0</v>
      </c>
      <c r="L86" s="136">
        <f t="shared" si="50"/>
        <v>0</v>
      </c>
      <c r="M86" s="136">
        <f t="shared" si="51"/>
        <v>0</v>
      </c>
      <c r="N86" s="136">
        <f t="shared" si="51"/>
        <v>0</v>
      </c>
      <c r="O86" s="136">
        <f t="shared" si="51"/>
        <v>0</v>
      </c>
      <c r="P86" s="136">
        <f t="shared" si="51"/>
        <v>0</v>
      </c>
      <c r="Q86" s="2"/>
      <c r="R86" s="135" t="str">
        <f t="shared" si="49"/>
        <v>AM.7451</v>
      </c>
      <c r="S86" s="245" t="str">
        <f>+IF(C86=TT[[#This Row],[ITEM]],"ok","mal")</f>
        <v>ok</v>
      </c>
      <c r="T86" s="246">
        <f t="shared" si="48"/>
        <v>1</v>
      </c>
      <c r="U86" s="80">
        <f>IF(VLOOKUP(R86,TbPiezas[],5,0)="NA",0,VLOOKUP(R86,TbPiezas[],5,0))</f>
        <v>36.599999999999994</v>
      </c>
      <c r="V86" s="81">
        <f>+TT[[#This Row],[TOTAL]]*TT[[#This Row],[P.U. (1)]]</f>
        <v>36.599999999999994</v>
      </c>
      <c r="W86" s="247">
        <f>+VLOOKUP(R86,TbPiezas[],6,0)</f>
        <v>2658.2</v>
      </c>
      <c r="X86" s="441">
        <f>ROUND(TT[[#This Row],[TOTAL]]*TT[[#This Row],[P.U. (2)]],2)</f>
        <v>2658.2</v>
      </c>
      <c r="Y86" s="247">
        <f>+VLOOKUP(R86,TbPiezas[],7,0)</f>
        <v>132.91</v>
      </c>
      <c r="Z86" s="249">
        <f>ROUND(TT[[#This Row],[TOTAL]]*TT[[#This Row],[P.U. (3)]],2)</f>
        <v>132.91</v>
      </c>
    </row>
    <row r="87" spans="2:26" x14ac:dyDescent="0.3">
      <c r="B87" s="135">
        <v>2072</v>
      </c>
      <c r="C87" s="135" t="s">
        <v>171</v>
      </c>
      <c r="D87" s="135" t="s">
        <v>172</v>
      </c>
      <c r="E87" s="2"/>
      <c r="F87" s="136">
        <f t="shared" si="50"/>
        <v>0</v>
      </c>
      <c r="G87" s="136">
        <f t="shared" si="50"/>
        <v>0</v>
      </c>
      <c r="H87" s="136">
        <f t="shared" si="50"/>
        <v>0</v>
      </c>
      <c r="I87" s="136">
        <f t="shared" si="50"/>
        <v>0</v>
      </c>
      <c r="J87" s="136">
        <f t="shared" si="50"/>
        <v>0</v>
      </c>
      <c r="K87" s="136">
        <f t="shared" si="50"/>
        <v>0</v>
      </c>
      <c r="L87" s="136">
        <f t="shared" si="50"/>
        <v>0</v>
      </c>
      <c r="M87" s="136">
        <f t="shared" si="51"/>
        <v>0</v>
      </c>
      <c r="N87" s="136">
        <f t="shared" si="51"/>
        <v>0</v>
      </c>
      <c r="O87" s="136">
        <f t="shared" si="51"/>
        <v>0</v>
      </c>
      <c r="P87" s="136">
        <f t="shared" si="51"/>
        <v>0</v>
      </c>
      <c r="Q87" s="2"/>
      <c r="R87" s="135" t="str">
        <f t="shared" si="49"/>
        <v>AM.7452</v>
      </c>
      <c r="S87" s="245" t="str">
        <f>+IF(C87=TT[[#This Row],[ITEM]],"ok","mal")</f>
        <v>ok</v>
      </c>
      <c r="T87" s="246">
        <f t="shared" si="48"/>
        <v>0</v>
      </c>
      <c r="U87" s="80">
        <f>IF(VLOOKUP(R87,TbPiezas[],5,0)="NA",0,VLOOKUP(R87,TbPiezas[],5,0))</f>
        <v>31.099999999999994</v>
      </c>
      <c r="V87" s="81">
        <f>+TT[[#This Row],[TOTAL]]*TT[[#This Row],[P.U. (1)]]</f>
        <v>0</v>
      </c>
      <c r="W87" s="247">
        <f>+VLOOKUP(R87,TbPiezas[],6,0)</f>
        <v>2658.2</v>
      </c>
      <c r="X87" s="441">
        <f>ROUND(TT[[#This Row],[TOTAL]]*TT[[#This Row],[P.U. (2)]],2)</f>
        <v>0</v>
      </c>
      <c r="Y87" s="247">
        <f>+VLOOKUP(R87,TbPiezas[],7,0)</f>
        <v>132.91</v>
      </c>
      <c r="Z87" s="249">
        <f>ROUND(TT[[#This Row],[TOTAL]]*TT[[#This Row],[P.U. (3)]],2)</f>
        <v>0</v>
      </c>
    </row>
    <row r="88" spans="2:26" x14ac:dyDescent="0.3">
      <c r="B88" s="135">
        <v>1572</v>
      </c>
      <c r="C88" s="135" t="s">
        <v>173</v>
      </c>
      <c r="D88" s="135" t="s">
        <v>174</v>
      </c>
      <c r="E88" s="2"/>
      <c r="F88" s="136">
        <f t="shared" si="50"/>
        <v>0</v>
      </c>
      <c r="G88" s="136">
        <f t="shared" si="50"/>
        <v>0</v>
      </c>
      <c r="H88" s="136">
        <f t="shared" si="50"/>
        <v>0</v>
      </c>
      <c r="I88" s="136">
        <f t="shared" si="50"/>
        <v>0</v>
      </c>
      <c r="J88" s="136">
        <f t="shared" si="50"/>
        <v>0</v>
      </c>
      <c r="K88" s="136">
        <f t="shared" si="50"/>
        <v>0</v>
      </c>
      <c r="L88" s="136">
        <f t="shared" si="50"/>
        <v>0</v>
      </c>
      <c r="M88" s="136">
        <f t="shared" si="51"/>
        <v>0</v>
      </c>
      <c r="N88" s="136">
        <f t="shared" si="51"/>
        <v>0</v>
      </c>
      <c r="O88" s="136">
        <f t="shared" si="51"/>
        <v>0</v>
      </c>
      <c r="P88" s="136">
        <f t="shared" si="51"/>
        <v>0</v>
      </c>
      <c r="Q88" s="2"/>
      <c r="R88" s="135" t="str">
        <f t="shared" si="49"/>
        <v>AM.7453</v>
      </c>
      <c r="S88" s="245" t="str">
        <f>+IF(C88=TT[[#This Row],[ITEM]],"ok","mal")</f>
        <v>ok</v>
      </c>
      <c r="T88" s="246">
        <f t="shared" si="48"/>
        <v>0</v>
      </c>
      <c r="U88" s="80">
        <f>IF(VLOOKUP(R88,TbPiezas[],5,0)="NA",0,VLOOKUP(R88,TbPiezas[],5,0))</f>
        <v>27</v>
      </c>
      <c r="V88" s="81">
        <f>+TT[[#This Row],[TOTAL]]*TT[[#This Row],[P.U. (1)]]</f>
        <v>0</v>
      </c>
      <c r="W88" s="247">
        <f>+VLOOKUP(R88,TbPiezas[],6,0)</f>
        <v>2658.2</v>
      </c>
      <c r="X88" s="248">
        <f>ROUND(TT[[#This Row],[TOTAL]]*TT[[#This Row],[P.U. (2)]],2)</f>
        <v>0</v>
      </c>
      <c r="Y88" s="247">
        <f>+VLOOKUP(R88,TbPiezas[],7,0)</f>
        <v>132.91</v>
      </c>
      <c r="Z88" s="249">
        <f>ROUND(TT[[#This Row],[TOTAL]]*TT[[#This Row],[P.U. (3)]],2)</f>
        <v>0</v>
      </c>
    </row>
    <row r="89" spans="2:26" x14ac:dyDescent="0.3">
      <c r="B89" s="135"/>
      <c r="C89" s="135" t="s">
        <v>183</v>
      </c>
      <c r="D89" s="135" t="s">
        <v>184</v>
      </c>
      <c r="E89" s="2"/>
      <c r="F89" s="360">
        <v>0</v>
      </c>
      <c r="G89" s="360">
        <v>0</v>
      </c>
      <c r="H89" s="360">
        <v>0</v>
      </c>
      <c r="I89" s="360">
        <v>0</v>
      </c>
      <c r="J89" s="360">
        <v>0</v>
      </c>
      <c r="K89" s="360">
        <v>0</v>
      </c>
      <c r="L89" s="360">
        <v>0</v>
      </c>
      <c r="M89" s="360">
        <v>0</v>
      </c>
      <c r="N89" s="360">
        <v>0</v>
      </c>
      <c r="O89" s="360">
        <v>0</v>
      </c>
      <c r="P89" s="360">
        <v>0</v>
      </c>
      <c r="Q89" s="2"/>
      <c r="R89" s="135" t="str">
        <f t="shared" si="49"/>
        <v>AM.7900</v>
      </c>
      <c r="S89" s="137" t="str">
        <f>+IF(C89=TT[[#This Row],[ITEM]],"ok","mal")</f>
        <v>ok</v>
      </c>
      <c r="T89" s="79">
        <f t="shared" si="48"/>
        <v>0</v>
      </c>
      <c r="U89" s="80">
        <f>IF(VLOOKUP(R89,TbPiezas[],5,0)="NA",0,VLOOKUP(R89,TbPiezas[],5,0))</f>
        <v>38.799999999999997</v>
      </c>
      <c r="V89" s="81">
        <f>+TT[[#This Row],[TOTAL]]*TT[[#This Row],[P.U. (1)]]</f>
        <v>0</v>
      </c>
      <c r="W89" s="247">
        <f>+VLOOKUP(R89,TbPiezas[],6,0)</f>
        <v>2101.1799999999998</v>
      </c>
      <c r="X89" s="341">
        <f>ROUND(TT[[#This Row],[TOTAL]]*TT[[#This Row],[P.U. (2)]],2)</f>
        <v>0</v>
      </c>
      <c r="Y89" s="247">
        <f>+VLOOKUP(R89,TbPiezas[],7,0)</f>
        <v>105.059</v>
      </c>
      <c r="Z89" s="342">
        <f>ROUND(TT[[#This Row],[TOTAL]]*TT[[#This Row],[P.U. (3)]],2)</f>
        <v>0</v>
      </c>
    </row>
    <row r="90" spans="2:26" x14ac:dyDescent="0.3">
      <c r="B90" s="135"/>
      <c r="C90" s="135" t="s">
        <v>185</v>
      </c>
      <c r="D90" s="135" t="s">
        <v>186</v>
      </c>
      <c r="E90" s="2"/>
      <c r="F90" s="360">
        <v>0</v>
      </c>
      <c r="G90" s="360">
        <v>0</v>
      </c>
      <c r="H90" s="360">
        <v>0</v>
      </c>
      <c r="I90" s="360">
        <v>0</v>
      </c>
      <c r="J90" s="360">
        <v>0</v>
      </c>
      <c r="K90" s="360">
        <v>0</v>
      </c>
      <c r="L90" s="360">
        <v>0</v>
      </c>
      <c r="M90" s="360">
        <v>0</v>
      </c>
      <c r="N90" s="360">
        <v>0</v>
      </c>
      <c r="O90" s="360">
        <v>0</v>
      </c>
      <c r="P90" s="360">
        <v>0</v>
      </c>
      <c r="Q90" s="2"/>
      <c r="R90" s="135" t="str">
        <f t="shared" si="49"/>
        <v>AM.8000</v>
      </c>
      <c r="S90" s="137" t="str">
        <f>+IF(C90=TT[[#This Row],[ITEM]],"ok","mal")</f>
        <v>ok</v>
      </c>
      <c r="T90" s="79">
        <f t="shared" si="48"/>
        <v>0</v>
      </c>
      <c r="U90" s="80">
        <f>IF(VLOOKUP(R90,TbPiezas[],5,0)="NA",0,VLOOKUP(R90,TbPiezas[],5,0))</f>
        <v>29.599999999999994</v>
      </c>
      <c r="V90" s="81">
        <f>+TT[[#This Row],[TOTAL]]*TT[[#This Row],[P.U. (1)]]</f>
        <v>0</v>
      </c>
      <c r="W90" s="247">
        <f>+VLOOKUP(R90,TbPiezas[],6,0)</f>
        <v>2101.1799999999998</v>
      </c>
      <c r="X90" s="341">
        <f>ROUND(TT[[#This Row],[TOTAL]]*TT[[#This Row],[P.U. (2)]],2)</f>
        <v>0</v>
      </c>
      <c r="Y90" s="247">
        <f>+VLOOKUP(R90,TbPiezas[],7,0)</f>
        <v>105.059</v>
      </c>
      <c r="Z90" s="342">
        <f>ROUND(TT[[#This Row],[TOTAL]]*TT[[#This Row],[P.U. (3)]],2)</f>
        <v>0</v>
      </c>
    </row>
    <row r="91" spans="2:26" x14ac:dyDescent="0.3">
      <c r="B91" s="378">
        <v>1</v>
      </c>
      <c r="C91" s="135" t="s">
        <v>195</v>
      </c>
      <c r="D91" s="135" t="s">
        <v>196</v>
      </c>
      <c r="E91" s="2"/>
      <c r="F91" s="136">
        <f>+IF($B91=F$14,IF(AND(F$4&gt;0,E$4=0),2*ROUNDUP(F$6/3,0),IF(AND(F$4&gt;0,E$4&gt;0),ROUNDUP(F$6/3,0),0)),)</f>
        <v>2</v>
      </c>
      <c r="G91" s="136">
        <f t="shared" ref="G91:L91" si="52">+IF($B91=G$14,IF(AND(G$4&gt;0,F$4=0),2*ROUNDUP(G$6/3,0),IF(AND(G$4&gt;0,F$4&gt;0),ROUNDUP(G$6/3,0),0)),)</f>
        <v>0</v>
      </c>
      <c r="H91" s="136">
        <f t="shared" si="52"/>
        <v>0</v>
      </c>
      <c r="I91" s="136">
        <f t="shared" si="52"/>
        <v>0</v>
      </c>
      <c r="J91" s="136">
        <f t="shared" si="52"/>
        <v>0</v>
      </c>
      <c r="K91" s="136">
        <f t="shared" si="52"/>
        <v>0</v>
      </c>
      <c r="L91" s="136">
        <f t="shared" si="52"/>
        <v>0</v>
      </c>
      <c r="M91" s="136">
        <f>+IF($B91=M$14,IF(AND(M$4&gt;0,L$4=0),2*ROUNDUP(M$6/4,0),IF(AND(M$4&gt;0,L$4&gt;0),ROUNDUP(M$6/4,0),0)),)</f>
        <v>0</v>
      </c>
      <c r="N91" s="136">
        <f>+IF($B91=N$14,IF(AND(N$4&gt;0,M$4=0),2*ROUNDUP(N$6/4,0),IF(AND(N$4&gt;0,M$4&gt;0),ROUNDUP(N$6/4,0),0)),)</f>
        <v>0</v>
      </c>
      <c r="O91" s="136">
        <f>+IF($B91=O$14,IF(AND(O$4&gt;0,N$4=0),2*ROUNDUP(O$6/4,0),IF(AND(O$4&gt;0,N$4&gt;0),ROUNDUP(O$6/4,0),0)),)</f>
        <v>0</v>
      </c>
      <c r="P91" s="136">
        <f>+IF($B91=P$14,IF(AND(P$4&gt;0,O$4=0),2*ROUNDUP(P$6/4,0),IF(AND(P$4&gt;0,O$4&gt;0),ROUNDUP(P$6/4,0),0)),)</f>
        <v>0</v>
      </c>
      <c r="Q91" s="2"/>
      <c r="R91" s="135" t="str">
        <f t="shared" si="49"/>
        <v>AM.8500</v>
      </c>
      <c r="S91" s="245" t="str">
        <f>+IF(C91=TT[[#This Row],[ITEM]],"ok","mal")</f>
        <v>ok</v>
      </c>
      <c r="T91" s="246">
        <f t="shared" si="48"/>
        <v>2</v>
      </c>
      <c r="U91" s="80">
        <f>IF(VLOOKUP(R91,TbPiezas[],5,0)="NA",0,VLOOKUP(R91,TbPiezas[],5,0))</f>
        <v>1.2000000000000028</v>
      </c>
      <c r="V91" s="81">
        <f>+TT[[#This Row],[TOTAL]]*TT[[#This Row],[P.U. (1)]]</f>
        <v>2.4000000000000057</v>
      </c>
      <c r="W91" s="247">
        <f>+VLOOKUP(R91,TbPiezas[],6,0)</f>
        <v>118.69</v>
      </c>
      <c r="X91" s="441">
        <f>ROUND(TT[[#This Row],[TOTAL]]*TT[[#This Row],[P.U. (2)]],2)</f>
        <v>237.38</v>
      </c>
      <c r="Y91" s="247">
        <f>+VLOOKUP(R91,TbPiezas[],7,0)</f>
        <v>5.9344999999999999</v>
      </c>
      <c r="Z91" s="249">
        <f>ROUND(TT[[#This Row],[TOTAL]]*TT[[#This Row],[P.U. (3)]],2)</f>
        <v>11.87</v>
      </c>
    </row>
    <row r="92" spans="2:26" x14ac:dyDescent="0.3">
      <c r="B92" s="378">
        <v>0.5</v>
      </c>
      <c r="C92" s="135" t="s">
        <v>197</v>
      </c>
      <c r="D92" s="135" t="s">
        <v>198</v>
      </c>
      <c r="E92" s="2"/>
      <c r="F92" s="136">
        <f>+IF($B92=F$14,IF(AND(F$4&gt;0,E$4=0),2*ROUNDUP(F$6/3,0),IF(AND(F$4&gt;0,E$4&gt;0),ROUNDUP(F$6/3,0),0)),)</f>
        <v>0</v>
      </c>
      <c r="G92" s="136">
        <f t="shared" ref="G92:L92" si="53">+IF($B92=G$14,IF(AND(G$4&gt;0,F$4=0),2*ROUNDUP(G$6/3,0),IF(AND(G$4&gt;0,F$4&gt;0),ROUNDUP(G$6/3,0),0)),)</f>
        <v>0</v>
      </c>
      <c r="H92" s="136">
        <f t="shared" si="53"/>
        <v>0</v>
      </c>
      <c r="I92" s="136">
        <f t="shared" si="53"/>
        <v>0</v>
      </c>
      <c r="J92" s="136">
        <f t="shared" si="53"/>
        <v>0</v>
      </c>
      <c r="K92" s="136">
        <f t="shared" si="53"/>
        <v>0</v>
      </c>
      <c r="L92" s="136">
        <f t="shared" si="53"/>
        <v>0</v>
      </c>
      <c r="M92" s="136">
        <f>+IF($B92=M$14,IF(AND(M$4&gt;0,L$4=0),2*ROUNDUP(M$6/3,0),IF(AND(M$4&gt;0,L$4&gt;0),ROUNDUP(M$6/3,0),0)),)</f>
        <v>0</v>
      </c>
      <c r="N92" s="136">
        <f>+IF($B92=N$14,IF(AND(N$4&gt;0,M$4=0),2*ROUNDUP(N$6/3,0),IF(AND(N$4&gt;0,M$4&gt;0),ROUNDUP(N$6/3,0),0)),)</f>
        <v>0</v>
      </c>
      <c r="O92" s="136">
        <f>+IF($B92=O$14,IF(AND(O$4&gt;0,N$4=0),2*ROUNDUP(O$6/3,0),IF(AND(O$4&gt;0,N$4&gt;0),ROUNDUP(O$6/3,0),0)),)</f>
        <v>0</v>
      </c>
      <c r="P92" s="136">
        <f>+IF($B92=P$14,IF(AND(P$4&gt;0,O$4=0),2*ROUNDUP(P$6/3,0),IF(AND(P$4&gt;0,O$4&gt;0),ROUNDUP(P$6/3,0),0)),)</f>
        <v>0</v>
      </c>
      <c r="Q92" s="2"/>
      <c r="R92" s="135" t="str">
        <f t="shared" si="49"/>
        <v>AM.8600</v>
      </c>
      <c r="S92" s="245" t="str">
        <f>+IF(C92=TT[[#This Row],[ITEM]],"ok","mal")</f>
        <v>ok</v>
      </c>
      <c r="T92" s="246">
        <f t="shared" si="48"/>
        <v>0</v>
      </c>
      <c r="U92" s="80">
        <f>IF(VLOOKUP(R92,TbPiezas[],5,0)="NA",0,VLOOKUP(R92,TbPiezas[],5,0))</f>
        <v>1.7000000000000028</v>
      </c>
      <c r="V92" s="81">
        <f>+TT[[#This Row],[TOTAL]]*TT[[#This Row],[P.U. (1)]]</f>
        <v>0</v>
      </c>
      <c r="W92" s="247">
        <f>+VLOOKUP(R92,TbPiezas[],6,0)</f>
        <v>59.23</v>
      </c>
      <c r="X92" s="248">
        <f>ROUND(TT[[#This Row],[TOTAL]]*TT[[#This Row],[P.U. (2)]],2)</f>
        <v>0</v>
      </c>
      <c r="Y92" s="247">
        <f>+VLOOKUP(R92,TbPiezas[],7,0)</f>
        <v>2.9615</v>
      </c>
      <c r="Z92" s="249">
        <f>ROUND(TT[[#This Row],[TOTAL]]*TT[[#This Row],[P.U. (3)]],2)</f>
        <v>0</v>
      </c>
    </row>
    <row r="93" spans="2:26" x14ac:dyDescent="0.3">
      <c r="B93" s="135"/>
      <c r="C93" s="135" t="s">
        <v>201</v>
      </c>
      <c r="D93" s="135" t="s">
        <v>202</v>
      </c>
      <c r="E93" s="2"/>
      <c r="F93" s="136">
        <f>SUM(F91:F92)</f>
        <v>2</v>
      </c>
      <c r="G93" s="136">
        <f t="shared" ref="G93:L93" si="54">SUM(G91:G92)</f>
        <v>0</v>
      </c>
      <c r="H93" s="136">
        <f t="shared" si="54"/>
        <v>0</v>
      </c>
      <c r="I93" s="136">
        <f t="shared" si="54"/>
        <v>0</v>
      </c>
      <c r="J93" s="136">
        <f t="shared" si="54"/>
        <v>0</v>
      </c>
      <c r="K93" s="136">
        <f t="shared" si="54"/>
        <v>0</v>
      </c>
      <c r="L93" s="136">
        <f t="shared" si="54"/>
        <v>0</v>
      </c>
      <c r="M93" s="136">
        <f>SUM(M91:M92)</f>
        <v>0</v>
      </c>
      <c r="N93" s="136">
        <f>SUM(N91:N92)</f>
        <v>0</v>
      </c>
      <c r="O93" s="136">
        <f>SUM(O91:O92)</f>
        <v>0</v>
      </c>
      <c r="P93" s="136">
        <f>SUM(P91:P92)</f>
        <v>0</v>
      </c>
      <c r="Q93" s="2"/>
      <c r="R93" s="135" t="str">
        <f t="shared" si="49"/>
        <v>AM.8800</v>
      </c>
      <c r="S93" s="245" t="str">
        <f>+IF(C93=TT[[#This Row],[ITEM]],"ok","mal")</f>
        <v>ok</v>
      </c>
      <c r="T93" s="246">
        <f t="shared" si="48"/>
        <v>2</v>
      </c>
      <c r="U93" s="80">
        <f>IF(VLOOKUP(R93,TbPiezas[],5,0)="NA",0,VLOOKUP(R93,TbPiezas[],5,0))</f>
        <v>0.4</v>
      </c>
      <c r="V93" s="81">
        <f>+TT[[#This Row],[TOTAL]]*TT[[#This Row],[P.U. (1)]]</f>
        <v>0.8</v>
      </c>
      <c r="W93" s="247">
        <f>+VLOOKUP(R93,TbPiezas[],6,0)</f>
        <v>44.75</v>
      </c>
      <c r="X93" s="441">
        <f>ROUND(TT[[#This Row],[TOTAL]]*TT[[#This Row],[P.U. (2)]],2)</f>
        <v>89.5</v>
      </c>
      <c r="Y93" s="247">
        <f>+VLOOKUP(R93,TbPiezas[],7,0)</f>
        <v>2.2375000000000003</v>
      </c>
      <c r="Z93" s="249">
        <f>ROUND(TT[[#This Row],[TOTAL]]*TT[[#This Row],[P.U. (3)]],2)</f>
        <v>4.4800000000000004</v>
      </c>
    </row>
    <row r="94" spans="2:26" x14ac:dyDescent="0.3">
      <c r="B94" s="135"/>
      <c r="C94" s="135" t="s">
        <v>203</v>
      </c>
      <c r="D94" s="135" t="s">
        <v>204</v>
      </c>
      <c r="E94" s="2"/>
      <c r="F94" s="360">
        <v>0</v>
      </c>
      <c r="G94" s="360">
        <v>0</v>
      </c>
      <c r="H94" s="360">
        <v>0</v>
      </c>
      <c r="I94" s="360">
        <v>0</v>
      </c>
      <c r="J94" s="360">
        <v>0</v>
      </c>
      <c r="K94" s="360">
        <v>0</v>
      </c>
      <c r="L94" s="360">
        <v>0</v>
      </c>
      <c r="M94" s="360">
        <v>0</v>
      </c>
      <c r="N94" s="360">
        <v>0</v>
      </c>
      <c r="O94" s="360">
        <v>0</v>
      </c>
      <c r="P94" s="360">
        <v>0</v>
      </c>
      <c r="Q94" s="2"/>
      <c r="R94" s="135" t="str">
        <f t="shared" si="49"/>
        <v>AM.8900</v>
      </c>
      <c r="S94" s="245" t="str">
        <f>+IF(C94=TT[[#This Row],[ITEM]],"ok","mal")</f>
        <v>ok</v>
      </c>
      <c r="T94" s="246">
        <f t="shared" si="48"/>
        <v>0</v>
      </c>
      <c r="U94" s="80">
        <f>IF(VLOOKUP(R94,TbPiezas[],5,0)="NA",0,VLOOKUP(R94,TbPiezas[],5,0))</f>
        <v>0.5</v>
      </c>
      <c r="V94" s="81">
        <f>+TT[[#This Row],[TOTAL]]*TT[[#This Row],[P.U. (1)]]</f>
        <v>0</v>
      </c>
      <c r="W94" s="247">
        <f>+VLOOKUP(R94,TbPiezas[],6,0)</f>
        <v>44.75</v>
      </c>
      <c r="X94" s="248">
        <f>ROUND(TT[[#This Row],[TOTAL]]*TT[[#This Row],[P.U. (2)]],2)</f>
        <v>0</v>
      </c>
      <c r="Y94" s="247">
        <f>+VLOOKUP(R94,TbPiezas[],7,0)</f>
        <v>2.2375000000000003</v>
      </c>
      <c r="Z94" s="249">
        <f>ROUND(TT[[#This Row],[TOTAL]]*TT[[#This Row],[P.U. (3)]],2)</f>
        <v>0</v>
      </c>
    </row>
    <row r="95" spans="2:26" x14ac:dyDescent="0.3">
      <c r="B95" s="135"/>
      <c r="C95" s="135" t="s">
        <v>205</v>
      </c>
      <c r="D95" s="135" t="s">
        <v>206</v>
      </c>
      <c r="E95" s="2"/>
      <c r="F95" s="136">
        <f>+IF(F$5=732,0,IF(F$11="TODO",0,IF(F$11="ARRIBA",IF(AND(F$4&gt;0,E$4=0),IF(ISEVEN(F$6),F$6-2,F$6-1),0),)))</f>
        <v>0</v>
      </c>
      <c r="G95" s="136">
        <f t="shared" ref="G95:L95" si="55">+IF(G$5=732,0,IF(G$11="TODO",0,IF(G$11="ARRIBA",IF(AND(G$4&gt;0,F$4=0),IF(ISEVEN(G$6),G$6-2,G$6-1),0),)))</f>
        <v>0</v>
      </c>
      <c r="H95" s="136">
        <f t="shared" si="55"/>
        <v>0</v>
      </c>
      <c r="I95" s="136">
        <f t="shared" si="55"/>
        <v>0</v>
      </c>
      <c r="J95" s="136">
        <f t="shared" si="55"/>
        <v>0</v>
      </c>
      <c r="K95" s="136">
        <f t="shared" si="55"/>
        <v>0</v>
      </c>
      <c r="L95" s="136">
        <f t="shared" si="55"/>
        <v>0</v>
      </c>
      <c r="M95" s="136">
        <f>+IF(M$5=732,0,IF(OR(M$11="TODO",AND(M$11="ARRIBA",M10="NO")),0,IF(AND(M$11="ARRIBA",M10="SI"),IF(AND(M$4&gt;0,L$4=0),IF(ISEVEN(M$6),M$6-2,M$6-1),IF(AND(M$4&gt;0,L$4&gt;0),IF(ISEVEN(M$6),0.5*M$6-1,0.5*M$6-0.5),0)),0)))</f>
        <v>0</v>
      </c>
      <c r="N95" s="136">
        <f>+IF(N$5=732,0,IF(OR(N$11="TODO",AND(N$11="ARRIBA",N10="NO")),0,IF(AND(N$11="ARRIBA",N10="SI"),IF(AND(N$4&gt;0,M$4=0),IF(ISEVEN(N$6),N$6-2,N$6-1),IF(AND(N$4&gt;0,M$4&gt;0),IF(ISEVEN(N$6),0.5*N$6-1,0.5*N$6-0.5),0)),0)))</f>
        <v>0</v>
      </c>
      <c r="O95" s="136">
        <f>+IF(O$5=732,0,IF(OR(O$11="TODO",AND(O$11="ARRIBA",O10="NO")),0,IF(AND(O$11="ARRIBA",O10="SI"),IF(AND(O$4&gt;0,N$4=0),IF(ISEVEN(O$6),O$6-2,O$6-1),IF(AND(O$4&gt;0,N$4&gt;0),IF(ISEVEN(O$6),0.5*O$6-1,0.5*O$6-0.5),0)),0)))</f>
        <v>0</v>
      </c>
      <c r="P95" s="136">
        <f>+IF(P$5=732,0,IF(OR(P$11="TODO",AND(P$11="ARRIBA",P10="NO")),0,IF(AND(P$11="ARRIBA",P10="SI"),IF(AND(P$4&gt;0,O$4=0),IF(ISEVEN(P$6),P$6-2,P$6-1),IF(AND(P$4&gt;0,O$4&gt;0),IF(ISEVEN(P$6),0.5*P$6-1,0.5*P$6-0.5),0)),0)))</f>
        <v>0</v>
      </c>
      <c r="Q95" s="2"/>
      <c r="R95" s="135" t="str">
        <f t="shared" si="49"/>
        <v>AM.9000</v>
      </c>
      <c r="S95" s="245" t="str">
        <f>+IF(C95=TT[[#This Row],[ITEM]],"ok","mal")</f>
        <v>ok</v>
      </c>
      <c r="T95" s="246">
        <f t="shared" si="48"/>
        <v>0</v>
      </c>
      <c r="U95" s="80">
        <f>IF(VLOOKUP(R95,TbPiezas[],5,0)="NA",0,VLOOKUP(R95,TbPiezas[],5,0))</f>
        <v>1.7999999999999972</v>
      </c>
      <c r="V95" s="81">
        <f>+TT[[#This Row],[TOTAL]]*TT[[#This Row],[P.U. (1)]]</f>
        <v>0</v>
      </c>
      <c r="W95" s="247">
        <f>+VLOOKUP(R95,TbPiezas[],6,0)</f>
        <v>112.93</v>
      </c>
      <c r="X95" s="441">
        <f>ROUND(TT[[#This Row],[TOTAL]]*TT[[#This Row],[P.U. (2)]],2)</f>
        <v>0</v>
      </c>
      <c r="Y95" s="247">
        <f>+VLOOKUP(R95,TbPiezas[],7,0)</f>
        <v>5.6465000000000005</v>
      </c>
      <c r="Z95" s="249">
        <f>ROUND(TT[[#This Row],[TOTAL]]*TT[[#This Row],[P.U. (3)]],2)</f>
        <v>0</v>
      </c>
    </row>
    <row r="96" spans="2:26" x14ac:dyDescent="0.3">
      <c r="B96" s="135"/>
      <c r="C96" s="135" t="s">
        <v>207</v>
      </c>
      <c r="D96" s="135" t="s">
        <v>208</v>
      </c>
      <c r="E96" s="2"/>
      <c r="F96" s="360">
        <v>0</v>
      </c>
      <c r="G96" s="360">
        <v>0</v>
      </c>
      <c r="H96" s="360">
        <v>0</v>
      </c>
      <c r="I96" s="360">
        <v>0</v>
      </c>
      <c r="J96" s="360">
        <v>0</v>
      </c>
      <c r="K96" s="360">
        <v>0</v>
      </c>
      <c r="L96" s="360">
        <v>0</v>
      </c>
      <c r="M96" s="360">
        <v>0</v>
      </c>
      <c r="N96" s="360">
        <v>0</v>
      </c>
      <c r="O96" s="360">
        <v>0</v>
      </c>
      <c r="P96" s="360">
        <v>0</v>
      </c>
      <c r="Q96" s="2"/>
      <c r="R96" s="135" t="str">
        <f t="shared" si="49"/>
        <v>AM.9100</v>
      </c>
      <c r="S96" s="245" t="str">
        <f>+IF(C96=TT[[#This Row],[ITEM]],"ok","mal")</f>
        <v>ok</v>
      </c>
      <c r="T96" s="246">
        <f t="shared" si="48"/>
        <v>0</v>
      </c>
      <c r="U96" s="80">
        <f>IF(VLOOKUP(R96,TbPiezas[],5,0)="NA",0,VLOOKUP(R96,TbPiezas[],5,0))</f>
        <v>3.8</v>
      </c>
      <c r="V96" s="81">
        <f>+TT[[#This Row],[TOTAL]]*TT[[#This Row],[P.U. (1)]]</f>
        <v>0</v>
      </c>
      <c r="W96" s="247">
        <f>+VLOOKUP(R96,TbPiezas[],6,0)</f>
        <v>173.65</v>
      </c>
      <c r="X96" s="248">
        <f>ROUND(TT[[#This Row],[TOTAL]]*TT[[#This Row],[P.U. (2)]],2)</f>
        <v>0</v>
      </c>
      <c r="Y96" s="247">
        <f>+VLOOKUP(R96,TbPiezas[],7,0)</f>
        <v>8.682500000000001</v>
      </c>
      <c r="Z96" s="249">
        <f>ROUND(TT[[#This Row],[TOTAL]]*TT[[#This Row],[P.U. (3)]],2)</f>
        <v>0</v>
      </c>
    </row>
    <row r="97" spans="2:28" x14ac:dyDescent="0.3">
      <c r="B97" s="135"/>
      <c r="C97" s="135" t="s">
        <v>209</v>
      </c>
      <c r="D97" s="135" t="s">
        <v>210</v>
      </c>
      <c r="E97" s="2"/>
      <c r="F97" s="360">
        <v>0</v>
      </c>
      <c r="G97" s="360">
        <v>0</v>
      </c>
      <c r="H97" s="360">
        <v>0</v>
      </c>
      <c r="I97" s="360">
        <v>0</v>
      </c>
      <c r="J97" s="360">
        <v>0</v>
      </c>
      <c r="K97" s="360">
        <v>0</v>
      </c>
      <c r="L97" s="360">
        <v>0</v>
      </c>
      <c r="M97" s="360">
        <v>0</v>
      </c>
      <c r="N97" s="360">
        <v>0</v>
      </c>
      <c r="O97" s="360">
        <v>0</v>
      </c>
      <c r="P97" s="360">
        <v>0</v>
      </c>
      <c r="Q97" s="2"/>
      <c r="R97" s="135" t="str">
        <f t="shared" si="49"/>
        <v>AM.9200</v>
      </c>
      <c r="S97" s="245" t="str">
        <f>+IF(C97=TT[[#This Row],[ITEM]],"ok","mal")</f>
        <v>ok</v>
      </c>
      <c r="T97" s="246">
        <f t="shared" si="48"/>
        <v>0</v>
      </c>
      <c r="U97" s="80">
        <f>IF(VLOOKUP(R97,TbPiezas[],5,0)="NA",0,VLOOKUP(R97,TbPiezas[],5,0))</f>
        <v>9.9999999999994316E-2</v>
      </c>
      <c r="V97" s="81">
        <f>+TT[[#This Row],[TOTAL]]*TT[[#This Row],[P.U. (1)]]</f>
        <v>0</v>
      </c>
      <c r="W97" s="247">
        <f>+VLOOKUP(R97,TbPiezas[],6,0)</f>
        <v>9.91</v>
      </c>
      <c r="X97" s="248">
        <f>ROUND(TT[[#This Row],[TOTAL]]*TT[[#This Row],[P.U. (2)]],2)</f>
        <v>0</v>
      </c>
      <c r="Y97" s="247">
        <f>+VLOOKUP(R97,TbPiezas[],7,0)</f>
        <v>0.49550000000000005</v>
      </c>
      <c r="Z97" s="249">
        <f>ROUND(TT[[#This Row],[TOTAL]]*TT[[#This Row],[P.U. (3)]],2)</f>
        <v>0</v>
      </c>
    </row>
    <row r="98" spans="2:28" x14ac:dyDescent="0.3">
      <c r="B98" s="135"/>
      <c r="C98" s="76" t="s">
        <v>211</v>
      </c>
      <c r="D98" s="76" t="s">
        <v>212</v>
      </c>
      <c r="E98" s="2"/>
      <c r="F98" s="136">
        <f>+IF(F$15="SI",IF(F$6&gt;0,IF(AND(F$4&gt;0,E$4=0),IF(ISEVEN(F$6),2*F$6,2*F$6-2),IF(AND(F$4&gt;0,E$4&gt;0),IF(ISEVEN(F$6),F$6,F$6-1),0)),0),0)+IF(F$5=732,0,IF(F$11="TODO",0,IF(F$11="ARRIBA",IF(AND(F$4&gt;0,E$4=0),IF(ISEVEN(F$6),F$6-2,F$6-1),0),)))</f>
        <v>4</v>
      </c>
      <c r="G98" s="136">
        <f t="shared" ref="G98:L98" si="56">+IF(G$15="SI",IF(G$6&gt;0,IF(AND(G$4&gt;0,F$4=0),IF(ISEVEN(G$6),2*G$6,2*G$6-2),IF(AND(G$4&gt;0,F$4&gt;0),IF(ISEVEN(G$6),G$6,G$6-1),0)),0),0)+IF(G$5=732,0,IF(G$11="TODO",0,IF(G$11="ARRIBA",IF(AND(G$4&gt;0,F$4=0),IF(ISEVEN(G$6),G$6-2,G$6-1),0),)))</f>
        <v>0</v>
      </c>
      <c r="H98" s="136">
        <f t="shared" si="56"/>
        <v>0</v>
      </c>
      <c r="I98" s="136">
        <f t="shared" si="56"/>
        <v>0</v>
      </c>
      <c r="J98" s="136">
        <f t="shared" si="56"/>
        <v>0</v>
      </c>
      <c r="K98" s="136">
        <f t="shared" si="56"/>
        <v>0</v>
      </c>
      <c r="L98" s="136">
        <f t="shared" si="56"/>
        <v>0</v>
      </c>
      <c r="M98" s="136">
        <f>+IF(M$15="SI",IF(M$6&gt;0,IF(AND(M$4&gt;0,L$4=0),IF(ISEVEN(M$6),2*M$6,2*M$6-2),IF(AND(M$4&gt;0,L$4&gt;0),IF(ISEVEN(M$6),M$6,M$6-1),0)),0),0)+IF(M$5=732,0,IF(M$11="TODO",0,IF(M$11="ARRIBA",IF(AND(M$4&gt;0,L$4=0),IF(ISEVEN(M$6),M$6-2,M$6-1),0),)))</f>
        <v>0</v>
      </c>
      <c r="N98" s="136">
        <f>+IF(N$15="SI",IF(N$6&gt;0,IF(AND(N$4&gt;0,M$4=0),IF(ISEVEN(N$6),2*N$6,2*N$6-2),IF(AND(N$4&gt;0,M$4&gt;0),IF(ISEVEN(N$6),N$6,N$6-1),0)),0),0)+IF(N$5=732,0,IF(N$11="TODO",0,IF(N$11="ARRIBA",IF(AND(N$4&gt;0,M$4=0),IF(ISEVEN(N$6),N$6-2,N$6-1),0),)))</f>
        <v>0</v>
      </c>
      <c r="O98" s="136">
        <f>+IF(O$15="SI",IF(O$6&gt;0,IF(AND(O$4&gt;0,N$4=0),IF(ISEVEN(O$6),2*O$6,2*O$6-2),IF(AND(O$4&gt;0,N$4&gt;0),IF(ISEVEN(O$6),O$6,O$6-1),0)),0),0)+IF(O$5=732,0,IF(O$11="TODO",0,IF(O$11="ARRIBA",IF(AND(O$4&gt;0,N$4=0),IF(ISEVEN(O$6),O$6-2,O$6-1),0),)))</f>
        <v>0</v>
      </c>
      <c r="P98" s="136">
        <f>+IF(P$15="SI",IF(P$6&gt;0,IF(AND(P$4&gt;0,O$4=0),IF(ISEVEN(P$6),2*P$6,2*P$6-2),IF(AND(P$4&gt;0,O$4&gt;0),IF(ISEVEN(P$6),P$6,P$6-1),0)),0),0)+IF(P$5=732,0,IF(P$11="TODO",0,IF(P$11="ARRIBA",IF(AND(P$4&gt;0,O$4=0),IF(ISEVEN(P$6),P$6-2,P$6-1),0),)))</f>
        <v>0</v>
      </c>
      <c r="Q98" s="2"/>
      <c r="R98" s="135" t="str">
        <f t="shared" si="49"/>
        <v>AM.9300</v>
      </c>
      <c r="S98" s="245" t="str">
        <f>+IF(C98=TT[[#This Row],[ITEM]],"ok","mal")</f>
        <v>ok</v>
      </c>
      <c r="T98" s="246">
        <f t="shared" si="48"/>
        <v>4</v>
      </c>
      <c r="U98" s="80">
        <f>IF(VLOOKUP(R98,TbPiezas[],5,0)="NA",0,VLOOKUP(R98,TbPiezas[],5,0))</f>
        <v>9.9999999999994316E-2</v>
      </c>
      <c r="V98" s="81">
        <f>+TT[[#This Row],[TOTAL]]*TT[[#This Row],[P.U. (1)]]</f>
        <v>0.39999999999997726</v>
      </c>
      <c r="W98" s="247">
        <f>+VLOOKUP(R98,TbPiezas[],6,0)</f>
        <v>9.91</v>
      </c>
      <c r="X98" s="441">
        <f>ROUND(TT[[#This Row],[TOTAL]]*TT[[#This Row],[P.U. (2)]],2)</f>
        <v>39.64</v>
      </c>
      <c r="Y98" s="247">
        <f>+VLOOKUP(R98,TbPiezas[],7,0)</f>
        <v>0.49550000000000005</v>
      </c>
      <c r="Z98" s="249">
        <f>ROUND(TT[[#This Row],[TOTAL]]*TT[[#This Row],[P.U. (3)]],2)</f>
        <v>1.98</v>
      </c>
    </row>
    <row r="99" spans="2:28" s="4" customFormat="1" x14ac:dyDescent="0.3">
      <c r="B99" s="135"/>
      <c r="C99" s="140" t="s">
        <v>299</v>
      </c>
      <c r="D99" s="140" t="s">
        <v>300</v>
      </c>
      <c r="F99" s="141">
        <f>+F92+F91</f>
        <v>2</v>
      </c>
      <c r="G99" s="141">
        <f t="shared" ref="G99:L99" si="57">+G92</f>
        <v>0</v>
      </c>
      <c r="H99" s="141">
        <f t="shared" si="57"/>
        <v>0</v>
      </c>
      <c r="I99" s="141">
        <f t="shared" si="57"/>
        <v>0</v>
      </c>
      <c r="J99" s="141">
        <f t="shared" si="57"/>
        <v>0</v>
      </c>
      <c r="K99" s="141">
        <f t="shared" si="57"/>
        <v>0</v>
      </c>
      <c r="L99" s="141">
        <f t="shared" si="57"/>
        <v>0</v>
      </c>
      <c r="M99" s="141">
        <f>+M92</f>
        <v>0</v>
      </c>
      <c r="N99" s="141">
        <f>+N92</f>
        <v>0</v>
      </c>
      <c r="O99" s="141">
        <f>+O92</f>
        <v>0</v>
      </c>
      <c r="P99" s="141">
        <f>+P92</f>
        <v>0</v>
      </c>
      <c r="R99" s="135" t="str">
        <f t="shared" si="49"/>
        <v>CON.0100</v>
      </c>
      <c r="S99" s="142" t="str">
        <f>+IF(C99=TT[[#This Row],[ITEM]],"ok","mal")</f>
        <v>ok</v>
      </c>
      <c r="T99" s="143">
        <f t="shared" si="48"/>
        <v>2</v>
      </c>
      <c r="U99" s="80">
        <f>IF(VLOOKUP(R99,TbPiezas[],5,0)="NA",0,VLOOKUP(R99,TbPiezas[],5,0))</f>
        <v>0.15000000000000568</v>
      </c>
      <c r="V99" s="145">
        <f>+TT[[#This Row],[TOTAL]]*TT[[#This Row],[P.U. (1)]]</f>
        <v>0.30000000000001137</v>
      </c>
      <c r="W99" s="247">
        <v>19.059999999999999</v>
      </c>
      <c r="X99" s="441">
        <f>ROUND(TT[[#This Row],[TOTAL]]*TT[[#This Row],[P.U. (2)]],2)</f>
        <v>38.119999999999997</v>
      </c>
      <c r="Y99" s="247">
        <v>0.95</v>
      </c>
      <c r="Z99" s="148">
        <f>ROUND(TT[[#This Row],[TOTAL]]*TT[[#This Row],[P.U. (3)]],2)</f>
        <v>1.9</v>
      </c>
    </row>
    <row r="100" spans="2:28" s="4" customFormat="1" x14ac:dyDescent="0.3">
      <c r="B100" s="135"/>
      <c r="C100" s="172" t="s">
        <v>301</v>
      </c>
      <c r="D100" s="172" t="s">
        <v>302</v>
      </c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R100" s="135" t="str">
        <f t="shared" si="49"/>
        <v>CON.0200</v>
      </c>
      <c r="S100" s="142" t="str">
        <f>+IF(C100=TT[[#This Row],[ITEM]],"ok","mal")</f>
        <v>ok</v>
      </c>
      <c r="T100" s="143">
        <f t="shared" si="48"/>
        <v>0</v>
      </c>
      <c r="U100" s="80">
        <f>IF(VLOOKUP(R100,TbPiezas[],5,0)="NA",0,VLOOKUP(R100,TbPiezas[],5,0))</f>
        <v>0.25</v>
      </c>
      <c r="V100" s="145">
        <f>+TT[[#This Row],[TOTAL]]*TT[[#This Row],[P.U. (1)]]</f>
        <v>0</v>
      </c>
      <c r="W100" s="247">
        <f>+VLOOKUP(R100,TbPiezas[],6,0)</f>
        <v>0</v>
      </c>
      <c r="X100" s="147">
        <f>ROUND(TT[[#This Row],[TOTAL]]*TT[[#This Row],[P.U. (2)]],2)</f>
        <v>0</v>
      </c>
      <c r="Y100" s="247">
        <f>+VLOOKUP(R100,TbPiezas[],7,0)</f>
        <v>0</v>
      </c>
      <c r="Z100" s="148">
        <f>ROUND(TT[[#This Row],[TOTAL]]*TT[[#This Row],[P.U. (3)]],2)</f>
        <v>0</v>
      </c>
    </row>
    <row r="101" spans="2:28" ht="8.25" customHeight="1" x14ac:dyDescent="0.3">
      <c r="E101" s="2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42"/>
      <c r="S101" s="42"/>
      <c r="T101" s="42"/>
      <c r="U101" s="2"/>
    </row>
    <row r="102" spans="2:28" x14ac:dyDescent="0.3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42"/>
      <c r="S102" s="42"/>
      <c r="T102" s="42"/>
      <c r="U102" s="327" t="s">
        <v>1169</v>
      </c>
      <c r="V102" s="89">
        <f>SUM(V18:V101)</f>
        <v>467.69999999999993</v>
      </c>
      <c r="W102" s="90" t="s">
        <v>1170</v>
      </c>
      <c r="X102" s="91">
        <f>SUM(X18:X101)</f>
        <v>15937.239999999998</v>
      </c>
      <c r="Y102" s="92" t="s">
        <v>1170</v>
      </c>
      <c r="Z102" s="93">
        <f>SUM(Z18:Z101)</f>
        <v>796.86</v>
      </c>
    </row>
    <row r="103" spans="2:28" x14ac:dyDescent="0.3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42"/>
      <c r="S103" s="42"/>
      <c r="T103" s="42"/>
      <c r="U103" s="496" t="s">
        <v>1286</v>
      </c>
      <c r="V103" s="498">
        <f>+V102/1000</f>
        <v>0.46769999999999995</v>
      </c>
      <c r="W103" s="344" t="s">
        <v>1289</v>
      </c>
      <c r="X103" s="449">
        <f>-X102*W104</f>
        <v>-1593.7239999999999</v>
      </c>
      <c r="Y103" s="95" t="s">
        <v>1289</v>
      </c>
      <c r="Z103" s="450">
        <f>-Z102*Y104</f>
        <v>0</v>
      </c>
    </row>
    <row r="104" spans="2:28" x14ac:dyDescent="0.3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42"/>
      <c r="S104" s="42"/>
      <c r="T104" s="42"/>
      <c r="U104" s="497"/>
      <c r="V104" s="499"/>
      <c r="W104" s="345">
        <v>0.1</v>
      </c>
      <c r="X104" s="449"/>
      <c r="Y104" s="97"/>
      <c r="Z104" s="450"/>
    </row>
    <row r="105" spans="2:28" ht="7.5" customHeight="1" x14ac:dyDescent="0.3">
      <c r="E105" s="2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42"/>
      <c r="S105" s="42"/>
      <c r="T105" s="42"/>
      <c r="U105" s="2"/>
      <c r="V105" s="2"/>
    </row>
    <row r="106" spans="2:28" ht="15" customHeight="1" x14ac:dyDescent="0.3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42"/>
      <c r="S106" s="42"/>
      <c r="T106" s="42"/>
      <c r="U106" s="493" t="s">
        <v>1173</v>
      </c>
      <c r="V106" s="83">
        <v>0</v>
      </c>
      <c r="W106" s="98" t="s">
        <v>1170</v>
      </c>
      <c r="X106" s="83">
        <f>X102+X103</f>
        <v>14343.515999999998</v>
      </c>
      <c r="Y106" s="82" t="s">
        <v>1170</v>
      </c>
      <c r="Z106" s="84">
        <f>Z102+Z103</f>
        <v>796.86</v>
      </c>
    </row>
    <row r="107" spans="2:28" x14ac:dyDescent="0.3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42"/>
      <c r="S107" s="42"/>
      <c r="T107" s="42"/>
      <c r="U107" s="494"/>
      <c r="V107" s="83">
        <v>0</v>
      </c>
      <c r="W107" s="98" t="s">
        <v>1174</v>
      </c>
      <c r="X107" s="83">
        <f>0.18*X106</f>
        <v>2581.8328799999995</v>
      </c>
      <c r="Y107" s="82" t="s">
        <v>1174</v>
      </c>
      <c r="Z107" s="84">
        <f>0.18*Z106</f>
        <v>143.4348</v>
      </c>
    </row>
    <row r="108" spans="2:28" ht="7.5" customHeight="1" x14ac:dyDescent="0.3">
      <c r="E108" s="2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42"/>
      <c r="S108" s="42"/>
      <c r="T108" s="42"/>
      <c r="U108" s="2"/>
      <c r="V108" s="2"/>
    </row>
    <row r="109" spans="2:28" x14ac:dyDescent="0.3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42"/>
      <c r="S109" s="42"/>
      <c r="T109" s="42"/>
      <c r="U109" s="2"/>
      <c r="V109" s="99"/>
      <c r="W109" s="100" t="s">
        <v>1162</v>
      </c>
      <c r="X109" s="101">
        <f>+X106+X107</f>
        <v>16925.348879999998</v>
      </c>
      <c r="Y109" s="100" t="s">
        <v>1162</v>
      </c>
      <c r="Z109" s="102">
        <f>+Z106+Z107</f>
        <v>940.29480000000001</v>
      </c>
      <c r="AA109" s="42"/>
      <c r="AB109" s="42"/>
    </row>
    <row r="110" spans="2:28" x14ac:dyDescent="0.3">
      <c r="Q110" s="42"/>
      <c r="R110" s="42"/>
      <c r="S110" s="42"/>
      <c r="T110" s="42"/>
      <c r="AA110" s="42"/>
      <c r="AB110" s="42"/>
    </row>
    <row r="111" spans="2:28" x14ac:dyDescent="0.3">
      <c r="Q111" s="42"/>
      <c r="R111" s="42"/>
      <c r="S111" s="42"/>
      <c r="T111" s="43"/>
      <c r="U111" s="43"/>
      <c r="V111" s="43"/>
      <c r="AA111" s="43"/>
      <c r="AB111" s="43"/>
    </row>
    <row r="112" spans="2:28" x14ac:dyDescent="0.3">
      <c r="Q112" s="42"/>
      <c r="R112" s="42"/>
      <c r="S112" s="42"/>
      <c r="T112" s="43"/>
      <c r="U112" s="43"/>
      <c r="V112" s="43"/>
      <c r="AA112" s="43"/>
      <c r="AB112" s="43"/>
    </row>
    <row r="113" spans="17:28" x14ac:dyDescent="0.3">
      <c r="Q113" s="42"/>
      <c r="R113" s="42"/>
      <c r="S113" s="42"/>
      <c r="T113" s="43"/>
      <c r="U113" s="43"/>
      <c r="V113" s="43"/>
      <c r="AA113" s="43"/>
      <c r="AB113" s="43"/>
    </row>
    <row r="114" spans="17:28" x14ac:dyDescent="0.3">
      <c r="Q114" s="42"/>
      <c r="R114" s="42"/>
      <c r="S114" s="42"/>
      <c r="T114" s="43"/>
      <c r="U114" s="43"/>
      <c r="V114" s="43"/>
      <c r="AA114" s="43"/>
      <c r="AB114" s="43"/>
    </row>
    <row r="115" spans="17:28" x14ac:dyDescent="0.3">
      <c r="Q115" s="42"/>
      <c r="R115" s="42"/>
      <c r="S115" s="42"/>
      <c r="T115" s="43"/>
      <c r="U115" s="43"/>
      <c r="V115" s="43"/>
      <c r="AA115" s="43"/>
      <c r="AB115" s="43"/>
    </row>
    <row r="116" spans="17:28" x14ac:dyDescent="0.3">
      <c r="Q116" s="42"/>
      <c r="R116" s="42"/>
      <c r="S116" s="42"/>
      <c r="T116" s="43"/>
      <c r="U116" s="43"/>
      <c r="V116" s="43"/>
      <c r="AA116" s="43"/>
      <c r="AB116" s="43"/>
    </row>
    <row r="117" spans="17:28" x14ac:dyDescent="0.3">
      <c r="Q117" s="42"/>
      <c r="R117" s="42"/>
      <c r="S117" s="42"/>
      <c r="T117" s="43"/>
      <c r="U117" s="43"/>
      <c r="V117" s="43"/>
      <c r="AA117" s="43"/>
      <c r="AB117" s="43"/>
    </row>
    <row r="118" spans="17:28" x14ac:dyDescent="0.3">
      <c r="Q118" s="42"/>
      <c r="R118" s="42"/>
      <c r="S118" s="42"/>
      <c r="T118" s="43"/>
      <c r="U118" s="43"/>
      <c r="V118" s="43"/>
      <c r="AA118" s="43"/>
      <c r="AB118" s="43"/>
    </row>
    <row r="119" spans="17:28" x14ac:dyDescent="0.3">
      <c r="Q119" s="42"/>
      <c r="R119" s="42"/>
      <c r="S119" s="42"/>
      <c r="T119" s="43"/>
      <c r="U119" s="43"/>
      <c r="V119" s="43"/>
      <c r="AA119" s="43"/>
      <c r="AB119" s="43"/>
    </row>
    <row r="120" spans="17:28" x14ac:dyDescent="0.3">
      <c r="Q120" s="42"/>
      <c r="R120" s="42"/>
      <c r="S120" s="42"/>
      <c r="T120" s="43"/>
      <c r="U120" s="43"/>
      <c r="V120" s="43"/>
      <c r="AA120" s="43"/>
      <c r="AB120" s="43"/>
    </row>
    <row r="121" spans="17:28" x14ac:dyDescent="0.3">
      <c r="Q121" s="42"/>
      <c r="R121" s="42"/>
      <c r="S121" s="42"/>
      <c r="AA121" s="42"/>
      <c r="AB121" s="42"/>
    </row>
    <row r="122" spans="17:28" x14ac:dyDescent="0.3">
      <c r="AA122" s="42"/>
      <c r="AB122" s="42"/>
    </row>
  </sheetData>
  <autoFilter ref="B18:P100" xr:uid="{CC1D2D05-54BB-45C3-B7B5-5D6AA4528507}"/>
  <mergeCells count="8">
    <mergeCell ref="U106:U107"/>
    <mergeCell ref="U17:V17"/>
    <mergeCell ref="W17:X17"/>
    <mergeCell ref="Y17:Z17"/>
    <mergeCell ref="U103:U104"/>
    <mergeCell ref="V103:V104"/>
    <mergeCell ref="X103:X104"/>
    <mergeCell ref="Z103:Z104"/>
  </mergeCells>
  <phoneticPr fontId="1" type="noConversion"/>
  <conditionalFormatting sqref="Z10:Z11 I15:O15 I10:P11">
    <cfRule type="containsText" dxfId="204" priority="94" operator="containsText" text="NO">
      <formula>NOT(ISERROR(SEARCH("NO",I10)))</formula>
    </cfRule>
    <cfRule type="containsText" dxfId="203" priority="95" operator="containsText" text="SI">
      <formula>NOT(ISERROR(SEARCH("SI",I10)))</formula>
    </cfRule>
  </conditionalFormatting>
  <conditionalFormatting sqref="I12:P13">
    <cfRule type="containsText" dxfId="202" priority="91" operator="containsText" text="ESP">
      <formula>NOT(ISERROR(SEARCH("ESP",I12)))</formula>
    </cfRule>
    <cfRule type="containsText" dxfId="201" priority="92" operator="containsText" text="NEO">
      <formula>NOT(ISERROR(SEARCH("NEO",I12)))</formula>
    </cfRule>
    <cfRule type="containsText" dxfId="200" priority="93" operator="containsText" text="CHI">
      <formula>NOT(ISERROR(SEARCH("CHI",I12)))</formula>
    </cfRule>
  </conditionalFormatting>
  <conditionalFormatting sqref="Z5:Z9 I6:P9">
    <cfRule type="cellIs" dxfId="199" priority="107" operator="equal">
      <formula>1090</formula>
    </cfRule>
    <cfRule type="cellIs" dxfId="198" priority="108" operator="equal">
      <formula>1020</formula>
    </cfRule>
  </conditionalFormatting>
  <conditionalFormatting sqref="Z12:Z13">
    <cfRule type="containsText" dxfId="197" priority="100" operator="containsText" text="ESP">
      <formula>NOT(ISERROR(SEARCH("ESP",Z12)))</formula>
    </cfRule>
    <cfRule type="containsText" dxfId="196" priority="101" operator="containsText" text="NEO">
      <formula>NOT(ISERROR(SEARCH("NEO",Z12)))</formula>
    </cfRule>
    <cfRule type="containsText" dxfId="195" priority="102" operator="containsText" text="CHI">
      <formula>NOT(ISERROR(SEARCH("CHI",Z12)))</formula>
    </cfRule>
  </conditionalFormatting>
  <conditionalFormatting sqref="F96:P96">
    <cfRule type="cellIs" dxfId="194" priority="87" operator="greaterThanOrEqual">
      <formula>1</formula>
    </cfRule>
  </conditionalFormatting>
  <conditionalFormatting sqref="F97:P97">
    <cfRule type="cellIs" dxfId="193" priority="86" operator="greaterThanOrEqual">
      <formula>1</formula>
    </cfRule>
  </conditionalFormatting>
  <conditionalFormatting sqref="F40:P42">
    <cfRule type="cellIs" dxfId="192" priority="85" operator="greaterThanOrEqual">
      <formula>1</formula>
    </cfRule>
  </conditionalFormatting>
  <conditionalFormatting sqref="F35:P36">
    <cfRule type="cellIs" dxfId="191" priority="84" operator="greaterThanOrEqual">
      <formula>1</formula>
    </cfRule>
  </conditionalFormatting>
  <conditionalFormatting sqref="F24:P24">
    <cfRule type="cellIs" dxfId="190" priority="83" operator="greaterThanOrEqual">
      <formula>1</formula>
    </cfRule>
  </conditionalFormatting>
  <conditionalFormatting sqref="F26:P26">
    <cfRule type="cellIs" dxfId="189" priority="82" operator="greaterThanOrEqual">
      <formula>1</formula>
    </cfRule>
  </conditionalFormatting>
  <conditionalFormatting sqref="F89:P90">
    <cfRule type="cellIs" dxfId="188" priority="81" operator="greaterThanOrEqual">
      <formula>1</formula>
    </cfRule>
  </conditionalFormatting>
  <conditionalFormatting sqref="F22:P22">
    <cfRule type="cellIs" dxfId="187" priority="78" operator="greaterThanOrEqual">
      <formula>1</formula>
    </cfRule>
  </conditionalFormatting>
  <conditionalFormatting sqref="F33:P33">
    <cfRule type="cellIs" dxfId="186" priority="77" operator="greaterThanOrEqual">
      <formula>1</formula>
    </cfRule>
  </conditionalFormatting>
  <conditionalFormatting sqref="F43:P47">
    <cfRule type="cellIs" dxfId="185" priority="76" operator="greaterThanOrEqual">
      <formula>1</formula>
    </cfRule>
  </conditionalFormatting>
  <conditionalFormatting sqref="F37:P39">
    <cfRule type="cellIs" dxfId="184" priority="75" operator="greaterThanOrEqual">
      <formula>1</formula>
    </cfRule>
  </conditionalFormatting>
  <conditionalFormatting sqref="F94:P94">
    <cfRule type="cellIs" dxfId="183" priority="74" operator="greaterThanOrEqual">
      <formula>1</formula>
    </cfRule>
  </conditionalFormatting>
  <conditionalFormatting sqref="P15">
    <cfRule type="containsText" dxfId="182" priority="63" operator="containsText" text="NO">
      <formula>NOT(ISERROR(SEARCH("NO",P15)))</formula>
    </cfRule>
    <cfRule type="containsText" dxfId="181" priority="64" operator="containsText" text="SI">
      <formula>NOT(ISERROR(SEARCH("SI",P15)))</formula>
    </cfRule>
  </conditionalFormatting>
  <conditionalFormatting sqref="F15:H15 F10:H11">
    <cfRule type="containsText" dxfId="180" priority="48" operator="containsText" text="NO">
      <formula>NOT(ISERROR(SEARCH("NO",F10)))</formula>
    </cfRule>
    <cfRule type="containsText" dxfId="179" priority="49" operator="containsText" text="SI">
      <formula>NOT(ISERROR(SEARCH("SI",F10)))</formula>
    </cfRule>
  </conditionalFormatting>
  <conditionalFormatting sqref="F12:F13">
    <cfRule type="containsText" dxfId="178" priority="45" operator="containsText" text="ESP">
      <formula>NOT(ISERROR(SEARCH("ESP",F12)))</formula>
    </cfRule>
    <cfRule type="containsText" dxfId="177" priority="46" operator="containsText" text="NEO">
      <formula>NOT(ISERROR(SEARCH("NEO",F12)))</formula>
    </cfRule>
    <cfRule type="containsText" dxfId="176" priority="47" operator="containsText" text="CHI">
      <formula>NOT(ISERROR(SEARCH("CHI",F12)))</formula>
    </cfRule>
  </conditionalFormatting>
  <conditionalFormatting sqref="F6:F9">
    <cfRule type="cellIs" dxfId="175" priority="50" operator="equal">
      <formula>1090</formula>
    </cfRule>
    <cfRule type="cellIs" dxfId="174" priority="51" operator="equal">
      <formula>1020</formula>
    </cfRule>
  </conditionalFormatting>
  <conditionalFormatting sqref="H12:H13">
    <cfRule type="containsText" dxfId="173" priority="11" operator="containsText" text="ESP">
      <formula>NOT(ISERROR(SEARCH("ESP",H12)))</formula>
    </cfRule>
    <cfRule type="containsText" dxfId="172" priority="12" operator="containsText" text="NEO">
      <formula>NOT(ISERROR(SEARCH("NEO",H12)))</formula>
    </cfRule>
    <cfRule type="containsText" dxfId="171" priority="13" operator="containsText" text="CHI">
      <formula>NOT(ISERROR(SEARCH("CHI",H12)))</formula>
    </cfRule>
  </conditionalFormatting>
  <conditionalFormatting sqref="H6:H9">
    <cfRule type="cellIs" dxfId="170" priority="14" operator="equal">
      <formula>1090</formula>
    </cfRule>
    <cfRule type="cellIs" dxfId="169" priority="15" operator="equal">
      <formula>1020</formula>
    </cfRule>
  </conditionalFormatting>
  <conditionalFormatting sqref="G12:G13">
    <cfRule type="containsText" dxfId="168" priority="1" operator="containsText" text="ESP">
      <formula>NOT(ISERROR(SEARCH("ESP",G12)))</formula>
    </cfRule>
    <cfRule type="containsText" dxfId="167" priority="2" operator="containsText" text="NEO">
      <formula>NOT(ISERROR(SEARCH("NEO",G12)))</formula>
    </cfRule>
    <cfRule type="containsText" dxfId="166" priority="3" operator="containsText" text="CHI">
      <formula>NOT(ISERROR(SEARCH("CHI",G12)))</formula>
    </cfRule>
  </conditionalFormatting>
  <conditionalFormatting sqref="G6:G9">
    <cfRule type="cellIs" dxfId="165" priority="4" operator="equal">
      <formula>1090</formula>
    </cfRule>
    <cfRule type="cellIs" dxfId="164" priority="5" operator="equal">
      <formula>1020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8979504-A3D7-4CDE-B6C5-926DB2AEE8A5}">
          <x14:formula1>
            <xm:f>Apoyo1Despiece!$D$21:$D$22</xm:f>
          </x14:formula1>
          <xm:sqref>F7:P7</xm:sqref>
        </x14:dataValidation>
        <x14:dataValidation type="list" allowBlank="1" showInputMessage="1" showErrorMessage="1" xr:uid="{75CFF242-A258-4162-9CA8-69D4E466367E}">
          <x14:formula1>
            <xm:f>Apoyo1Despiece!$C$21:$C$26</xm:f>
          </x14:formula1>
          <xm:sqref>F4:P5</xm:sqref>
        </x14:dataValidation>
        <x14:dataValidation type="list" allowBlank="1" showInputMessage="1" showErrorMessage="1" xr:uid="{5749DD9C-DD03-4214-A369-0872B8FB862D}">
          <x14:formula1>
            <xm:f>Apoyo1Despiece!$E$21:$E$22</xm:f>
          </x14:formula1>
          <xm:sqref>F8:P8</xm:sqref>
        </x14:dataValidation>
        <x14:dataValidation type="list" allowBlank="1" showInputMessage="1" showErrorMessage="1" xr:uid="{21DAF58F-07D3-4D55-A4B9-34C80D20B4D6}">
          <x14:formula1>
            <xm:f>Apoyo1Despiece!$G$21:$G$22</xm:f>
          </x14:formula1>
          <xm:sqref>F10:P10</xm:sqref>
        </x14:dataValidation>
        <x14:dataValidation type="list" allowBlank="1" showInputMessage="1" showErrorMessage="1" xr:uid="{9C64D4AF-0310-4291-BB84-F212E11340A5}">
          <x14:formula1>
            <xm:f>Apoyo1Despiece!$I$21:$I$22</xm:f>
          </x14:formula1>
          <xm:sqref>F12:P12</xm:sqref>
        </x14:dataValidation>
        <x14:dataValidation type="list" allowBlank="1" showInputMessage="1" showErrorMessage="1" xr:uid="{6CD75261-3444-4D1A-ADE8-71823A783A3B}">
          <x14:formula1>
            <xm:f>Apoyo1Despiece!$J$21:$J$22</xm:f>
          </x14:formula1>
          <xm:sqref>F13:P13</xm:sqref>
        </x14:dataValidation>
        <x14:dataValidation type="list" allowBlank="1" showInputMessage="1" showErrorMessage="1" xr:uid="{1FCB619E-9658-4F04-AC1F-66682F391684}">
          <x14:formula1>
            <xm:f>Apoyo1Despiece!$K$21:$K$22</xm:f>
          </x14:formula1>
          <xm:sqref>F14:P14</xm:sqref>
        </x14:dataValidation>
        <x14:dataValidation type="list" allowBlank="1" showInputMessage="1" showErrorMessage="1" xr:uid="{7A4F6B28-DF04-4EDA-84A6-2C8BE1A3A0E0}">
          <x14:formula1>
            <xm:f>Apoyo1Despiece!$H$21:$H$22</xm:f>
          </x14:formula1>
          <xm:sqref>F11:P11</xm:sqref>
        </x14:dataValidation>
        <x14:dataValidation type="list" allowBlank="1" showInputMessage="1" showErrorMessage="1" xr:uid="{72DFA67F-5A66-4455-9CC8-A8297BC04804}">
          <x14:formula1>
            <xm:f>Apoyo1Despiece!$L$21:$L$22</xm:f>
          </x14:formula1>
          <xm:sqref>F15:P15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CE5DE-85B9-4E00-893C-FD306FCA5AA4}">
  <sheetPr codeName="Hoja20">
    <tabColor rgb="FF00B0F0"/>
  </sheetPr>
  <dimension ref="B1:Y84"/>
  <sheetViews>
    <sheetView workbookViewId="0">
      <selection activeCell="F10" sqref="F10"/>
    </sheetView>
  </sheetViews>
  <sheetFormatPr baseColWidth="10" defaultColWidth="11.44140625" defaultRowHeight="14.4" outlineLevelRow="1" outlineLevelCol="1" x14ac:dyDescent="0.3"/>
  <cols>
    <col min="1" max="1" width="1.6640625" style="2" customWidth="1"/>
    <col min="2" max="2" width="8.33203125" style="2" hidden="1" customWidth="1"/>
    <col min="3" max="3" width="11.44140625" style="2"/>
    <col min="4" max="4" width="49.88671875" style="2" bestFit="1" customWidth="1"/>
    <col min="5" max="5" width="1.6640625" style="40" customWidth="1" outlineLevel="1"/>
    <col min="6" max="13" width="14.109375" style="40" customWidth="1" outlineLevel="1"/>
    <col min="14" max="14" width="3.6640625" style="40" customWidth="1"/>
    <col min="15" max="15" width="13.44140625" style="40" hidden="1" customWidth="1"/>
    <col min="16" max="16" width="9" style="40" hidden="1" customWidth="1"/>
    <col min="17" max="17" width="10.88671875" style="40" customWidth="1"/>
    <col min="18" max="19" width="13.33203125" style="42" customWidth="1"/>
    <col min="20" max="20" width="13.33203125" style="43" customWidth="1"/>
    <col min="21" max="21" width="14" style="43" customWidth="1"/>
    <col min="22" max="23" width="13.33203125" style="43" customWidth="1"/>
    <col min="24" max="24" width="2.6640625" style="2" customWidth="1"/>
    <col min="25" max="16384" width="11.44140625" style="2"/>
  </cols>
  <sheetData>
    <row r="1" spans="3:25" ht="7.5" customHeight="1" x14ac:dyDescent="0.3">
      <c r="D1" s="151"/>
      <c r="E1" s="2"/>
      <c r="F1" s="151"/>
      <c r="G1" s="151"/>
      <c r="H1" s="151"/>
      <c r="I1" s="151"/>
      <c r="J1" s="151"/>
      <c r="K1" s="151"/>
      <c r="L1" s="151"/>
      <c r="M1" s="151"/>
      <c r="N1" s="2"/>
      <c r="O1" s="2"/>
      <c r="P1" s="2"/>
      <c r="Q1" s="2"/>
      <c r="R1" s="2"/>
      <c r="S1" s="43"/>
      <c r="T1" s="2"/>
      <c r="U1" s="2"/>
      <c r="V1" s="2"/>
      <c r="W1" s="2"/>
    </row>
    <row r="2" spans="3:25" x14ac:dyDescent="0.3">
      <c r="C2" s="124" t="s">
        <v>1192</v>
      </c>
      <c r="D2" s="15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3:25" ht="7.5" customHeight="1" x14ac:dyDescent="0.3">
      <c r="D3" s="151"/>
      <c r="E3" s="2"/>
      <c r="F3" s="151"/>
      <c r="G3" s="151"/>
      <c r="H3" s="151"/>
      <c r="I3" s="151"/>
      <c r="J3" s="151"/>
      <c r="K3" s="151"/>
      <c r="L3" s="151"/>
      <c r="M3" s="151"/>
      <c r="N3" s="2"/>
      <c r="O3" s="2"/>
      <c r="P3" s="2"/>
      <c r="Q3" s="2"/>
      <c r="R3" s="2"/>
      <c r="S3" s="43"/>
      <c r="T3" s="2"/>
      <c r="U3" s="2"/>
      <c r="V3" s="2"/>
      <c r="W3" s="2"/>
    </row>
    <row r="4" spans="3:25" ht="15" customHeight="1" outlineLevel="1" x14ac:dyDescent="0.3">
      <c r="D4" s="153" t="s">
        <v>1193</v>
      </c>
      <c r="E4" s="2"/>
      <c r="F4" s="154"/>
      <c r="G4" s="154"/>
      <c r="H4" s="154"/>
      <c r="I4" s="154"/>
      <c r="J4" s="154"/>
      <c r="K4" s="154"/>
      <c r="L4" s="154"/>
      <c r="M4" s="154"/>
      <c r="N4" s="2"/>
      <c r="O4" s="53"/>
      <c r="P4" s="53"/>
      <c r="Q4" s="53"/>
      <c r="R4" s="2"/>
      <c r="S4" s="2"/>
      <c r="T4" s="2"/>
      <c r="U4" s="2"/>
      <c r="V4" s="2"/>
      <c r="W4" s="2"/>
      <c r="Y4" s="340" t="s">
        <v>1288</v>
      </c>
    </row>
    <row r="5" spans="3:25" ht="15" customHeight="1" outlineLevel="1" x14ac:dyDescent="0.3">
      <c r="D5" s="155" t="s">
        <v>1291</v>
      </c>
      <c r="E5" s="2"/>
      <c r="F5" s="156"/>
      <c r="G5" s="156"/>
      <c r="H5" s="156"/>
      <c r="I5" s="156"/>
      <c r="J5" s="156"/>
      <c r="K5" s="156"/>
      <c r="L5" s="156"/>
      <c r="M5" s="156"/>
      <c r="N5" s="2"/>
      <c r="O5" s="53"/>
      <c r="P5" s="53"/>
      <c r="Q5" s="53"/>
      <c r="R5" s="2"/>
      <c r="S5" s="2"/>
      <c r="T5" s="2"/>
      <c r="U5" s="2"/>
      <c r="V5" s="2"/>
      <c r="W5" s="2"/>
      <c r="Y5" s="350" t="s">
        <v>1197</v>
      </c>
    </row>
    <row r="6" spans="3:25" ht="15" customHeight="1" outlineLevel="1" x14ac:dyDescent="0.3">
      <c r="D6" s="155" t="s">
        <v>1041</v>
      </c>
      <c r="E6" s="2"/>
      <c r="F6" s="59"/>
      <c r="G6" s="59"/>
      <c r="H6" s="59"/>
      <c r="I6" s="59"/>
      <c r="J6" s="59"/>
      <c r="K6" s="59"/>
      <c r="L6" s="59"/>
      <c r="M6" s="59"/>
      <c r="N6" s="2"/>
      <c r="O6" s="53"/>
      <c r="P6" s="53"/>
      <c r="Q6" s="53"/>
      <c r="R6" s="2"/>
      <c r="S6" s="2"/>
      <c r="T6" s="2"/>
      <c r="U6" s="2"/>
      <c r="V6" s="2"/>
      <c r="W6" s="2"/>
      <c r="Y6" s="2" t="s">
        <v>1199</v>
      </c>
    </row>
    <row r="7" spans="3:25" ht="15" customHeight="1" outlineLevel="1" x14ac:dyDescent="0.3">
      <c r="D7" s="155" t="s">
        <v>1194</v>
      </c>
      <c r="E7" s="2"/>
      <c r="F7" s="59"/>
      <c r="G7" s="59"/>
      <c r="H7" s="59"/>
      <c r="I7" s="59"/>
      <c r="J7" s="59"/>
      <c r="K7" s="59"/>
      <c r="L7" s="59"/>
      <c r="M7" s="59"/>
      <c r="N7" s="2"/>
      <c r="O7" s="53"/>
      <c r="P7" s="53"/>
      <c r="Q7" s="53"/>
      <c r="S7" s="53"/>
      <c r="T7" s="2"/>
      <c r="U7" s="2"/>
      <c r="V7" s="2"/>
      <c r="W7" s="2"/>
      <c r="Y7" s="2" t="s">
        <v>1201</v>
      </c>
    </row>
    <row r="8" spans="3:25" ht="15" customHeight="1" outlineLevel="1" x14ac:dyDescent="0.3">
      <c r="D8" s="155" t="s">
        <v>1195</v>
      </c>
      <c r="E8" s="2"/>
      <c r="F8" s="59"/>
      <c r="G8" s="59"/>
      <c r="H8" s="59"/>
      <c r="I8" s="59"/>
      <c r="J8" s="59"/>
      <c r="K8" s="59"/>
      <c r="L8" s="59"/>
      <c r="M8" s="59"/>
      <c r="N8" s="2"/>
      <c r="O8" s="53"/>
      <c r="P8" s="53"/>
      <c r="Q8" s="53"/>
      <c r="S8" s="53"/>
      <c r="T8" s="2"/>
      <c r="U8" s="2"/>
      <c r="V8" s="2"/>
      <c r="W8" s="2"/>
    </row>
    <row r="9" spans="3:25" ht="7.5" customHeight="1" outlineLevel="1" x14ac:dyDescent="0.3">
      <c r="D9" s="151"/>
      <c r="E9" s="2"/>
      <c r="F9" s="151"/>
      <c r="G9" s="151"/>
      <c r="H9" s="151"/>
      <c r="I9" s="151"/>
      <c r="J9" s="151"/>
      <c r="K9" s="151"/>
      <c r="L9" s="151"/>
      <c r="M9" s="151"/>
      <c r="N9" s="2"/>
      <c r="O9" s="2"/>
      <c r="P9" s="2"/>
      <c r="Q9" s="2"/>
      <c r="R9" s="2"/>
      <c r="S9" s="43"/>
      <c r="T9" s="2"/>
      <c r="U9" s="2"/>
      <c r="V9" s="2"/>
      <c r="W9" s="2"/>
    </row>
    <row r="10" spans="3:25" ht="15" customHeight="1" outlineLevel="1" x14ac:dyDescent="0.3">
      <c r="D10" s="153" t="s">
        <v>1196</v>
      </c>
      <c r="E10" s="2"/>
      <c r="F10" s="154"/>
      <c r="G10" s="154"/>
      <c r="H10" s="154"/>
      <c r="I10" s="154"/>
      <c r="J10" s="154"/>
      <c r="K10" s="154"/>
      <c r="L10" s="154"/>
      <c r="M10" s="154"/>
      <c r="N10" s="2"/>
      <c r="O10" s="53"/>
      <c r="P10" s="53"/>
      <c r="Q10" s="53"/>
      <c r="R10" s="53"/>
      <c r="S10" s="43"/>
      <c r="T10" s="2"/>
      <c r="U10" s="2"/>
      <c r="V10" s="2"/>
      <c r="W10" s="2"/>
    </row>
    <row r="11" spans="3:25" ht="15" customHeight="1" outlineLevel="1" x14ac:dyDescent="0.3">
      <c r="D11" s="155" t="s">
        <v>1198</v>
      </c>
      <c r="E11" s="2"/>
      <c r="F11" s="59"/>
      <c r="G11" s="59"/>
      <c r="H11" s="59"/>
      <c r="I11" s="59"/>
      <c r="J11" s="59"/>
      <c r="K11" s="59"/>
      <c r="L11" s="59"/>
      <c r="M11" s="59"/>
      <c r="N11" s="2"/>
      <c r="O11" s="53"/>
      <c r="P11" s="53"/>
      <c r="Q11" s="53"/>
      <c r="R11" s="53"/>
      <c r="S11" s="53"/>
      <c r="T11" s="2"/>
      <c r="U11" s="2"/>
      <c r="V11" s="2"/>
      <c r="W11" s="2"/>
    </row>
    <row r="12" spans="3:25" ht="15" customHeight="1" outlineLevel="1" x14ac:dyDescent="0.3">
      <c r="D12" s="155" t="s">
        <v>1200</v>
      </c>
      <c r="E12" s="2"/>
      <c r="F12" s="59"/>
      <c r="G12" s="59"/>
      <c r="H12" s="59"/>
      <c r="I12" s="59"/>
      <c r="J12" s="59"/>
      <c r="K12" s="59"/>
      <c r="L12" s="59"/>
      <c r="M12" s="59"/>
      <c r="N12" s="2"/>
      <c r="O12" s="53"/>
      <c r="P12" s="53"/>
      <c r="Q12" s="53"/>
      <c r="R12" s="53"/>
      <c r="S12" s="53"/>
      <c r="T12" s="2"/>
      <c r="U12" s="2"/>
      <c r="V12" s="2"/>
      <c r="W12" s="2"/>
    </row>
    <row r="13" spans="3:25" ht="15" customHeight="1" outlineLevel="1" thickBot="1" x14ac:dyDescent="0.35">
      <c r="D13" s="157" t="s">
        <v>1293</v>
      </c>
      <c r="E13" s="2"/>
      <c r="F13" s="158"/>
      <c r="G13" s="158"/>
      <c r="H13" s="158"/>
      <c r="I13" s="158"/>
      <c r="J13" s="158"/>
      <c r="K13" s="158"/>
      <c r="L13" s="158"/>
      <c r="M13" s="158"/>
      <c r="N13" s="2"/>
      <c r="O13" s="53"/>
      <c r="P13" s="53"/>
      <c r="Q13" s="53"/>
      <c r="R13" s="2"/>
      <c r="S13" s="53"/>
      <c r="T13" s="2"/>
      <c r="U13" s="2"/>
      <c r="V13" s="2"/>
      <c r="W13" s="2"/>
    </row>
    <row r="14" spans="3:25" ht="15" customHeight="1" outlineLevel="1" x14ac:dyDescent="0.3">
      <c r="D14" s="351" t="s">
        <v>1202</v>
      </c>
      <c r="E14" s="352"/>
      <c r="F14" s="353" t="str">
        <f>IF(F13="","",IF(IF(E7="",F7*F8*F17/2000,E7*E8*E17/2000+F7*F8*F17/2000)&lt;=IF(F5=1,400,182.5),IF(E7="",F7*F8*F17/2000,E7*E8*E17/2000+F7*F8*F17/2000),"MAL"))</f>
        <v/>
      </c>
      <c r="G14" s="353" t="str">
        <f>IF(G13="","",IF(IF(F7="",G7*G8*G17/2000,F7*F8*F17/2000+G7*G8*G17/2000)&lt;=IF(G5=1,400,182.5),IF(F7="",G7*G8*G17/2000,F7*F8*F17/2000+G7*G8*G17/2000),"MAL"))</f>
        <v/>
      </c>
      <c r="H14" s="353" t="str">
        <f t="shared" ref="H14:M14" si="0">IF(H13="","",IF(IF(G7="",H7*H8*H17/2000,G7*G8*G17/2000+H7*H8*H17/2000)&lt;=IF(H5=1,400,182.5),IF(G7="",H7*H8*H17/2000,G7*G8*G17/2000+H7*H8*H17/2000),"MAL"))</f>
        <v/>
      </c>
      <c r="I14" s="353" t="str">
        <f t="shared" si="0"/>
        <v/>
      </c>
      <c r="J14" s="353" t="str">
        <f t="shared" si="0"/>
        <v/>
      </c>
      <c r="K14" s="353" t="str">
        <f t="shared" si="0"/>
        <v/>
      </c>
      <c r="L14" s="353" t="str">
        <f t="shared" si="0"/>
        <v/>
      </c>
      <c r="M14" s="353" t="str">
        <f t="shared" si="0"/>
        <v/>
      </c>
      <c r="N14" s="2"/>
      <c r="O14" s="53"/>
      <c r="P14" s="53"/>
      <c r="Q14" s="53"/>
      <c r="R14" s="2"/>
      <c r="S14" s="53"/>
      <c r="T14" s="2"/>
      <c r="U14" s="2"/>
      <c r="V14" s="2"/>
      <c r="W14" s="2"/>
    </row>
    <row r="15" spans="3:25" ht="15" customHeight="1" outlineLevel="1" x14ac:dyDescent="0.3">
      <c r="D15" s="354" t="s">
        <v>1203</v>
      </c>
      <c r="E15" s="352"/>
      <c r="F15" s="355" t="str">
        <f>IF(F13="","",IF((F7*F8*F17/1000)&lt;=IF(F5=1,400,182.5),(F7*F8*F17/1000),"MAL"))</f>
        <v/>
      </c>
      <c r="G15" s="355" t="str">
        <f>IF(G13="","",IF((G7*G8*G17/1000)&lt;=IF(G5=1,400,182.5),(G7*G8*G17/1000),"MAL"))</f>
        <v/>
      </c>
      <c r="H15" s="355" t="str">
        <f t="shared" ref="H15:M15" si="1">IF(H13="","",IF((H7*H8*H17/1000)&lt;=IF(H5=1,400,182.5),(H7*H8*H17/1000),"MAL"))</f>
        <v/>
      </c>
      <c r="I15" s="355" t="str">
        <f t="shared" si="1"/>
        <v/>
      </c>
      <c r="J15" s="355" t="str">
        <f t="shared" si="1"/>
        <v/>
      </c>
      <c r="K15" s="355" t="str">
        <f t="shared" si="1"/>
        <v/>
      </c>
      <c r="L15" s="355" t="str">
        <f t="shared" si="1"/>
        <v/>
      </c>
      <c r="M15" s="355" t="str">
        <f t="shared" si="1"/>
        <v/>
      </c>
      <c r="N15" s="2"/>
      <c r="O15" s="160"/>
      <c r="P15" s="160"/>
      <c r="Q15" s="160"/>
      <c r="R15" s="2"/>
      <c r="S15" s="53"/>
      <c r="T15" s="2"/>
      <c r="U15" s="2"/>
      <c r="V15" s="2"/>
      <c r="W15" s="2"/>
    </row>
    <row r="16" spans="3:25" ht="15" customHeight="1" outlineLevel="1" thickBot="1" x14ac:dyDescent="0.35">
      <c r="D16" s="356" t="s">
        <v>1204</v>
      </c>
      <c r="E16" s="352"/>
      <c r="F16" s="357" t="str">
        <f>IF(F13="","",IF(IF(G7="",F7*F8*F$17/2000,F7*F8*F17/2000+G7*G8*G17/2000)&lt;=IF(F5=1,400,182.5),IF(G7="",F7*F8*F17/2000,F$7*F8*F17/2000+G7*G8*G17/2000),"MAL"))</f>
        <v/>
      </c>
      <c r="G16" s="358" t="str">
        <f>IF(G13="","",IF(IF(H7="",G7*G8*G$17/2000,G7*G8*G17/2000+H7*H8*H17/2000)&lt;=IF(G5=1,400,182.5),IF(H7="",G7*G8*G17/2000,G$7*G8*G17/2000+H7*H8*H17/2000),"MAL"))</f>
        <v/>
      </c>
      <c r="H16" s="358" t="str">
        <f t="shared" ref="H16:M16" si="2">IF(H13="","",IF(IF(I7="",H7*H8*H$17/2000,H7*H8*H17/2000+I7*I8*I17/2000)&lt;=IF(H5=1,400,182.5),IF(I7="",H7*H8*H17/2000,H$7*H8*H17/2000+I7*I8*I17/2000),"MAL"))</f>
        <v/>
      </c>
      <c r="I16" s="358" t="str">
        <f t="shared" si="2"/>
        <v/>
      </c>
      <c r="J16" s="358" t="str">
        <f t="shared" si="2"/>
        <v/>
      </c>
      <c r="K16" s="358" t="str">
        <f t="shared" si="2"/>
        <v/>
      </c>
      <c r="L16" s="358" t="str">
        <f t="shared" si="2"/>
        <v/>
      </c>
      <c r="M16" s="358" t="str">
        <f t="shared" si="2"/>
        <v/>
      </c>
      <c r="N16" s="2"/>
      <c r="O16" s="53"/>
      <c r="P16" s="53"/>
      <c r="Q16" s="53"/>
      <c r="R16" s="2"/>
      <c r="S16" s="53"/>
      <c r="T16" s="2"/>
      <c r="U16" s="2"/>
      <c r="V16" s="2"/>
      <c r="W16" s="2"/>
    </row>
    <row r="17" spans="2:23" ht="15" customHeight="1" outlineLevel="1" x14ac:dyDescent="0.3">
      <c r="D17" s="159" t="s">
        <v>1292</v>
      </c>
      <c r="E17" s="2"/>
      <c r="F17" s="161" t="str">
        <f>IF(F$13="","",IF(F$11/(IF(E13="",F$13-1,F$13))&lt;260,"MAL",F$11/IF(E13="",F$13-1,F$13)))</f>
        <v/>
      </c>
      <c r="G17" s="161" t="str">
        <f>IF(G$13="","",IF(G$11/(IF(F13="",G$13-1,G$13))&lt;260,"MAL",G$11/IF(F13="",G$13-1,G$13)))</f>
        <v/>
      </c>
      <c r="H17" s="161" t="str">
        <f t="shared" ref="H17:M17" si="3">IF(H$13="","",IF(H$11/(IF(G13="",H$13-1,H$13))&lt;260,"MAL",H$11/IF(G13="",H$13-1,H$13)))</f>
        <v/>
      </c>
      <c r="I17" s="161" t="str">
        <f t="shared" si="3"/>
        <v/>
      </c>
      <c r="J17" s="161" t="str">
        <f t="shared" si="3"/>
        <v/>
      </c>
      <c r="K17" s="161" t="str">
        <f t="shared" si="3"/>
        <v/>
      </c>
      <c r="L17" s="161" t="str">
        <f t="shared" si="3"/>
        <v/>
      </c>
      <c r="M17" s="161" t="str">
        <f t="shared" si="3"/>
        <v/>
      </c>
      <c r="N17" s="2"/>
      <c r="O17" s="53"/>
      <c r="P17" s="53"/>
      <c r="Q17" s="53"/>
      <c r="R17" s="2"/>
      <c r="S17" s="53"/>
      <c r="T17" s="2"/>
      <c r="U17" s="2"/>
      <c r="V17" s="2"/>
      <c r="W17" s="2"/>
    </row>
    <row r="18" spans="2:23" ht="7.5" customHeight="1" outlineLevel="1" x14ac:dyDescent="0.3">
      <c r="D18" s="151"/>
      <c r="E18" s="2"/>
      <c r="F18" s="151"/>
      <c r="G18" s="151"/>
      <c r="H18" s="151"/>
      <c r="I18" s="151"/>
      <c r="J18" s="151"/>
      <c r="K18" s="151"/>
      <c r="L18" s="151"/>
      <c r="M18" s="151"/>
      <c r="N18" s="2"/>
      <c r="O18" s="2"/>
      <c r="P18" s="2"/>
      <c r="Q18" s="2"/>
      <c r="R18" s="2"/>
      <c r="S18" s="43"/>
      <c r="T18" s="2"/>
      <c r="U18" s="2"/>
      <c r="V18" s="2"/>
      <c r="W18" s="2"/>
    </row>
    <row r="19" spans="2:23" ht="15" customHeight="1" outlineLevel="1" x14ac:dyDescent="0.3">
      <c r="D19" s="153" t="s">
        <v>1205</v>
      </c>
      <c r="E19" s="2"/>
      <c r="F19" s="154"/>
      <c r="G19" s="154"/>
      <c r="H19" s="154"/>
      <c r="I19" s="154"/>
      <c r="J19" s="154"/>
      <c r="K19" s="154"/>
      <c r="L19" s="154"/>
      <c r="M19" s="154"/>
      <c r="N19" s="2"/>
      <c r="O19" s="53"/>
      <c r="P19" s="53"/>
      <c r="Q19" s="53"/>
      <c r="R19" s="53"/>
      <c r="S19" s="43"/>
      <c r="T19" s="2"/>
      <c r="U19" s="2"/>
      <c r="V19" s="2"/>
      <c r="W19" s="2"/>
    </row>
    <row r="20" spans="2:23" ht="15" customHeight="1" outlineLevel="1" x14ac:dyDescent="0.3">
      <c r="D20" s="155" t="s">
        <v>1206</v>
      </c>
      <c r="E20" s="2"/>
      <c r="F20" s="59"/>
      <c r="G20" s="59"/>
      <c r="H20" s="59"/>
      <c r="I20" s="59"/>
      <c r="J20" s="59"/>
      <c r="K20" s="59"/>
      <c r="L20" s="59"/>
      <c r="M20" s="59"/>
      <c r="N20" s="2"/>
      <c r="O20" s="53"/>
      <c r="P20" s="53"/>
      <c r="Q20" s="53"/>
      <c r="R20" s="2"/>
      <c r="S20" s="53"/>
      <c r="T20" s="2"/>
      <c r="U20" s="2"/>
      <c r="V20" s="2"/>
      <c r="W20" s="2"/>
    </row>
    <row r="21" spans="2:23" ht="15" customHeight="1" outlineLevel="1" x14ac:dyDescent="0.3">
      <c r="D21" s="159" t="s">
        <v>1292</v>
      </c>
      <c r="E21" s="2"/>
      <c r="F21" s="161" t="str">
        <f>IF(F20="","",ROUNDDOWN(1000*F20/ROUNDUP(F$20/(IF(F5=1,250,IF(F5=3,180,))/(F$7*F8)),0),0))</f>
        <v/>
      </c>
      <c r="G21" s="161" t="str">
        <f>IF(G20="","",ROUNDDOWN(1000*G20/ROUNDUP(G$20/(IF(G5=1,250,IF(G5=3,180,))/(G$7*G8)),0),0))</f>
        <v/>
      </c>
      <c r="H21" s="161" t="str">
        <f t="shared" ref="H21:M21" si="4">IF(H20="","",ROUNDDOWN(1000*H20/ROUNDUP(H$20/(IF(H5=1,250,IF(H5=3,180,))/(H$7*H8)),0),0))</f>
        <v/>
      </c>
      <c r="I21" s="161" t="str">
        <f t="shared" si="4"/>
        <v/>
      </c>
      <c r="J21" s="161" t="str">
        <f t="shared" si="4"/>
        <v/>
      </c>
      <c r="K21" s="161" t="str">
        <f t="shared" si="4"/>
        <v/>
      </c>
      <c r="L21" s="161" t="str">
        <f t="shared" si="4"/>
        <v/>
      </c>
      <c r="M21" s="161" t="str">
        <f t="shared" si="4"/>
        <v/>
      </c>
      <c r="N21" s="2"/>
      <c r="O21" s="53"/>
      <c r="P21" s="53"/>
      <c r="Q21" s="53"/>
      <c r="R21" s="2"/>
      <c r="S21" s="53"/>
      <c r="T21" s="2"/>
      <c r="U21" s="2"/>
      <c r="V21" s="2"/>
      <c r="W21" s="2"/>
    </row>
    <row r="22" spans="2:23" ht="7.5" customHeight="1" outlineLevel="1" x14ac:dyDescent="0.3">
      <c r="D22" s="151"/>
      <c r="E22" s="2"/>
      <c r="F22" s="151"/>
      <c r="G22" s="151"/>
      <c r="H22" s="151"/>
      <c r="I22" s="151"/>
      <c r="J22" s="151"/>
      <c r="K22" s="151"/>
      <c r="L22" s="151"/>
      <c r="M22" s="151"/>
      <c r="N22" s="2"/>
      <c r="O22" s="2"/>
      <c r="P22" s="2"/>
      <c r="Q22" s="2"/>
      <c r="R22" s="2"/>
      <c r="S22" s="43"/>
      <c r="T22" s="2"/>
      <c r="U22" s="2"/>
      <c r="V22" s="2"/>
      <c r="W22" s="2"/>
    </row>
    <row r="23" spans="2:23" s="68" customFormat="1" ht="15" customHeight="1" x14ac:dyDescent="0.3">
      <c r="B23" s="495" t="s">
        <v>1190</v>
      </c>
      <c r="C23" s="105"/>
      <c r="D23" s="105"/>
      <c r="E23" s="2"/>
      <c r="F23" s="106" t="s">
        <v>1207</v>
      </c>
      <c r="G23" s="106" t="s">
        <v>1208</v>
      </c>
      <c r="H23" s="106" t="s">
        <v>1208</v>
      </c>
      <c r="I23" s="106" t="s">
        <v>1208</v>
      </c>
      <c r="J23" s="106" t="s">
        <v>1208</v>
      </c>
      <c r="K23" s="106" t="s">
        <v>1208</v>
      </c>
      <c r="L23" s="106" t="s">
        <v>1208</v>
      </c>
      <c r="M23" s="106" t="s">
        <v>1208</v>
      </c>
      <c r="N23" s="2"/>
      <c r="O23" s="2"/>
      <c r="P23" s="2"/>
      <c r="Q23" s="162">
        <f>SUM(TEC[TOTAL])</f>
        <v>0</v>
      </c>
      <c r="R23" s="454" t="s">
        <v>2</v>
      </c>
      <c r="S23" s="455"/>
      <c r="T23" s="456" t="s">
        <v>1158</v>
      </c>
      <c r="U23" s="457"/>
      <c r="V23" s="443" t="s">
        <v>1159</v>
      </c>
      <c r="W23" s="444"/>
    </row>
    <row r="24" spans="2:23" s="68" customFormat="1" x14ac:dyDescent="0.3">
      <c r="B24" s="495" t="e">
        <v>#NAME?</v>
      </c>
      <c r="C24" s="109" t="s">
        <v>1</v>
      </c>
      <c r="D24" s="109" t="s">
        <v>0</v>
      </c>
      <c r="E24" s="2"/>
      <c r="F24" s="110">
        <f>SUM(F25:F51)</f>
        <v>0</v>
      </c>
      <c r="G24" s="110">
        <f>SUM(G25:G51)</f>
        <v>0</v>
      </c>
      <c r="H24" s="110">
        <f t="shared" ref="H24:M24" si="5">SUM(H25:H51)</f>
        <v>0</v>
      </c>
      <c r="I24" s="110">
        <f t="shared" si="5"/>
        <v>0</v>
      </c>
      <c r="J24" s="110">
        <f t="shared" si="5"/>
        <v>0</v>
      </c>
      <c r="K24" s="110">
        <f t="shared" si="5"/>
        <v>0</v>
      </c>
      <c r="L24" s="110">
        <f t="shared" si="5"/>
        <v>0</v>
      </c>
      <c r="M24" s="110">
        <f t="shared" si="5"/>
        <v>0</v>
      </c>
      <c r="N24" s="2"/>
      <c r="O24" s="112" t="s">
        <v>1</v>
      </c>
      <c r="P24" s="112" t="s">
        <v>1161</v>
      </c>
      <c r="Q24" s="163" t="s">
        <v>1162</v>
      </c>
      <c r="R24" s="164" t="s">
        <v>1163</v>
      </c>
      <c r="S24" s="164" t="s">
        <v>1164</v>
      </c>
      <c r="T24" s="165" t="s">
        <v>1165</v>
      </c>
      <c r="U24" s="165" t="s">
        <v>1166</v>
      </c>
      <c r="V24" s="166" t="s">
        <v>1167</v>
      </c>
      <c r="W24" s="167" t="s">
        <v>1168</v>
      </c>
    </row>
    <row r="25" spans="2:23" x14ac:dyDescent="0.3">
      <c r="B25" s="135">
        <v>3072</v>
      </c>
      <c r="C25" s="76" t="s">
        <v>129</v>
      </c>
      <c r="D25" s="76" t="s">
        <v>130</v>
      </c>
      <c r="E25" s="2"/>
      <c r="F25" s="136">
        <f t="shared" ref="F25:M30" si="6">+IF(AND($B25=F$11,F$12="ESP"),IF(F$5=1,3,IF(F$5=3,9,)),)</f>
        <v>0</v>
      </c>
      <c r="G25" s="136">
        <f t="shared" si="6"/>
        <v>0</v>
      </c>
      <c r="H25" s="136">
        <f t="shared" si="6"/>
        <v>0</v>
      </c>
      <c r="I25" s="136">
        <f t="shared" si="6"/>
        <v>0</v>
      </c>
      <c r="J25" s="136">
        <f t="shared" si="6"/>
        <v>0</v>
      </c>
      <c r="K25" s="136">
        <f t="shared" si="6"/>
        <v>0</v>
      </c>
      <c r="L25" s="136">
        <f t="shared" si="6"/>
        <v>0</v>
      </c>
      <c r="M25" s="136">
        <f t="shared" si="6"/>
        <v>0</v>
      </c>
      <c r="N25" s="2"/>
      <c r="O25" s="76" t="str">
        <f>+C25</f>
        <v>AM.6000</v>
      </c>
      <c r="P25" s="74" t="str">
        <f>+IF(TEC[[#This Row],[ITEM]]=C25,"ok","mal")</f>
        <v>ok</v>
      </c>
      <c r="Q25" s="168">
        <f t="shared" ref="Q25:Q50" si="7">SUM(E25:N25)</f>
        <v>0</v>
      </c>
      <c r="R25" s="169">
        <f>IF(VLOOKUP(C25,TbPiezas[],5,0)="NA",0,VLOOKUP(C25,TbPiezas[],5,0))</f>
        <v>18.599999999999994</v>
      </c>
      <c r="S25" s="81">
        <f>+TEC[[#This Row],[TOTAL]]*TEC[[#This Row],[P.U. (1)]]</f>
        <v>0</v>
      </c>
      <c r="T25" s="82">
        <f>+VLOOKUP(C25,TbPiezas[],6,0)</f>
        <v>654.70000000000005</v>
      </c>
      <c r="U25" s="83">
        <f>+TEC[[#This Row],[TOTAL]]*TEC[[#This Row],[P.U. (2)]]</f>
        <v>0</v>
      </c>
      <c r="V25" s="82">
        <f>+VLOOKUP(C25,TbPiezas[],7,0)</f>
        <v>32.735000000000007</v>
      </c>
      <c r="W25" s="170">
        <f>+TEC[[#This Row],[TOTAL]]*TEC[[#This Row],[P.U. (3)]]</f>
        <v>0</v>
      </c>
    </row>
    <row r="26" spans="2:23" x14ac:dyDescent="0.3">
      <c r="B26" s="135">
        <v>2572</v>
      </c>
      <c r="C26" s="76" t="s">
        <v>131</v>
      </c>
      <c r="D26" s="76" t="s">
        <v>132</v>
      </c>
      <c r="E26" s="2"/>
      <c r="F26" s="136">
        <f t="shared" si="6"/>
        <v>0</v>
      </c>
      <c r="G26" s="136">
        <f t="shared" si="6"/>
        <v>0</v>
      </c>
      <c r="H26" s="136">
        <f t="shared" si="6"/>
        <v>0</v>
      </c>
      <c r="I26" s="136">
        <f t="shared" si="6"/>
        <v>0</v>
      </c>
      <c r="J26" s="136">
        <f t="shared" si="6"/>
        <v>0</v>
      </c>
      <c r="K26" s="136">
        <f t="shared" si="6"/>
        <v>0</v>
      </c>
      <c r="L26" s="136">
        <f t="shared" si="6"/>
        <v>0</v>
      </c>
      <c r="M26" s="136">
        <f t="shared" si="6"/>
        <v>0</v>
      </c>
      <c r="N26" s="2"/>
      <c r="O26" s="76" t="str">
        <f t="shared" ref="O26:O50" si="8">+C26</f>
        <v>AM.6100</v>
      </c>
      <c r="P26" s="74" t="str">
        <f>+IF(TEC[[#This Row],[ITEM]]=C26,"ok","mal")</f>
        <v>ok</v>
      </c>
      <c r="Q26" s="168">
        <f t="shared" si="7"/>
        <v>0</v>
      </c>
      <c r="R26" s="169">
        <f>IF(VLOOKUP(C26,TbPiezas[],5,0)="NA",0,VLOOKUP(C26,TbPiezas[],5,0))</f>
        <v>15.2</v>
      </c>
      <c r="S26" s="81">
        <f>+TEC[[#This Row],[TOTAL]]*TEC[[#This Row],[P.U. (1)]]</f>
        <v>0</v>
      </c>
      <c r="T26" s="82">
        <f>+VLOOKUP(C26,TbPiezas[],6,0)</f>
        <v>575.04</v>
      </c>
      <c r="U26" s="83">
        <f>+TEC[[#This Row],[TOTAL]]*TEC[[#This Row],[P.U. (2)]]</f>
        <v>0</v>
      </c>
      <c r="V26" s="82">
        <f>+VLOOKUP(C26,TbPiezas[],7,0)</f>
        <v>28.751999999999999</v>
      </c>
      <c r="W26" s="170">
        <f>+TEC[[#This Row],[TOTAL]]*TEC[[#This Row],[P.U. (3)]]</f>
        <v>0</v>
      </c>
    </row>
    <row r="27" spans="2:23" x14ac:dyDescent="0.3">
      <c r="B27" s="135">
        <v>2072</v>
      </c>
      <c r="C27" s="76" t="s">
        <v>133</v>
      </c>
      <c r="D27" s="76" t="s">
        <v>134</v>
      </c>
      <c r="E27" s="2"/>
      <c r="F27" s="136">
        <f t="shared" si="6"/>
        <v>0</v>
      </c>
      <c r="G27" s="136">
        <f t="shared" si="6"/>
        <v>0</v>
      </c>
      <c r="H27" s="136">
        <f t="shared" si="6"/>
        <v>0</v>
      </c>
      <c r="I27" s="136">
        <f t="shared" si="6"/>
        <v>0</v>
      </c>
      <c r="J27" s="136">
        <f t="shared" si="6"/>
        <v>0</v>
      </c>
      <c r="K27" s="136">
        <f t="shared" si="6"/>
        <v>0</v>
      </c>
      <c r="L27" s="136">
        <f t="shared" si="6"/>
        <v>0</v>
      </c>
      <c r="M27" s="136">
        <f t="shared" si="6"/>
        <v>0</v>
      </c>
      <c r="N27" s="2"/>
      <c r="O27" s="76" t="str">
        <f t="shared" si="8"/>
        <v>AM.6200</v>
      </c>
      <c r="P27" s="74" t="str">
        <f>+IF(TEC[[#This Row],[ITEM]]=C27,"ok","mal")</f>
        <v>ok</v>
      </c>
      <c r="Q27" s="168">
        <f t="shared" si="7"/>
        <v>0</v>
      </c>
      <c r="R27" s="169">
        <f>IF(VLOOKUP(C27,TbPiezas[],5,0)="NA",0,VLOOKUP(C27,TbPiezas[],5,0))</f>
        <v>11.799999999999997</v>
      </c>
      <c r="S27" s="81">
        <f>+TEC[[#This Row],[TOTAL]]*TEC[[#This Row],[P.U. (1)]]</f>
        <v>0</v>
      </c>
      <c r="T27" s="82">
        <f>+VLOOKUP(C27,TbPiezas[],6,0)</f>
        <v>496.07</v>
      </c>
      <c r="U27" s="83">
        <f>+TEC[[#This Row],[TOTAL]]*TEC[[#This Row],[P.U. (2)]]</f>
        <v>0</v>
      </c>
      <c r="V27" s="82">
        <f>+VLOOKUP(C27,TbPiezas[],7,0)</f>
        <v>24.8035</v>
      </c>
      <c r="W27" s="170">
        <f>+TEC[[#This Row],[TOTAL]]*TEC[[#This Row],[P.U. (3)]]</f>
        <v>0</v>
      </c>
    </row>
    <row r="28" spans="2:23" x14ac:dyDescent="0.3">
      <c r="B28" s="135">
        <v>1572</v>
      </c>
      <c r="C28" s="76" t="s">
        <v>135</v>
      </c>
      <c r="D28" s="76" t="s">
        <v>136</v>
      </c>
      <c r="E28" s="2"/>
      <c r="F28" s="136">
        <f t="shared" si="6"/>
        <v>0</v>
      </c>
      <c r="G28" s="136">
        <f t="shared" si="6"/>
        <v>0</v>
      </c>
      <c r="H28" s="136">
        <f t="shared" si="6"/>
        <v>0</v>
      </c>
      <c r="I28" s="136">
        <f t="shared" si="6"/>
        <v>0</v>
      </c>
      <c r="J28" s="136">
        <f t="shared" si="6"/>
        <v>0</v>
      </c>
      <c r="K28" s="136">
        <f t="shared" si="6"/>
        <v>0</v>
      </c>
      <c r="L28" s="136">
        <f t="shared" si="6"/>
        <v>0</v>
      </c>
      <c r="M28" s="136">
        <f t="shared" si="6"/>
        <v>0</v>
      </c>
      <c r="N28" s="2"/>
      <c r="O28" s="76" t="str">
        <f t="shared" si="8"/>
        <v>AM.6300</v>
      </c>
      <c r="P28" s="74" t="str">
        <f>+IF(TEC[[#This Row],[ITEM]]=C28,"ok","mal")</f>
        <v>ok</v>
      </c>
      <c r="Q28" s="168">
        <f t="shared" si="7"/>
        <v>0</v>
      </c>
      <c r="R28" s="169">
        <f>IF(VLOOKUP(C28,TbPiezas[],5,0)="NA",0,VLOOKUP(C28,TbPiezas[],5,0))</f>
        <v>9.8999999999999915</v>
      </c>
      <c r="S28" s="81">
        <f>+TEC[[#This Row],[TOTAL]]*TEC[[#This Row],[P.U. (1)]]</f>
        <v>0</v>
      </c>
      <c r="T28" s="82">
        <f>+VLOOKUP(C28,TbPiezas[],6,0)</f>
        <v>484.34</v>
      </c>
      <c r="U28" s="83">
        <f>+TEC[[#This Row],[TOTAL]]*TEC[[#This Row],[P.U. (2)]]</f>
        <v>0</v>
      </c>
      <c r="V28" s="82">
        <f>+VLOOKUP(C28,TbPiezas[],7,0)</f>
        <v>24.216999999999999</v>
      </c>
      <c r="W28" s="170">
        <f>+TEC[[#This Row],[TOTAL]]*TEC[[#This Row],[P.U. (3)]]</f>
        <v>0</v>
      </c>
    </row>
    <row r="29" spans="2:23" x14ac:dyDescent="0.3">
      <c r="B29" s="135">
        <v>1020</v>
      </c>
      <c r="C29" s="76" t="s">
        <v>137</v>
      </c>
      <c r="D29" s="76" t="s">
        <v>138</v>
      </c>
      <c r="E29" s="2"/>
      <c r="F29" s="136">
        <f t="shared" si="6"/>
        <v>0</v>
      </c>
      <c r="G29" s="136">
        <f t="shared" si="6"/>
        <v>0</v>
      </c>
      <c r="H29" s="136">
        <f t="shared" si="6"/>
        <v>0</v>
      </c>
      <c r="I29" s="136">
        <f t="shared" si="6"/>
        <v>0</v>
      </c>
      <c r="J29" s="136">
        <f t="shared" si="6"/>
        <v>0</v>
      </c>
      <c r="K29" s="136">
        <f t="shared" si="6"/>
        <v>0</v>
      </c>
      <c r="L29" s="136">
        <f t="shared" si="6"/>
        <v>0</v>
      </c>
      <c r="M29" s="136">
        <f t="shared" si="6"/>
        <v>0</v>
      </c>
      <c r="N29" s="2"/>
      <c r="O29" s="76" t="str">
        <f t="shared" si="8"/>
        <v>AM.6400</v>
      </c>
      <c r="P29" s="74" t="str">
        <f>+IF(TEC[[#This Row],[ITEM]]=C29,"ok","mal")</f>
        <v>ok</v>
      </c>
      <c r="Q29" s="168">
        <f t="shared" si="7"/>
        <v>0</v>
      </c>
      <c r="R29" s="169">
        <f>IF(VLOOKUP(C29,TbPiezas[],5,0)="NA",0,VLOOKUP(C29,TbPiezas[],5,0))</f>
        <v>5.7999999999999972</v>
      </c>
      <c r="S29" s="81">
        <f>+TEC[[#This Row],[TOTAL]]*TEC[[#This Row],[P.U. (1)]]</f>
        <v>0</v>
      </c>
      <c r="T29" s="82">
        <f>+VLOOKUP(C29,TbPiezas[],6,0)</f>
        <v>452.11</v>
      </c>
      <c r="U29" s="83">
        <f>+TEC[[#This Row],[TOTAL]]*TEC[[#This Row],[P.U. (2)]]</f>
        <v>0</v>
      </c>
      <c r="V29" s="82">
        <f>+VLOOKUP(C29,TbPiezas[],7,0)</f>
        <v>22.605500000000003</v>
      </c>
      <c r="W29" s="170">
        <f>+TEC[[#This Row],[TOTAL]]*TEC[[#This Row],[P.U. (3)]]</f>
        <v>0</v>
      </c>
    </row>
    <row r="30" spans="2:23" x14ac:dyDescent="0.3">
      <c r="B30" s="135">
        <v>732</v>
      </c>
      <c r="C30" s="76" t="s">
        <v>139</v>
      </c>
      <c r="D30" s="76" t="s">
        <v>140</v>
      </c>
      <c r="E30" s="2"/>
      <c r="F30" s="136">
        <f t="shared" si="6"/>
        <v>0</v>
      </c>
      <c r="G30" s="136">
        <f t="shared" si="6"/>
        <v>0</v>
      </c>
      <c r="H30" s="136">
        <f t="shared" si="6"/>
        <v>0</v>
      </c>
      <c r="I30" s="136">
        <f t="shared" si="6"/>
        <v>0</v>
      </c>
      <c r="J30" s="136">
        <f t="shared" si="6"/>
        <v>0</v>
      </c>
      <c r="K30" s="136">
        <f t="shared" si="6"/>
        <v>0</v>
      </c>
      <c r="L30" s="136">
        <f t="shared" si="6"/>
        <v>0</v>
      </c>
      <c r="M30" s="136">
        <f t="shared" si="6"/>
        <v>0</v>
      </c>
      <c r="N30" s="2"/>
      <c r="O30" s="76" t="str">
        <f t="shared" si="8"/>
        <v>AM.6500</v>
      </c>
      <c r="P30" s="74" t="str">
        <f>+IF(TEC[[#This Row],[ITEM]]=C30,"ok","mal")</f>
        <v>ok</v>
      </c>
      <c r="Q30" s="168">
        <f t="shared" si="7"/>
        <v>0</v>
      </c>
      <c r="R30" s="169">
        <f>IF(VLOOKUP(C30,TbPiezas[],5,0)="NA",0,VLOOKUP(C30,TbPiezas[],5,0))</f>
        <v>5.0999999999999943</v>
      </c>
      <c r="S30" s="81">
        <f>+TEC[[#This Row],[TOTAL]]*TEC[[#This Row],[P.U. (1)]]</f>
        <v>0</v>
      </c>
      <c r="T30" s="82">
        <f>+VLOOKUP(C30,TbPiezas[],6,0)</f>
        <v>408.3</v>
      </c>
      <c r="U30" s="83">
        <f>+TEC[[#This Row],[TOTAL]]*TEC[[#This Row],[P.U. (2)]]</f>
        <v>0</v>
      </c>
      <c r="V30" s="82">
        <f>+VLOOKUP(C30,TbPiezas[],7,0)</f>
        <v>20.415000000000003</v>
      </c>
      <c r="W30" s="170">
        <f>+TEC[[#This Row],[TOTAL]]*TEC[[#This Row],[P.U. (3)]]</f>
        <v>0</v>
      </c>
    </row>
    <row r="31" spans="2:23" x14ac:dyDescent="0.3">
      <c r="B31" s="135">
        <v>3072</v>
      </c>
      <c r="C31" s="76" t="s">
        <v>141</v>
      </c>
      <c r="D31" s="76" t="s">
        <v>142</v>
      </c>
      <c r="E31" s="2"/>
      <c r="F31" s="136">
        <f t="shared" ref="F31:M36" si="9">+IF(AND($B31=F$11,F$12="CHI"),IF(F$5=1,2,IF(F$5=3,9,)),)</f>
        <v>0</v>
      </c>
      <c r="G31" s="136">
        <f t="shared" si="9"/>
        <v>0</v>
      </c>
      <c r="H31" s="136">
        <f t="shared" si="9"/>
        <v>0</v>
      </c>
      <c r="I31" s="136">
        <f t="shared" si="9"/>
        <v>0</v>
      </c>
      <c r="J31" s="136">
        <f t="shared" si="9"/>
        <v>0</v>
      </c>
      <c r="K31" s="136">
        <f t="shared" si="9"/>
        <v>0</v>
      </c>
      <c r="L31" s="136">
        <f t="shared" si="9"/>
        <v>0</v>
      </c>
      <c r="M31" s="136">
        <f t="shared" si="9"/>
        <v>0</v>
      </c>
      <c r="N31" s="2"/>
      <c r="O31" s="76" t="str">
        <f t="shared" si="8"/>
        <v>AM.6600</v>
      </c>
      <c r="P31" s="74" t="str">
        <f>+IF(TEC[[#This Row],[ITEM]]=C31,"ok","mal")</f>
        <v>ok</v>
      </c>
      <c r="Q31" s="168">
        <f t="shared" si="7"/>
        <v>0</v>
      </c>
      <c r="R31" s="169">
        <f>IF(VLOOKUP(C31,TbPiezas[],5,0)="NA",0,VLOOKUP(C31,TbPiezas[],5,0))</f>
        <v>24</v>
      </c>
      <c r="S31" s="81">
        <f>+TEC[[#This Row],[TOTAL]]*TEC[[#This Row],[P.U. (1)]]</f>
        <v>0</v>
      </c>
      <c r="T31" s="82">
        <f>+VLOOKUP(C31,TbPiezas[],6,0)</f>
        <v>654.70000000000005</v>
      </c>
      <c r="U31" s="83">
        <f>+TEC[[#This Row],[TOTAL]]*TEC[[#This Row],[P.U. (2)]]</f>
        <v>0</v>
      </c>
      <c r="V31" s="82">
        <f>+VLOOKUP(C31,TbPiezas[],7,0)</f>
        <v>32.735000000000007</v>
      </c>
      <c r="W31" s="170">
        <f>+TEC[[#This Row],[TOTAL]]*TEC[[#This Row],[P.U. (3)]]</f>
        <v>0</v>
      </c>
    </row>
    <row r="32" spans="2:23" x14ac:dyDescent="0.3">
      <c r="B32" s="135">
        <v>2572</v>
      </c>
      <c r="C32" s="76" t="s">
        <v>143</v>
      </c>
      <c r="D32" s="76" t="s">
        <v>144</v>
      </c>
      <c r="E32" s="2"/>
      <c r="F32" s="136">
        <f t="shared" si="9"/>
        <v>0</v>
      </c>
      <c r="G32" s="136">
        <f t="shared" si="9"/>
        <v>0</v>
      </c>
      <c r="H32" s="136">
        <f t="shared" si="9"/>
        <v>0</v>
      </c>
      <c r="I32" s="136">
        <f t="shared" si="9"/>
        <v>0</v>
      </c>
      <c r="J32" s="136">
        <f t="shared" si="9"/>
        <v>0</v>
      </c>
      <c r="K32" s="136">
        <f t="shared" si="9"/>
        <v>0</v>
      </c>
      <c r="L32" s="136">
        <f t="shared" si="9"/>
        <v>0</v>
      </c>
      <c r="M32" s="136">
        <f t="shared" si="9"/>
        <v>0</v>
      </c>
      <c r="N32" s="2"/>
      <c r="O32" s="76" t="str">
        <f t="shared" si="8"/>
        <v>AM.6700</v>
      </c>
      <c r="P32" s="74" t="str">
        <f>+IF(TEC[[#This Row],[ITEM]]=C32,"ok","mal")</f>
        <v>ok</v>
      </c>
      <c r="Q32" s="168">
        <f t="shared" si="7"/>
        <v>0</v>
      </c>
      <c r="R32" s="169">
        <f>IF(VLOOKUP(C32,TbPiezas[],5,0)="NA",0,VLOOKUP(C32,TbPiezas[],5,0))</f>
        <v>19.700000000000003</v>
      </c>
      <c r="S32" s="81">
        <f>+TEC[[#This Row],[TOTAL]]*TEC[[#This Row],[P.U. (1)]]</f>
        <v>0</v>
      </c>
      <c r="T32" s="82">
        <f>+VLOOKUP(C32,TbPiezas[],6,0)</f>
        <v>575.04</v>
      </c>
      <c r="U32" s="83">
        <f>+TEC[[#This Row],[TOTAL]]*TEC[[#This Row],[P.U. (2)]]</f>
        <v>0</v>
      </c>
      <c r="V32" s="82">
        <f>+VLOOKUP(C32,TbPiezas[],7,0)</f>
        <v>28.751999999999999</v>
      </c>
      <c r="W32" s="170">
        <f>+TEC[[#This Row],[TOTAL]]*TEC[[#This Row],[P.U. (3)]]</f>
        <v>0</v>
      </c>
    </row>
    <row r="33" spans="2:23" x14ac:dyDescent="0.3">
      <c r="B33" s="135">
        <v>2072</v>
      </c>
      <c r="C33" s="76" t="s">
        <v>145</v>
      </c>
      <c r="D33" s="76" t="s">
        <v>146</v>
      </c>
      <c r="E33" s="2"/>
      <c r="F33" s="136">
        <f t="shared" si="9"/>
        <v>0</v>
      </c>
      <c r="G33" s="136">
        <f t="shared" si="9"/>
        <v>0</v>
      </c>
      <c r="H33" s="136">
        <f t="shared" si="9"/>
        <v>0</v>
      </c>
      <c r="I33" s="136">
        <f t="shared" si="9"/>
        <v>0</v>
      </c>
      <c r="J33" s="136">
        <f t="shared" si="9"/>
        <v>0</v>
      </c>
      <c r="K33" s="136">
        <f t="shared" si="9"/>
        <v>0</v>
      </c>
      <c r="L33" s="136">
        <f t="shared" si="9"/>
        <v>0</v>
      </c>
      <c r="M33" s="136">
        <f t="shared" si="9"/>
        <v>0</v>
      </c>
      <c r="N33" s="2"/>
      <c r="O33" s="76" t="str">
        <f t="shared" si="8"/>
        <v>AM.6800</v>
      </c>
      <c r="P33" s="74" t="str">
        <f>+IF(TEC[[#This Row],[ITEM]]=C33,"ok","mal")</f>
        <v>ok</v>
      </c>
      <c r="Q33" s="168">
        <f t="shared" si="7"/>
        <v>0</v>
      </c>
      <c r="R33" s="169">
        <f>IF(VLOOKUP(C33,TbPiezas[],5,0)="NA",0,VLOOKUP(C33,TbPiezas[],5,0))</f>
        <v>17.700000000000003</v>
      </c>
      <c r="S33" s="81">
        <f>+TEC[[#This Row],[TOTAL]]*TEC[[#This Row],[P.U. (1)]]</f>
        <v>0</v>
      </c>
      <c r="T33" s="82">
        <f>+VLOOKUP(C33,TbPiezas[],6,0)</f>
        <v>496.07</v>
      </c>
      <c r="U33" s="83">
        <f>+TEC[[#This Row],[TOTAL]]*TEC[[#This Row],[P.U. (2)]]</f>
        <v>0</v>
      </c>
      <c r="V33" s="82">
        <f>+VLOOKUP(C33,TbPiezas[],7,0)</f>
        <v>24.8035</v>
      </c>
      <c r="W33" s="170">
        <f>+TEC[[#This Row],[TOTAL]]*TEC[[#This Row],[P.U. (3)]]</f>
        <v>0</v>
      </c>
    </row>
    <row r="34" spans="2:23" x14ac:dyDescent="0.3">
      <c r="B34" s="135">
        <v>1572</v>
      </c>
      <c r="C34" s="76" t="s">
        <v>147</v>
      </c>
      <c r="D34" s="76" t="s">
        <v>148</v>
      </c>
      <c r="E34" s="2"/>
      <c r="F34" s="136">
        <f t="shared" si="9"/>
        <v>0</v>
      </c>
      <c r="G34" s="136">
        <f t="shared" si="9"/>
        <v>0</v>
      </c>
      <c r="H34" s="136">
        <f t="shared" si="9"/>
        <v>0</v>
      </c>
      <c r="I34" s="136">
        <f t="shared" si="9"/>
        <v>0</v>
      </c>
      <c r="J34" s="136">
        <f t="shared" si="9"/>
        <v>0</v>
      </c>
      <c r="K34" s="136">
        <f t="shared" si="9"/>
        <v>0</v>
      </c>
      <c r="L34" s="136">
        <f t="shared" si="9"/>
        <v>0</v>
      </c>
      <c r="M34" s="136">
        <f t="shared" si="9"/>
        <v>0</v>
      </c>
      <c r="N34" s="2"/>
      <c r="O34" s="76" t="str">
        <f t="shared" si="8"/>
        <v>AM.6900</v>
      </c>
      <c r="P34" s="74" t="str">
        <f>+IF(TEC[[#This Row],[ITEM]]=C34,"ok","mal")</f>
        <v>ok</v>
      </c>
      <c r="Q34" s="168">
        <f t="shared" si="7"/>
        <v>0</v>
      </c>
      <c r="R34" s="169">
        <f>IF(VLOOKUP(C34,TbPiezas[],5,0)="NA",0,VLOOKUP(C34,TbPiezas[],5,0))</f>
        <v>12.200000000000003</v>
      </c>
      <c r="S34" s="81">
        <f>+TEC[[#This Row],[TOTAL]]*TEC[[#This Row],[P.U. (1)]]</f>
        <v>0</v>
      </c>
      <c r="T34" s="82">
        <f>+VLOOKUP(C34,TbPiezas[],6,0)</f>
        <v>484.34</v>
      </c>
      <c r="U34" s="83">
        <f>+TEC[[#This Row],[TOTAL]]*TEC[[#This Row],[P.U. (2)]]</f>
        <v>0</v>
      </c>
      <c r="V34" s="82">
        <f>+VLOOKUP(C34,TbPiezas[],7,0)</f>
        <v>24.216999999999999</v>
      </c>
      <c r="W34" s="170">
        <f>+TEC[[#This Row],[TOTAL]]*TEC[[#This Row],[P.U. (3)]]</f>
        <v>0</v>
      </c>
    </row>
    <row r="35" spans="2:23" x14ac:dyDescent="0.3">
      <c r="B35" s="135">
        <v>1090</v>
      </c>
      <c r="C35" s="76" t="s">
        <v>149</v>
      </c>
      <c r="D35" s="76" t="s">
        <v>150</v>
      </c>
      <c r="E35" s="2"/>
      <c r="F35" s="136">
        <f t="shared" si="9"/>
        <v>0</v>
      </c>
      <c r="G35" s="136">
        <f t="shared" si="9"/>
        <v>0</v>
      </c>
      <c r="H35" s="136">
        <f t="shared" si="9"/>
        <v>0</v>
      </c>
      <c r="I35" s="136">
        <f t="shared" si="9"/>
        <v>0</v>
      </c>
      <c r="J35" s="136">
        <f t="shared" si="9"/>
        <v>0</v>
      </c>
      <c r="K35" s="136">
        <f t="shared" si="9"/>
        <v>0</v>
      </c>
      <c r="L35" s="136">
        <f t="shared" si="9"/>
        <v>0</v>
      </c>
      <c r="M35" s="136">
        <f t="shared" si="9"/>
        <v>0</v>
      </c>
      <c r="N35" s="2"/>
      <c r="O35" s="76" t="str">
        <f t="shared" si="8"/>
        <v>AM.7000</v>
      </c>
      <c r="P35" s="74" t="str">
        <f>+IF(TEC[[#This Row],[ITEM]]=C35,"ok","mal")</f>
        <v>ok</v>
      </c>
      <c r="Q35" s="168">
        <f t="shared" si="7"/>
        <v>0</v>
      </c>
      <c r="R35" s="169">
        <f>IF(VLOOKUP(C35,TbPiezas[],5,0)="NA",0,VLOOKUP(C35,TbPiezas[],5,0))</f>
        <v>10.399999999999991</v>
      </c>
      <c r="S35" s="81">
        <f>+TEC[[#This Row],[TOTAL]]*TEC[[#This Row],[P.U. (1)]]</f>
        <v>0</v>
      </c>
      <c r="T35" s="82">
        <f>+VLOOKUP(C35,TbPiezas[],6,0)</f>
        <v>452.11</v>
      </c>
      <c r="U35" s="83">
        <f>+TEC[[#This Row],[TOTAL]]*TEC[[#This Row],[P.U. (2)]]</f>
        <v>0</v>
      </c>
      <c r="V35" s="82">
        <f>+VLOOKUP(C35,TbPiezas[],7,0)</f>
        <v>22.605500000000003</v>
      </c>
      <c r="W35" s="170">
        <f>+TEC[[#This Row],[TOTAL]]*TEC[[#This Row],[P.U. (3)]]</f>
        <v>0</v>
      </c>
    </row>
    <row r="36" spans="2:23" x14ac:dyDescent="0.3">
      <c r="B36" s="135">
        <v>732</v>
      </c>
      <c r="C36" s="76" t="s">
        <v>151</v>
      </c>
      <c r="D36" s="76" t="s">
        <v>152</v>
      </c>
      <c r="E36" s="2"/>
      <c r="F36" s="136">
        <f t="shared" si="9"/>
        <v>0</v>
      </c>
      <c r="G36" s="136">
        <f t="shared" si="9"/>
        <v>0</v>
      </c>
      <c r="H36" s="136">
        <f t="shared" si="9"/>
        <v>0</v>
      </c>
      <c r="I36" s="136">
        <f t="shared" si="9"/>
        <v>0</v>
      </c>
      <c r="J36" s="136">
        <f t="shared" si="9"/>
        <v>0</v>
      </c>
      <c r="K36" s="136">
        <f t="shared" si="9"/>
        <v>0</v>
      </c>
      <c r="L36" s="136">
        <f t="shared" si="9"/>
        <v>0</v>
      </c>
      <c r="M36" s="136">
        <f t="shared" si="9"/>
        <v>0</v>
      </c>
      <c r="N36" s="2"/>
      <c r="O36" s="76" t="str">
        <f t="shared" si="8"/>
        <v>AM.7100</v>
      </c>
      <c r="P36" s="74" t="str">
        <f>+IF(TEC[[#This Row],[ITEM]]=C36,"ok","mal")</f>
        <v>ok</v>
      </c>
      <c r="Q36" s="168">
        <f t="shared" si="7"/>
        <v>0</v>
      </c>
      <c r="R36" s="169">
        <f>IF(VLOOKUP(C36,TbPiezas[],5,0)="NA",0,VLOOKUP(C36,TbPiezas[],5,0))</f>
        <v>7.9000000000000057</v>
      </c>
      <c r="S36" s="81">
        <f>+TEC[[#This Row],[TOTAL]]*TEC[[#This Row],[P.U. (1)]]</f>
        <v>0</v>
      </c>
      <c r="T36" s="82">
        <f>+VLOOKUP(C36,TbPiezas[],6,0)</f>
        <v>408.3</v>
      </c>
      <c r="U36" s="83">
        <f>+TEC[[#This Row],[TOTAL]]*TEC[[#This Row],[P.U. (2)]]</f>
        <v>0</v>
      </c>
      <c r="V36" s="82">
        <f>+VLOOKUP(C36,TbPiezas[],7,0)</f>
        <v>20.415000000000003</v>
      </c>
      <c r="W36" s="170">
        <f>+TEC[[#This Row],[TOTAL]]*TEC[[#This Row],[P.U. (3)]]</f>
        <v>0</v>
      </c>
    </row>
    <row r="37" spans="2:23" x14ac:dyDescent="0.3">
      <c r="B37" s="135">
        <v>3072</v>
      </c>
      <c r="C37" s="76" t="s">
        <v>153</v>
      </c>
      <c r="D37" s="76" t="s">
        <v>154</v>
      </c>
      <c r="E37" s="2"/>
      <c r="F37" s="136">
        <f t="shared" ref="F37:M43" si="10">+IF($B37=F$11,IF(AND(F$5=3,F$12="ESP"),1,IF(AND(F$5=1,F$12="CHI"),1,)),)</f>
        <v>0</v>
      </c>
      <c r="G37" s="136">
        <f t="shared" si="10"/>
        <v>0</v>
      </c>
      <c r="H37" s="136">
        <f t="shared" si="10"/>
        <v>0</v>
      </c>
      <c r="I37" s="136">
        <f t="shared" si="10"/>
        <v>0</v>
      </c>
      <c r="J37" s="136">
        <f t="shared" si="10"/>
        <v>0</v>
      </c>
      <c r="K37" s="136">
        <f t="shared" si="10"/>
        <v>0</v>
      </c>
      <c r="L37" s="136">
        <f t="shared" si="10"/>
        <v>0</v>
      </c>
      <c r="M37" s="136">
        <f t="shared" si="10"/>
        <v>0</v>
      </c>
      <c r="N37" s="2"/>
      <c r="O37" s="76" t="str">
        <f t="shared" si="8"/>
        <v>AM.7200</v>
      </c>
      <c r="P37" s="74" t="str">
        <f>+IF(TEC[[#This Row],[ITEM]]=C37,"ok","mal")</f>
        <v>ok</v>
      </c>
      <c r="Q37" s="168">
        <f t="shared" si="7"/>
        <v>0</v>
      </c>
      <c r="R37" s="169">
        <f>IF(VLOOKUP(C37,TbPiezas[],5,0)="NA",0,VLOOKUP(C37,TbPiezas[],5,0))</f>
        <v>17.799999999999997</v>
      </c>
      <c r="S37" s="81">
        <f>+TEC[[#This Row],[TOTAL]]*TEC[[#This Row],[P.U. (1)]]</f>
        <v>0</v>
      </c>
      <c r="T37" s="82">
        <f>+VLOOKUP(C37,TbPiezas[],6,0)</f>
        <v>654.70000000000005</v>
      </c>
      <c r="U37" s="83">
        <f>+TEC[[#This Row],[TOTAL]]*TEC[[#This Row],[P.U. (2)]]</f>
        <v>0</v>
      </c>
      <c r="V37" s="82">
        <f>+VLOOKUP(C37,TbPiezas[],7,0)</f>
        <v>32.735000000000007</v>
      </c>
      <c r="W37" s="170">
        <f>+TEC[[#This Row],[TOTAL]]*TEC[[#This Row],[P.U. (3)]]</f>
        <v>0</v>
      </c>
    </row>
    <row r="38" spans="2:23" x14ac:dyDescent="0.3">
      <c r="B38" s="135">
        <v>2572</v>
      </c>
      <c r="C38" s="76" t="s">
        <v>155</v>
      </c>
      <c r="D38" s="76" t="s">
        <v>156</v>
      </c>
      <c r="E38" s="2"/>
      <c r="F38" s="136">
        <f t="shared" si="10"/>
        <v>0</v>
      </c>
      <c r="G38" s="136">
        <f t="shared" si="10"/>
        <v>0</v>
      </c>
      <c r="H38" s="136">
        <f t="shared" si="10"/>
        <v>0</v>
      </c>
      <c r="I38" s="136">
        <f t="shared" si="10"/>
        <v>0</v>
      </c>
      <c r="J38" s="136">
        <f t="shared" si="10"/>
        <v>0</v>
      </c>
      <c r="K38" s="136">
        <f t="shared" si="10"/>
        <v>0</v>
      </c>
      <c r="L38" s="136">
        <f t="shared" si="10"/>
        <v>0</v>
      </c>
      <c r="M38" s="136">
        <f t="shared" si="10"/>
        <v>0</v>
      </c>
      <c r="N38" s="2"/>
      <c r="O38" s="76" t="str">
        <f t="shared" si="8"/>
        <v>AM.7300</v>
      </c>
      <c r="P38" s="74" t="str">
        <f>+IF(TEC[[#This Row],[ITEM]]=C38,"ok","mal")</f>
        <v>ok</v>
      </c>
      <c r="Q38" s="168">
        <f t="shared" si="7"/>
        <v>0</v>
      </c>
      <c r="R38" s="169">
        <f>IF(VLOOKUP(C38,TbPiezas[],5,0)="NA",0,VLOOKUP(C38,TbPiezas[],5,0))</f>
        <v>14.599999999999994</v>
      </c>
      <c r="S38" s="81">
        <f>+TEC[[#This Row],[TOTAL]]*TEC[[#This Row],[P.U. (1)]]</f>
        <v>0</v>
      </c>
      <c r="T38" s="82">
        <f>+VLOOKUP(C38,TbPiezas[],6,0)</f>
        <v>575.04</v>
      </c>
      <c r="U38" s="83">
        <f>+TEC[[#This Row],[TOTAL]]*TEC[[#This Row],[P.U. (2)]]</f>
        <v>0</v>
      </c>
      <c r="V38" s="82">
        <f>+VLOOKUP(C38,TbPiezas[],7,0)</f>
        <v>28.751999999999999</v>
      </c>
      <c r="W38" s="170">
        <f>+TEC[[#This Row],[TOTAL]]*TEC[[#This Row],[P.U. (3)]]</f>
        <v>0</v>
      </c>
    </row>
    <row r="39" spans="2:23" x14ac:dyDescent="0.3">
      <c r="B39" s="135">
        <v>2072</v>
      </c>
      <c r="C39" s="76" t="s">
        <v>157</v>
      </c>
      <c r="D39" s="76" t="s">
        <v>158</v>
      </c>
      <c r="E39" s="2"/>
      <c r="F39" s="136">
        <f t="shared" si="10"/>
        <v>0</v>
      </c>
      <c r="G39" s="136">
        <f t="shared" si="10"/>
        <v>0</v>
      </c>
      <c r="H39" s="136">
        <f t="shared" si="10"/>
        <v>0</v>
      </c>
      <c r="I39" s="136">
        <f t="shared" si="10"/>
        <v>0</v>
      </c>
      <c r="J39" s="136">
        <f t="shared" si="10"/>
        <v>0</v>
      </c>
      <c r="K39" s="136">
        <f t="shared" si="10"/>
        <v>0</v>
      </c>
      <c r="L39" s="136">
        <f t="shared" si="10"/>
        <v>0</v>
      </c>
      <c r="M39" s="136">
        <f t="shared" si="10"/>
        <v>0</v>
      </c>
      <c r="N39" s="2"/>
      <c r="O39" s="76" t="str">
        <f t="shared" si="8"/>
        <v>AM.7400</v>
      </c>
      <c r="P39" s="74" t="str">
        <f>+IF(TEC[[#This Row],[ITEM]]=C39,"ok","mal")</f>
        <v>ok</v>
      </c>
      <c r="Q39" s="168">
        <f t="shared" si="7"/>
        <v>0</v>
      </c>
      <c r="R39" s="169">
        <f>IF(VLOOKUP(C39,TbPiezas[],5,0)="NA",0,VLOOKUP(C39,TbPiezas[],5,0))</f>
        <v>12.299999999999997</v>
      </c>
      <c r="S39" s="81">
        <f>+TEC[[#This Row],[TOTAL]]*TEC[[#This Row],[P.U. (1)]]</f>
        <v>0</v>
      </c>
      <c r="T39" s="82">
        <f>+VLOOKUP(C39,TbPiezas[],6,0)</f>
        <v>496.07</v>
      </c>
      <c r="U39" s="83">
        <f>+TEC[[#This Row],[TOTAL]]*TEC[[#This Row],[P.U. (2)]]</f>
        <v>0</v>
      </c>
      <c r="V39" s="82">
        <f>+VLOOKUP(C39,TbPiezas[],7,0)</f>
        <v>24.8035</v>
      </c>
      <c r="W39" s="170">
        <f>+TEC[[#This Row],[TOTAL]]*TEC[[#This Row],[P.U. (3)]]</f>
        <v>0</v>
      </c>
    </row>
    <row r="40" spans="2:23" x14ac:dyDescent="0.3">
      <c r="B40" s="135">
        <v>1572</v>
      </c>
      <c r="C40" s="76" t="s">
        <v>159</v>
      </c>
      <c r="D40" s="76" t="s">
        <v>160</v>
      </c>
      <c r="E40" s="2"/>
      <c r="F40" s="136">
        <f t="shared" si="10"/>
        <v>0</v>
      </c>
      <c r="G40" s="136">
        <f t="shared" si="10"/>
        <v>0</v>
      </c>
      <c r="H40" s="136">
        <f t="shared" si="10"/>
        <v>0</v>
      </c>
      <c r="I40" s="136">
        <f t="shared" si="10"/>
        <v>0</v>
      </c>
      <c r="J40" s="136">
        <f t="shared" si="10"/>
        <v>0</v>
      </c>
      <c r="K40" s="136">
        <f t="shared" si="10"/>
        <v>0</v>
      </c>
      <c r="L40" s="136">
        <f t="shared" si="10"/>
        <v>0</v>
      </c>
      <c r="M40" s="136">
        <f t="shared" si="10"/>
        <v>0</v>
      </c>
      <c r="N40" s="2"/>
      <c r="O40" s="76" t="str">
        <f t="shared" si="8"/>
        <v>AM.7410</v>
      </c>
      <c r="P40" s="74" t="str">
        <f>+IF(TEC[[#This Row],[ITEM]]=C40,"ok","mal")</f>
        <v>ok</v>
      </c>
      <c r="Q40" s="168">
        <f t="shared" si="7"/>
        <v>0</v>
      </c>
      <c r="R40" s="169">
        <f>IF(VLOOKUP(C40,TbPiezas[],5,0)="NA",0,VLOOKUP(C40,TbPiezas[],5,0))</f>
        <v>9.0500000000000007</v>
      </c>
      <c r="S40" s="81">
        <f>+TEC[[#This Row],[TOTAL]]*TEC[[#This Row],[P.U. (1)]]</f>
        <v>0</v>
      </c>
      <c r="T40" s="82">
        <f>+VLOOKUP(C40,TbPiezas[],6,0)</f>
        <v>484.34</v>
      </c>
      <c r="U40" s="83">
        <f>+TEC[[#This Row],[TOTAL]]*TEC[[#This Row],[P.U. (2)]]</f>
        <v>0</v>
      </c>
      <c r="V40" s="82">
        <f>+VLOOKUP(C40,TbPiezas[],7,0)</f>
        <v>24.216999999999999</v>
      </c>
      <c r="W40" s="170">
        <f>+TEC[[#This Row],[TOTAL]]*TEC[[#This Row],[P.U. (3)]]</f>
        <v>0</v>
      </c>
    </row>
    <row r="41" spans="2:23" x14ac:dyDescent="0.3">
      <c r="B41" s="135">
        <v>1090</v>
      </c>
      <c r="C41" s="76" t="s">
        <v>161</v>
      </c>
      <c r="D41" s="76" t="s">
        <v>162</v>
      </c>
      <c r="E41" s="2"/>
      <c r="F41" s="136">
        <f t="shared" si="10"/>
        <v>0</v>
      </c>
      <c r="G41" s="136">
        <f t="shared" si="10"/>
        <v>0</v>
      </c>
      <c r="H41" s="136">
        <f t="shared" si="10"/>
        <v>0</v>
      </c>
      <c r="I41" s="136">
        <f t="shared" si="10"/>
        <v>0</v>
      </c>
      <c r="J41" s="136">
        <f t="shared" si="10"/>
        <v>0</v>
      </c>
      <c r="K41" s="136">
        <f t="shared" si="10"/>
        <v>0</v>
      </c>
      <c r="L41" s="136">
        <f t="shared" si="10"/>
        <v>0</v>
      </c>
      <c r="M41" s="136">
        <f t="shared" si="10"/>
        <v>0</v>
      </c>
      <c r="N41" s="2"/>
      <c r="O41" s="76" t="str">
        <f t="shared" si="8"/>
        <v>AM.7420</v>
      </c>
      <c r="P41" s="74" t="str">
        <f>+IF(TEC[[#This Row],[ITEM]]=C41,"ok","mal")</f>
        <v>ok</v>
      </c>
      <c r="Q41" s="168">
        <f t="shared" si="7"/>
        <v>0</v>
      </c>
      <c r="R41" s="169">
        <f>IF(VLOOKUP(C41,TbPiezas[],5,0)="NA",0,VLOOKUP(C41,TbPiezas[],5,0))</f>
        <v>7.71</v>
      </c>
      <c r="S41" s="81">
        <f>+TEC[[#This Row],[TOTAL]]*TEC[[#This Row],[P.U. (1)]]</f>
        <v>0</v>
      </c>
      <c r="T41" s="82">
        <f>+VLOOKUP(C41,TbPiezas[],6,0)</f>
        <v>452.11</v>
      </c>
      <c r="U41" s="83">
        <f>+TEC[[#This Row],[TOTAL]]*TEC[[#This Row],[P.U. (2)]]</f>
        <v>0</v>
      </c>
      <c r="V41" s="82">
        <f>+VLOOKUP(C41,TbPiezas[],7,0)</f>
        <v>22.605500000000003</v>
      </c>
      <c r="W41" s="170">
        <f>+TEC[[#This Row],[TOTAL]]*TEC[[#This Row],[P.U. (3)]]</f>
        <v>0</v>
      </c>
    </row>
    <row r="42" spans="2:23" x14ac:dyDescent="0.3">
      <c r="B42" s="135">
        <v>1020</v>
      </c>
      <c r="C42" s="76" t="s">
        <v>163</v>
      </c>
      <c r="D42" s="76" t="s">
        <v>164</v>
      </c>
      <c r="E42" s="2"/>
      <c r="F42" s="136">
        <f t="shared" si="10"/>
        <v>0</v>
      </c>
      <c r="G42" s="136">
        <f t="shared" si="10"/>
        <v>0</v>
      </c>
      <c r="H42" s="136">
        <f t="shared" si="10"/>
        <v>0</v>
      </c>
      <c r="I42" s="136">
        <f t="shared" si="10"/>
        <v>0</v>
      </c>
      <c r="J42" s="136">
        <f t="shared" si="10"/>
        <v>0</v>
      </c>
      <c r="K42" s="136">
        <f t="shared" si="10"/>
        <v>0</v>
      </c>
      <c r="L42" s="136">
        <f t="shared" si="10"/>
        <v>0</v>
      </c>
      <c r="M42" s="136">
        <f t="shared" si="10"/>
        <v>0</v>
      </c>
      <c r="N42" s="2"/>
      <c r="O42" s="76" t="str">
        <f t="shared" si="8"/>
        <v>AM.7430</v>
      </c>
      <c r="P42" s="74" t="str">
        <f>+IF(TEC[[#This Row],[ITEM]]=C42,"ok","mal")</f>
        <v>ok</v>
      </c>
      <c r="Q42" s="168">
        <f t="shared" si="7"/>
        <v>0</v>
      </c>
      <c r="R42" s="169">
        <f>IF(VLOOKUP(C42,TbPiezas[],5,0)="NA",0,VLOOKUP(C42,TbPiezas[],5,0))</f>
        <v>4.3</v>
      </c>
      <c r="S42" s="81">
        <f>+TEC[[#This Row],[TOTAL]]*TEC[[#This Row],[P.U. (1)]]</f>
        <v>0</v>
      </c>
      <c r="T42" s="82">
        <f>+VLOOKUP(C42,TbPiezas[],6,0)</f>
        <v>452.11</v>
      </c>
      <c r="U42" s="83">
        <f>+TEC[[#This Row],[TOTAL]]*TEC[[#This Row],[P.U. (2)]]</f>
        <v>0</v>
      </c>
      <c r="V42" s="82">
        <f>+VLOOKUP(C42,TbPiezas[],7,0)</f>
        <v>22.605500000000003</v>
      </c>
      <c r="W42" s="170">
        <f>+TEC[[#This Row],[TOTAL]]*TEC[[#This Row],[P.U. (3)]]</f>
        <v>0</v>
      </c>
    </row>
    <row r="43" spans="2:23" x14ac:dyDescent="0.3">
      <c r="B43" s="135">
        <v>732</v>
      </c>
      <c r="C43" s="76" t="s">
        <v>165</v>
      </c>
      <c r="D43" s="76" t="s">
        <v>166</v>
      </c>
      <c r="E43" s="2"/>
      <c r="F43" s="136">
        <f t="shared" si="10"/>
        <v>0</v>
      </c>
      <c r="G43" s="136">
        <f t="shared" si="10"/>
        <v>0</v>
      </c>
      <c r="H43" s="136">
        <f t="shared" si="10"/>
        <v>0</v>
      </c>
      <c r="I43" s="136">
        <f t="shared" si="10"/>
        <v>0</v>
      </c>
      <c r="J43" s="136">
        <f t="shared" si="10"/>
        <v>0</v>
      </c>
      <c r="K43" s="136">
        <f t="shared" si="10"/>
        <v>0</v>
      </c>
      <c r="L43" s="136">
        <f t="shared" si="10"/>
        <v>0</v>
      </c>
      <c r="M43" s="136">
        <f t="shared" si="10"/>
        <v>0</v>
      </c>
      <c r="N43" s="2"/>
      <c r="O43" s="76" t="str">
        <f t="shared" si="8"/>
        <v>AM.7440</v>
      </c>
      <c r="P43" s="74" t="str">
        <f>+IF(TEC[[#This Row],[ITEM]]=C43,"ok","mal")</f>
        <v>ok</v>
      </c>
      <c r="Q43" s="168">
        <f t="shared" si="7"/>
        <v>0</v>
      </c>
      <c r="R43" s="169">
        <f>IF(VLOOKUP(C43,TbPiezas[],5,0)="NA",0,VLOOKUP(C43,TbPiezas[],5,0))</f>
        <v>5.86</v>
      </c>
      <c r="S43" s="81">
        <f>+TEC[[#This Row],[TOTAL]]*TEC[[#This Row],[P.U. (1)]]</f>
        <v>0</v>
      </c>
      <c r="T43" s="82">
        <f>+VLOOKUP(C43,TbPiezas[],6,0)</f>
        <v>408.3</v>
      </c>
      <c r="U43" s="83">
        <f>+TEC[[#This Row],[TOTAL]]*TEC[[#This Row],[P.U. (2)]]</f>
        <v>0</v>
      </c>
      <c r="V43" s="82">
        <f>+VLOOKUP(C43,TbPiezas[],7,0)</f>
        <v>20.415000000000003</v>
      </c>
      <c r="W43" s="170">
        <f>+TEC[[#This Row],[TOTAL]]*TEC[[#This Row],[P.U. (3)]]</f>
        <v>0</v>
      </c>
    </row>
    <row r="44" spans="2:23" x14ac:dyDescent="0.3">
      <c r="B44" s="135">
        <v>3</v>
      </c>
      <c r="C44" s="76" t="s">
        <v>263</v>
      </c>
      <c r="D44" s="76" t="s">
        <v>264</v>
      </c>
      <c r="E44" s="2"/>
      <c r="F44" s="77">
        <f>IF(AND($B44=F$5,F$13&gt;0),F$13,IF(AND($B44=F$5,F$20&gt;0),1+ROUNDUP(F$20/(180/(F$7*F8)),0),))</f>
        <v>0</v>
      </c>
      <c r="G44" s="77">
        <f>IF(AND($B44=G$5,G$13&gt;0),G$13,IF(AND($B44=G$5,G$20&gt;0),1+ROUNDUP(G$20/(180/(G$7*G8)),0),))</f>
        <v>0</v>
      </c>
      <c r="H44" s="77">
        <f t="shared" ref="H44:M44" si="11">IF(AND($B44=H$5,H$13&gt;0),H$13,IF(AND($B44=H$5,H$20&gt;0),1+ROUNDUP(H$20/(180/(H$7*H8)),0),))</f>
        <v>0</v>
      </c>
      <c r="I44" s="77">
        <f t="shared" si="11"/>
        <v>0</v>
      </c>
      <c r="J44" s="77">
        <f t="shared" si="11"/>
        <v>0</v>
      </c>
      <c r="K44" s="77">
        <f t="shared" si="11"/>
        <v>0</v>
      </c>
      <c r="L44" s="77">
        <f t="shared" si="11"/>
        <v>0</v>
      </c>
      <c r="M44" s="77">
        <f t="shared" si="11"/>
        <v>0</v>
      </c>
      <c r="N44" s="2"/>
      <c r="O44" s="76" t="str">
        <f t="shared" si="8"/>
        <v>EC.0100</v>
      </c>
      <c r="P44" s="74" t="str">
        <f>+IF(TEC[[#This Row],[ITEM]]=C44,"ok","mal")</f>
        <v>ok</v>
      </c>
      <c r="Q44" s="168">
        <f t="shared" si="7"/>
        <v>0</v>
      </c>
      <c r="R44" s="169">
        <f>IF(VLOOKUP(C44,TbPiezas[],5,0)="NA",0,VLOOKUP(C44,TbPiezas[],5,0))</f>
        <v>32.799999999999997</v>
      </c>
      <c r="S44" s="81">
        <f>+TEC[[#This Row],[TOTAL]]*TEC[[#This Row],[P.U. (1)]]</f>
        <v>0</v>
      </c>
      <c r="T44" s="82">
        <f>+VLOOKUP(C44,TbPiezas[],6,0)</f>
        <v>1969.28</v>
      </c>
      <c r="U44" s="83">
        <f>+TEC[[#This Row],[TOTAL]]*TEC[[#This Row],[P.U. (2)]]</f>
        <v>0</v>
      </c>
      <c r="V44" s="82">
        <f>+VLOOKUP(C44,TbPiezas[],7,0)</f>
        <v>70</v>
      </c>
      <c r="W44" s="170">
        <f>+TEC[[#This Row],[TOTAL]]*TEC[[#This Row],[P.U. (3)]]</f>
        <v>0</v>
      </c>
    </row>
    <row r="45" spans="2:23" x14ac:dyDescent="0.3">
      <c r="B45" s="135">
        <v>1</v>
      </c>
      <c r="C45" s="76" t="s">
        <v>267</v>
      </c>
      <c r="D45" s="76" t="s">
        <v>268</v>
      </c>
      <c r="E45" s="2"/>
      <c r="F45" s="77">
        <f>+IF($B45=F$5,IF(F13&gt;0,F$13,IF(F20&gt;0,1+ROUNDUP(F$20/(250/F$7),0))),)</f>
        <v>0</v>
      </c>
      <c r="G45" s="77">
        <f>+IF($B45=G$5,IF(G13&gt;0,G$13,IF(G20&gt;0,1+ROUNDUP(G$20/(250/G$7),0))),)</f>
        <v>0</v>
      </c>
      <c r="H45" s="77">
        <f t="shared" ref="H45:M45" si="12">+IF($B45=H$5,IF(H13&gt;0,H$13,IF(H20&gt;0,1+ROUNDUP(H$20/(250/H$7),0))),)</f>
        <v>0</v>
      </c>
      <c r="I45" s="77">
        <f t="shared" si="12"/>
        <v>0</v>
      </c>
      <c r="J45" s="77">
        <f t="shared" si="12"/>
        <v>0</v>
      </c>
      <c r="K45" s="77">
        <f t="shared" si="12"/>
        <v>0</v>
      </c>
      <c r="L45" s="77">
        <f t="shared" si="12"/>
        <v>0</v>
      </c>
      <c r="M45" s="77">
        <f t="shared" si="12"/>
        <v>0</v>
      </c>
      <c r="N45" s="2"/>
      <c r="O45" s="76" t="str">
        <f t="shared" si="8"/>
        <v>EC.0300</v>
      </c>
      <c r="P45" s="74" t="str">
        <f>+IF(TEC[[#This Row],[ITEM]]=C45,"ok","mal")</f>
        <v>ok</v>
      </c>
      <c r="Q45" s="168">
        <f t="shared" si="7"/>
        <v>0</v>
      </c>
      <c r="R45" s="169">
        <f>IF(VLOOKUP(C45,TbPiezas[],5,0)="NA",0,VLOOKUP(C45,TbPiezas[],5,0))</f>
        <v>13.9</v>
      </c>
      <c r="S45" s="81">
        <f>+TEC[[#This Row],[TOTAL]]*TEC[[#This Row],[P.U. (1)]]</f>
        <v>0</v>
      </c>
      <c r="T45" s="82">
        <f>+VLOOKUP(C45,TbPiezas[],6,0)</f>
        <v>457.38</v>
      </c>
      <c r="U45" s="83">
        <f>+TEC[[#This Row],[TOTAL]]*TEC[[#This Row],[P.U. (2)]]</f>
        <v>0</v>
      </c>
      <c r="V45" s="82">
        <f>+VLOOKUP(C45,TbPiezas[],7,0)</f>
        <v>25</v>
      </c>
      <c r="W45" s="170">
        <f>+TEC[[#This Row],[TOTAL]]*TEC[[#This Row],[P.U. (3)]]</f>
        <v>0</v>
      </c>
    </row>
    <row r="46" spans="2:23" x14ac:dyDescent="0.3">
      <c r="B46" s="135">
        <v>0</v>
      </c>
      <c r="C46" s="76" t="s">
        <v>291</v>
      </c>
      <c r="D46" s="76" t="s">
        <v>292</v>
      </c>
      <c r="E46" s="2"/>
      <c r="F46" s="171">
        <f t="shared" ref="F46:M46" si="13">+F44</f>
        <v>0</v>
      </c>
      <c r="G46" s="171">
        <f t="shared" si="13"/>
        <v>0</v>
      </c>
      <c r="H46" s="171">
        <f t="shared" si="13"/>
        <v>0</v>
      </c>
      <c r="I46" s="171">
        <f t="shared" si="13"/>
        <v>0</v>
      </c>
      <c r="J46" s="171">
        <f t="shared" si="13"/>
        <v>0</v>
      </c>
      <c r="K46" s="171">
        <f t="shared" si="13"/>
        <v>0</v>
      </c>
      <c r="L46" s="171">
        <f t="shared" si="13"/>
        <v>0</v>
      </c>
      <c r="M46" s="171">
        <f t="shared" si="13"/>
        <v>0</v>
      </c>
      <c r="N46" s="2"/>
      <c r="O46" s="76" t="str">
        <f t="shared" si="8"/>
        <v>EC.0800</v>
      </c>
      <c r="P46" s="74" t="str">
        <f>+IF(TEC[[#This Row],[ITEM]]=C46,"ok","mal")</f>
        <v>ok</v>
      </c>
      <c r="Q46" s="168">
        <f t="shared" si="7"/>
        <v>0</v>
      </c>
      <c r="R46" s="169">
        <f>IF(VLOOKUP(C46,TbPiezas[],5,0)="NA",0,VLOOKUP(C46,TbPiezas[],5,0))</f>
        <v>2.9000000000000057</v>
      </c>
      <c r="S46" s="81">
        <f>+TEC[[#This Row],[TOTAL]]*TEC[[#This Row],[P.U. (1)]]</f>
        <v>0</v>
      </c>
      <c r="T46" s="82">
        <f>+VLOOKUP(C46,TbPiezas[],6,0)</f>
        <v>190.58</v>
      </c>
      <c r="U46" s="83">
        <f>+TEC[[#This Row],[TOTAL]]*TEC[[#This Row],[P.U. (2)]]</f>
        <v>0</v>
      </c>
      <c r="V46" s="82">
        <f>+VLOOKUP(C46,TbPiezas[],7,0)</f>
        <v>9.5290000000000017</v>
      </c>
      <c r="W46" s="170">
        <f>+TEC[[#This Row],[TOTAL]]*TEC[[#This Row],[P.U. (3)]]</f>
        <v>0</v>
      </c>
    </row>
    <row r="47" spans="2:23" x14ac:dyDescent="0.3">
      <c r="B47" s="140">
        <v>0</v>
      </c>
      <c r="C47" s="172" t="s">
        <v>301</v>
      </c>
      <c r="D47" s="172" t="s">
        <v>302</v>
      </c>
      <c r="E47" s="2"/>
      <c r="F47" s="141">
        <f>IF(AND(F$5=3,F$6="ESPARRAGO"),"ERROR",F$44*6)+IF(AND(F$5=1,F$6="PERNO"),F$45*2,)</f>
        <v>0</v>
      </c>
      <c r="G47" s="141">
        <f>IF(AND(G$5=3,G$6="ESPARRAGO"),"ERROR",G$44*6)+IF(AND(G$5=1,G$6="PERNO"),G$45*2,)</f>
        <v>0</v>
      </c>
      <c r="H47" s="141">
        <f t="shared" ref="H47:M47" si="14">IF(AND(H$5=3,H$6="ESPARRAGO"),"ERROR",H$44*6)+IF(AND(H$5=1,H$6="PERNO"),H$45*2,)</f>
        <v>0</v>
      </c>
      <c r="I47" s="141">
        <f t="shared" si="14"/>
        <v>0</v>
      </c>
      <c r="J47" s="141">
        <f t="shared" si="14"/>
        <v>0</v>
      </c>
      <c r="K47" s="141">
        <f t="shared" si="14"/>
        <v>0</v>
      </c>
      <c r="L47" s="141">
        <f t="shared" si="14"/>
        <v>0</v>
      </c>
      <c r="M47" s="141">
        <f t="shared" si="14"/>
        <v>0</v>
      </c>
      <c r="N47" s="2"/>
      <c r="O47" s="172" t="str">
        <f t="shared" si="8"/>
        <v>CON.0200</v>
      </c>
      <c r="P47" s="173" t="str">
        <f>+IF(TEC[[#This Row],[ITEM]]=C47,"ok","mal")</f>
        <v>ok</v>
      </c>
      <c r="Q47" s="174">
        <f t="shared" si="7"/>
        <v>0</v>
      </c>
      <c r="R47" s="175">
        <f>IF(VLOOKUP(C47,TbPiezas[],5,0)="NA",0,VLOOKUP(C47,TbPiezas[],5,0))</f>
        <v>0.25</v>
      </c>
      <c r="S47" s="145">
        <f>+TEC[[#This Row],[TOTAL]]*TEC[[#This Row],[P.U. (1)]]</f>
        <v>0</v>
      </c>
      <c r="T47" s="146">
        <f>+VLOOKUP(C47,TbPiezas[],6,0)</f>
        <v>0</v>
      </c>
      <c r="U47" s="147">
        <f>+TEC[[#This Row],[TOTAL]]*TEC[[#This Row],[P.U. (2)]]</f>
        <v>0</v>
      </c>
      <c r="V47" s="146">
        <f>+VLOOKUP(C47,TbPiezas[],7,0)</f>
        <v>0</v>
      </c>
      <c r="W47" s="176">
        <f>+TEC[[#This Row],[TOTAL]]*TEC[[#This Row],[P.U. (3)]]</f>
        <v>0</v>
      </c>
    </row>
    <row r="48" spans="2:23" x14ac:dyDescent="0.3">
      <c r="B48" s="135">
        <v>0</v>
      </c>
      <c r="C48" s="76" t="s">
        <v>303</v>
      </c>
      <c r="D48" s="76" t="s">
        <v>304</v>
      </c>
      <c r="E48" s="2"/>
      <c r="F48" s="171">
        <f t="shared" ref="F48:M48" si="15">F46</f>
        <v>0</v>
      </c>
      <c r="G48" s="171">
        <f t="shared" si="15"/>
        <v>0</v>
      </c>
      <c r="H48" s="171">
        <f t="shared" si="15"/>
        <v>0</v>
      </c>
      <c r="I48" s="171">
        <f t="shared" si="15"/>
        <v>0</v>
      </c>
      <c r="J48" s="171">
        <f t="shared" si="15"/>
        <v>0</v>
      </c>
      <c r="K48" s="171">
        <f t="shared" si="15"/>
        <v>0</v>
      </c>
      <c r="L48" s="171">
        <f t="shared" si="15"/>
        <v>0</v>
      </c>
      <c r="M48" s="171">
        <f t="shared" si="15"/>
        <v>0</v>
      </c>
      <c r="N48" s="2"/>
      <c r="O48" s="76" t="str">
        <f t="shared" si="8"/>
        <v>CON.0300</v>
      </c>
      <c r="P48" s="74" t="str">
        <f>+IF(TEC[[#This Row],[ITEM]]=C48,"ok","mal")</f>
        <v>ok</v>
      </c>
      <c r="Q48" s="168">
        <f t="shared" si="7"/>
        <v>0</v>
      </c>
      <c r="R48" s="169">
        <f>IF(VLOOKUP(C48,TbPiezas[],5,0)="NA",0,VLOOKUP(C48,TbPiezas[],5,0))</f>
        <v>0.1</v>
      </c>
      <c r="S48" s="81">
        <f>+TEC[[#This Row],[TOTAL]]*TEC[[#This Row],[P.U. (1)]]</f>
        <v>0</v>
      </c>
      <c r="T48" s="82">
        <f>+VLOOKUP(C48,TbPiezas[],6,0)</f>
        <v>10.16</v>
      </c>
      <c r="U48" s="83">
        <f>+TEC[[#This Row],[TOTAL]]*TEC[[#This Row],[P.U. (2)]]</f>
        <v>0</v>
      </c>
      <c r="V48" s="82">
        <f>+VLOOKUP(C48,TbPiezas[],7,0)</f>
        <v>0.50800000000000001</v>
      </c>
      <c r="W48" s="170">
        <f>+TEC[[#This Row],[TOTAL]]*TEC[[#This Row],[P.U. (3)]]</f>
        <v>0</v>
      </c>
    </row>
    <row r="49" spans="2:25" x14ac:dyDescent="0.3">
      <c r="B49" s="135">
        <v>0</v>
      </c>
      <c r="C49" s="76" t="s">
        <v>611</v>
      </c>
      <c r="D49" s="76" t="s">
        <v>612</v>
      </c>
      <c r="E49" s="2"/>
      <c r="F49" s="139">
        <f>+IF(AND(F$5=1,F$6="ESPARRAGO"),F$45*2,)</f>
        <v>0</v>
      </c>
      <c r="G49" s="139">
        <f>+IF(AND(G$5=1,G$6="ESPARRAGO"),G$45*2,)</f>
        <v>0</v>
      </c>
      <c r="H49" s="139">
        <f t="shared" ref="H49:M49" si="16">+IF(AND(H$5=1,H$6="ESPARRAGO"),H$45*2,)</f>
        <v>0</v>
      </c>
      <c r="I49" s="139">
        <f t="shared" si="16"/>
        <v>0</v>
      </c>
      <c r="J49" s="139">
        <f t="shared" si="16"/>
        <v>0</v>
      </c>
      <c r="K49" s="139">
        <f t="shared" si="16"/>
        <v>0</v>
      </c>
      <c r="L49" s="139">
        <f t="shared" si="16"/>
        <v>0</v>
      </c>
      <c r="M49" s="139">
        <f t="shared" si="16"/>
        <v>0</v>
      </c>
      <c r="N49" s="2"/>
      <c r="O49" s="76" t="str">
        <f t="shared" si="8"/>
        <v>EN.0310</v>
      </c>
      <c r="P49" s="74" t="str">
        <f>+IF(TEC[[#This Row],[ITEM]]=C49,"ok","mal")</f>
        <v>ok</v>
      </c>
      <c r="Q49" s="168">
        <f t="shared" si="7"/>
        <v>0</v>
      </c>
      <c r="R49" s="169">
        <f>IF(VLOOKUP(C49,TbPiezas[],5,0)="NA",0,VLOOKUP(C49,TbPiezas[],5,0))</f>
        <v>3</v>
      </c>
      <c r="S49" s="81">
        <f>+TEC[[#This Row],[TOTAL]]*TEC[[#This Row],[P.U. (1)]]</f>
        <v>0</v>
      </c>
      <c r="T49" s="82">
        <f>+VLOOKUP(C49,TbPiezas[],6,0)</f>
        <v>128.53</v>
      </c>
      <c r="U49" s="83">
        <f>+TEC[[#This Row],[TOTAL]]*TEC[[#This Row],[P.U. (2)]]</f>
        <v>0</v>
      </c>
      <c r="V49" s="82">
        <f>+VLOOKUP(C49,TbPiezas[],7,0)</f>
        <v>6.4265000000000008</v>
      </c>
      <c r="W49" s="170">
        <f>+TEC[[#This Row],[TOTAL]]*TEC[[#This Row],[P.U. (3)]]</f>
        <v>0</v>
      </c>
    </row>
    <row r="50" spans="2:25" x14ac:dyDescent="0.3">
      <c r="B50" s="135">
        <v>0</v>
      </c>
      <c r="C50" s="76" t="s">
        <v>621</v>
      </c>
      <c r="D50" s="76" t="s">
        <v>622</v>
      </c>
      <c r="E50" s="2"/>
      <c r="F50" s="139">
        <f t="shared" ref="F50:M50" si="17">+F49</f>
        <v>0</v>
      </c>
      <c r="G50" s="139">
        <f t="shared" si="17"/>
        <v>0</v>
      </c>
      <c r="H50" s="139">
        <f t="shared" si="17"/>
        <v>0</v>
      </c>
      <c r="I50" s="139">
        <f t="shared" si="17"/>
        <v>0</v>
      </c>
      <c r="J50" s="139">
        <f t="shared" si="17"/>
        <v>0</v>
      </c>
      <c r="K50" s="139">
        <f t="shared" si="17"/>
        <v>0</v>
      </c>
      <c r="L50" s="139">
        <f t="shared" si="17"/>
        <v>0</v>
      </c>
      <c r="M50" s="139">
        <f t="shared" si="17"/>
        <v>0</v>
      </c>
      <c r="N50" s="2"/>
      <c r="O50" s="76" t="str">
        <f t="shared" si="8"/>
        <v>EN.0400</v>
      </c>
      <c r="P50" s="74" t="str">
        <f>+IF(TEC[[#This Row],[ITEM]]=C50,"ok","mal")</f>
        <v>ok</v>
      </c>
      <c r="Q50" s="168">
        <f t="shared" si="7"/>
        <v>0</v>
      </c>
      <c r="R50" s="177">
        <f>IF(VLOOKUP(C50,TbPiezas[],5,0)="NA",0,VLOOKUP(C50,TbPiezas[],5,0))</f>
        <v>2</v>
      </c>
      <c r="S50" s="178">
        <f>+TEC[[#This Row],[TOTAL]]*TEC[[#This Row],[P.U. (1)]]</f>
        <v>0</v>
      </c>
      <c r="T50" s="179">
        <f>+VLOOKUP(C50,TbPiezas[],6,0)</f>
        <v>85.68</v>
      </c>
      <c r="U50" s="180">
        <f>+TEC[[#This Row],[TOTAL]]*TEC[[#This Row],[P.U. (2)]]</f>
        <v>0</v>
      </c>
      <c r="V50" s="179">
        <f>+VLOOKUP(C50,TbPiezas[],7,0)</f>
        <v>4.2840000000000007</v>
      </c>
      <c r="W50" s="181">
        <f>+TEC[[#This Row],[TOTAL]]*TEC[[#This Row],[P.U. (3)]]</f>
        <v>0</v>
      </c>
    </row>
    <row r="51" spans="2:25" ht="9.75" customHeight="1" x14ac:dyDescent="0.3"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2:25" x14ac:dyDescent="0.3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99"/>
      <c r="R52" s="88" t="s">
        <v>1169</v>
      </c>
      <c r="S52" s="89">
        <f>SUM(S24:S51)</f>
        <v>0</v>
      </c>
      <c r="T52" s="90" t="s">
        <v>1170</v>
      </c>
      <c r="U52" s="91">
        <f>SUM(U24:U51)</f>
        <v>0</v>
      </c>
      <c r="V52" s="92" t="s">
        <v>1170</v>
      </c>
      <c r="W52" s="93">
        <f>SUM(W24:W51)</f>
        <v>0</v>
      </c>
    </row>
    <row r="53" spans="2:25" ht="15" customHeight="1" x14ac:dyDescent="0.3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99"/>
      <c r="R53" s="502" t="s">
        <v>1286</v>
      </c>
      <c r="S53" s="492">
        <f>+S52/1000</f>
        <v>0</v>
      </c>
      <c r="T53" s="344" t="s">
        <v>1289</v>
      </c>
      <c r="U53" s="449">
        <f>-U52*T54</f>
        <v>0</v>
      </c>
      <c r="V53" s="95" t="s">
        <v>1289</v>
      </c>
      <c r="W53" s="450">
        <f>-W52*V54</f>
        <v>0</v>
      </c>
    </row>
    <row r="54" spans="2:25" x14ac:dyDescent="0.3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99"/>
      <c r="R54" s="502"/>
      <c r="S54" s="492"/>
      <c r="T54" s="345"/>
      <c r="U54" s="449"/>
      <c r="V54" s="97"/>
      <c r="W54" s="450"/>
    </row>
    <row r="55" spans="2:25" ht="7.5" customHeight="1" x14ac:dyDescent="0.3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2:25" x14ac:dyDescent="0.3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99"/>
      <c r="R56" s="488" t="s">
        <v>1173</v>
      </c>
      <c r="S56" s="83">
        <v>0</v>
      </c>
      <c r="T56" s="98" t="s">
        <v>1170</v>
      </c>
      <c r="U56" s="83">
        <f>U52+U53</f>
        <v>0</v>
      </c>
      <c r="V56" s="82" t="s">
        <v>1170</v>
      </c>
      <c r="W56" s="84">
        <f>W52+W53</f>
        <v>0</v>
      </c>
    </row>
    <row r="57" spans="2:25" x14ac:dyDescent="0.3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99"/>
      <c r="R57" s="488"/>
      <c r="S57" s="83">
        <v>0</v>
      </c>
      <c r="T57" s="98" t="s">
        <v>1174</v>
      </c>
      <c r="U57" s="83">
        <f>0.18*U56</f>
        <v>0</v>
      </c>
      <c r="V57" s="82" t="s">
        <v>1174</v>
      </c>
      <c r="W57" s="84">
        <f>0.18*W56</f>
        <v>0</v>
      </c>
    </row>
    <row r="58" spans="2:25" ht="7.5" customHeight="1" x14ac:dyDescent="0.3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2:25" x14ac:dyDescent="0.3">
      <c r="E59" s="2"/>
      <c r="F59" s="2"/>
      <c r="G59" s="2"/>
      <c r="H59" s="2"/>
      <c r="I59" s="2"/>
      <c r="J59" s="2"/>
      <c r="K59" s="2"/>
      <c r="L59" s="2"/>
      <c r="Q59" s="2"/>
      <c r="R59" s="2"/>
      <c r="S59" s="99"/>
      <c r="T59" s="100" t="s">
        <v>1162</v>
      </c>
      <c r="U59" s="101">
        <f>+U56+U57</f>
        <v>0</v>
      </c>
      <c r="V59" s="100" t="s">
        <v>1162</v>
      </c>
      <c r="W59" s="102">
        <f>+W56+W57</f>
        <v>0</v>
      </c>
    </row>
    <row r="60" spans="2:25" x14ac:dyDescent="0.3">
      <c r="E60" s="2"/>
      <c r="F60" s="2"/>
      <c r="G60" s="2"/>
      <c r="H60" s="2"/>
      <c r="I60" s="2"/>
      <c r="J60" s="2"/>
      <c r="K60" s="2"/>
      <c r="L60" s="2"/>
      <c r="Q60" s="2"/>
      <c r="R60" s="2"/>
      <c r="S60" s="2"/>
      <c r="T60" s="2"/>
      <c r="U60" s="2"/>
      <c r="V60" s="2"/>
      <c r="W60" s="2"/>
    </row>
    <row r="61" spans="2:25" x14ac:dyDescent="0.3">
      <c r="Q61" s="43"/>
      <c r="R61" s="43"/>
      <c r="S61" s="43"/>
      <c r="X61" s="43"/>
      <c r="Y61" s="43"/>
    </row>
    <row r="62" spans="2:25" x14ac:dyDescent="0.3">
      <c r="O62" s="149"/>
      <c r="P62" s="149"/>
      <c r="Q62" s="43"/>
      <c r="R62" s="43"/>
      <c r="S62" s="43"/>
      <c r="X62" s="43"/>
      <c r="Y62" s="43"/>
    </row>
    <row r="63" spans="2:25" x14ac:dyDescent="0.3">
      <c r="Q63" s="43"/>
      <c r="R63" s="43"/>
      <c r="S63" s="43"/>
      <c r="X63" s="43"/>
      <c r="Y63" s="43"/>
    </row>
    <row r="64" spans="2:25" x14ac:dyDescent="0.3">
      <c r="Q64" s="43"/>
      <c r="R64" s="43"/>
      <c r="S64" s="43"/>
      <c r="X64" s="43"/>
      <c r="Y64" s="43"/>
    </row>
    <row r="65" spans="5:25" x14ac:dyDescent="0.3">
      <c r="Q65" s="43"/>
      <c r="R65" s="43"/>
      <c r="S65" s="43"/>
      <c r="X65" s="43"/>
      <c r="Y65" s="43"/>
    </row>
    <row r="66" spans="5:25" x14ac:dyDescent="0.3">
      <c r="Q66" s="43"/>
      <c r="R66" s="43"/>
      <c r="S66" s="43"/>
      <c r="X66" s="43"/>
      <c r="Y66" s="43"/>
    </row>
    <row r="67" spans="5:25" hidden="1" x14ac:dyDescent="0.3">
      <c r="Q67" s="43"/>
      <c r="R67" s="43"/>
      <c r="S67" s="43"/>
      <c r="X67" s="43"/>
      <c r="Y67" s="43"/>
    </row>
    <row r="68" spans="5:25" x14ac:dyDescent="0.3">
      <c r="Q68" s="43"/>
      <c r="R68" s="43"/>
      <c r="S68" s="43"/>
      <c r="X68" s="43"/>
      <c r="Y68" s="43"/>
    </row>
    <row r="69" spans="5:25" hidden="1" x14ac:dyDescent="0.3">
      <c r="Q69" s="43"/>
      <c r="R69" s="43"/>
      <c r="S69" s="43"/>
      <c r="X69" s="43"/>
      <c r="Y69" s="43"/>
    </row>
    <row r="70" spans="5:25" x14ac:dyDescent="0.3">
      <c r="Q70" s="43"/>
      <c r="R70" s="43"/>
      <c r="S70" s="43"/>
      <c r="X70" s="43"/>
      <c r="Y70" s="43"/>
    </row>
    <row r="71" spans="5:25" x14ac:dyDescent="0.3">
      <c r="Q71" s="43"/>
      <c r="R71" s="43"/>
      <c r="S71" s="43"/>
      <c r="X71" s="43"/>
      <c r="Y71" s="43"/>
    </row>
    <row r="72" spans="5:25" x14ac:dyDescent="0.3">
      <c r="O72" s="149"/>
      <c r="P72" s="149"/>
      <c r="Q72" s="43"/>
      <c r="R72" s="43"/>
      <c r="S72" s="43"/>
      <c r="X72" s="43"/>
      <c r="Y72" s="43"/>
    </row>
    <row r="73" spans="5:25" x14ac:dyDescent="0.3">
      <c r="Q73" s="43"/>
      <c r="R73" s="43"/>
      <c r="S73" s="43"/>
      <c r="X73" s="43"/>
      <c r="Y73" s="43"/>
    </row>
    <row r="74" spans="5:25" x14ac:dyDescent="0.3">
      <c r="Q74" s="43"/>
      <c r="R74" s="43"/>
      <c r="S74" s="43"/>
      <c r="X74" s="43"/>
      <c r="Y74" s="43"/>
    </row>
    <row r="75" spans="5:25" x14ac:dyDescent="0.3">
      <c r="Q75" s="43"/>
      <c r="R75" s="43"/>
      <c r="S75" s="43"/>
      <c r="X75" s="43"/>
      <c r="Y75" s="43"/>
    </row>
    <row r="76" spans="5:25" x14ac:dyDescent="0.3">
      <c r="Q76" s="43"/>
      <c r="R76" s="43"/>
      <c r="S76" s="43"/>
      <c r="X76" s="43"/>
      <c r="Y76" s="43"/>
    </row>
    <row r="77" spans="5:25" x14ac:dyDescent="0.3">
      <c r="Q77" s="43"/>
      <c r="R77" s="43"/>
      <c r="S77" s="43"/>
      <c r="X77" s="43"/>
      <c r="Y77" s="43"/>
    </row>
    <row r="78" spans="5:25" x14ac:dyDescent="0.3">
      <c r="O78" s="149"/>
      <c r="P78" s="149"/>
      <c r="Q78" s="43"/>
      <c r="R78" s="43"/>
      <c r="S78" s="43"/>
      <c r="X78" s="43"/>
      <c r="Y78" s="43"/>
    </row>
    <row r="79" spans="5:25" x14ac:dyDescent="0.3">
      <c r="Q79" s="43"/>
      <c r="R79" s="43"/>
      <c r="S79" s="43"/>
      <c r="X79" s="43"/>
      <c r="Y79" s="43"/>
    </row>
    <row r="80" spans="5:25" x14ac:dyDescent="0.3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43"/>
      <c r="R80" s="43"/>
      <c r="S80" s="43"/>
      <c r="X80" s="43"/>
      <c r="Y80" s="43"/>
    </row>
    <row r="81" spans="5:25" x14ac:dyDescent="0.3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43"/>
      <c r="R81" s="43"/>
      <c r="S81" s="43"/>
      <c r="X81" s="43"/>
      <c r="Y81" s="43"/>
    </row>
    <row r="82" spans="5:25" x14ac:dyDescent="0.3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43"/>
      <c r="R82" s="43"/>
      <c r="S82" s="43"/>
      <c r="X82" s="43"/>
      <c r="Y82" s="43"/>
    </row>
    <row r="83" spans="5:25" x14ac:dyDescent="0.3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43"/>
      <c r="R83" s="43"/>
      <c r="S83" s="43"/>
      <c r="X83" s="43"/>
      <c r="Y83" s="43"/>
    </row>
    <row r="84" spans="5:25" x14ac:dyDescent="0.3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</sheetData>
  <protectedRanges>
    <protectedRange sqref="C1 C3 C4:D4 AI11:XFD17 D10 D19 AI20:XFD21 C22 C18:C19 C8:C10 B8 S11:U17 A11:E17 A20:E21 A5:E7 S7:U7 AI5:XFD7 R19 U5:U6 N5:Q7 N20:U21 N11:Q17 Y5:Y7 R10:R17" name="Rango1_1"/>
  </protectedRanges>
  <autoFilter ref="C24:M24" xr:uid="{066CE5DE-85B9-4E00-893C-FD306FCA5AA4}"/>
  <mergeCells count="9">
    <mergeCell ref="R56:R57"/>
    <mergeCell ref="V23:W23"/>
    <mergeCell ref="B23:B24"/>
    <mergeCell ref="R23:S23"/>
    <mergeCell ref="T23:U23"/>
    <mergeCell ref="R53:R54"/>
    <mergeCell ref="S53:S54"/>
    <mergeCell ref="U53:U54"/>
    <mergeCell ref="W53:W54"/>
  </mergeCells>
  <conditionalFormatting sqref="F13:M13">
    <cfRule type="containsText" dxfId="107" priority="7" operator="containsText" text="MAL">
      <formula>NOT(ISERROR(SEARCH("MAL",F13)))</formula>
    </cfRule>
  </conditionalFormatting>
  <conditionalFormatting sqref="F14:F16">
    <cfRule type="containsText" dxfId="106" priority="6" operator="containsText" text="MAL">
      <formula>NOT(ISERROR(SEARCH("MAL",F14)))</formula>
    </cfRule>
  </conditionalFormatting>
  <conditionalFormatting sqref="F14:M16">
    <cfRule type="containsText" dxfId="105" priority="5" operator="containsText" text="MAL">
      <formula>NOT(ISERROR(SEARCH("MAL",F14)))</formula>
    </cfRule>
  </conditionalFormatting>
  <conditionalFormatting sqref="F4:M4">
    <cfRule type="top10" priority="9" rank="10"/>
  </conditionalFormatting>
  <conditionalFormatting sqref="F7:M8">
    <cfRule type="top10" priority="10" rank="10"/>
  </conditionalFormatting>
  <conditionalFormatting sqref="G14:M16">
    <cfRule type="containsText" dxfId="104" priority="4" operator="containsText" text="MAL">
      <formula>NOT(ISERROR(SEARCH("MAL",G14)))</formula>
    </cfRule>
  </conditionalFormatting>
  <conditionalFormatting sqref="F10:M10">
    <cfRule type="top10" priority="3" rank="10"/>
  </conditionalFormatting>
  <conditionalFormatting sqref="F19:M19">
    <cfRule type="top10" priority="2" rank="10"/>
  </conditionalFormatting>
  <conditionalFormatting sqref="Y5">
    <cfRule type="containsText" dxfId="103" priority="1" operator="containsText" text="MAL">
      <formula>NOT(ISERROR(SEARCH("MAL",Y5)))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44DA907-CA00-430E-AB0C-1F90CE55204A}">
          <x14:formula1>
            <xm:f>Apoyo1Despiece!$C$38:$C$39</xm:f>
          </x14:formula1>
          <xm:sqref>F5:M5</xm:sqref>
        </x14:dataValidation>
        <x14:dataValidation type="list" allowBlank="1" showInputMessage="1" showErrorMessage="1" xr:uid="{F1D44516-C531-44FF-947A-74B0A90FD311}">
          <x14:formula1>
            <xm:f>Apoyo1Despiece!$F$38:$F$39</xm:f>
          </x14:formula1>
          <xm:sqref>F6:M6</xm:sqref>
        </x14:dataValidation>
        <x14:dataValidation type="list" allowBlank="1" showInputMessage="1" showErrorMessage="1" xr:uid="{16790F09-F4E5-4C3E-A5B0-B400986329D7}">
          <x14:formula1>
            <xm:f>Apoyo1Despiece!$G$38:$G$44</xm:f>
          </x14:formula1>
          <xm:sqref>F11:M11</xm:sqref>
        </x14:dataValidation>
        <x14:dataValidation type="list" allowBlank="1" showInputMessage="1" showErrorMessage="1" xr:uid="{5C1BEEA7-793A-43DF-AA40-4F990C10ED7A}">
          <x14:formula1>
            <xm:f>Apoyo1Despiece!$E$38:$E$39</xm:f>
          </x14:formula1>
          <xm:sqref>F12:M12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EF28-1B0C-4FA4-8DDE-81F63D4E8348}">
  <sheetPr codeName="Hoja23">
    <tabColor rgb="FF00B0F0"/>
  </sheetPr>
  <dimension ref="B1:R36"/>
  <sheetViews>
    <sheetView topLeftCell="D2" zoomScale="115" zoomScaleNormal="115" workbookViewId="0">
      <selection activeCell="D22" sqref="D22"/>
    </sheetView>
  </sheetViews>
  <sheetFormatPr baseColWidth="10" defaultColWidth="11.44140625" defaultRowHeight="14.4" outlineLevelRow="1" outlineLevelCol="1" x14ac:dyDescent="0.3"/>
  <cols>
    <col min="1" max="1" width="1.6640625" style="2" customWidth="1"/>
    <col min="2" max="2" width="13.88671875" style="2" customWidth="1"/>
    <col min="3" max="3" width="11.44140625" style="2"/>
    <col min="4" max="4" width="29.33203125" style="2" bestFit="1" customWidth="1"/>
    <col min="5" max="5" width="1.6640625" style="40" customWidth="1" outlineLevel="1"/>
    <col min="6" max="8" width="12.109375" style="40" customWidth="1" outlineLevel="1"/>
    <col min="9" max="9" width="3.6640625" style="2" customWidth="1"/>
    <col min="10" max="10" width="12.33203125" style="40" hidden="1" customWidth="1"/>
    <col min="11" max="11" width="6.33203125" style="40" hidden="1" customWidth="1"/>
    <col min="12" max="12" width="12.33203125" style="40" customWidth="1"/>
    <col min="13" max="14" width="12.88671875" style="42" customWidth="1"/>
    <col min="15" max="15" width="13.5546875" style="43" customWidth="1"/>
    <col min="16" max="16" width="14.33203125" style="43" customWidth="1"/>
    <col min="17" max="17" width="13.6640625" style="43" customWidth="1"/>
    <col min="18" max="18" width="14.33203125" style="43" customWidth="1"/>
    <col min="19" max="16384" width="11.44140625" style="2"/>
  </cols>
  <sheetData>
    <row r="1" spans="2:18" ht="7.5" customHeight="1" x14ac:dyDescent="0.3">
      <c r="E1" s="2"/>
      <c r="F1" s="2"/>
      <c r="G1" s="2"/>
      <c r="H1" s="2"/>
      <c r="J1" s="2"/>
      <c r="K1" s="2"/>
      <c r="L1" s="2"/>
    </row>
    <row r="2" spans="2:18" ht="15" customHeight="1" x14ac:dyDescent="0.3">
      <c r="C2" s="182" t="s">
        <v>1245</v>
      </c>
      <c r="D2" s="183"/>
      <c r="E2" s="2"/>
      <c r="F2" s="2"/>
      <c r="G2" s="2"/>
      <c r="H2" s="2"/>
      <c r="J2" s="2"/>
      <c r="K2" s="2"/>
      <c r="L2" s="2"/>
      <c r="N2" s="43"/>
    </row>
    <row r="3" spans="2:18" ht="7.5" customHeight="1" x14ac:dyDescent="0.3">
      <c r="E3" s="2"/>
      <c r="F3" s="2"/>
      <c r="G3" s="2"/>
      <c r="H3" s="2"/>
      <c r="J3" s="2"/>
      <c r="K3" s="2"/>
      <c r="L3" s="2"/>
    </row>
    <row r="4" spans="2:18" ht="15" customHeight="1" outlineLevel="1" x14ac:dyDescent="0.3">
      <c r="C4" s="224"/>
      <c r="D4" s="75" t="s">
        <v>1246</v>
      </c>
      <c r="E4" s="2"/>
      <c r="F4" s="225">
        <v>250</v>
      </c>
      <c r="G4" s="225"/>
      <c r="H4" s="225"/>
      <c r="J4" s="2"/>
      <c r="K4" s="2"/>
      <c r="L4" s="2"/>
    </row>
    <row r="5" spans="2:18" ht="15" customHeight="1" outlineLevel="1" x14ac:dyDescent="0.3">
      <c r="C5" s="224"/>
      <c r="D5" s="75" t="s">
        <v>1247</v>
      </c>
      <c r="E5" s="2"/>
      <c r="F5" s="225" t="s">
        <v>1087</v>
      </c>
      <c r="G5" s="225"/>
      <c r="H5" s="225"/>
      <c r="J5" s="2"/>
      <c r="K5" s="2"/>
      <c r="L5" s="2"/>
    </row>
    <row r="6" spans="2:18" outlineLevel="1" x14ac:dyDescent="0.3">
      <c r="C6" s="224"/>
      <c r="D6" s="75" t="s">
        <v>334</v>
      </c>
      <c r="E6" s="2"/>
      <c r="F6" s="171" t="s">
        <v>1019</v>
      </c>
      <c r="G6" s="171"/>
      <c r="H6" s="171"/>
      <c r="J6" s="2"/>
      <c r="K6" s="2"/>
      <c r="L6" s="2"/>
      <c r="M6" s="2"/>
      <c r="N6" s="2"/>
      <c r="O6" s="2"/>
      <c r="P6" s="2"/>
      <c r="Q6" s="2"/>
      <c r="R6" s="2"/>
    </row>
    <row r="7" spans="2:18" ht="7.5" customHeight="1" outlineLevel="1" x14ac:dyDescent="0.3">
      <c r="E7" s="2"/>
      <c r="F7" s="2"/>
      <c r="G7" s="2"/>
      <c r="H7" s="2"/>
      <c r="J7" s="2"/>
      <c r="K7" s="2"/>
      <c r="L7" s="2"/>
    </row>
    <row r="8" spans="2:18" s="68" customFormat="1" x14ac:dyDescent="0.3">
      <c r="B8" s="504" t="s">
        <v>1190</v>
      </c>
      <c r="C8" s="105"/>
      <c r="D8" s="105"/>
      <c r="E8" s="2"/>
      <c r="F8" s="106" t="s">
        <v>1207</v>
      </c>
      <c r="G8" s="106" t="s">
        <v>1207</v>
      </c>
      <c r="H8" s="106" t="s">
        <v>1207</v>
      </c>
      <c r="J8" s="2"/>
      <c r="K8" s="2"/>
      <c r="L8" s="132">
        <f>SUM(TP[TOTAL])</f>
        <v>1000</v>
      </c>
      <c r="M8" s="454" t="s">
        <v>2</v>
      </c>
      <c r="N8" s="455"/>
      <c r="O8" s="456" t="s">
        <v>1158</v>
      </c>
      <c r="P8" s="457"/>
      <c r="Q8" s="443" t="s">
        <v>1159</v>
      </c>
      <c r="R8" s="444"/>
    </row>
    <row r="9" spans="2:18" s="68" customFormat="1" x14ac:dyDescent="0.3">
      <c r="B9" s="505" t="e">
        <v>#NAME?</v>
      </c>
      <c r="C9" s="109" t="s">
        <v>1</v>
      </c>
      <c r="D9" s="109" t="s">
        <v>0</v>
      </c>
      <c r="E9" s="2"/>
      <c r="F9" s="110">
        <f>SUM(F10:F22)</f>
        <v>1000</v>
      </c>
      <c r="G9" s="110">
        <f>SUM(G10:G22)</f>
        <v>0</v>
      </c>
      <c r="H9" s="110">
        <f>SUM(H10:H22)</f>
        <v>0</v>
      </c>
      <c r="J9" s="112" t="s">
        <v>1</v>
      </c>
      <c r="K9" s="112" t="s">
        <v>1161</v>
      </c>
      <c r="L9" s="133" t="s">
        <v>1162</v>
      </c>
      <c r="M9" s="134" t="s">
        <v>1163</v>
      </c>
      <c r="N9" s="114" t="s">
        <v>1164</v>
      </c>
      <c r="O9" s="115" t="s">
        <v>1165</v>
      </c>
      <c r="P9" s="116" t="s">
        <v>1166</v>
      </c>
      <c r="Q9" s="117" t="s">
        <v>1167</v>
      </c>
      <c r="R9" s="118" t="s">
        <v>1168</v>
      </c>
    </row>
    <row r="10" spans="2:18" hidden="1" x14ac:dyDescent="0.3">
      <c r="B10" s="226" t="s">
        <v>1085</v>
      </c>
      <c r="C10" s="135" t="s">
        <v>313</v>
      </c>
      <c r="D10" s="135" t="s">
        <v>314</v>
      </c>
      <c r="E10" s="2"/>
      <c r="F10" s="139">
        <f t="shared" ref="F10:H16" si="0">IF($B10=F$5,F$4,0)</f>
        <v>0</v>
      </c>
      <c r="G10" s="139">
        <f t="shared" si="0"/>
        <v>0</v>
      </c>
      <c r="H10" s="139">
        <f t="shared" si="0"/>
        <v>0</v>
      </c>
      <c r="J10" s="135" t="str">
        <f>+C10</f>
        <v>PU.0100</v>
      </c>
      <c r="K10" s="74" t="str">
        <f>+IF(TP[[#This Row],[ITEM]]=C10,"ok","mal")</f>
        <v>ok</v>
      </c>
      <c r="L10" s="79">
        <f t="shared" ref="L10:L21" si="1">SUM(E10:I10)</f>
        <v>0</v>
      </c>
      <c r="M10" s="80">
        <f>IF(VLOOKUP(C10,TbPiezas[],5,0)="NA",0,VLOOKUP(C10,TbPiezas[],5,0))</f>
        <v>8.9</v>
      </c>
      <c r="N10" s="81">
        <f>+TP[[#This Row],[TOTAL]]*TP[[#This Row],[P.U. (1)]]</f>
        <v>0</v>
      </c>
      <c r="O10" s="82">
        <f>+VLOOKUP(C10,TbPiezas[],6,0)</f>
        <v>180</v>
      </c>
      <c r="P10" s="83">
        <f>+TP[[#This Row],[TOTAL]]*TP[[#This Row],[P.U. (2)]]</f>
        <v>0</v>
      </c>
      <c r="Q10" s="82">
        <f>+VLOOKUP(C10,TbPiezas[],7,0)</f>
        <v>4.5</v>
      </c>
      <c r="R10" s="84">
        <f>ROUND(TP[[#This Row],[TOTAL]]*TP[[#This Row],[P.U. (3)]],2)</f>
        <v>0</v>
      </c>
    </row>
    <row r="11" spans="2:18" hidden="1" x14ac:dyDescent="0.3">
      <c r="B11" s="226" t="s">
        <v>1086</v>
      </c>
      <c r="C11" s="135" t="s">
        <v>315</v>
      </c>
      <c r="D11" s="135" t="s">
        <v>316</v>
      </c>
      <c r="E11" s="2"/>
      <c r="F11" s="139">
        <f t="shared" si="0"/>
        <v>0</v>
      </c>
      <c r="G11" s="139">
        <f t="shared" si="0"/>
        <v>0</v>
      </c>
      <c r="H11" s="139">
        <f t="shared" si="0"/>
        <v>0</v>
      </c>
      <c r="J11" s="135" t="str">
        <f t="shared" ref="J11:J21" si="2">+C11</f>
        <v>PU.0200</v>
      </c>
      <c r="K11" s="74" t="str">
        <f>+IF(TP[[#This Row],[ITEM]]=C11,"ok","mal")</f>
        <v>ok</v>
      </c>
      <c r="L11" s="79">
        <f t="shared" si="1"/>
        <v>0</v>
      </c>
      <c r="M11" s="80">
        <f>IF(VLOOKUP(C11,TbPiezas[],5,0)="NA",0,VLOOKUP(C11,TbPiezas[],5,0))</f>
        <v>8.9</v>
      </c>
      <c r="N11" s="81">
        <f>+TP[[#This Row],[TOTAL]]*TP[[#This Row],[P.U. (1)]]</f>
        <v>0</v>
      </c>
      <c r="O11" s="82">
        <f>+VLOOKUP(C11,TbPiezas[],6,0)</f>
        <v>180</v>
      </c>
      <c r="P11" s="83">
        <f>+TP[[#This Row],[TOTAL]]*TP[[#This Row],[P.U. (2)]]</f>
        <v>0</v>
      </c>
      <c r="Q11" s="82">
        <f>+VLOOKUP(C11,TbPiezas[],7,0)</f>
        <v>4.5</v>
      </c>
      <c r="R11" s="84">
        <f>ROUND(TP[[#This Row],[TOTAL]]*TP[[#This Row],[P.U. (3)]],2)</f>
        <v>0</v>
      </c>
    </row>
    <row r="12" spans="2:18" x14ac:dyDescent="0.3">
      <c r="B12" s="226" t="s">
        <v>1087</v>
      </c>
      <c r="C12" s="135" t="s">
        <v>317</v>
      </c>
      <c r="D12" s="135" t="s">
        <v>318</v>
      </c>
      <c r="E12" s="2"/>
      <c r="F12" s="139">
        <f t="shared" si="0"/>
        <v>250</v>
      </c>
      <c r="G12" s="139">
        <f t="shared" si="0"/>
        <v>0</v>
      </c>
      <c r="H12" s="139">
        <f t="shared" si="0"/>
        <v>0</v>
      </c>
      <c r="J12" s="135" t="str">
        <f t="shared" si="2"/>
        <v>PU.0300</v>
      </c>
      <c r="K12" s="74" t="str">
        <f>+IF(TP[[#This Row],[ITEM]]=C12,"ok","mal")</f>
        <v>ok</v>
      </c>
      <c r="L12" s="79">
        <f t="shared" si="1"/>
        <v>250</v>
      </c>
      <c r="M12" s="80">
        <f>IF(VLOOKUP(C12,TbPiezas[],5,0)="NA",0,VLOOKUP(C12,TbPiezas[],5,0))</f>
        <v>8.9</v>
      </c>
      <c r="N12" s="81">
        <f>+TP[[#This Row],[TOTAL]]*TP[[#This Row],[P.U. (1)]]</f>
        <v>2225</v>
      </c>
      <c r="O12" s="82">
        <f>+VLOOKUP(C12,TbPiezas[],6,0)</f>
        <v>180</v>
      </c>
      <c r="P12" s="83">
        <f>+TP[[#This Row],[TOTAL]]*TP[[#This Row],[P.U. (2)]]</f>
        <v>45000</v>
      </c>
      <c r="Q12" s="82">
        <f>+VLOOKUP(C12,TbPiezas[],7,0)</f>
        <v>4.5</v>
      </c>
      <c r="R12" s="84">
        <f>ROUND(TP[[#This Row],[TOTAL]]*TP[[#This Row],[P.U. (3)]],2)</f>
        <v>1125</v>
      </c>
    </row>
    <row r="13" spans="2:18" hidden="1" x14ac:dyDescent="0.3">
      <c r="B13" s="226" t="s">
        <v>1398</v>
      </c>
      <c r="C13" s="76" t="s">
        <v>1396</v>
      </c>
      <c r="D13" s="76" t="s">
        <v>1397</v>
      </c>
      <c r="E13" s="2"/>
      <c r="F13" s="139">
        <f t="shared" si="0"/>
        <v>0</v>
      </c>
      <c r="G13" s="139">
        <f t="shared" si="0"/>
        <v>0</v>
      </c>
      <c r="H13" s="139">
        <f t="shared" si="0"/>
        <v>0</v>
      </c>
      <c r="J13" s="412" t="str">
        <f>+C13</f>
        <v>PU.0350</v>
      </c>
      <c r="K13" s="74" t="str">
        <f>+IF(TP[[#This Row],[ITEM]]=C13,"ok","mal")</f>
        <v>ok</v>
      </c>
      <c r="L13" s="79">
        <f>SUM(E13:I13)</f>
        <v>0</v>
      </c>
      <c r="M13" s="80">
        <f>IF(VLOOKUP(C13,TbPiezas[],5,0)="NA",0,VLOOKUP(C13,TbPiezas[],5,0))</f>
        <v>9</v>
      </c>
      <c r="N13" s="81">
        <f>+TP[[#This Row],[TOTAL]]*TP[[#This Row],[P.U. (1)]]</f>
        <v>0</v>
      </c>
      <c r="O13" s="82">
        <f>+VLOOKUP(C13,TbPiezas[],6,0)</f>
        <v>180</v>
      </c>
      <c r="P13" s="411">
        <f>+TP[[#This Row],[TOTAL]]*TP[[#This Row],[P.U. (2)]]</f>
        <v>0</v>
      </c>
      <c r="Q13" s="82">
        <f>+VLOOKUP(C13,TbPiezas[],7,0)</f>
        <v>4.5</v>
      </c>
      <c r="R13" s="296">
        <f>ROUND(TP[[#This Row],[TOTAL]]*TP[[#This Row],[P.U. (3)]],2)</f>
        <v>0</v>
      </c>
    </row>
    <row r="14" spans="2:18" hidden="1" x14ac:dyDescent="0.3">
      <c r="B14" s="226" t="s">
        <v>1088</v>
      </c>
      <c r="C14" s="135" t="s">
        <v>319</v>
      </c>
      <c r="D14" s="135" t="s">
        <v>320</v>
      </c>
      <c r="E14" s="2"/>
      <c r="F14" s="139">
        <f t="shared" si="0"/>
        <v>0</v>
      </c>
      <c r="G14" s="139">
        <f t="shared" si="0"/>
        <v>0</v>
      </c>
      <c r="H14" s="139">
        <f t="shared" si="0"/>
        <v>0</v>
      </c>
      <c r="J14" s="135" t="str">
        <f t="shared" si="2"/>
        <v>PU.0400</v>
      </c>
      <c r="K14" s="74" t="str">
        <f>+IF(TP[[#This Row],[ITEM]]=C14,"ok","mal")</f>
        <v>ok</v>
      </c>
      <c r="L14" s="79">
        <f t="shared" si="1"/>
        <v>0</v>
      </c>
      <c r="M14" s="80">
        <f>IF(VLOOKUP(C14,TbPiezas[],5,0)="NA",0,VLOOKUP(C14,TbPiezas[],5,0))</f>
        <v>11.8</v>
      </c>
      <c r="N14" s="81">
        <f>+TP[[#This Row],[TOTAL]]*TP[[#This Row],[P.U. (1)]]</f>
        <v>0</v>
      </c>
      <c r="O14" s="82">
        <f>+VLOOKUP(C14,TbPiezas[],6,0)</f>
        <v>200</v>
      </c>
      <c r="P14" s="83">
        <f>+TP[[#This Row],[TOTAL]]*TP[[#This Row],[P.U. (2)]]</f>
        <v>0</v>
      </c>
      <c r="Q14" s="82">
        <f>+VLOOKUP(C14,TbPiezas[],7,0)</f>
        <v>6.6</v>
      </c>
      <c r="R14" s="84">
        <f>ROUND(TP[[#This Row],[TOTAL]]*TP[[#This Row],[P.U. (3)]],2)</f>
        <v>0</v>
      </c>
    </row>
    <row r="15" spans="2:18" hidden="1" x14ac:dyDescent="0.3">
      <c r="B15" s="226" t="s">
        <v>1089</v>
      </c>
      <c r="C15" s="135" t="s">
        <v>321</v>
      </c>
      <c r="D15" s="135" t="s">
        <v>322</v>
      </c>
      <c r="E15" s="2"/>
      <c r="F15" s="139">
        <f t="shared" si="0"/>
        <v>0</v>
      </c>
      <c r="G15" s="139">
        <f t="shared" si="0"/>
        <v>0</v>
      </c>
      <c r="H15" s="139">
        <f t="shared" si="0"/>
        <v>0</v>
      </c>
      <c r="J15" s="135" t="str">
        <f t="shared" si="2"/>
        <v>PU.0500</v>
      </c>
      <c r="K15" s="74" t="str">
        <f>+IF(TP[[#This Row],[ITEM]]=C15,"ok","mal")</f>
        <v>ok</v>
      </c>
      <c r="L15" s="79">
        <f t="shared" si="1"/>
        <v>0</v>
      </c>
      <c r="M15" s="80">
        <f>IF(VLOOKUP(C15,TbPiezas[],5,0)="NA",0,VLOOKUP(C15,TbPiezas[],5,0))</f>
        <v>11.8</v>
      </c>
      <c r="N15" s="81">
        <f>+TP[[#This Row],[TOTAL]]*TP[[#This Row],[P.U. (1)]]</f>
        <v>0</v>
      </c>
      <c r="O15" s="82">
        <f>+VLOOKUP(C15,TbPiezas[],6,0)</f>
        <v>200</v>
      </c>
      <c r="P15" s="83">
        <f>+TP[[#This Row],[TOTAL]]*TP[[#This Row],[P.U. (2)]]</f>
        <v>0</v>
      </c>
      <c r="Q15" s="82">
        <f>+VLOOKUP(C15,TbPiezas[],7,0)</f>
        <v>6.6</v>
      </c>
      <c r="R15" s="84">
        <f>ROUND(TP[[#This Row],[TOTAL]]*TP[[#This Row],[P.U. (3)]],2)</f>
        <v>0</v>
      </c>
    </row>
    <row r="16" spans="2:18" hidden="1" x14ac:dyDescent="0.3">
      <c r="B16" s="226" t="s">
        <v>1090</v>
      </c>
      <c r="C16" s="135" t="s">
        <v>323</v>
      </c>
      <c r="D16" s="135" t="s">
        <v>324</v>
      </c>
      <c r="E16" s="2"/>
      <c r="F16" s="139">
        <f t="shared" si="0"/>
        <v>0</v>
      </c>
      <c r="G16" s="139">
        <f t="shared" si="0"/>
        <v>0</v>
      </c>
      <c r="H16" s="139">
        <f t="shared" si="0"/>
        <v>0</v>
      </c>
      <c r="J16" s="135" t="str">
        <f t="shared" si="2"/>
        <v>PU.0600</v>
      </c>
      <c r="K16" s="74" t="str">
        <f>+IF(TP[[#This Row],[ITEM]]=C16,"ok","mal")</f>
        <v>ok</v>
      </c>
      <c r="L16" s="79">
        <f t="shared" si="1"/>
        <v>0</v>
      </c>
      <c r="M16" s="80">
        <f>IF(VLOOKUP(C16,TbPiezas[],5,0)="NA",0,VLOOKUP(C16,TbPiezas[],5,0))</f>
        <v>17.3</v>
      </c>
      <c r="N16" s="81">
        <f>+TP[[#This Row],[TOTAL]]*TP[[#This Row],[P.U. (1)]]</f>
        <v>0</v>
      </c>
      <c r="O16" s="82">
        <f>+VLOOKUP(C16,TbPiezas[],6,0)</f>
        <v>300</v>
      </c>
      <c r="P16" s="83">
        <f>+TP[[#This Row],[TOTAL]]*TP[[#This Row],[P.U. (2)]]</f>
        <v>0</v>
      </c>
      <c r="Q16" s="82">
        <v>5</v>
      </c>
      <c r="R16" s="84">
        <f>ROUND(TP[[#This Row],[TOTAL]]*TP[[#This Row],[P.U. (3)]],2)</f>
        <v>0</v>
      </c>
    </row>
    <row r="17" spans="2:18" x14ac:dyDescent="0.3">
      <c r="B17" s="227"/>
      <c r="C17" s="135" t="s">
        <v>325</v>
      </c>
      <c r="D17" s="135" t="s">
        <v>326</v>
      </c>
      <c r="E17" s="2"/>
      <c r="F17" s="171">
        <f>+F10+F11+F12+F13+F14+F15</f>
        <v>250</v>
      </c>
      <c r="G17" s="171">
        <f>+G10+G11+G12+G13+G14+G15</f>
        <v>0</v>
      </c>
      <c r="H17" s="171">
        <f>+H10+H11+H12+H13+H14+H15</f>
        <v>0</v>
      </c>
      <c r="J17" s="135" t="str">
        <f t="shared" si="2"/>
        <v>PU.0700</v>
      </c>
      <c r="K17" s="74" t="str">
        <f>+IF(TP[[#This Row],[ITEM]]=C17,"ok","mal")</f>
        <v>ok</v>
      </c>
      <c r="L17" s="79">
        <f t="shared" si="1"/>
        <v>250</v>
      </c>
      <c r="M17" s="80">
        <f>IF(VLOOKUP(C17,TbPiezas[],5,0)="NA",0,VLOOKUP(C17,TbPiezas[],5,0))</f>
        <v>9.9999999999994316E-2</v>
      </c>
      <c r="N17" s="81">
        <f>+TP[[#This Row],[TOTAL]]*TP[[#This Row],[P.U. (1)]]</f>
        <v>24.999999999998579</v>
      </c>
      <c r="O17" s="82">
        <f>+VLOOKUP(C17,TbPiezas[],6,0)</f>
        <v>30</v>
      </c>
      <c r="P17" s="83">
        <f>+TP[[#This Row],[TOTAL]]*TP[[#This Row],[P.U. (2)]]</f>
        <v>7500</v>
      </c>
      <c r="Q17" s="82">
        <v>0</v>
      </c>
      <c r="R17" s="84">
        <f>ROUND(TP[[#This Row],[TOTAL]]*TP[[#This Row],[P.U. (3)]],2)</f>
        <v>0</v>
      </c>
    </row>
    <row r="18" spans="2:18" hidden="1" x14ac:dyDescent="0.3">
      <c r="B18" s="70"/>
      <c r="C18" s="135" t="s">
        <v>327</v>
      </c>
      <c r="D18" s="135" t="s">
        <v>328</v>
      </c>
      <c r="E18" s="2"/>
      <c r="F18" s="171">
        <f>+F16</f>
        <v>0</v>
      </c>
      <c r="G18" s="171">
        <f>+G16</f>
        <v>0</v>
      </c>
      <c r="H18" s="171">
        <f>+H16</f>
        <v>0</v>
      </c>
      <c r="J18" s="135" t="str">
        <f t="shared" si="2"/>
        <v>PU.0800</v>
      </c>
      <c r="K18" s="74" t="str">
        <f>+IF(TP[[#This Row],[ITEM]]=C18,"ok","mal")</f>
        <v>ok</v>
      </c>
      <c r="L18" s="79">
        <f t="shared" si="1"/>
        <v>0</v>
      </c>
      <c r="M18" s="80">
        <f>IF(VLOOKUP(C18,TbPiezas[],5,0)="NA",0,VLOOKUP(C18,TbPiezas[],5,0))</f>
        <v>9.9999999999994316E-2</v>
      </c>
      <c r="N18" s="81">
        <f>+TP[[#This Row],[TOTAL]]*TP[[#This Row],[P.U. (1)]]</f>
        <v>0</v>
      </c>
      <c r="O18" s="82">
        <f>+VLOOKUP(C18,TbPiezas[],6,0)</f>
        <v>30</v>
      </c>
      <c r="P18" s="83">
        <f>+TP[[#This Row],[TOTAL]]*TP[[#This Row],[P.U. (2)]]</f>
        <v>0</v>
      </c>
      <c r="Q18" s="82">
        <v>0</v>
      </c>
      <c r="R18" s="84">
        <f>ROUND(TP[[#This Row],[TOTAL]]*TP[[#This Row],[P.U. (3)]],2)</f>
        <v>0</v>
      </c>
    </row>
    <row r="19" spans="2:18" x14ac:dyDescent="0.3">
      <c r="B19" s="70"/>
      <c r="C19" s="135" t="s">
        <v>329</v>
      </c>
      <c r="D19" s="135" t="s">
        <v>330</v>
      </c>
      <c r="E19" s="2"/>
      <c r="F19" s="171">
        <f>+F10+F11+F12+F13+F14+F15</f>
        <v>250</v>
      </c>
      <c r="G19" s="171">
        <f>+G10+G11+G12+G13+G14+G15</f>
        <v>0</v>
      </c>
      <c r="H19" s="171">
        <f>+H10+H11+H12+H13+H14+H15</f>
        <v>0</v>
      </c>
      <c r="J19" s="135" t="str">
        <f t="shared" si="2"/>
        <v>PU.0900</v>
      </c>
      <c r="K19" s="74" t="str">
        <f>+IF(TP[[#This Row],[ITEM]]=C19,"ok","mal")</f>
        <v>ok</v>
      </c>
      <c r="L19" s="79">
        <f t="shared" si="1"/>
        <v>250</v>
      </c>
      <c r="M19" s="80">
        <f>IF(VLOOKUP(C19,TbPiezas[],5,0)="NA",0,VLOOKUP(C19,TbPiezas[],5,0))</f>
        <v>9.9999999999994316E-2</v>
      </c>
      <c r="N19" s="81">
        <f>+TP[[#This Row],[TOTAL]]*TP[[#This Row],[P.U. (1)]]</f>
        <v>24.999999999998579</v>
      </c>
      <c r="O19" s="82">
        <f>+VLOOKUP(C19,TbPiezas[],6,0)</f>
        <v>30</v>
      </c>
      <c r="P19" s="83">
        <f>+TP[[#This Row],[TOTAL]]*TP[[#This Row],[P.U. (2)]]</f>
        <v>7500</v>
      </c>
      <c r="Q19" s="82">
        <v>0</v>
      </c>
      <c r="R19" s="84">
        <f>ROUND(TP[[#This Row],[TOTAL]]*TP[[#This Row],[P.U. (3)]],2)</f>
        <v>0</v>
      </c>
    </row>
    <row r="20" spans="2:18" hidden="1" x14ac:dyDescent="0.3">
      <c r="B20" s="70"/>
      <c r="C20" s="135" t="s">
        <v>331</v>
      </c>
      <c r="D20" s="135" t="s">
        <v>332</v>
      </c>
      <c r="E20" s="2"/>
      <c r="F20" s="171">
        <f>+F16</f>
        <v>0</v>
      </c>
      <c r="G20" s="171">
        <f>+G16</f>
        <v>0</v>
      </c>
      <c r="H20" s="171">
        <f>+H16</f>
        <v>0</v>
      </c>
      <c r="J20" s="135" t="str">
        <f t="shared" si="2"/>
        <v>PU.1000</v>
      </c>
      <c r="K20" s="74" t="str">
        <f>+IF(TP[[#This Row],[ITEM]]=C20,"ok","mal")</f>
        <v>ok</v>
      </c>
      <c r="L20" s="79">
        <f t="shared" si="1"/>
        <v>0</v>
      </c>
      <c r="M20" s="80">
        <f>IF(VLOOKUP(C20,TbPiezas[],5,0)="NA",0,VLOOKUP(C20,TbPiezas[],5,0))</f>
        <v>9.9999999999994316E-2</v>
      </c>
      <c r="N20" s="81">
        <f>+TP[[#This Row],[TOTAL]]*TP[[#This Row],[P.U. (1)]]</f>
        <v>0</v>
      </c>
      <c r="O20" s="82">
        <f>+VLOOKUP(C20,TbPiezas[],6,0)</f>
        <v>30</v>
      </c>
      <c r="P20" s="83">
        <f>+TP[[#This Row],[TOTAL]]*TP[[#This Row],[P.U. (2)]]</f>
        <v>0</v>
      </c>
      <c r="Q20" s="82">
        <v>0</v>
      </c>
      <c r="R20" s="84">
        <f>ROUND(TP[[#This Row],[TOTAL]]*TP[[#This Row],[P.U. (3)]],2)</f>
        <v>0</v>
      </c>
    </row>
    <row r="21" spans="2:18" x14ac:dyDescent="0.3">
      <c r="B21" s="70"/>
      <c r="C21" s="135" t="s">
        <v>333</v>
      </c>
      <c r="D21" s="135" t="s">
        <v>334</v>
      </c>
      <c r="E21" s="2"/>
      <c r="F21" s="139">
        <f>+IF(F6="SI",F4,)</f>
        <v>250</v>
      </c>
      <c r="G21" s="139">
        <f>+IF(G6="SI",G4,)</f>
        <v>0</v>
      </c>
      <c r="H21" s="139">
        <f>+IF(H6="SI",H4,)</f>
        <v>0</v>
      </c>
      <c r="J21" s="135" t="str">
        <f t="shared" si="2"/>
        <v>PU.1100</v>
      </c>
      <c r="K21" s="74" t="str">
        <f>+IF(TP[[#This Row],[ITEM]]=C21,"ok","mal")</f>
        <v>ok</v>
      </c>
      <c r="L21" s="79">
        <f t="shared" si="1"/>
        <v>250</v>
      </c>
      <c r="M21" s="80">
        <f>IF(VLOOKUP(C21,TbPiezas[],5,0)="NA",0,VLOOKUP(C21,TbPiezas[],5,0))</f>
        <v>6.2999999999999972</v>
      </c>
      <c r="N21" s="81">
        <f>+TP[[#This Row],[TOTAL]]*TP[[#This Row],[P.U. (1)]]</f>
        <v>1574.9999999999993</v>
      </c>
      <c r="O21" s="82">
        <f>+VLOOKUP(C21,TbPiezas[],6,0)</f>
        <v>192.23</v>
      </c>
      <c r="P21" s="83">
        <f>+TP[[#This Row],[TOTAL]]*TP[[#This Row],[P.U. (2)]]</f>
        <v>48057.5</v>
      </c>
      <c r="Q21" s="82">
        <f>+VLOOKUP(C21,TbPiezas[],7,0)</f>
        <v>9.6114999999999995</v>
      </c>
      <c r="R21" s="84">
        <f>ROUND(TP[[#This Row],[TOTAL]]*TP[[#This Row],[P.U. (3)]],2)</f>
        <v>2402.88</v>
      </c>
    </row>
    <row r="22" spans="2:18" ht="7.5" customHeight="1" x14ac:dyDescent="0.3">
      <c r="D22" s="42"/>
      <c r="E22" s="42"/>
      <c r="F22" s="42"/>
      <c r="G22" s="42"/>
      <c r="H22" s="42"/>
      <c r="I22" s="42"/>
      <c r="J22" s="42"/>
      <c r="K22" s="42"/>
      <c r="L22" s="42"/>
    </row>
    <row r="23" spans="2:18" ht="15" customHeight="1" x14ac:dyDescent="0.3">
      <c r="D23" s="42"/>
      <c r="E23" s="42"/>
      <c r="F23" s="42"/>
      <c r="G23" s="42"/>
      <c r="H23" s="42"/>
      <c r="I23" s="42"/>
      <c r="J23" s="42"/>
      <c r="K23" s="42"/>
      <c r="L23" s="42"/>
      <c r="M23" s="327" t="s">
        <v>1169</v>
      </c>
      <c r="N23" s="89">
        <f>SUM(N9:N22)</f>
        <v>3849.9999999999964</v>
      </c>
      <c r="O23" s="90" t="s">
        <v>1170</v>
      </c>
      <c r="P23" s="91">
        <f>SUM(P9:P22)</f>
        <v>108057.5</v>
      </c>
      <c r="Q23" s="92" t="s">
        <v>1170</v>
      </c>
      <c r="R23" s="93">
        <f>SUM(R9:R22)</f>
        <v>3527.88</v>
      </c>
    </row>
    <row r="24" spans="2:18" ht="15" customHeight="1" x14ac:dyDescent="0.3">
      <c r="D24" s="42"/>
      <c r="E24" s="42"/>
      <c r="F24" s="42"/>
      <c r="G24" s="42"/>
      <c r="H24" s="42"/>
      <c r="I24" s="42"/>
      <c r="J24" s="42"/>
      <c r="K24" s="42"/>
      <c r="L24" s="42"/>
      <c r="M24" s="502" t="s">
        <v>1286</v>
      </c>
      <c r="N24" s="492">
        <f>+N23/1000</f>
        <v>3.8499999999999965</v>
      </c>
      <c r="O24" s="344" t="s">
        <v>1289</v>
      </c>
      <c r="P24" s="449">
        <f>-P23*O25</f>
        <v>0</v>
      </c>
      <c r="Q24" s="95" t="s">
        <v>1289</v>
      </c>
      <c r="R24" s="450">
        <f>-R23*Q25</f>
        <v>0</v>
      </c>
    </row>
    <row r="25" spans="2:18" ht="15" customHeight="1" x14ac:dyDescent="0.3">
      <c r="D25" s="42"/>
      <c r="E25" s="42"/>
      <c r="F25" s="42"/>
      <c r="G25" s="42"/>
      <c r="H25" s="42"/>
      <c r="I25" s="42"/>
      <c r="J25" s="42"/>
      <c r="K25" s="42"/>
      <c r="L25" s="42"/>
      <c r="M25" s="502"/>
      <c r="N25" s="492"/>
      <c r="O25" s="345"/>
      <c r="P25" s="449"/>
      <c r="Q25" s="97"/>
      <c r="R25" s="450"/>
    </row>
    <row r="26" spans="2:18" ht="7.5" customHeight="1" x14ac:dyDescent="0.3">
      <c r="D26" s="42"/>
      <c r="E26" s="42"/>
      <c r="F26" s="42"/>
      <c r="G26" s="42"/>
      <c r="H26" s="42"/>
      <c r="I26" s="42"/>
      <c r="J26" s="42"/>
      <c r="K26" s="42"/>
      <c r="L26" s="42"/>
      <c r="M26" s="2"/>
      <c r="N26" s="2"/>
    </row>
    <row r="27" spans="2:18" ht="15" customHeight="1" x14ac:dyDescent="0.3">
      <c r="D27" s="42"/>
      <c r="E27" s="42"/>
      <c r="F27" s="42"/>
      <c r="G27" s="42"/>
      <c r="H27" s="42"/>
      <c r="I27" s="42"/>
      <c r="J27" s="42"/>
      <c r="K27" s="42"/>
      <c r="L27" s="42"/>
      <c r="M27" s="503" t="s">
        <v>1173</v>
      </c>
      <c r="N27" s="83">
        <v>0</v>
      </c>
      <c r="O27" s="98" t="s">
        <v>1170</v>
      </c>
      <c r="P27" s="83">
        <f>P23+P24</f>
        <v>108057.5</v>
      </c>
      <c r="Q27" s="82" t="s">
        <v>1170</v>
      </c>
      <c r="R27" s="84">
        <f>R23+R24</f>
        <v>3527.88</v>
      </c>
    </row>
    <row r="28" spans="2:18" x14ac:dyDescent="0.3">
      <c r="D28" s="42"/>
      <c r="E28" s="42"/>
      <c r="F28" s="42"/>
      <c r="G28" s="42"/>
      <c r="H28" s="42"/>
      <c r="I28" s="42"/>
      <c r="J28" s="42"/>
      <c r="K28" s="42"/>
      <c r="L28" s="42"/>
      <c r="M28" s="503"/>
      <c r="N28" s="83">
        <v>0</v>
      </c>
      <c r="O28" s="98" t="s">
        <v>1174</v>
      </c>
      <c r="P28" s="83">
        <f>0.18*P27</f>
        <v>19450.349999999999</v>
      </c>
      <c r="Q28" s="82" t="s">
        <v>1174</v>
      </c>
      <c r="R28" s="84">
        <f>0.18*R27</f>
        <v>635.01840000000004</v>
      </c>
    </row>
    <row r="29" spans="2:18" ht="7.5" customHeight="1" x14ac:dyDescent="0.3">
      <c r="D29" s="42"/>
      <c r="E29" s="42"/>
      <c r="F29" s="42"/>
      <c r="G29" s="42"/>
      <c r="H29" s="42"/>
      <c r="I29" s="42"/>
      <c r="J29" s="42"/>
      <c r="K29" s="42"/>
      <c r="L29" s="42"/>
      <c r="M29" s="2"/>
      <c r="N29" s="2"/>
    </row>
    <row r="30" spans="2:18" x14ac:dyDescent="0.3">
      <c r="D30" s="42"/>
      <c r="E30" s="42"/>
      <c r="F30" s="42"/>
      <c r="G30" s="42"/>
      <c r="H30" s="42"/>
      <c r="I30" s="42"/>
      <c r="J30" s="42"/>
      <c r="K30" s="42"/>
      <c r="L30" s="42"/>
      <c r="M30" s="2"/>
      <c r="N30" s="99"/>
      <c r="O30" s="100" t="s">
        <v>1162</v>
      </c>
      <c r="P30" s="101">
        <f>+P27+P28</f>
        <v>127507.85</v>
      </c>
      <c r="Q30" s="100" t="s">
        <v>1162</v>
      </c>
      <c r="R30" s="102">
        <f>+R27+R28</f>
        <v>4162.8984</v>
      </c>
    </row>
    <row r="31" spans="2:18" x14ac:dyDescent="0.3">
      <c r="D31" s="42"/>
      <c r="E31" s="42"/>
      <c r="F31" s="42"/>
      <c r="G31" s="42"/>
      <c r="H31" s="42"/>
      <c r="I31" s="42"/>
      <c r="J31" s="42"/>
      <c r="K31" s="42"/>
      <c r="L31" s="42"/>
      <c r="M31" s="2"/>
      <c r="N31" s="2"/>
      <c r="O31" s="2"/>
      <c r="P31" s="2"/>
      <c r="Q31" s="2"/>
      <c r="R31" s="2"/>
    </row>
    <row r="32" spans="2:18" x14ac:dyDescent="0.3"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3:12" x14ac:dyDescent="0.3">
      <c r="C33" s="42"/>
      <c r="D33" s="42"/>
      <c r="E33" s="42"/>
      <c r="F33" s="42"/>
      <c r="G33" s="42"/>
      <c r="H33" s="42"/>
      <c r="I33" s="42"/>
      <c r="J33" s="42"/>
      <c r="K33" s="42"/>
      <c r="L33" s="42"/>
    </row>
    <row r="34" spans="3:12" x14ac:dyDescent="0.3">
      <c r="C34" s="42"/>
      <c r="D34" s="42"/>
      <c r="E34" s="42"/>
      <c r="F34" s="42"/>
      <c r="G34" s="42"/>
      <c r="H34" s="42"/>
      <c r="I34" s="42"/>
      <c r="J34" s="42"/>
      <c r="K34" s="42"/>
      <c r="L34" s="42"/>
    </row>
    <row r="35" spans="3:12" x14ac:dyDescent="0.3">
      <c r="C35" s="42"/>
      <c r="D35" s="42"/>
      <c r="E35" s="42"/>
      <c r="F35" s="42"/>
      <c r="G35" s="42"/>
      <c r="H35" s="42"/>
      <c r="I35" s="42"/>
      <c r="J35" s="42"/>
      <c r="K35" s="42"/>
      <c r="L35" s="42"/>
    </row>
    <row r="36" spans="3:12" x14ac:dyDescent="0.3">
      <c r="C36" s="42"/>
      <c r="D36" s="42"/>
      <c r="E36" s="42"/>
      <c r="F36" s="42"/>
      <c r="G36" s="42"/>
      <c r="H36" s="42"/>
      <c r="I36" s="42"/>
      <c r="J36" s="42"/>
      <c r="K36" s="42"/>
      <c r="L36" s="42"/>
    </row>
  </sheetData>
  <autoFilter ref="C9:H21" xr:uid="{24E0EF28-1B0C-4FA4-8DDE-81F63D4E8348}"/>
  <mergeCells count="9">
    <mergeCell ref="M27:M28"/>
    <mergeCell ref="Q8:R8"/>
    <mergeCell ref="B8:B9"/>
    <mergeCell ref="M8:N8"/>
    <mergeCell ref="O8:P8"/>
    <mergeCell ref="M24:M25"/>
    <mergeCell ref="N24:N25"/>
    <mergeCell ref="P24:P25"/>
    <mergeCell ref="R24:R25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41D565-8351-4FF6-A4CA-7CF46808946B}">
          <x14:formula1>
            <xm:f>Apoyo1Despiece!$C$71:$C$77</xm:f>
          </x14:formula1>
          <xm:sqref>F5:H5</xm:sqref>
        </x14:dataValidation>
        <x14:dataValidation type="list" allowBlank="1" showInputMessage="1" showErrorMessage="1" xr:uid="{A2AAB8AB-D5B0-4C68-8679-1C300CACE616}">
          <x14:formula1>
            <xm:f>Apoyo1Despiece!$D$71:$D$72</xm:f>
          </x14:formula1>
          <xm:sqref>F6:H6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2EB53-F805-4C33-8CD5-348FEB134F01}">
  <sheetPr codeName="Hoja28">
    <tabColor rgb="FF00B0F0"/>
  </sheetPr>
  <dimension ref="B1:Q92"/>
  <sheetViews>
    <sheetView workbookViewId="0">
      <selection activeCell="K6" sqref="K6"/>
    </sheetView>
  </sheetViews>
  <sheetFormatPr baseColWidth="10" defaultColWidth="11.44140625" defaultRowHeight="14.4" outlineLevelCol="1" x14ac:dyDescent="0.3"/>
  <cols>
    <col min="1" max="1" width="1.6640625" style="2" customWidth="1"/>
    <col min="2" max="2" width="11.44140625" style="2"/>
    <col min="3" max="3" width="53.109375" style="2" bestFit="1" customWidth="1"/>
    <col min="4" max="4" width="1.6640625" style="2" hidden="1" customWidth="1" outlineLevel="1"/>
    <col min="5" max="6" width="17.109375" style="87" hidden="1" customWidth="1" outlineLevel="1"/>
    <col min="7" max="7" width="15.6640625" style="40" hidden="1" customWidth="1" outlineLevel="1"/>
    <col min="8" max="8" width="3.6640625" style="2" customWidth="1" collapsed="1"/>
    <col min="9" max="9" width="12.33203125" style="40" hidden="1" customWidth="1"/>
    <col min="10" max="10" width="6.88671875" style="40" hidden="1" customWidth="1"/>
    <col min="11" max="11" width="12.33203125" style="40" bestFit="1" customWidth="1"/>
    <col min="12" max="13" width="12.88671875" style="42" customWidth="1"/>
    <col min="14" max="14" width="13.5546875" style="43" customWidth="1"/>
    <col min="15" max="15" width="14.33203125" style="43" customWidth="1"/>
    <col min="16" max="16" width="13.6640625" style="43" customWidth="1"/>
    <col min="17" max="17" width="14.33203125" style="43" customWidth="1"/>
    <col min="18" max="16384" width="11.44140625" style="2"/>
  </cols>
  <sheetData>
    <row r="1" spans="2:17" ht="7.5" customHeight="1" x14ac:dyDescent="0.3">
      <c r="E1" s="4"/>
      <c r="F1" s="4"/>
      <c r="G1" s="2"/>
      <c r="I1" s="2"/>
      <c r="J1" s="68"/>
      <c r="K1" s="2"/>
    </row>
    <row r="2" spans="2:17" ht="15" customHeight="1" x14ac:dyDescent="0.3">
      <c r="B2" s="103" t="s">
        <v>1175</v>
      </c>
      <c r="C2" s="104"/>
      <c r="E2" s="42"/>
      <c r="F2" s="42"/>
      <c r="G2" s="42"/>
      <c r="I2" s="2"/>
      <c r="J2" s="68"/>
      <c r="K2" s="2"/>
    </row>
    <row r="3" spans="2:17" ht="7.5" customHeight="1" x14ac:dyDescent="0.3">
      <c r="E3" s="4"/>
      <c r="F3" s="4"/>
      <c r="G3" s="2"/>
      <c r="I3" s="2"/>
      <c r="J3" s="68"/>
      <c r="K3" s="2"/>
    </row>
    <row r="4" spans="2:17" s="68" customFormat="1" x14ac:dyDescent="0.3">
      <c r="B4" s="105"/>
      <c r="C4" s="105"/>
      <c r="E4" s="106" t="s">
        <v>1176</v>
      </c>
      <c r="F4" s="106" t="s">
        <v>1177</v>
      </c>
      <c r="G4" s="106" t="s">
        <v>1177</v>
      </c>
      <c r="H4" s="2"/>
      <c r="I4" s="2"/>
      <c r="K4" s="162">
        <f>SUM(TEN[TOTAL])</f>
        <v>0</v>
      </c>
      <c r="L4" s="454" t="s">
        <v>2</v>
      </c>
      <c r="M4" s="455"/>
      <c r="N4" s="456" t="s">
        <v>1158</v>
      </c>
      <c r="O4" s="457"/>
      <c r="P4" s="443" t="s">
        <v>1159</v>
      </c>
      <c r="Q4" s="444"/>
    </row>
    <row r="5" spans="2:17" s="68" customFormat="1" x14ac:dyDescent="0.3">
      <c r="B5" s="108" t="s">
        <v>1</v>
      </c>
      <c r="C5" s="109" t="s">
        <v>0</v>
      </c>
      <c r="E5" s="110">
        <f>SUM(E6:E75)</f>
        <v>0</v>
      </c>
      <c r="F5" s="110">
        <f>SUM(F6:F75)</f>
        <v>0</v>
      </c>
      <c r="G5" s="110">
        <f>SUM(G6:G75)</f>
        <v>0</v>
      </c>
      <c r="I5" s="112" t="s">
        <v>1</v>
      </c>
      <c r="J5" s="300" t="s">
        <v>1161</v>
      </c>
      <c r="K5" s="112" t="s">
        <v>1162</v>
      </c>
      <c r="L5" s="113" t="s">
        <v>1163</v>
      </c>
      <c r="M5" s="114" t="s">
        <v>1164</v>
      </c>
      <c r="N5" s="115" t="s">
        <v>1165</v>
      </c>
      <c r="O5" s="116" t="s">
        <v>1166</v>
      </c>
      <c r="P5" s="117" t="s">
        <v>1167</v>
      </c>
      <c r="Q5" s="118" t="s">
        <v>1168</v>
      </c>
    </row>
    <row r="6" spans="2:17" x14ac:dyDescent="0.3">
      <c r="B6" s="76" t="s">
        <v>313</v>
      </c>
      <c r="C6" s="76" t="s">
        <v>314</v>
      </c>
      <c r="E6" s="120"/>
      <c r="F6" s="120"/>
      <c r="G6" s="77"/>
      <c r="I6" s="76" t="str">
        <f>+B6</f>
        <v>PU.0100</v>
      </c>
      <c r="J6" s="301" t="str">
        <f>+IF(B6=TEN[[#This Row],[ITEM]],"ok","mal")</f>
        <v>ok</v>
      </c>
      <c r="K6" s="79">
        <f t="shared" ref="K6:K17" si="0">SUM(D6:H6)</f>
        <v>0</v>
      </c>
      <c r="L6" s="80">
        <f>IF(VLOOKUP(B6,TbPiezas[],5,0)="NA",0,VLOOKUP(B6,TbPiezas[],5,0))</f>
        <v>8.9</v>
      </c>
      <c r="M6" s="81">
        <f>TEN[[#This Row],[TOTAL]]*TEN[[#This Row],[P.U. (1)]]</f>
        <v>0</v>
      </c>
      <c r="N6" s="82">
        <f>+VLOOKUP(B6,TbPiezas[],6,0)</f>
        <v>180</v>
      </c>
      <c r="O6" s="83">
        <f>TEN[[#This Row],[TOTAL]]*TEN[[#This Row],[P.U. (2)]]</f>
        <v>0</v>
      </c>
      <c r="P6" s="82">
        <f>+VLOOKUP(B6,TbPiezas[],7,0)</f>
        <v>4.5</v>
      </c>
      <c r="Q6" s="84">
        <f>ROUND(TEN[[#This Row],[TOTAL]]*TEN[[#This Row],[P.U. (3)]],2)</f>
        <v>0</v>
      </c>
    </row>
    <row r="7" spans="2:17" x14ac:dyDescent="0.3">
      <c r="B7" s="76" t="s">
        <v>315</v>
      </c>
      <c r="C7" s="76" t="s">
        <v>316</v>
      </c>
      <c r="E7" s="120"/>
      <c r="F7" s="120"/>
      <c r="G7" s="74"/>
      <c r="I7" s="76" t="str">
        <f t="shared" ref="I7:I71" si="1">+B7</f>
        <v>PU.0200</v>
      </c>
      <c r="J7" s="301" t="str">
        <f>+IF(B7=TEN[[#This Row],[ITEM]],"ok","mal")</f>
        <v>ok</v>
      </c>
      <c r="K7" s="79">
        <f t="shared" si="0"/>
        <v>0</v>
      </c>
      <c r="L7" s="80">
        <f>IF(VLOOKUP(B7,TbPiezas[],5,0)="NA",0,VLOOKUP(B7,TbPiezas[],5,0))</f>
        <v>8.9</v>
      </c>
      <c r="M7" s="81">
        <f>TEN[[#This Row],[TOTAL]]*TEN[[#This Row],[P.U. (1)]]</f>
        <v>0</v>
      </c>
      <c r="N7" s="82">
        <f>+VLOOKUP(B7,TbPiezas[],6,0)</f>
        <v>180</v>
      </c>
      <c r="O7" s="83">
        <f>TEN[[#This Row],[TOTAL]]*TEN[[#This Row],[P.U. (2)]]</f>
        <v>0</v>
      </c>
      <c r="P7" s="82">
        <f>+VLOOKUP(B7,TbPiezas[],7,0)</f>
        <v>4.5</v>
      </c>
      <c r="Q7" s="84">
        <f>ROUND(TEN[[#This Row],[TOTAL]]*TEN[[#This Row],[P.U. (3)]],2)</f>
        <v>0</v>
      </c>
    </row>
    <row r="8" spans="2:17" x14ac:dyDescent="0.3">
      <c r="B8" s="76" t="s">
        <v>317</v>
      </c>
      <c r="C8" s="76" t="s">
        <v>318</v>
      </c>
      <c r="E8" s="120"/>
      <c r="F8" s="120"/>
      <c r="G8" s="74"/>
      <c r="I8" s="76" t="str">
        <f t="shared" si="1"/>
        <v>PU.0300</v>
      </c>
      <c r="J8" s="301" t="str">
        <f>+IF(B8=TEN[[#This Row],[ITEM]],"ok","mal")</f>
        <v>ok</v>
      </c>
      <c r="K8" s="79">
        <f t="shared" si="0"/>
        <v>0</v>
      </c>
      <c r="L8" s="80">
        <f>IF(VLOOKUP(B8,TbPiezas[],5,0)="NA",0,VLOOKUP(B8,TbPiezas[],5,0))</f>
        <v>8.9</v>
      </c>
      <c r="M8" s="81">
        <f>TEN[[#This Row],[TOTAL]]*TEN[[#This Row],[P.U. (1)]]</f>
        <v>0</v>
      </c>
      <c r="N8" s="82">
        <f>+VLOOKUP(B8,TbPiezas[],6,0)</f>
        <v>180</v>
      </c>
      <c r="O8" s="83">
        <f>TEN[[#This Row],[TOTAL]]*TEN[[#This Row],[P.U. (2)]]</f>
        <v>0</v>
      </c>
      <c r="P8" s="82">
        <f>+VLOOKUP(B8,TbPiezas[],7,0)</f>
        <v>4.5</v>
      </c>
      <c r="Q8" s="84">
        <f>ROUND(TEN[[#This Row],[TOTAL]]*TEN[[#This Row],[P.U. (3)]],2)</f>
        <v>0</v>
      </c>
    </row>
    <row r="9" spans="2:17" x14ac:dyDescent="0.3">
      <c r="B9" s="76" t="s">
        <v>1396</v>
      </c>
      <c r="C9" s="76" t="s">
        <v>1397</v>
      </c>
      <c r="E9" s="120"/>
      <c r="F9" s="120"/>
      <c r="G9" s="74"/>
      <c r="I9" s="410" t="str">
        <f>+B9</f>
        <v>PU.0350</v>
      </c>
      <c r="J9" s="301" t="str">
        <f>+IF(B9=TEN[[#This Row],[ITEM]],"ok","mal")</f>
        <v>ok</v>
      </c>
      <c r="K9" s="79">
        <f>SUM(D9:H9)</f>
        <v>0</v>
      </c>
      <c r="L9" s="80">
        <f>IF(VLOOKUP(B9,TbPiezas[],5,0)="NA",0,VLOOKUP(B9,TbPiezas[],5,0))</f>
        <v>9</v>
      </c>
      <c r="M9" s="81">
        <f>TEN[[#This Row],[TOTAL]]*TEN[[#This Row],[P.U. (1)]]</f>
        <v>0</v>
      </c>
      <c r="N9" s="82">
        <f>+VLOOKUP(B9,TbPiezas[],6,0)</f>
        <v>180</v>
      </c>
      <c r="O9" s="411">
        <f>TEN[[#This Row],[TOTAL]]*TEN[[#This Row],[P.U. (2)]]</f>
        <v>0</v>
      </c>
      <c r="P9" s="82">
        <f>+VLOOKUP(B9,TbPiezas[],7,0)</f>
        <v>4.5</v>
      </c>
      <c r="Q9" s="296">
        <f>ROUND(TEN[[#This Row],[TOTAL]]*TEN[[#This Row],[P.U. (3)]],2)</f>
        <v>0</v>
      </c>
    </row>
    <row r="10" spans="2:17" x14ac:dyDescent="0.3">
      <c r="B10" s="76" t="s">
        <v>319</v>
      </c>
      <c r="C10" s="76" t="s">
        <v>320</v>
      </c>
      <c r="E10" s="120"/>
      <c r="F10" s="120"/>
      <c r="G10" s="74"/>
      <c r="I10" s="76" t="str">
        <f t="shared" si="1"/>
        <v>PU.0400</v>
      </c>
      <c r="J10" s="301" t="str">
        <f>+IF(B10=TEN[[#This Row],[ITEM]],"ok","mal")</f>
        <v>ok</v>
      </c>
      <c r="K10" s="79">
        <f t="shared" si="0"/>
        <v>0</v>
      </c>
      <c r="L10" s="80">
        <f>IF(VLOOKUP(B10,TbPiezas[],5,0)="NA",0,VLOOKUP(B10,TbPiezas[],5,0))</f>
        <v>11.8</v>
      </c>
      <c r="M10" s="81">
        <f>TEN[[#This Row],[TOTAL]]*TEN[[#This Row],[P.U. (1)]]</f>
        <v>0</v>
      </c>
      <c r="N10" s="82">
        <f>+VLOOKUP(B10,TbPiezas[],6,0)</f>
        <v>200</v>
      </c>
      <c r="O10" s="83">
        <f>TEN[[#This Row],[TOTAL]]*TEN[[#This Row],[P.U. (2)]]</f>
        <v>0</v>
      </c>
      <c r="P10" s="82">
        <f>+VLOOKUP(B10,TbPiezas[],7,0)</f>
        <v>6.6</v>
      </c>
      <c r="Q10" s="84">
        <f>ROUND(TEN[[#This Row],[TOTAL]]*TEN[[#This Row],[P.U. (3)]],2)</f>
        <v>0</v>
      </c>
    </row>
    <row r="11" spans="2:17" x14ac:dyDescent="0.3">
      <c r="B11" s="76" t="s">
        <v>321</v>
      </c>
      <c r="C11" s="76" t="s">
        <v>322</v>
      </c>
      <c r="E11" s="120"/>
      <c r="F11" s="120"/>
      <c r="G11" s="74"/>
      <c r="I11" s="76" t="str">
        <f t="shared" si="1"/>
        <v>PU.0500</v>
      </c>
      <c r="J11" s="301" t="str">
        <f>+IF(B11=TEN[[#This Row],[ITEM]],"ok","mal")</f>
        <v>ok</v>
      </c>
      <c r="K11" s="79">
        <f t="shared" si="0"/>
        <v>0</v>
      </c>
      <c r="L11" s="80">
        <f>IF(VLOOKUP(B11,TbPiezas[],5,0)="NA",0,VLOOKUP(B11,TbPiezas[],5,0))</f>
        <v>11.8</v>
      </c>
      <c r="M11" s="81">
        <f>TEN[[#This Row],[TOTAL]]*TEN[[#This Row],[P.U. (1)]]</f>
        <v>0</v>
      </c>
      <c r="N11" s="82">
        <f>+VLOOKUP(B11,TbPiezas[],6,0)</f>
        <v>200</v>
      </c>
      <c r="O11" s="83">
        <f>TEN[[#This Row],[TOTAL]]*TEN[[#This Row],[P.U. (2)]]</f>
        <v>0</v>
      </c>
      <c r="P11" s="82">
        <f>+VLOOKUP(B11,TbPiezas[],7,0)</f>
        <v>6.6</v>
      </c>
      <c r="Q11" s="84">
        <f>ROUND(TEN[[#This Row],[TOTAL]]*TEN[[#This Row],[P.U. (3)]],2)</f>
        <v>0</v>
      </c>
    </row>
    <row r="12" spans="2:17" x14ac:dyDescent="0.3">
      <c r="B12" s="76" t="s">
        <v>323</v>
      </c>
      <c r="C12" s="76" t="s">
        <v>324</v>
      </c>
      <c r="E12" s="120"/>
      <c r="F12" s="120"/>
      <c r="G12" s="74"/>
      <c r="I12" s="76" t="str">
        <f t="shared" si="1"/>
        <v>PU.0600</v>
      </c>
      <c r="J12" s="301" t="str">
        <f>+IF(B12=TEN[[#This Row],[ITEM]],"ok","mal")</f>
        <v>ok</v>
      </c>
      <c r="K12" s="79">
        <f t="shared" si="0"/>
        <v>0</v>
      </c>
      <c r="L12" s="80">
        <f>IF(VLOOKUP(B12,TbPiezas[],5,0)="NA",0,VLOOKUP(B12,TbPiezas[],5,0))</f>
        <v>17.3</v>
      </c>
      <c r="M12" s="81">
        <f>TEN[[#This Row],[TOTAL]]*TEN[[#This Row],[P.U. (1)]]</f>
        <v>0</v>
      </c>
      <c r="N12" s="82">
        <f>+VLOOKUP(B12,TbPiezas[],6,0)</f>
        <v>300</v>
      </c>
      <c r="O12" s="83">
        <f>TEN[[#This Row],[TOTAL]]*TEN[[#This Row],[P.U. (2)]]</f>
        <v>0</v>
      </c>
      <c r="P12" s="82">
        <f>+VLOOKUP(B12,TbPiezas[],7,0)</f>
        <v>10.5</v>
      </c>
      <c r="Q12" s="84">
        <f>ROUND(TEN[[#This Row],[TOTAL]]*TEN[[#This Row],[P.U. (3)]],2)</f>
        <v>0</v>
      </c>
    </row>
    <row r="13" spans="2:17" x14ac:dyDescent="0.3">
      <c r="B13" s="76" t="s">
        <v>325</v>
      </c>
      <c r="C13" s="76" t="s">
        <v>326</v>
      </c>
      <c r="E13" s="120"/>
      <c r="F13" s="120"/>
      <c r="G13" s="74"/>
      <c r="I13" s="76" t="str">
        <f t="shared" si="1"/>
        <v>PU.0700</v>
      </c>
      <c r="J13" s="301" t="str">
        <f>+IF(B13=TEN[[#This Row],[ITEM]],"ok","mal")</f>
        <v>ok</v>
      </c>
      <c r="K13" s="79">
        <f t="shared" si="0"/>
        <v>0</v>
      </c>
      <c r="L13" s="80">
        <f>IF(VLOOKUP(B13,TbPiezas[],5,0)="NA",0,VLOOKUP(B13,TbPiezas[],5,0))</f>
        <v>9.9999999999994316E-2</v>
      </c>
      <c r="M13" s="81">
        <f>TEN[[#This Row],[TOTAL]]*TEN[[#This Row],[P.U. (1)]]</f>
        <v>0</v>
      </c>
      <c r="N13" s="82">
        <f>+VLOOKUP(B13,TbPiezas[],6,0)</f>
        <v>30</v>
      </c>
      <c r="O13" s="83">
        <f>TEN[[#This Row],[TOTAL]]*TEN[[#This Row],[P.U. (2)]]</f>
        <v>0</v>
      </c>
      <c r="P13" s="82">
        <f>+VLOOKUP(B13,TbPiezas[],7,0)</f>
        <v>1.5</v>
      </c>
      <c r="Q13" s="84">
        <f>ROUND(TEN[[#This Row],[TOTAL]]*TEN[[#This Row],[P.U. (3)]],2)</f>
        <v>0</v>
      </c>
    </row>
    <row r="14" spans="2:17" x14ac:dyDescent="0.3">
      <c r="B14" s="76" t="s">
        <v>327</v>
      </c>
      <c r="C14" s="76" t="s">
        <v>328</v>
      </c>
      <c r="E14" s="120"/>
      <c r="F14" s="120"/>
      <c r="G14" s="74"/>
      <c r="I14" s="76" t="str">
        <f t="shared" si="1"/>
        <v>PU.0800</v>
      </c>
      <c r="J14" s="301" t="str">
        <f>+IF(B14=TEN[[#This Row],[ITEM]],"ok","mal")</f>
        <v>ok</v>
      </c>
      <c r="K14" s="79">
        <f t="shared" si="0"/>
        <v>0</v>
      </c>
      <c r="L14" s="80">
        <f>IF(VLOOKUP(B14,TbPiezas[],5,0)="NA",0,VLOOKUP(B14,TbPiezas[],5,0))</f>
        <v>9.9999999999994316E-2</v>
      </c>
      <c r="M14" s="81">
        <f>TEN[[#This Row],[TOTAL]]*TEN[[#This Row],[P.U. (1)]]</f>
        <v>0</v>
      </c>
      <c r="N14" s="82">
        <f>+VLOOKUP(B14,TbPiezas[],6,0)</f>
        <v>30</v>
      </c>
      <c r="O14" s="83">
        <f>TEN[[#This Row],[TOTAL]]*TEN[[#This Row],[P.U. (2)]]</f>
        <v>0</v>
      </c>
      <c r="P14" s="82">
        <f>+VLOOKUP(B14,TbPiezas[],7,0)</f>
        <v>1.5</v>
      </c>
      <c r="Q14" s="84">
        <f>ROUND(TEN[[#This Row],[TOTAL]]*TEN[[#This Row],[P.U. (3)]],2)</f>
        <v>0</v>
      </c>
    </row>
    <row r="15" spans="2:17" x14ac:dyDescent="0.3">
      <c r="B15" s="76" t="s">
        <v>329</v>
      </c>
      <c r="C15" s="76" t="s">
        <v>330</v>
      </c>
      <c r="E15" s="120"/>
      <c r="F15" s="120"/>
      <c r="G15" s="74"/>
      <c r="I15" s="76" t="str">
        <f t="shared" si="1"/>
        <v>PU.0900</v>
      </c>
      <c r="J15" s="301" t="str">
        <f>+IF(B15=TEN[[#This Row],[ITEM]],"ok","mal")</f>
        <v>ok</v>
      </c>
      <c r="K15" s="79">
        <f t="shared" si="0"/>
        <v>0</v>
      </c>
      <c r="L15" s="80">
        <f>IF(VLOOKUP(B15,TbPiezas[],5,0)="NA",0,VLOOKUP(B15,TbPiezas[],5,0))</f>
        <v>9.9999999999994316E-2</v>
      </c>
      <c r="M15" s="81">
        <f>TEN[[#This Row],[TOTAL]]*TEN[[#This Row],[P.U. (1)]]</f>
        <v>0</v>
      </c>
      <c r="N15" s="82">
        <f>+VLOOKUP(B15,TbPiezas[],6,0)</f>
        <v>30</v>
      </c>
      <c r="O15" s="83">
        <f>TEN[[#This Row],[TOTAL]]*TEN[[#This Row],[P.U. (2)]]</f>
        <v>0</v>
      </c>
      <c r="P15" s="82">
        <f>+VLOOKUP(B15,TbPiezas[],7,0)</f>
        <v>1.5</v>
      </c>
      <c r="Q15" s="84">
        <f>ROUND(TEN[[#This Row],[TOTAL]]*TEN[[#This Row],[P.U. (3)]],2)</f>
        <v>0</v>
      </c>
    </row>
    <row r="16" spans="2:17" x14ac:dyDescent="0.3">
      <c r="B16" s="76" t="s">
        <v>331</v>
      </c>
      <c r="C16" s="76" t="s">
        <v>332</v>
      </c>
      <c r="E16" s="120"/>
      <c r="F16" s="120"/>
      <c r="G16" s="74"/>
      <c r="I16" s="76" t="str">
        <f t="shared" si="1"/>
        <v>PU.1000</v>
      </c>
      <c r="J16" s="301" t="str">
        <f>+IF(B16=TEN[[#This Row],[ITEM]],"ok","mal")</f>
        <v>ok</v>
      </c>
      <c r="K16" s="79">
        <f t="shared" si="0"/>
        <v>0</v>
      </c>
      <c r="L16" s="80">
        <f>IF(VLOOKUP(B16,TbPiezas[],5,0)="NA",0,VLOOKUP(B16,TbPiezas[],5,0))</f>
        <v>9.9999999999994316E-2</v>
      </c>
      <c r="M16" s="81">
        <f>TEN[[#This Row],[TOTAL]]*TEN[[#This Row],[P.U. (1)]]</f>
        <v>0</v>
      </c>
      <c r="N16" s="82">
        <f>+VLOOKUP(B16,TbPiezas[],6,0)</f>
        <v>30</v>
      </c>
      <c r="O16" s="83">
        <f>TEN[[#This Row],[TOTAL]]*TEN[[#This Row],[P.U. (2)]]</f>
        <v>0</v>
      </c>
      <c r="P16" s="82">
        <f>+VLOOKUP(B16,TbPiezas[],7,0)</f>
        <v>1.5</v>
      </c>
      <c r="Q16" s="84">
        <f>ROUND(TEN[[#This Row],[TOTAL]]*TEN[[#This Row],[P.U. (3)]],2)</f>
        <v>0</v>
      </c>
    </row>
    <row r="17" spans="2:17" x14ac:dyDescent="0.3">
      <c r="B17" s="76" t="s">
        <v>333</v>
      </c>
      <c r="C17" s="76" t="s">
        <v>334</v>
      </c>
      <c r="E17" s="120"/>
      <c r="F17" s="120"/>
      <c r="G17" s="74"/>
      <c r="I17" s="76" t="str">
        <f t="shared" si="1"/>
        <v>PU.1100</v>
      </c>
      <c r="J17" s="301" t="str">
        <f>+IF(B17=TEN[[#This Row],[ITEM]],"ok","mal")</f>
        <v>ok</v>
      </c>
      <c r="K17" s="79">
        <f t="shared" si="0"/>
        <v>0</v>
      </c>
      <c r="L17" s="80">
        <f>IF(VLOOKUP(B17,TbPiezas[],5,0)="NA",0,VLOOKUP(B17,TbPiezas[],5,0))</f>
        <v>6.2999999999999972</v>
      </c>
      <c r="M17" s="81">
        <f>TEN[[#This Row],[TOTAL]]*TEN[[#This Row],[P.U. (1)]]</f>
        <v>0</v>
      </c>
      <c r="N17" s="82">
        <f>+VLOOKUP(B17,TbPiezas[],6,0)</f>
        <v>192.23</v>
      </c>
      <c r="O17" s="83">
        <f>TEN[[#This Row],[TOTAL]]*TEN[[#This Row],[P.U. (2)]]</f>
        <v>0</v>
      </c>
      <c r="P17" s="82">
        <f>+VLOOKUP(B17,TbPiezas[],7,0)</f>
        <v>9.6114999999999995</v>
      </c>
      <c r="Q17" s="84">
        <f>ROUND(TEN[[#This Row],[TOTAL]]*TEN[[#This Row],[P.U. (3)]],2)</f>
        <v>0</v>
      </c>
    </row>
    <row r="18" spans="2:17" x14ac:dyDescent="0.3">
      <c r="B18" s="76" t="s">
        <v>605</v>
      </c>
      <c r="C18" s="76" t="s">
        <v>606</v>
      </c>
      <c r="E18" s="120"/>
      <c r="F18" s="120"/>
      <c r="G18" s="74"/>
      <c r="I18" s="76" t="str">
        <f t="shared" si="1"/>
        <v>EN.0100</v>
      </c>
      <c r="J18" s="301" t="str">
        <f>+IF(B18=TEN[[#This Row],[ITEM]],"ok","mal")</f>
        <v>ok</v>
      </c>
      <c r="K18" s="79">
        <f t="shared" ref="K18:K36" si="2">SUM(D18:H18)</f>
        <v>0</v>
      </c>
      <c r="L18" s="80">
        <f>IF(VLOOKUP(B18,TbPiezas[],5,0)="NA",0,VLOOKUP(B18,TbPiezas[],5,0))</f>
        <v>2.4</v>
      </c>
      <c r="M18" s="81">
        <f>TEN[[#This Row],[TOTAL]]*TEN[[#This Row],[P.U. (1)]]</f>
        <v>0</v>
      </c>
      <c r="N18" s="82">
        <f>+VLOOKUP(B18,TbPiezas[],6,0)</f>
        <v>102.82</v>
      </c>
      <c r="O18" s="83">
        <f>TEN[[#This Row],[TOTAL]]*TEN[[#This Row],[P.U. (2)]]</f>
        <v>0</v>
      </c>
      <c r="P18" s="82">
        <f>+VLOOKUP(B18,TbPiezas[],7,0)</f>
        <v>5.141</v>
      </c>
      <c r="Q18" s="84">
        <f>ROUND(TEN[[#This Row],[TOTAL]]*TEN[[#This Row],[P.U. (3)]],2)</f>
        <v>0</v>
      </c>
    </row>
    <row r="19" spans="2:17" x14ac:dyDescent="0.3">
      <c r="B19" s="76" t="s">
        <v>607</v>
      </c>
      <c r="C19" s="76" t="s">
        <v>608</v>
      </c>
      <c r="E19" s="120"/>
      <c r="F19" s="120"/>
      <c r="G19" s="77"/>
      <c r="I19" s="76" t="str">
        <f t="shared" si="1"/>
        <v>EN.0200</v>
      </c>
      <c r="J19" s="301" t="str">
        <f>+IF(B19=TEN[[#This Row],[ITEM]],"ok","mal")</f>
        <v>ok</v>
      </c>
      <c r="K19" s="79">
        <f t="shared" si="2"/>
        <v>0</v>
      </c>
      <c r="L19" s="80">
        <f>IF(VLOOKUP(B19,TbPiezas[],5,0)="NA",0,VLOOKUP(B19,TbPiezas[],5,0))</f>
        <v>2</v>
      </c>
      <c r="M19" s="81">
        <f>TEN[[#This Row],[TOTAL]]*TEN[[#This Row],[P.U. (1)]]</f>
        <v>0</v>
      </c>
      <c r="N19" s="82">
        <f>+VLOOKUP(B19,TbPiezas[],6,0)</f>
        <v>85.68</v>
      </c>
      <c r="O19" s="83">
        <f>TEN[[#This Row],[TOTAL]]*TEN[[#This Row],[P.U. (2)]]</f>
        <v>0</v>
      </c>
      <c r="P19" s="82">
        <f>+VLOOKUP(B19,TbPiezas[],7,0)</f>
        <v>4.2840000000000007</v>
      </c>
      <c r="Q19" s="84">
        <f>ROUND(TEN[[#This Row],[TOTAL]]*TEN[[#This Row],[P.U. (3)]],2)</f>
        <v>0</v>
      </c>
    </row>
    <row r="20" spans="2:17" x14ac:dyDescent="0.3">
      <c r="B20" s="76" t="s">
        <v>609</v>
      </c>
      <c r="C20" s="76" t="s">
        <v>610</v>
      </c>
      <c r="E20" s="120"/>
      <c r="F20" s="120"/>
      <c r="G20" s="74"/>
      <c r="I20" s="76" t="str">
        <f t="shared" si="1"/>
        <v>EN.0300</v>
      </c>
      <c r="J20" s="301" t="str">
        <f>+IF(B20=TEN[[#This Row],[ITEM]],"ok","mal")</f>
        <v>ok</v>
      </c>
      <c r="K20" s="79">
        <f t="shared" si="2"/>
        <v>0</v>
      </c>
      <c r="L20" s="80">
        <f>IF(VLOOKUP(B20,TbPiezas[],5,0)="NA",0,VLOOKUP(B20,TbPiezas[],5,0))</f>
        <v>0.5</v>
      </c>
      <c r="M20" s="81">
        <f>TEN[[#This Row],[TOTAL]]*TEN[[#This Row],[P.U. (1)]]</f>
        <v>0</v>
      </c>
      <c r="N20" s="82">
        <f>+VLOOKUP(B20,TbPiezas[],6,0)</f>
        <v>40.020000000000003</v>
      </c>
      <c r="O20" s="83">
        <f>TEN[[#This Row],[TOTAL]]*TEN[[#This Row],[P.U. (2)]]</f>
        <v>0</v>
      </c>
      <c r="P20" s="82">
        <f>+VLOOKUP(B20,TbPiezas[],7,0)</f>
        <v>2.0010000000000003</v>
      </c>
      <c r="Q20" s="84">
        <f>ROUND(TEN[[#This Row],[TOTAL]]*TEN[[#This Row],[P.U. (3)]],2)</f>
        <v>0</v>
      </c>
    </row>
    <row r="21" spans="2:17" x14ac:dyDescent="0.3">
      <c r="B21" s="76" t="s">
        <v>611</v>
      </c>
      <c r="C21" s="76" t="s">
        <v>612</v>
      </c>
      <c r="E21" s="120"/>
      <c r="F21" s="120"/>
      <c r="G21" s="77"/>
      <c r="I21" s="76" t="str">
        <f t="shared" si="1"/>
        <v>EN.0310</v>
      </c>
      <c r="J21" s="301" t="str">
        <f>+IF(B21=TEN[[#This Row],[ITEM]],"ok","mal")</f>
        <v>ok</v>
      </c>
      <c r="K21" s="79">
        <f t="shared" si="2"/>
        <v>0</v>
      </c>
      <c r="L21" s="80">
        <f>IF(VLOOKUP(B21,TbPiezas[],5,0)="NA",0,VLOOKUP(B21,TbPiezas[],5,0))</f>
        <v>3</v>
      </c>
      <c r="M21" s="81">
        <f>TEN[[#This Row],[TOTAL]]*TEN[[#This Row],[P.U. (1)]]</f>
        <v>0</v>
      </c>
      <c r="N21" s="82">
        <f>+VLOOKUP(B21,TbPiezas[],6,0)</f>
        <v>128.53</v>
      </c>
      <c r="O21" s="83">
        <f>TEN[[#This Row],[TOTAL]]*TEN[[#This Row],[P.U. (2)]]</f>
        <v>0</v>
      </c>
      <c r="P21" s="82">
        <f>+VLOOKUP(B21,TbPiezas[],7,0)</f>
        <v>6.4265000000000008</v>
      </c>
      <c r="Q21" s="84">
        <f>ROUND(TEN[[#This Row],[TOTAL]]*TEN[[#This Row],[P.U. (3)]],2)</f>
        <v>0</v>
      </c>
    </row>
    <row r="22" spans="2:17" x14ac:dyDescent="0.3">
      <c r="B22" s="76" t="s">
        <v>613</v>
      </c>
      <c r="C22" s="76" t="s">
        <v>614</v>
      </c>
      <c r="E22" s="120"/>
      <c r="F22" s="120"/>
      <c r="G22" s="77"/>
      <c r="I22" s="76" t="str">
        <f t="shared" si="1"/>
        <v>EN.0320</v>
      </c>
      <c r="J22" s="301" t="str">
        <f>+IF(B22=TEN[[#This Row],[ITEM]],"ok","mal")</f>
        <v>ok</v>
      </c>
      <c r="K22" s="79">
        <f t="shared" si="2"/>
        <v>0</v>
      </c>
      <c r="L22" s="80">
        <f>IF(VLOOKUP(B22,TbPiezas[],5,0)="NA",0,VLOOKUP(B22,TbPiezas[],5,0))</f>
        <v>2.2999999999999998</v>
      </c>
      <c r="M22" s="81">
        <f>TEN[[#This Row],[TOTAL]]*TEN[[#This Row],[P.U. (1)]]</f>
        <v>0</v>
      </c>
      <c r="N22" s="82">
        <f>+VLOOKUP(B22,TbPiezas[],6,0)</f>
        <v>107.99</v>
      </c>
      <c r="O22" s="83">
        <f>TEN[[#This Row],[TOTAL]]*TEN[[#This Row],[P.U. (2)]]</f>
        <v>0</v>
      </c>
      <c r="P22" s="82">
        <f>+VLOOKUP(B22,TbPiezas[],7,0)</f>
        <v>5.3994999999999997</v>
      </c>
      <c r="Q22" s="84">
        <f>ROUND(TEN[[#This Row],[TOTAL]]*TEN[[#This Row],[P.U. (3)]],2)</f>
        <v>0</v>
      </c>
    </row>
    <row r="23" spans="2:17" x14ac:dyDescent="0.3">
      <c r="B23" s="76" t="s">
        <v>615</v>
      </c>
      <c r="C23" s="76" t="s">
        <v>1383</v>
      </c>
      <c r="E23" s="120"/>
      <c r="F23" s="120"/>
      <c r="G23" s="74"/>
      <c r="I23" s="76" t="str">
        <f t="shared" si="1"/>
        <v>EN.0325</v>
      </c>
      <c r="J23" s="301" t="str">
        <f>+IF(B23=TEN[[#This Row],[ITEM]],"ok","mal")</f>
        <v>ok</v>
      </c>
      <c r="K23" s="79">
        <f t="shared" si="2"/>
        <v>0</v>
      </c>
      <c r="L23" s="80">
        <f>IF(VLOOKUP(B23,TbPiezas[],5,0)="NA",0,VLOOKUP(B23,TbPiezas[],5,0))</f>
        <v>1.7</v>
      </c>
      <c r="M23" s="81">
        <f>TEN[[#This Row],[TOTAL]]*TEN[[#This Row],[P.U. (1)]]</f>
        <v>0</v>
      </c>
      <c r="N23" s="82">
        <f>+VLOOKUP(B23,TbPiezas[],6,0)</f>
        <v>79.34</v>
      </c>
      <c r="O23" s="83">
        <f>TEN[[#This Row],[TOTAL]]*TEN[[#This Row],[P.U. (2)]]</f>
        <v>0</v>
      </c>
      <c r="P23" s="82">
        <f>+VLOOKUP(B23,TbPiezas[],7,0)</f>
        <v>3.9670000000000005</v>
      </c>
      <c r="Q23" s="84">
        <f>ROUND(TEN[[#This Row],[TOTAL]]*TEN[[#This Row],[P.U. (3)]],2)</f>
        <v>0</v>
      </c>
    </row>
    <row r="24" spans="2:17" x14ac:dyDescent="0.3">
      <c r="B24" s="76" t="s">
        <v>617</v>
      </c>
      <c r="C24" s="76" t="s">
        <v>618</v>
      </c>
      <c r="E24" s="120"/>
      <c r="F24" s="120"/>
      <c r="G24" s="77"/>
      <c r="I24" s="76" t="str">
        <f t="shared" si="1"/>
        <v>EN.0330</v>
      </c>
      <c r="J24" s="301" t="str">
        <f>+IF(B24=TEN[[#This Row],[ITEM]],"ok","mal")</f>
        <v>ok</v>
      </c>
      <c r="K24" s="79">
        <f t="shared" si="2"/>
        <v>0</v>
      </c>
      <c r="L24" s="80">
        <f>IF(VLOOKUP(B24,TbPiezas[],5,0)="NA",0,VLOOKUP(B24,TbPiezas[],5,0))</f>
        <v>1.4</v>
      </c>
      <c r="M24" s="81">
        <f>TEN[[#This Row],[TOTAL]]*TEN[[#This Row],[P.U. (1)]]</f>
        <v>0</v>
      </c>
      <c r="N24" s="82">
        <f>+VLOOKUP(B24,TbPiezas[],6,0)</f>
        <v>82.58</v>
      </c>
      <c r="O24" s="83">
        <f>TEN[[#This Row],[TOTAL]]*TEN[[#This Row],[P.U. (2)]]</f>
        <v>0</v>
      </c>
      <c r="P24" s="82">
        <f>+VLOOKUP(B24,TbPiezas[],7,0)</f>
        <v>4.1290000000000004</v>
      </c>
      <c r="Q24" s="84">
        <f>ROUND(TEN[[#This Row],[TOTAL]]*TEN[[#This Row],[P.U. (3)]],2)</f>
        <v>0</v>
      </c>
    </row>
    <row r="25" spans="2:17" x14ac:dyDescent="0.3">
      <c r="B25" s="76" t="s">
        <v>619</v>
      </c>
      <c r="C25" s="76" t="s">
        <v>620</v>
      </c>
      <c r="E25" s="120"/>
      <c r="F25" s="120"/>
      <c r="G25" s="77"/>
      <c r="I25" s="76" t="str">
        <f t="shared" si="1"/>
        <v>EN.0331</v>
      </c>
      <c r="J25" s="301" t="str">
        <f>+IF(B25=TEN[[#This Row],[ITEM]],"ok","mal")</f>
        <v>ok</v>
      </c>
      <c r="K25" s="79">
        <f t="shared" si="2"/>
        <v>0</v>
      </c>
      <c r="L25" s="80">
        <f>IF(VLOOKUP(B25,TbPiezas[],5,0)="NA",0,VLOOKUP(B25,TbPiezas[],5,0))</f>
        <v>1.8</v>
      </c>
      <c r="M25" s="81">
        <f>TEN[[#This Row],[TOTAL]]*TEN[[#This Row],[P.U. (1)]]</f>
        <v>0</v>
      </c>
      <c r="N25" s="82">
        <f>+VLOOKUP(B25,TbPiezas[],6,0)</f>
        <v>95.29</v>
      </c>
      <c r="O25" s="83">
        <f>TEN[[#This Row],[TOTAL]]*TEN[[#This Row],[P.U. (2)]]</f>
        <v>0</v>
      </c>
      <c r="P25" s="82">
        <f>+VLOOKUP(B25,TbPiezas[],7,0)</f>
        <v>4.7645000000000008</v>
      </c>
      <c r="Q25" s="84">
        <f>ROUND(TEN[[#This Row],[TOTAL]]*TEN[[#This Row],[P.U. (3)]],2)</f>
        <v>0</v>
      </c>
    </row>
    <row r="26" spans="2:17" x14ac:dyDescent="0.3">
      <c r="B26" s="76" t="s">
        <v>621</v>
      </c>
      <c r="C26" s="76" t="s">
        <v>622</v>
      </c>
      <c r="E26" s="120"/>
      <c r="F26" s="120"/>
      <c r="G26" s="74"/>
      <c r="I26" s="76" t="str">
        <f t="shared" si="1"/>
        <v>EN.0400</v>
      </c>
      <c r="J26" s="301" t="str">
        <f>+IF(B26=TEN[[#This Row],[ITEM]],"ok","mal")</f>
        <v>ok</v>
      </c>
      <c r="K26" s="79">
        <f t="shared" si="2"/>
        <v>0</v>
      </c>
      <c r="L26" s="80">
        <f>IF(VLOOKUP(B26,TbPiezas[],5,0)="NA",0,VLOOKUP(B26,TbPiezas[],5,0))</f>
        <v>2</v>
      </c>
      <c r="M26" s="81">
        <f>TEN[[#This Row],[TOTAL]]*TEN[[#This Row],[P.U. (1)]]</f>
        <v>0</v>
      </c>
      <c r="N26" s="82">
        <f>+VLOOKUP(B26,TbPiezas[],6,0)</f>
        <v>85.68</v>
      </c>
      <c r="O26" s="83">
        <f>TEN[[#This Row],[TOTAL]]*TEN[[#This Row],[P.U. (2)]]</f>
        <v>0</v>
      </c>
      <c r="P26" s="82">
        <f>+VLOOKUP(B26,TbPiezas[],7,0)</f>
        <v>4.2840000000000007</v>
      </c>
      <c r="Q26" s="84">
        <f>ROUND(TEN[[#This Row],[TOTAL]]*TEN[[#This Row],[P.U. (3)]],2)</f>
        <v>0</v>
      </c>
    </row>
    <row r="27" spans="2:17" x14ac:dyDescent="0.3">
      <c r="B27" s="76" t="s">
        <v>623</v>
      </c>
      <c r="C27" s="76" t="s">
        <v>624</v>
      </c>
      <c r="E27" s="120"/>
      <c r="F27" s="120"/>
      <c r="G27" s="74"/>
      <c r="I27" s="76" t="str">
        <f t="shared" si="1"/>
        <v>EN.0500</v>
      </c>
      <c r="J27" s="301" t="str">
        <f>+IF(B27=TEN[[#This Row],[ITEM]],"ok","mal")</f>
        <v>ok</v>
      </c>
      <c r="K27" s="79">
        <f t="shared" si="2"/>
        <v>0</v>
      </c>
      <c r="L27" s="80">
        <f>IF(VLOOKUP(B27,TbPiezas[],5,0)="NA",0,VLOOKUP(B27,TbPiezas[],5,0))</f>
        <v>0.79999999999999716</v>
      </c>
      <c r="M27" s="81">
        <f>TEN[[#This Row],[TOTAL]]*TEN[[#This Row],[P.U. (1)]]</f>
        <v>0</v>
      </c>
      <c r="N27" s="82">
        <f>+VLOOKUP(B27,TbPiezas[],6,0)</f>
        <v>63.53</v>
      </c>
      <c r="O27" s="83">
        <f>TEN[[#This Row],[TOTAL]]*TEN[[#This Row],[P.U. (2)]]</f>
        <v>0</v>
      </c>
      <c r="P27" s="82">
        <f>+VLOOKUP(B27,TbPiezas[],7,0)</f>
        <v>3.1765000000000003</v>
      </c>
      <c r="Q27" s="84">
        <f>ROUND(TEN[[#This Row],[TOTAL]]*TEN[[#This Row],[P.U. (3)]],2)</f>
        <v>0</v>
      </c>
    </row>
    <row r="28" spans="2:17" x14ac:dyDescent="0.3">
      <c r="B28" s="76" t="s">
        <v>625</v>
      </c>
      <c r="C28" s="76" t="s">
        <v>626</v>
      </c>
      <c r="E28" s="120"/>
      <c r="F28" s="120"/>
      <c r="G28" s="74"/>
      <c r="I28" s="76" t="str">
        <f t="shared" si="1"/>
        <v>EN.0550</v>
      </c>
      <c r="J28" s="301" t="str">
        <f>+IF(B28=TEN[[#This Row],[ITEM]],"ok","mal")</f>
        <v>ok</v>
      </c>
      <c r="K28" s="79">
        <f t="shared" si="2"/>
        <v>0</v>
      </c>
      <c r="L28" s="80">
        <f>IF(VLOOKUP(B28,TbPiezas[],5,0)="NA",0,VLOOKUP(B28,TbPiezas[],5,0))</f>
        <v>5.5</v>
      </c>
      <c r="M28" s="81">
        <f>TEN[[#This Row],[TOTAL]]*TEN[[#This Row],[P.U. (1)]]</f>
        <v>0</v>
      </c>
      <c r="N28" s="82">
        <f>+VLOOKUP(B28,TbPiezas[],6,0)</f>
        <v>185</v>
      </c>
      <c r="O28" s="83">
        <f>TEN[[#This Row],[TOTAL]]*TEN[[#This Row],[P.U. (2)]]</f>
        <v>0</v>
      </c>
      <c r="P28" s="82">
        <f>+VLOOKUP(B28,TbPiezas[],7,0)</f>
        <v>9.25</v>
      </c>
      <c r="Q28" s="84">
        <f>ROUND(TEN[[#This Row],[TOTAL]]*TEN[[#This Row],[P.U. (3)]],2)</f>
        <v>0</v>
      </c>
    </row>
    <row r="29" spans="2:17" x14ac:dyDescent="0.3">
      <c r="B29" s="76" t="s">
        <v>627</v>
      </c>
      <c r="C29" s="76" t="s">
        <v>628</v>
      </c>
      <c r="E29" s="120"/>
      <c r="F29" s="120"/>
      <c r="G29" s="74"/>
      <c r="I29" s="76" t="str">
        <f t="shared" si="1"/>
        <v>EN.0600</v>
      </c>
      <c r="J29" s="301" t="str">
        <f>+IF(B29=TEN[[#This Row],[ITEM]],"ok","mal")</f>
        <v>ok</v>
      </c>
      <c r="K29" s="79">
        <f t="shared" si="2"/>
        <v>0</v>
      </c>
      <c r="L29" s="80">
        <f>IF(VLOOKUP(B29,TbPiezas[],5,0)="NA",0,VLOOKUP(B29,TbPiezas[],5,0))</f>
        <v>17.399999999999991</v>
      </c>
      <c r="M29" s="81">
        <f>TEN[[#This Row],[TOTAL]]*TEN[[#This Row],[P.U. (1)]]</f>
        <v>0</v>
      </c>
      <c r="N29" s="82">
        <f>+VLOOKUP(B29,TbPiezas[],6,0)</f>
        <v>247.38</v>
      </c>
      <c r="O29" s="83">
        <f>TEN[[#This Row],[TOTAL]]*TEN[[#This Row],[P.U. (2)]]</f>
        <v>0</v>
      </c>
      <c r="P29" s="82">
        <f>+VLOOKUP(B29,TbPiezas[],7,0)</f>
        <v>12.369</v>
      </c>
      <c r="Q29" s="84">
        <f>ROUND(TEN[[#This Row],[TOTAL]]*TEN[[#This Row],[P.U. (3)]],2)</f>
        <v>0</v>
      </c>
    </row>
    <row r="30" spans="2:17" x14ac:dyDescent="0.3">
      <c r="B30" s="76" t="s">
        <v>629</v>
      </c>
      <c r="C30" s="76" t="s">
        <v>630</v>
      </c>
      <c r="E30" s="120"/>
      <c r="F30" s="120"/>
      <c r="G30" s="74"/>
      <c r="I30" s="76" t="str">
        <f t="shared" si="1"/>
        <v>EN.0650</v>
      </c>
      <c r="J30" s="301" t="str">
        <f>+IF(B30=TEN[[#This Row],[ITEM]],"ok","mal")</f>
        <v>ok</v>
      </c>
      <c r="K30" s="79">
        <f t="shared" si="2"/>
        <v>0</v>
      </c>
      <c r="L30" s="80">
        <f>IF(VLOOKUP(B30,TbPiezas[],5,0)="NA",0,VLOOKUP(B30,TbPiezas[],5,0))</f>
        <v>11.6</v>
      </c>
      <c r="M30" s="81">
        <f>TEN[[#This Row],[TOTAL]]*TEN[[#This Row],[P.U. (1)]]</f>
        <v>0</v>
      </c>
      <c r="N30" s="82">
        <f>+VLOOKUP(B30,TbPiezas[],6,0)</f>
        <v>164.91</v>
      </c>
      <c r="O30" s="83">
        <f>TEN[[#This Row],[TOTAL]]*TEN[[#This Row],[P.U. (2)]]</f>
        <v>0</v>
      </c>
      <c r="P30" s="82">
        <f>+VLOOKUP(B30,TbPiezas[],7,0)</f>
        <v>8.2454999999999998</v>
      </c>
      <c r="Q30" s="84">
        <f>ROUND(TEN[[#This Row],[TOTAL]]*TEN[[#This Row],[P.U. (3)]],2)</f>
        <v>0</v>
      </c>
    </row>
    <row r="31" spans="2:17" x14ac:dyDescent="0.3">
      <c r="B31" s="76" t="s">
        <v>631</v>
      </c>
      <c r="C31" s="76" t="s">
        <v>632</v>
      </c>
      <c r="E31" s="120"/>
      <c r="F31" s="120"/>
      <c r="G31" s="74"/>
      <c r="I31" s="76" t="str">
        <f t="shared" si="1"/>
        <v>EN.0700</v>
      </c>
      <c r="J31" s="301" t="str">
        <f>+IF(B31=TEN[[#This Row],[ITEM]],"ok","mal")</f>
        <v>ok</v>
      </c>
      <c r="K31" s="79">
        <f t="shared" si="2"/>
        <v>0</v>
      </c>
      <c r="L31" s="80">
        <f>IF(VLOOKUP(B31,TbPiezas[],5,0)="NA",0,VLOOKUP(B31,TbPiezas[],5,0))</f>
        <v>6.9</v>
      </c>
      <c r="M31" s="81">
        <f>TEN[[#This Row],[TOTAL]]*TEN[[#This Row],[P.U. (1)]]</f>
        <v>0</v>
      </c>
      <c r="N31" s="82">
        <f>+VLOOKUP(B31,TbPiezas[],6,0)</f>
        <v>127.05</v>
      </c>
      <c r="O31" s="83">
        <f>TEN[[#This Row],[TOTAL]]*TEN[[#This Row],[P.U. (2)]]</f>
        <v>0</v>
      </c>
      <c r="P31" s="82">
        <f>+VLOOKUP(B31,TbPiezas[],7,0)</f>
        <v>6.3525</v>
      </c>
      <c r="Q31" s="84">
        <f>ROUND(TEN[[#This Row],[TOTAL]]*TEN[[#This Row],[P.U. (3)]],2)</f>
        <v>0</v>
      </c>
    </row>
    <row r="32" spans="2:17" x14ac:dyDescent="0.3">
      <c r="B32" s="76" t="s">
        <v>633</v>
      </c>
      <c r="C32" s="76" t="s">
        <v>634</v>
      </c>
      <c r="E32" s="120"/>
      <c r="F32" s="120"/>
      <c r="G32" s="74"/>
      <c r="I32" s="76" t="str">
        <f t="shared" si="1"/>
        <v>EN.0800</v>
      </c>
      <c r="J32" s="301" t="str">
        <f>+IF(B32=TEN[[#This Row],[ITEM]],"ok","mal")</f>
        <v>ok</v>
      </c>
      <c r="K32" s="79">
        <f t="shared" si="2"/>
        <v>0</v>
      </c>
      <c r="L32" s="80">
        <f>IF(VLOOKUP(B32,TbPiezas[],5,0)="NA",0,VLOOKUP(B32,TbPiezas[],5,0))</f>
        <v>127.5</v>
      </c>
      <c r="M32" s="81">
        <f>TEN[[#This Row],[TOTAL]]*TEN[[#This Row],[P.U. (1)]]</f>
        <v>0</v>
      </c>
      <c r="N32" s="82">
        <f>+VLOOKUP(B32,TbPiezas[],6,0)</f>
        <v>1905.75</v>
      </c>
      <c r="O32" s="83">
        <f>TEN[[#This Row],[TOTAL]]*TEN[[#This Row],[P.U. (2)]]</f>
        <v>0</v>
      </c>
      <c r="P32" s="82">
        <f>+VLOOKUP(B32,TbPiezas[],7,0)</f>
        <v>95.287500000000009</v>
      </c>
      <c r="Q32" s="84">
        <f>ROUND(TEN[[#This Row],[TOTAL]]*TEN[[#This Row],[P.U. (3)]],2)</f>
        <v>0</v>
      </c>
    </row>
    <row r="33" spans="2:17" x14ac:dyDescent="0.3">
      <c r="B33" s="76" t="s">
        <v>635</v>
      </c>
      <c r="C33" s="76" t="s">
        <v>636</v>
      </c>
      <c r="E33" s="120"/>
      <c r="F33" s="120"/>
      <c r="G33" s="74"/>
      <c r="I33" s="76" t="str">
        <f t="shared" si="1"/>
        <v>EN.0900</v>
      </c>
      <c r="J33" s="301" t="str">
        <f>+IF(B33=TEN[[#This Row],[ITEM]],"ok","mal")</f>
        <v>ok</v>
      </c>
      <c r="K33" s="79">
        <f t="shared" si="2"/>
        <v>0</v>
      </c>
      <c r="L33" s="80">
        <f>IF(VLOOKUP(B33,TbPiezas[],5,0)="NA",0,VLOOKUP(B33,TbPiezas[],5,0))</f>
        <v>153</v>
      </c>
      <c r="M33" s="81">
        <f>TEN[[#This Row],[TOTAL]]*TEN[[#This Row],[P.U. (1)]]</f>
        <v>0</v>
      </c>
      <c r="N33" s="82">
        <f>+VLOOKUP(B33,TbPiezas[],6,0)</f>
        <v>2286.9</v>
      </c>
      <c r="O33" s="83">
        <f>TEN[[#This Row],[TOTAL]]*TEN[[#This Row],[P.U. (2)]]</f>
        <v>0</v>
      </c>
      <c r="P33" s="82">
        <f>+VLOOKUP(B33,TbPiezas[],7,0)</f>
        <v>114.34500000000001</v>
      </c>
      <c r="Q33" s="84">
        <f>ROUND(TEN[[#This Row],[TOTAL]]*TEN[[#This Row],[P.U. (3)]],2)</f>
        <v>0</v>
      </c>
    </row>
    <row r="34" spans="2:17" x14ac:dyDescent="0.3">
      <c r="B34" s="76" t="s">
        <v>637</v>
      </c>
      <c r="C34" s="76" t="s">
        <v>638</v>
      </c>
      <c r="E34" s="120"/>
      <c r="F34" s="120"/>
      <c r="G34" s="74"/>
      <c r="I34" s="76" t="str">
        <f t="shared" si="1"/>
        <v>EN.1000</v>
      </c>
      <c r="J34" s="301" t="str">
        <f>+IF(B34=TEN[[#This Row],[ITEM]],"ok","mal")</f>
        <v>ok</v>
      </c>
      <c r="K34" s="79">
        <f t="shared" si="2"/>
        <v>0</v>
      </c>
      <c r="L34" s="80">
        <f>IF(VLOOKUP(B34,TbPiezas[],5,0)="NA",0,VLOOKUP(B34,TbPiezas[],5,0))</f>
        <v>204</v>
      </c>
      <c r="M34" s="81">
        <f>TEN[[#This Row],[TOTAL]]*TEN[[#This Row],[P.U. (1)]]</f>
        <v>0</v>
      </c>
      <c r="N34" s="82">
        <f>+VLOOKUP(B34,TbPiezas[],6,0)</f>
        <v>3049.2</v>
      </c>
      <c r="O34" s="83">
        <f>TEN[[#This Row],[TOTAL]]*TEN[[#This Row],[P.U. (2)]]</f>
        <v>0</v>
      </c>
      <c r="P34" s="82">
        <f>+VLOOKUP(B34,TbPiezas[],7,0)</f>
        <v>152.46</v>
      </c>
      <c r="Q34" s="84">
        <f>ROUND(TEN[[#This Row],[TOTAL]]*TEN[[#This Row],[P.U. (3)]],2)</f>
        <v>0</v>
      </c>
    </row>
    <row r="35" spans="2:17" x14ac:dyDescent="0.3">
      <c r="B35" s="76" t="s">
        <v>639</v>
      </c>
      <c r="C35" s="76" t="s">
        <v>640</v>
      </c>
      <c r="E35" s="120"/>
      <c r="F35" s="120"/>
      <c r="G35" s="74"/>
      <c r="I35" s="76" t="str">
        <f t="shared" si="1"/>
        <v>EN.1100</v>
      </c>
      <c r="J35" s="301" t="str">
        <f>+IF(B35=TEN[[#This Row],[ITEM]],"ok","mal")</f>
        <v>ok</v>
      </c>
      <c r="K35" s="79">
        <f t="shared" si="2"/>
        <v>0</v>
      </c>
      <c r="L35" s="80">
        <f>IF(VLOOKUP(B35,TbPiezas[],5,0)="NA",0,VLOOKUP(B35,TbPiezas[],5,0))</f>
        <v>48.45</v>
      </c>
      <c r="M35" s="81">
        <f>TEN[[#This Row],[TOTAL]]*TEN[[#This Row],[P.U. (1)]]</f>
        <v>0</v>
      </c>
      <c r="N35" s="82">
        <f>+VLOOKUP(B35,TbPiezas[],6,0)</f>
        <v>3811.5</v>
      </c>
      <c r="O35" s="83">
        <f>TEN[[#This Row],[TOTAL]]*TEN[[#This Row],[P.U. (2)]]</f>
        <v>0</v>
      </c>
      <c r="P35" s="82">
        <f>+VLOOKUP(B35,TbPiezas[],7,0)</f>
        <v>190.57500000000002</v>
      </c>
      <c r="Q35" s="84">
        <f>ROUND(TEN[[#This Row],[TOTAL]]*TEN[[#This Row],[P.U. (3)]],2)</f>
        <v>0</v>
      </c>
    </row>
    <row r="36" spans="2:17" x14ac:dyDescent="0.3">
      <c r="B36" s="76" t="s">
        <v>641</v>
      </c>
      <c r="C36" s="76" t="s">
        <v>642</v>
      </c>
      <c r="E36" s="120"/>
      <c r="F36" s="120"/>
      <c r="G36" s="74"/>
      <c r="I36" s="76" t="str">
        <f t="shared" si="1"/>
        <v>EN.1200</v>
      </c>
      <c r="J36" s="301" t="str">
        <f>+IF(B36=TEN[[#This Row],[ITEM]],"ok","mal")</f>
        <v>ok</v>
      </c>
      <c r="K36" s="79">
        <f t="shared" si="2"/>
        <v>0</v>
      </c>
      <c r="L36" s="80">
        <f>IF(VLOOKUP(B36,TbPiezas[],5,0)="NA",0,VLOOKUP(B36,TbPiezas[],5,0))</f>
        <v>9.5</v>
      </c>
      <c r="M36" s="81">
        <f>TEN[[#This Row],[TOTAL]]*TEN[[#This Row],[P.U. (1)]]</f>
        <v>0</v>
      </c>
      <c r="N36" s="82">
        <f>+VLOOKUP(B36,TbPiezas[],6,0)</f>
        <v>1905.75</v>
      </c>
      <c r="O36" s="83">
        <f>TEN[[#This Row],[TOTAL]]*TEN[[#This Row],[P.U. (2)]]</f>
        <v>0</v>
      </c>
      <c r="P36" s="82">
        <f>+VLOOKUP(B36,TbPiezas[],7,0)</f>
        <v>95.287500000000009</v>
      </c>
      <c r="Q36" s="84">
        <f>ROUND(TEN[[#This Row],[TOTAL]]*TEN[[#This Row],[P.U. (3)]],2)</f>
        <v>0</v>
      </c>
    </row>
    <row r="37" spans="2:17" x14ac:dyDescent="0.3">
      <c r="B37" s="76" t="s">
        <v>643</v>
      </c>
      <c r="C37" s="76" t="s">
        <v>644</v>
      </c>
      <c r="E37" s="120"/>
      <c r="F37" s="120"/>
      <c r="G37" s="74"/>
      <c r="I37" s="76" t="str">
        <f t="shared" si="1"/>
        <v>EN.1300</v>
      </c>
      <c r="J37" s="301" t="str">
        <f>+IF(B37=TEN[[#This Row],[ITEM]],"ok","mal")</f>
        <v>ok</v>
      </c>
      <c r="K37" s="79">
        <f t="shared" ref="K37:K74" si="3">SUM(D37:H37)</f>
        <v>0</v>
      </c>
      <c r="L37" s="80">
        <f>IF(VLOOKUP(B37,TbPiezas[],5,0)="NA",0,VLOOKUP(B37,TbPiezas[],5,0))</f>
        <v>0.5</v>
      </c>
      <c r="M37" s="81">
        <f>TEN[[#This Row],[TOTAL]]*TEN[[#This Row],[P.U. (1)]]</f>
        <v>0</v>
      </c>
      <c r="N37" s="82">
        <f>+VLOOKUP(B37,TbPiezas[],6,0)</f>
        <v>27.42</v>
      </c>
      <c r="O37" s="83">
        <f>TEN[[#This Row],[TOTAL]]*TEN[[#This Row],[P.U. (2)]]</f>
        <v>0</v>
      </c>
      <c r="P37" s="82">
        <f>+VLOOKUP(B37,TbPiezas[],7,0)</f>
        <v>1.3710000000000002</v>
      </c>
      <c r="Q37" s="84">
        <f>ROUND(TEN[[#This Row],[TOTAL]]*TEN[[#This Row],[P.U. (3)]],2)</f>
        <v>0</v>
      </c>
    </row>
    <row r="38" spans="2:17" x14ac:dyDescent="0.3">
      <c r="B38" s="76" t="s">
        <v>645</v>
      </c>
      <c r="C38" s="76" t="s">
        <v>646</v>
      </c>
      <c r="E38" s="120"/>
      <c r="F38" s="120"/>
      <c r="G38" s="74"/>
      <c r="I38" s="76" t="str">
        <f t="shared" si="1"/>
        <v>EN.1350</v>
      </c>
      <c r="J38" s="301" t="str">
        <f>+IF(B38=TEN[[#This Row],[ITEM]],"ok","mal")</f>
        <v>ok</v>
      </c>
      <c r="K38" s="79">
        <f t="shared" si="3"/>
        <v>0</v>
      </c>
      <c r="L38" s="80">
        <f>IF(VLOOKUP(B38,TbPiezas[],5,0)="NA",0,VLOOKUP(B38,TbPiezas[],5,0))</f>
        <v>0.4</v>
      </c>
      <c r="M38" s="81">
        <f>TEN[[#This Row],[TOTAL]]*TEN[[#This Row],[P.U. (1)]]</f>
        <v>0</v>
      </c>
      <c r="N38" s="82">
        <f>+VLOOKUP(B38,TbPiezas[],6,0)</f>
        <v>34.270000000000003</v>
      </c>
      <c r="O38" s="83">
        <f>TEN[[#This Row],[TOTAL]]*TEN[[#This Row],[P.U. (2)]]</f>
        <v>0</v>
      </c>
      <c r="P38" s="82">
        <f>+VLOOKUP(B38,TbPiezas[],7,0)</f>
        <v>1.7135000000000002</v>
      </c>
      <c r="Q38" s="84">
        <f>ROUND(TEN[[#This Row],[TOTAL]]*TEN[[#This Row],[P.U. (3)]],2)</f>
        <v>0</v>
      </c>
    </row>
    <row r="39" spans="2:17" x14ac:dyDescent="0.3">
      <c r="B39" s="76" t="s">
        <v>647</v>
      </c>
      <c r="C39" s="76" t="s">
        <v>648</v>
      </c>
      <c r="E39" s="120"/>
      <c r="F39" s="120"/>
      <c r="G39" s="74"/>
      <c r="I39" s="76" t="str">
        <f t="shared" si="1"/>
        <v>EN.1360</v>
      </c>
      <c r="J39" s="301" t="str">
        <f>+IF(B39=TEN[[#This Row],[ITEM]],"ok","mal")</f>
        <v>ok</v>
      </c>
      <c r="K39" s="79">
        <f t="shared" si="3"/>
        <v>0</v>
      </c>
      <c r="L39" s="80">
        <f>IF(VLOOKUP(B39,TbPiezas[],5,0)="NA",0,VLOOKUP(B39,TbPiezas[],5,0))</f>
        <v>0.5</v>
      </c>
      <c r="M39" s="81">
        <f>TEN[[#This Row],[TOTAL]]*TEN[[#This Row],[P.U. (1)]]</f>
        <v>0</v>
      </c>
      <c r="N39" s="82">
        <f>+VLOOKUP(B39,TbPiezas[],6,0)</f>
        <v>41.13</v>
      </c>
      <c r="O39" s="83">
        <f>TEN[[#This Row],[TOTAL]]*TEN[[#This Row],[P.U. (2)]]</f>
        <v>0</v>
      </c>
      <c r="P39" s="82">
        <f>+VLOOKUP(B39,TbPiezas[],7,0)</f>
        <v>2.0565000000000002</v>
      </c>
      <c r="Q39" s="84">
        <f>ROUND(TEN[[#This Row],[TOTAL]]*TEN[[#This Row],[P.U. (3)]],2)</f>
        <v>0</v>
      </c>
    </row>
    <row r="40" spans="2:17" x14ac:dyDescent="0.3">
      <c r="B40" s="76" t="s">
        <v>649</v>
      </c>
      <c r="C40" s="76" t="s">
        <v>650</v>
      </c>
      <c r="E40" s="120"/>
      <c r="F40" s="120"/>
      <c r="G40" s="74"/>
      <c r="I40" s="76" t="str">
        <f t="shared" si="1"/>
        <v>EN.1400</v>
      </c>
      <c r="J40" s="301" t="str">
        <f>+IF(B40=TEN[[#This Row],[ITEM]],"ok","mal")</f>
        <v>ok</v>
      </c>
      <c r="K40" s="79">
        <f t="shared" si="3"/>
        <v>0</v>
      </c>
      <c r="L40" s="80">
        <f>IF(VLOOKUP(B40,TbPiezas[],5,0)="NA",0,VLOOKUP(B40,TbPiezas[],5,0))</f>
        <v>0.5</v>
      </c>
      <c r="M40" s="81">
        <f>TEN[[#This Row],[TOTAL]]*TEN[[#This Row],[P.U. (1)]]</f>
        <v>0</v>
      </c>
      <c r="N40" s="82">
        <f>+VLOOKUP(B40,TbPiezas[],6,0)</f>
        <v>31.76</v>
      </c>
      <c r="O40" s="83">
        <f>TEN[[#This Row],[TOTAL]]*TEN[[#This Row],[P.U. (2)]]</f>
        <v>0</v>
      </c>
      <c r="P40" s="82">
        <f>+VLOOKUP(B40,TbPiezas[],7,0)</f>
        <v>1.5880000000000001</v>
      </c>
      <c r="Q40" s="84">
        <f>ROUND(TEN[[#This Row],[TOTAL]]*TEN[[#This Row],[P.U. (3)]],2)</f>
        <v>0</v>
      </c>
    </row>
    <row r="41" spans="2:17" x14ac:dyDescent="0.3">
      <c r="B41" s="76" t="s">
        <v>651</v>
      </c>
      <c r="C41" s="76" t="s">
        <v>652</v>
      </c>
      <c r="E41" s="120"/>
      <c r="F41" s="120"/>
      <c r="G41" s="74"/>
      <c r="I41" s="76" t="str">
        <f t="shared" si="1"/>
        <v>EN.1500</v>
      </c>
      <c r="J41" s="301" t="str">
        <f>+IF(B41=TEN[[#This Row],[ITEM]],"ok","mal")</f>
        <v>ok</v>
      </c>
      <c r="K41" s="79">
        <f t="shared" si="3"/>
        <v>0</v>
      </c>
      <c r="L41" s="80">
        <f>IF(VLOOKUP(B41,TbPiezas[],5,0)="NA",0,VLOOKUP(B41,TbPiezas[],5,0))</f>
        <v>4.5999999999999996</v>
      </c>
      <c r="M41" s="81">
        <f>TEN[[#This Row],[TOTAL]]*TEN[[#This Row],[P.U. (1)]]</f>
        <v>0</v>
      </c>
      <c r="N41" s="82">
        <f>+VLOOKUP(B41,TbPiezas[],6,0)</f>
        <v>317.63</v>
      </c>
      <c r="O41" s="83">
        <f>TEN[[#This Row],[TOTAL]]*TEN[[#This Row],[P.U. (2)]]</f>
        <v>0</v>
      </c>
      <c r="P41" s="82">
        <f>+VLOOKUP(B41,TbPiezas[],7,0)</f>
        <v>15.881500000000001</v>
      </c>
      <c r="Q41" s="84">
        <f>ROUND(TEN[[#This Row],[TOTAL]]*TEN[[#This Row],[P.U. (3)]],2)</f>
        <v>0</v>
      </c>
    </row>
    <row r="42" spans="2:17" x14ac:dyDescent="0.3">
      <c r="B42" s="76" t="s">
        <v>653</v>
      </c>
      <c r="C42" s="76" t="s">
        <v>654</v>
      </c>
      <c r="E42" s="120"/>
      <c r="F42" s="120"/>
      <c r="G42" s="74"/>
      <c r="I42" s="76" t="str">
        <f t="shared" si="1"/>
        <v>EN.1600</v>
      </c>
      <c r="J42" s="301" t="str">
        <f>+IF(B42=TEN[[#This Row],[ITEM]],"ok","mal")</f>
        <v>ok</v>
      </c>
      <c r="K42" s="79">
        <f t="shared" si="3"/>
        <v>0</v>
      </c>
      <c r="L42" s="80">
        <f>IF(VLOOKUP(B42,TbPiezas[],5,0)="NA",0,VLOOKUP(B42,TbPiezas[],5,0))</f>
        <v>11.299999999999997</v>
      </c>
      <c r="M42" s="81">
        <f>TEN[[#This Row],[TOTAL]]*TEN[[#This Row],[P.U. (1)]]</f>
        <v>0</v>
      </c>
      <c r="N42" s="82">
        <f>+VLOOKUP(B42,TbPiezas[],6,0)</f>
        <v>317.63</v>
      </c>
      <c r="O42" s="83">
        <f>TEN[[#This Row],[TOTAL]]*TEN[[#This Row],[P.U. (2)]]</f>
        <v>0</v>
      </c>
      <c r="P42" s="82">
        <f>+VLOOKUP(B42,TbPiezas[],7,0)</f>
        <v>15.881500000000001</v>
      </c>
      <c r="Q42" s="84">
        <f>ROUND(TEN[[#This Row],[TOTAL]]*TEN[[#This Row],[P.U. (3)]],2)</f>
        <v>0</v>
      </c>
    </row>
    <row r="43" spans="2:17" x14ac:dyDescent="0.3">
      <c r="B43" s="76" t="s">
        <v>655</v>
      </c>
      <c r="C43" s="76" t="s">
        <v>656</v>
      </c>
      <c r="E43" s="120"/>
      <c r="F43" s="120"/>
      <c r="G43" s="74"/>
      <c r="I43" s="76" t="str">
        <f t="shared" si="1"/>
        <v>EN.1700</v>
      </c>
      <c r="J43" s="301" t="str">
        <f>+IF(B43=TEN[[#This Row],[ITEM]],"ok","mal")</f>
        <v>ok</v>
      </c>
      <c r="K43" s="79">
        <f t="shared" si="3"/>
        <v>0</v>
      </c>
      <c r="L43" s="80">
        <f>IF(VLOOKUP(B43,TbPiezas[],5,0)="NA",0,VLOOKUP(B43,TbPiezas[],5,0))</f>
        <v>0</v>
      </c>
      <c r="M43" s="81">
        <f>TEN[[#This Row],[TOTAL]]*TEN[[#This Row],[P.U. (1)]]</f>
        <v>0</v>
      </c>
      <c r="N43" s="82">
        <f>+VLOOKUP(B43,TbPiezas[],6,0)</f>
        <v>444.68</v>
      </c>
      <c r="O43" s="83">
        <f>TEN[[#This Row],[TOTAL]]*TEN[[#This Row],[P.U. (2)]]</f>
        <v>0</v>
      </c>
      <c r="P43" s="82">
        <f>+VLOOKUP(B43,TbPiezas[],7,0)</f>
        <v>22.234000000000002</v>
      </c>
      <c r="Q43" s="84">
        <f>ROUND(TEN[[#This Row],[TOTAL]]*TEN[[#This Row],[P.U. (3)]],2)</f>
        <v>0</v>
      </c>
    </row>
    <row r="44" spans="2:17" x14ac:dyDescent="0.3">
      <c r="B44" s="76" t="s">
        <v>658</v>
      </c>
      <c r="C44" s="76" t="s">
        <v>659</v>
      </c>
      <c r="E44" s="120"/>
      <c r="F44" s="120"/>
      <c r="G44" s="74"/>
      <c r="I44" s="76" t="str">
        <f t="shared" si="1"/>
        <v>EN.1800</v>
      </c>
      <c r="J44" s="301" t="str">
        <f>+IF(B44=TEN[[#This Row],[ITEM]],"ok","mal")</f>
        <v>ok</v>
      </c>
      <c r="K44" s="79">
        <f t="shared" si="3"/>
        <v>0</v>
      </c>
      <c r="L44" s="80">
        <f>IF(VLOOKUP(B44,TbPiezas[],5,0)="NA",0,VLOOKUP(B44,TbPiezas[],5,0))</f>
        <v>0</v>
      </c>
      <c r="M44" s="81">
        <f>TEN[[#This Row],[TOTAL]]*TEN[[#This Row],[P.U. (1)]]</f>
        <v>0</v>
      </c>
      <c r="N44" s="82">
        <f>+VLOOKUP(B44,TbPiezas[],6,0)</f>
        <v>63.53</v>
      </c>
      <c r="O44" s="83">
        <f>TEN[[#This Row],[TOTAL]]*TEN[[#This Row],[P.U. (2)]]</f>
        <v>0</v>
      </c>
      <c r="P44" s="82">
        <f>+VLOOKUP(B44,TbPiezas[],7,0)</f>
        <v>3.1765000000000003</v>
      </c>
      <c r="Q44" s="84">
        <f>ROUND(TEN[[#This Row],[TOTAL]]*TEN[[#This Row],[P.U. (3)]],2)</f>
        <v>0</v>
      </c>
    </row>
    <row r="45" spans="2:17" x14ac:dyDescent="0.3">
      <c r="B45" s="76" t="s">
        <v>660</v>
      </c>
      <c r="C45" s="76" t="s">
        <v>661</v>
      </c>
      <c r="E45" s="120"/>
      <c r="F45" s="120"/>
      <c r="G45" s="74"/>
      <c r="I45" s="76" t="str">
        <f t="shared" si="1"/>
        <v>EN.1900</v>
      </c>
      <c r="J45" s="301" t="str">
        <f>+IF(B45=TEN[[#This Row],[ITEM]],"ok","mal")</f>
        <v>ok</v>
      </c>
      <c r="K45" s="79">
        <f t="shared" si="3"/>
        <v>0</v>
      </c>
      <c r="L45" s="80">
        <f>IF(VLOOKUP(B45,TbPiezas[],5,0)="NA",0,VLOOKUP(B45,TbPiezas[],5,0))</f>
        <v>0</v>
      </c>
      <c r="M45" s="81">
        <f>TEN[[#This Row],[TOTAL]]*TEN[[#This Row],[P.U. (1)]]</f>
        <v>0</v>
      </c>
      <c r="N45" s="82">
        <f>+VLOOKUP(B45,TbPiezas[],6,0)</f>
        <v>63.53</v>
      </c>
      <c r="O45" s="83">
        <f>TEN[[#This Row],[TOTAL]]*TEN[[#This Row],[P.U. (2)]]</f>
        <v>0</v>
      </c>
      <c r="P45" s="82">
        <f>+VLOOKUP(B45,TbPiezas[],7,0)</f>
        <v>3.1765000000000003</v>
      </c>
      <c r="Q45" s="84">
        <f>ROUND(TEN[[#This Row],[TOTAL]]*TEN[[#This Row],[P.U. (3)]],2)</f>
        <v>0</v>
      </c>
    </row>
    <row r="46" spans="2:17" x14ac:dyDescent="0.3">
      <c r="B46" s="76" t="s">
        <v>662</v>
      </c>
      <c r="C46" s="76" t="s">
        <v>663</v>
      </c>
      <c r="E46" s="120"/>
      <c r="F46" s="120"/>
      <c r="G46" s="74"/>
      <c r="I46" s="76" t="str">
        <f t="shared" si="1"/>
        <v>EN.2000</v>
      </c>
      <c r="J46" s="301" t="str">
        <f>+IF(B46=TEN[[#This Row],[ITEM]],"ok","mal")</f>
        <v>ok</v>
      </c>
      <c r="K46" s="79">
        <f t="shared" si="3"/>
        <v>0</v>
      </c>
      <c r="L46" s="80">
        <f>IF(VLOOKUP(B46,TbPiezas[],5,0)="NA",0,VLOOKUP(B46,TbPiezas[],5,0))</f>
        <v>40.700000000000003</v>
      </c>
      <c r="M46" s="81">
        <f>TEN[[#This Row],[TOTAL]]*TEN[[#This Row],[P.U. (1)]]</f>
        <v>0</v>
      </c>
      <c r="N46" s="82">
        <f>+VLOOKUP(B46,TbPiezas[],6,0)</f>
        <v>1003.91</v>
      </c>
      <c r="O46" s="83">
        <f>TEN[[#This Row],[TOTAL]]*TEN[[#This Row],[P.U. (2)]]</f>
        <v>0</v>
      </c>
      <c r="P46" s="82">
        <f>+VLOOKUP(B46,TbPiezas[],7,0)</f>
        <v>50.195500000000003</v>
      </c>
      <c r="Q46" s="84">
        <f>ROUND(TEN[[#This Row],[TOTAL]]*TEN[[#This Row],[P.U. (3)]],2)</f>
        <v>0</v>
      </c>
    </row>
    <row r="47" spans="2:17" x14ac:dyDescent="0.3">
      <c r="B47" s="76" t="s">
        <v>664</v>
      </c>
      <c r="C47" s="76" t="s">
        <v>665</v>
      </c>
      <c r="E47" s="120"/>
      <c r="F47" s="120"/>
      <c r="G47" s="74"/>
      <c r="I47" s="76" t="str">
        <f t="shared" si="1"/>
        <v>EN.2100</v>
      </c>
      <c r="J47" s="301" t="str">
        <f>+IF(B47=TEN[[#This Row],[ITEM]],"ok","mal")</f>
        <v>ok</v>
      </c>
      <c r="K47" s="79">
        <f t="shared" si="3"/>
        <v>0</v>
      </c>
      <c r="L47" s="80">
        <f>IF(VLOOKUP(B47,TbPiezas[],5,0)="NA",0,VLOOKUP(B47,TbPiezas[],5,0))</f>
        <v>26</v>
      </c>
      <c r="M47" s="81">
        <f>TEN[[#This Row],[TOTAL]]*TEN[[#This Row],[P.U. (1)]]</f>
        <v>0</v>
      </c>
      <c r="N47" s="82">
        <f>+VLOOKUP(B47,TbPiezas[],6,0)</f>
        <v>738.5</v>
      </c>
      <c r="O47" s="83">
        <f>TEN[[#This Row],[TOTAL]]*TEN[[#This Row],[P.U. (2)]]</f>
        <v>0</v>
      </c>
      <c r="P47" s="82">
        <f>+VLOOKUP(B47,TbPiezas[],7,0)</f>
        <v>36.925000000000004</v>
      </c>
      <c r="Q47" s="84">
        <f>ROUND(TEN[[#This Row],[TOTAL]]*TEN[[#This Row],[P.U. (3)]],2)</f>
        <v>0</v>
      </c>
    </row>
    <row r="48" spans="2:17" x14ac:dyDescent="0.3">
      <c r="B48" s="76" t="s">
        <v>666</v>
      </c>
      <c r="C48" s="76" t="s">
        <v>667</v>
      </c>
      <c r="E48" s="120"/>
      <c r="F48" s="120"/>
      <c r="G48" s="74"/>
      <c r="I48" s="76" t="str">
        <f t="shared" si="1"/>
        <v>EN.2200</v>
      </c>
      <c r="J48" s="301" t="str">
        <f>+IF(B48=TEN[[#This Row],[ITEM]],"ok","mal")</f>
        <v>ok</v>
      </c>
      <c r="K48" s="79">
        <f t="shared" si="3"/>
        <v>0</v>
      </c>
      <c r="L48" s="80">
        <f>IF(VLOOKUP(B48,TbPiezas[],5,0)="NA",0,VLOOKUP(B48,TbPiezas[],5,0))</f>
        <v>20.099999999999994</v>
      </c>
      <c r="M48" s="81">
        <f>TEN[[#This Row],[TOTAL]]*TEN[[#This Row],[P.U. (1)]]</f>
        <v>0</v>
      </c>
      <c r="N48" s="82">
        <f>+VLOOKUP(B48,TbPiezas[],6,0)</f>
        <v>588.53</v>
      </c>
      <c r="O48" s="83">
        <f>TEN[[#This Row],[TOTAL]]*TEN[[#This Row],[P.U. (2)]]</f>
        <v>0</v>
      </c>
      <c r="P48" s="82">
        <f>+VLOOKUP(B48,TbPiezas[],7,0)</f>
        <v>29.426500000000001</v>
      </c>
      <c r="Q48" s="84">
        <f>ROUND(TEN[[#This Row],[TOTAL]]*TEN[[#This Row],[P.U. (3)]],2)</f>
        <v>0</v>
      </c>
    </row>
    <row r="49" spans="2:17" x14ac:dyDescent="0.3">
      <c r="B49" s="76" t="s">
        <v>668</v>
      </c>
      <c r="C49" s="76" t="s">
        <v>669</v>
      </c>
      <c r="E49" s="120"/>
      <c r="F49" s="120"/>
      <c r="G49" s="74"/>
      <c r="I49" s="76" t="str">
        <f t="shared" si="1"/>
        <v>EN.2300</v>
      </c>
      <c r="J49" s="301" t="str">
        <f>+IF(B49=TEN[[#This Row],[ITEM]],"ok","mal")</f>
        <v>ok</v>
      </c>
      <c r="K49" s="79">
        <f t="shared" si="3"/>
        <v>0</v>
      </c>
      <c r="L49" s="80">
        <f>IF(VLOOKUP(B49,TbPiezas[],5,0)="NA",0,VLOOKUP(B49,TbPiezas[],5,0))</f>
        <v>21.700000000000003</v>
      </c>
      <c r="M49" s="81">
        <f>TEN[[#This Row],[TOTAL]]*TEN[[#This Row],[P.U. (1)]]</f>
        <v>0</v>
      </c>
      <c r="N49" s="82">
        <f>+VLOOKUP(B49,TbPiezas[],6,0)</f>
        <v>646.25</v>
      </c>
      <c r="O49" s="83">
        <f>TEN[[#This Row],[TOTAL]]*TEN[[#This Row],[P.U. (2)]]</f>
        <v>0</v>
      </c>
      <c r="P49" s="82">
        <f>+VLOOKUP(B49,TbPiezas[],7,0)</f>
        <v>32.3125</v>
      </c>
      <c r="Q49" s="84">
        <f>ROUND(TEN[[#This Row],[TOTAL]]*TEN[[#This Row],[P.U. (3)]],2)</f>
        <v>0</v>
      </c>
    </row>
    <row r="50" spans="2:17" x14ac:dyDescent="0.3">
      <c r="B50" s="76" t="s">
        <v>670</v>
      </c>
      <c r="C50" s="76" t="s">
        <v>671</v>
      </c>
      <c r="E50" s="120"/>
      <c r="F50" s="120"/>
      <c r="G50" s="74"/>
      <c r="I50" s="76" t="str">
        <f t="shared" si="1"/>
        <v>EN.2400</v>
      </c>
      <c r="J50" s="301" t="str">
        <f>+IF(B50=TEN[[#This Row],[ITEM]],"ok","mal")</f>
        <v>ok</v>
      </c>
      <c r="K50" s="79">
        <f t="shared" si="3"/>
        <v>0</v>
      </c>
      <c r="L50" s="80">
        <f>IF(VLOOKUP(B50,TbPiezas[],5,0)="NA",0,VLOOKUP(B50,TbPiezas[],5,0))</f>
        <v>9</v>
      </c>
      <c r="M50" s="81">
        <f>TEN[[#This Row],[TOTAL]]*TEN[[#This Row],[P.U. (1)]]</f>
        <v>0</v>
      </c>
      <c r="N50" s="82">
        <f>+VLOOKUP(B50,TbPiezas[],6,0)</f>
        <v>311.58999999999997</v>
      </c>
      <c r="O50" s="83">
        <f>TEN[[#This Row],[TOTAL]]*TEN[[#This Row],[P.U. (2)]]</f>
        <v>0</v>
      </c>
      <c r="P50" s="82">
        <f>+VLOOKUP(B50,TbPiezas[],7,0)</f>
        <v>15.579499999999999</v>
      </c>
      <c r="Q50" s="84">
        <f>ROUND(TEN[[#This Row],[TOTAL]]*TEN[[#This Row],[P.U. (3)]],2)</f>
        <v>0</v>
      </c>
    </row>
    <row r="51" spans="2:17" x14ac:dyDescent="0.3">
      <c r="B51" s="76" t="s">
        <v>672</v>
      </c>
      <c r="C51" s="76" t="s">
        <v>673</v>
      </c>
      <c r="E51" s="120"/>
      <c r="F51" s="120"/>
      <c r="G51" s="74"/>
      <c r="I51" s="76" t="str">
        <f t="shared" si="1"/>
        <v>EN.2500</v>
      </c>
      <c r="J51" s="301" t="str">
        <f>+IF(B51=TEN[[#This Row],[ITEM]],"ok","mal")</f>
        <v>ok</v>
      </c>
      <c r="K51" s="79">
        <f t="shared" si="3"/>
        <v>0</v>
      </c>
      <c r="L51" s="80">
        <f>IF(VLOOKUP(B51,TbPiezas[],5,0)="NA",0,VLOOKUP(B51,TbPiezas[],5,0))</f>
        <v>10.599999999999994</v>
      </c>
      <c r="M51" s="81">
        <f>TEN[[#This Row],[TOTAL]]*TEN[[#This Row],[P.U. (1)]]</f>
        <v>0</v>
      </c>
      <c r="N51" s="82">
        <f>+VLOOKUP(B51,TbPiezas[],6,0)</f>
        <v>288.49</v>
      </c>
      <c r="O51" s="83">
        <f>TEN[[#This Row],[TOTAL]]*TEN[[#This Row],[P.U. (2)]]</f>
        <v>0</v>
      </c>
      <c r="P51" s="82">
        <f>+VLOOKUP(B51,TbPiezas[],7,0)</f>
        <v>14.424500000000002</v>
      </c>
      <c r="Q51" s="84">
        <f>ROUND(TEN[[#This Row],[TOTAL]]*TEN[[#This Row],[P.U. (3)]],2)</f>
        <v>0</v>
      </c>
    </row>
    <row r="52" spans="2:17" x14ac:dyDescent="0.3">
      <c r="B52" s="76" t="s">
        <v>674</v>
      </c>
      <c r="C52" s="76" t="s">
        <v>675</v>
      </c>
      <c r="E52" s="120"/>
      <c r="F52" s="120"/>
      <c r="G52" s="74"/>
      <c r="I52" s="76" t="str">
        <f t="shared" si="1"/>
        <v>EN.2600</v>
      </c>
      <c r="J52" s="301" t="str">
        <f>+IF(B52=TEN[[#This Row],[ITEM]],"ok","mal")</f>
        <v>ok</v>
      </c>
      <c r="K52" s="79">
        <f t="shared" si="3"/>
        <v>0</v>
      </c>
      <c r="L52" s="80">
        <f>IF(VLOOKUP(B52,TbPiezas[],5,0)="NA",0,VLOOKUP(B52,TbPiezas[],5,0))</f>
        <v>10.200000000000003</v>
      </c>
      <c r="M52" s="81">
        <f>TEN[[#This Row],[TOTAL]]*TEN[[#This Row],[P.U. (1)]]</f>
        <v>0</v>
      </c>
      <c r="N52" s="82">
        <f>+VLOOKUP(B52,TbPiezas[],6,0)</f>
        <v>563.89</v>
      </c>
      <c r="O52" s="83">
        <f>TEN[[#This Row],[TOTAL]]*TEN[[#This Row],[P.U. (2)]]</f>
        <v>0</v>
      </c>
      <c r="P52" s="82">
        <f>+VLOOKUP(B52,TbPiezas[],7,0)</f>
        <v>28.194500000000001</v>
      </c>
      <c r="Q52" s="84">
        <f>ROUND(TEN[[#This Row],[TOTAL]]*TEN[[#This Row],[P.U. (3)]],2)</f>
        <v>0</v>
      </c>
    </row>
    <row r="53" spans="2:17" x14ac:dyDescent="0.3">
      <c r="B53" s="76" t="s">
        <v>676</v>
      </c>
      <c r="C53" s="76" t="s">
        <v>677</v>
      </c>
      <c r="E53" s="120"/>
      <c r="F53" s="120"/>
      <c r="G53" s="74"/>
      <c r="I53" s="76" t="str">
        <f t="shared" si="1"/>
        <v>EN.2700</v>
      </c>
      <c r="J53" s="301" t="str">
        <f>+IF(B53=TEN[[#This Row],[ITEM]],"ok","mal")</f>
        <v>ok</v>
      </c>
      <c r="K53" s="79">
        <f t="shared" si="3"/>
        <v>0</v>
      </c>
      <c r="L53" s="80">
        <f>IF(VLOOKUP(B53,TbPiezas[],5,0)="NA",0,VLOOKUP(B53,TbPiezas[],5,0))</f>
        <v>7</v>
      </c>
      <c r="M53" s="81">
        <f>TEN[[#This Row],[TOTAL]]*TEN[[#This Row],[P.U. (1)]]</f>
        <v>0</v>
      </c>
      <c r="N53" s="82">
        <f>+VLOOKUP(B53,TbPiezas[],6,0)</f>
        <v>235.87</v>
      </c>
      <c r="O53" s="83">
        <f>TEN[[#This Row],[TOTAL]]*TEN[[#This Row],[P.U. (2)]]</f>
        <v>0</v>
      </c>
      <c r="P53" s="82">
        <f>+VLOOKUP(B53,TbPiezas[],7,0)</f>
        <v>11.793500000000002</v>
      </c>
      <c r="Q53" s="84">
        <f>ROUND(TEN[[#This Row],[TOTAL]]*TEN[[#This Row],[P.U. (3)]],2)</f>
        <v>0</v>
      </c>
    </row>
    <row r="54" spans="2:17" x14ac:dyDescent="0.3">
      <c r="B54" s="76" t="s">
        <v>678</v>
      </c>
      <c r="C54" s="76" t="s">
        <v>679</v>
      </c>
      <c r="E54" s="120"/>
      <c r="F54" s="120"/>
      <c r="G54" s="74"/>
      <c r="I54" s="76" t="str">
        <f t="shared" si="1"/>
        <v>EN.2800</v>
      </c>
      <c r="J54" s="301" t="str">
        <f>+IF(B54=TEN[[#This Row],[ITEM]],"ok","mal")</f>
        <v>ok</v>
      </c>
      <c r="K54" s="79">
        <f t="shared" si="3"/>
        <v>0</v>
      </c>
      <c r="L54" s="80">
        <f>IF(VLOOKUP(B54,TbPiezas[],5,0)="NA",0,VLOOKUP(B54,TbPiezas[],5,0))</f>
        <v>0.20000000000000284</v>
      </c>
      <c r="M54" s="81">
        <f>TEN[[#This Row],[TOTAL]]*TEN[[#This Row],[P.U. (1)]]</f>
        <v>0</v>
      </c>
      <c r="N54" s="82">
        <f>+VLOOKUP(B54,TbPiezas[],6,0)</f>
        <v>43.83</v>
      </c>
      <c r="O54" s="83">
        <f>TEN[[#This Row],[TOTAL]]*TEN[[#This Row],[P.U. (2)]]</f>
        <v>0</v>
      </c>
      <c r="P54" s="82">
        <f>+VLOOKUP(B54,TbPiezas[],7,0)</f>
        <v>2.1915</v>
      </c>
      <c r="Q54" s="84">
        <f>ROUND(TEN[[#This Row],[TOTAL]]*TEN[[#This Row],[P.U. (3)]],2)</f>
        <v>0</v>
      </c>
    </row>
    <row r="55" spans="2:17" x14ac:dyDescent="0.3">
      <c r="B55" s="76" t="s">
        <v>1385</v>
      </c>
      <c r="C55" s="76" t="s">
        <v>1386</v>
      </c>
      <c r="E55" s="120"/>
      <c r="F55" s="120"/>
      <c r="G55" s="74"/>
      <c r="I55" s="76" t="str">
        <f t="shared" si="1"/>
        <v>EN.2820</v>
      </c>
      <c r="J55" s="301" t="str">
        <f>+IF(B55=TEN[[#This Row],[ITEM]],"ok","mal")</f>
        <v>ok</v>
      </c>
      <c r="K55" s="79">
        <f>SUM(D55:H55)</f>
        <v>0</v>
      </c>
      <c r="L55" s="80">
        <f>IF(VLOOKUP(B55,TbPiezas[],5,0)="NA",0,VLOOKUP(B55,TbPiezas[],5,0))</f>
        <v>0</v>
      </c>
      <c r="M55" s="81">
        <f>TEN[[#This Row],[TOTAL]]*TEN[[#This Row],[P.U. (1)]]</f>
        <v>0</v>
      </c>
      <c r="N55" s="82">
        <f>+VLOOKUP(B55,TbPiezas[],6,0)</f>
        <v>565.36199999999997</v>
      </c>
      <c r="O55" s="83">
        <f>TEN[[#This Row],[TOTAL]]*TEN[[#This Row],[P.U. (2)]]</f>
        <v>0</v>
      </c>
      <c r="P55" s="82">
        <f>+VLOOKUP(B55,TbPiezas[],7,0)</f>
        <v>28.2681</v>
      </c>
      <c r="Q55" s="84">
        <f>ROUND(TEN[[#This Row],[TOTAL]]*TEN[[#This Row],[P.U. (3)]],2)</f>
        <v>0</v>
      </c>
    </row>
    <row r="56" spans="2:17" x14ac:dyDescent="0.3">
      <c r="B56" s="76" t="s">
        <v>1387</v>
      </c>
      <c r="C56" s="76" t="s">
        <v>1388</v>
      </c>
      <c r="E56" s="120"/>
      <c r="F56" s="120"/>
      <c r="G56" s="74"/>
      <c r="I56" s="76" t="str">
        <f t="shared" si="1"/>
        <v>EN.2840</v>
      </c>
      <c r="J56" s="301" t="str">
        <f>+IF(B56=TEN[[#This Row],[ITEM]],"ok","mal")</f>
        <v>ok</v>
      </c>
      <c r="K56" s="79">
        <f>SUM(D56:H56)</f>
        <v>0</v>
      </c>
      <c r="L56" s="80">
        <f>IF(VLOOKUP(B56,TbPiezas[],5,0)="NA",0,VLOOKUP(B56,TbPiezas[],5,0))</f>
        <v>17</v>
      </c>
      <c r="M56" s="81">
        <f>TEN[[#This Row],[TOTAL]]*TEN[[#This Row],[P.U. (1)]]</f>
        <v>0</v>
      </c>
      <c r="N56" s="82">
        <f>+VLOOKUP(B56,TbPiezas[],6,0)</f>
        <v>449.98199999999997</v>
      </c>
      <c r="O56" s="83">
        <f>TEN[[#This Row],[TOTAL]]*TEN[[#This Row],[P.U. (2)]]</f>
        <v>0</v>
      </c>
      <c r="P56" s="82">
        <f>+VLOOKUP(B56,TbPiezas[],7,0)</f>
        <v>22.499099999999999</v>
      </c>
      <c r="Q56" s="84">
        <f>ROUND(TEN[[#This Row],[TOTAL]]*TEN[[#This Row],[P.U. (3)]],2)</f>
        <v>0</v>
      </c>
    </row>
    <row r="57" spans="2:17" x14ac:dyDescent="0.3">
      <c r="B57" s="76" t="s">
        <v>1389</v>
      </c>
      <c r="C57" s="76" t="s">
        <v>1390</v>
      </c>
      <c r="E57" s="120"/>
      <c r="F57" s="120"/>
      <c r="G57" s="74"/>
      <c r="I57" s="76" t="str">
        <f t="shared" si="1"/>
        <v>EN.2860</v>
      </c>
      <c r="J57" s="301" t="str">
        <f>+IF(B57=TEN[[#This Row],[ITEM]],"ok","mal")</f>
        <v>ok</v>
      </c>
      <c r="K57" s="79">
        <f>SUM(D57:H57)</f>
        <v>0</v>
      </c>
      <c r="L57" s="80">
        <f>IF(VLOOKUP(B57,TbPiezas[],5,0)="NA",0,VLOOKUP(B57,TbPiezas[],5,0))</f>
        <v>0</v>
      </c>
      <c r="M57" s="81">
        <f>TEN[[#This Row],[TOTAL]]*TEN[[#This Row],[P.U. (1)]]</f>
        <v>0</v>
      </c>
      <c r="N57" s="82">
        <f>+VLOOKUP(B57,TbPiezas[],6,0)</f>
        <v>334.60199999999998</v>
      </c>
      <c r="O57" s="83">
        <f>TEN[[#This Row],[TOTAL]]*TEN[[#This Row],[P.U. (2)]]</f>
        <v>0</v>
      </c>
      <c r="P57" s="82">
        <f>+VLOOKUP(B57,TbPiezas[],7,0)</f>
        <v>16.7301</v>
      </c>
      <c r="Q57" s="84">
        <f>ROUND(TEN[[#This Row],[TOTAL]]*TEN[[#This Row],[P.U. (3)]],2)</f>
        <v>0</v>
      </c>
    </row>
    <row r="58" spans="2:17" x14ac:dyDescent="0.3">
      <c r="B58" s="76" t="s">
        <v>1391</v>
      </c>
      <c r="C58" s="76" t="s">
        <v>1392</v>
      </c>
      <c r="E58" s="120"/>
      <c r="F58" s="120"/>
      <c r="G58" s="74"/>
      <c r="I58" s="76" t="str">
        <f t="shared" si="1"/>
        <v>EN.2880</v>
      </c>
      <c r="J58" s="301" t="str">
        <f>+IF(B58=TEN[[#This Row],[ITEM]],"ok","mal")</f>
        <v>ok</v>
      </c>
      <c r="K58" s="79">
        <f>SUM(D58:H58)</f>
        <v>0</v>
      </c>
      <c r="L58" s="80">
        <f>IF(VLOOKUP(B58,TbPiezas[],5,0)="NA",0,VLOOKUP(B58,TbPiezas[],5,0))</f>
        <v>0</v>
      </c>
      <c r="M58" s="81">
        <f>TEN[[#This Row],[TOTAL]]*TEN[[#This Row],[P.U. (1)]]</f>
        <v>0</v>
      </c>
      <c r="N58" s="82">
        <f>+VLOOKUP(B58,TbPiezas[],6,0)</f>
        <v>219.22199999999998</v>
      </c>
      <c r="O58" s="83">
        <f>TEN[[#This Row],[TOTAL]]*TEN[[#This Row],[P.U. (2)]]</f>
        <v>0</v>
      </c>
      <c r="P58" s="82">
        <f>+VLOOKUP(B58,TbPiezas[],7,0)</f>
        <v>10.9611</v>
      </c>
      <c r="Q58" s="84">
        <f>ROUND(TEN[[#This Row],[TOTAL]]*TEN[[#This Row],[P.U. (3)]],2)</f>
        <v>0</v>
      </c>
    </row>
    <row r="59" spans="2:17" x14ac:dyDescent="0.3">
      <c r="B59" s="76" t="s">
        <v>680</v>
      </c>
      <c r="C59" s="76" t="s">
        <v>681</v>
      </c>
      <c r="E59" s="120"/>
      <c r="F59" s="120"/>
      <c r="G59" s="74"/>
      <c r="I59" s="76" t="str">
        <f t="shared" si="1"/>
        <v>EN.2900</v>
      </c>
      <c r="J59" s="301" t="str">
        <f>+IF(B59=TEN[[#This Row],[ITEM]],"ok","mal")</f>
        <v>ok</v>
      </c>
      <c r="K59" s="79">
        <f t="shared" si="3"/>
        <v>0</v>
      </c>
      <c r="L59" s="80">
        <f>IF(VLOOKUP(B59,TbPiezas[],5,0)="NA",0,VLOOKUP(B59,TbPiezas[],5,0))</f>
        <v>20.8</v>
      </c>
      <c r="M59" s="81">
        <f>TEN[[#This Row],[TOTAL]]*TEN[[#This Row],[P.U. (1)]]</f>
        <v>0</v>
      </c>
      <c r="N59" s="82">
        <f>+VLOOKUP(B59,TbPiezas[],6,0)</f>
        <v>254.1</v>
      </c>
      <c r="O59" s="83">
        <f>TEN[[#This Row],[TOTAL]]*TEN[[#This Row],[P.U. (2)]]</f>
        <v>0</v>
      </c>
      <c r="P59" s="82">
        <f>+VLOOKUP(B59,TbPiezas[],7,0)</f>
        <v>12.705</v>
      </c>
      <c r="Q59" s="84">
        <f>ROUND(TEN[[#This Row],[TOTAL]]*TEN[[#This Row],[P.U. (3)]],2)</f>
        <v>0</v>
      </c>
    </row>
    <row r="60" spans="2:17" x14ac:dyDescent="0.3">
      <c r="B60" s="76" t="s">
        <v>682</v>
      </c>
      <c r="C60" s="76" t="s">
        <v>683</v>
      </c>
      <c r="E60" s="120"/>
      <c r="F60" s="120"/>
      <c r="G60" s="74"/>
      <c r="I60" s="76" t="str">
        <f t="shared" si="1"/>
        <v>EN.3000</v>
      </c>
      <c r="J60" s="301" t="str">
        <f>+IF(B60=TEN[[#This Row],[ITEM]],"ok","mal")</f>
        <v>ok</v>
      </c>
      <c r="K60" s="79">
        <f t="shared" si="3"/>
        <v>0</v>
      </c>
      <c r="L60" s="80">
        <f>IF(VLOOKUP(B60,TbPiezas[],5,0)="NA",0,VLOOKUP(B60,TbPiezas[],5,0))</f>
        <v>23</v>
      </c>
      <c r="M60" s="81">
        <f>TEN[[#This Row],[TOTAL]]*TEN[[#This Row],[P.U. (1)]]</f>
        <v>0</v>
      </c>
      <c r="N60" s="82">
        <f>+VLOOKUP(B60,TbPiezas[],6,0)</f>
        <v>285.86</v>
      </c>
      <c r="O60" s="83">
        <f>TEN[[#This Row],[TOTAL]]*TEN[[#This Row],[P.U. (2)]]</f>
        <v>0</v>
      </c>
      <c r="P60" s="82">
        <f>+VLOOKUP(B60,TbPiezas[],7,0)</f>
        <v>14.293000000000001</v>
      </c>
      <c r="Q60" s="84">
        <f>ROUND(TEN[[#This Row],[TOTAL]]*TEN[[#This Row],[P.U. (3)]],2)</f>
        <v>0</v>
      </c>
    </row>
    <row r="61" spans="2:17" x14ac:dyDescent="0.3">
      <c r="B61" s="76" t="s">
        <v>684</v>
      </c>
      <c r="C61" s="76" t="s">
        <v>685</v>
      </c>
      <c r="E61" s="120"/>
      <c r="F61" s="120"/>
      <c r="G61" s="74"/>
      <c r="I61" s="76" t="str">
        <f t="shared" si="1"/>
        <v>EN.3100</v>
      </c>
      <c r="J61" s="301" t="str">
        <f>+IF(B61=TEN[[#This Row],[ITEM]],"ok","mal")</f>
        <v>ok</v>
      </c>
      <c r="K61" s="79">
        <f t="shared" si="3"/>
        <v>0</v>
      </c>
      <c r="L61" s="80">
        <f>IF(VLOOKUP(B61,TbPiezas[],5,0)="NA",0,VLOOKUP(B61,TbPiezas[],5,0))</f>
        <v>25.9</v>
      </c>
      <c r="M61" s="81">
        <f>TEN[[#This Row],[TOTAL]]*TEN[[#This Row],[P.U. (1)]]</f>
        <v>0</v>
      </c>
      <c r="N61" s="82">
        <f>+VLOOKUP(B61,TbPiezas[],6,0)</f>
        <v>317.63</v>
      </c>
      <c r="O61" s="83">
        <f>TEN[[#This Row],[TOTAL]]*TEN[[#This Row],[P.U. (2)]]</f>
        <v>0</v>
      </c>
      <c r="P61" s="82">
        <f>+VLOOKUP(B61,TbPiezas[],7,0)</f>
        <v>15.881500000000001</v>
      </c>
      <c r="Q61" s="84">
        <f>ROUND(TEN[[#This Row],[TOTAL]]*TEN[[#This Row],[P.U. (3)]],2)</f>
        <v>0</v>
      </c>
    </row>
    <row r="62" spans="2:17" x14ac:dyDescent="0.3">
      <c r="B62" s="76" t="s">
        <v>686</v>
      </c>
      <c r="C62" s="76" t="s">
        <v>687</v>
      </c>
      <c r="E62" s="120"/>
      <c r="F62" s="120"/>
      <c r="G62" s="74"/>
      <c r="I62" s="76" t="str">
        <f t="shared" si="1"/>
        <v>EN.3200</v>
      </c>
      <c r="J62" s="301" t="str">
        <f>+IF(B62=TEN[[#This Row],[ITEM]],"ok","mal")</f>
        <v>ok</v>
      </c>
      <c r="K62" s="79">
        <f t="shared" si="3"/>
        <v>0</v>
      </c>
      <c r="L62" s="80">
        <f>IF(VLOOKUP(B62,TbPiezas[],5,0)="NA",0,VLOOKUP(B62,TbPiezas[],5,0))</f>
        <v>16.599999999999994</v>
      </c>
      <c r="M62" s="81">
        <f>TEN[[#This Row],[TOTAL]]*TEN[[#This Row],[P.U. (1)]]</f>
        <v>0</v>
      </c>
      <c r="N62" s="82">
        <f>+VLOOKUP(B62,TbPiezas[],6,0)</f>
        <v>777.67</v>
      </c>
      <c r="O62" s="83">
        <f>TEN[[#This Row],[TOTAL]]*TEN[[#This Row],[P.U. (2)]]</f>
        <v>0</v>
      </c>
      <c r="P62" s="82">
        <f>+VLOOKUP(B62,TbPiezas[],7,0)</f>
        <v>38.883499999999998</v>
      </c>
      <c r="Q62" s="84">
        <f>ROUND(TEN[[#This Row],[TOTAL]]*TEN[[#This Row],[P.U. (3)]],2)</f>
        <v>0</v>
      </c>
    </row>
    <row r="63" spans="2:17" x14ac:dyDescent="0.3">
      <c r="B63" s="76" t="s">
        <v>688</v>
      </c>
      <c r="C63" s="76" t="s">
        <v>689</v>
      </c>
      <c r="E63" s="120"/>
      <c r="F63" s="120"/>
      <c r="G63" s="74"/>
      <c r="I63" s="76" t="str">
        <f t="shared" si="1"/>
        <v>EN.3300</v>
      </c>
      <c r="J63" s="301" t="str">
        <f>+IF(B63=TEN[[#This Row],[ITEM]],"ok","mal")</f>
        <v>ok</v>
      </c>
      <c r="K63" s="79">
        <f t="shared" si="3"/>
        <v>0</v>
      </c>
      <c r="L63" s="80">
        <f>IF(VLOOKUP(B63,TbPiezas[],5,0)="NA",0,VLOOKUP(B63,TbPiezas[],5,0))</f>
        <v>12.099999999999994</v>
      </c>
      <c r="M63" s="81">
        <f>TEN[[#This Row],[TOTAL]]*TEN[[#This Row],[P.U. (1)]]</f>
        <v>0</v>
      </c>
      <c r="N63" s="82">
        <f>+VLOOKUP(B63,TbPiezas[],6,0)</f>
        <v>705.81</v>
      </c>
      <c r="O63" s="83">
        <f>TEN[[#This Row],[TOTAL]]*TEN[[#This Row],[P.U. (2)]]</f>
        <v>0</v>
      </c>
      <c r="P63" s="82">
        <f>+VLOOKUP(B63,TbPiezas[],7,0)</f>
        <v>35.290500000000002</v>
      </c>
      <c r="Q63" s="84">
        <f>ROUND(TEN[[#This Row],[TOTAL]]*TEN[[#This Row],[P.U. (3)]],2)</f>
        <v>0</v>
      </c>
    </row>
    <row r="64" spans="2:17" x14ac:dyDescent="0.3">
      <c r="B64" s="76" t="s">
        <v>690</v>
      </c>
      <c r="C64" s="76" t="s">
        <v>691</v>
      </c>
      <c r="E64" s="120"/>
      <c r="F64" s="120"/>
      <c r="G64" s="74"/>
      <c r="I64" s="76" t="str">
        <f t="shared" si="1"/>
        <v>EN.3400</v>
      </c>
      <c r="J64" s="301" t="str">
        <f>+IF(B64=TEN[[#This Row],[ITEM]],"ok","mal")</f>
        <v>ok</v>
      </c>
      <c r="K64" s="79">
        <f t="shared" si="3"/>
        <v>0</v>
      </c>
      <c r="L64" s="80">
        <f>IF(VLOOKUP(B64,TbPiezas[],5,0)="NA",0,VLOOKUP(B64,TbPiezas[],5,0))</f>
        <v>8.2000000000000028</v>
      </c>
      <c r="M64" s="81">
        <f>TEN[[#This Row],[TOTAL]]*TEN[[#This Row],[P.U. (1)]]</f>
        <v>0</v>
      </c>
      <c r="N64" s="82">
        <f>+VLOOKUP(B64,TbPiezas[],6,0)</f>
        <v>610.46</v>
      </c>
      <c r="O64" s="83">
        <f>TEN[[#This Row],[TOTAL]]*TEN[[#This Row],[P.U. (2)]]</f>
        <v>0</v>
      </c>
      <c r="P64" s="82">
        <f>+VLOOKUP(B64,TbPiezas[],7,0)</f>
        <v>30.523000000000003</v>
      </c>
      <c r="Q64" s="84">
        <f>ROUND(TEN[[#This Row],[TOTAL]]*TEN[[#This Row],[P.U. (3)]],2)</f>
        <v>0</v>
      </c>
    </row>
    <row r="65" spans="2:17" x14ac:dyDescent="0.3">
      <c r="B65" s="76" t="s">
        <v>692</v>
      </c>
      <c r="C65" s="76" t="s">
        <v>693</v>
      </c>
      <c r="E65" s="120"/>
      <c r="F65" s="120"/>
      <c r="G65" s="74"/>
      <c r="I65" s="76" t="str">
        <f t="shared" si="1"/>
        <v>EN.3500</v>
      </c>
      <c r="J65" s="301" t="str">
        <f>+IF(B65=TEN[[#This Row],[ITEM]],"ok","mal")</f>
        <v>ok</v>
      </c>
      <c r="K65" s="79">
        <f t="shared" si="3"/>
        <v>0</v>
      </c>
      <c r="L65" s="80">
        <f>IF(VLOOKUP(B65,TbPiezas[],5,0)="NA",0,VLOOKUP(B65,TbPiezas[],5,0))</f>
        <v>11.700000000000003</v>
      </c>
      <c r="M65" s="81">
        <f>TEN[[#This Row],[TOTAL]]*TEN[[#This Row],[P.U. (1)]]</f>
        <v>0</v>
      </c>
      <c r="N65" s="82">
        <f>+VLOOKUP(B65,TbPiezas[],6,0)</f>
        <v>568.55999999999995</v>
      </c>
      <c r="O65" s="83">
        <f>TEN[[#This Row],[TOTAL]]*TEN[[#This Row],[P.U. (2)]]</f>
        <v>0</v>
      </c>
      <c r="P65" s="82">
        <f>+VLOOKUP(B65,TbPiezas[],7,0)</f>
        <v>28.427999999999997</v>
      </c>
      <c r="Q65" s="84">
        <f>ROUND(TEN[[#This Row],[TOTAL]]*TEN[[#This Row],[P.U. (3)]],2)</f>
        <v>0</v>
      </c>
    </row>
    <row r="66" spans="2:17" x14ac:dyDescent="0.3">
      <c r="B66" s="76" t="s">
        <v>694</v>
      </c>
      <c r="C66" s="76" t="s">
        <v>695</v>
      </c>
      <c r="E66" s="120"/>
      <c r="F66" s="120"/>
      <c r="G66" s="74"/>
      <c r="I66" s="76" t="str">
        <f t="shared" si="1"/>
        <v>EN.3600</v>
      </c>
      <c r="J66" s="301" t="str">
        <f>+IF(B66=TEN[[#This Row],[ITEM]],"ok","mal")</f>
        <v>ok</v>
      </c>
      <c r="K66" s="79">
        <f t="shared" si="3"/>
        <v>0</v>
      </c>
      <c r="L66" s="80">
        <f>IF(VLOOKUP(B66,TbPiezas[],5,0)="NA",0,VLOOKUP(B66,TbPiezas[],5,0))</f>
        <v>8.5999999999999943</v>
      </c>
      <c r="M66" s="81">
        <f>TEN[[#This Row],[TOTAL]]*TEN[[#This Row],[P.U. (1)]]</f>
        <v>0</v>
      </c>
      <c r="N66" s="82">
        <f>+VLOOKUP(B66,TbPiezas[],6,0)</f>
        <v>499.23</v>
      </c>
      <c r="O66" s="83">
        <f>TEN[[#This Row],[TOTAL]]*TEN[[#This Row],[P.U. (2)]]</f>
        <v>0</v>
      </c>
      <c r="P66" s="82">
        <f>+VLOOKUP(B66,TbPiezas[],7,0)</f>
        <v>24.961500000000001</v>
      </c>
      <c r="Q66" s="84">
        <f>ROUND(TEN[[#This Row],[TOTAL]]*TEN[[#This Row],[P.U. (3)]],2)</f>
        <v>0</v>
      </c>
    </row>
    <row r="67" spans="2:17" x14ac:dyDescent="0.3">
      <c r="B67" s="76" t="s">
        <v>696</v>
      </c>
      <c r="C67" s="76" t="s">
        <v>697</v>
      </c>
      <c r="E67" s="120"/>
      <c r="F67" s="120"/>
      <c r="G67" s="74"/>
      <c r="I67" s="76" t="str">
        <f t="shared" si="1"/>
        <v>EN.3700</v>
      </c>
      <c r="J67" s="301" t="str">
        <f>+IF(B67=TEN[[#This Row],[ITEM]],"ok","mal")</f>
        <v>ok</v>
      </c>
      <c r="K67" s="79">
        <f t="shared" si="3"/>
        <v>0</v>
      </c>
      <c r="L67" s="80">
        <f>IF(VLOOKUP(B67,TbPiezas[],5,0)="NA",0,VLOOKUP(B67,TbPiezas[],5,0))</f>
        <v>7.5</v>
      </c>
      <c r="M67" s="81">
        <f>TEN[[#This Row],[TOTAL]]*TEN[[#This Row],[P.U. (1)]]</f>
        <v>0</v>
      </c>
      <c r="N67" s="82">
        <f>+VLOOKUP(B67,TbPiezas[],6,0)</f>
        <v>423.29</v>
      </c>
      <c r="O67" s="83">
        <f>TEN[[#This Row],[TOTAL]]*TEN[[#This Row],[P.U. (2)]]</f>
        <v>0</v>
      </c>
      <c r="P67" s="82">
        <f>+VLOOKUP(B67,TbPiezas[],7,0)</f>
        <v>21.164500000000004</v>
      </c>
      <c r="Q67" s="84">
        <f>ROUND(TEN[[#This Row],[TOTAL]]*TEN[[#This Row],[P.U. (3)]],2)</f>
        <v>0</v>
      </c>
    </row>
    <row r="68" spans="2:17" x14ac:dyDescent="0.3">
      <c r="B68" s="76" t="s">
        <v>698</v>
      </c>
      <c r="C68" s="76" t="s">
        <v>699</v>
      </c>
      <c r="E68" s="120"/>
      <c r="F68" s="120"/>
      <c r="G68" s="74"/>
      <c r="I68" s="76" t="str">
        <f t="shared" si="1"/>
        <v>EN.3800</v>
      </c>
      <c r="J68" s="301" t="str">
        <f>+IF(B68=TEN[[#This Row],[ITEM]],"ok","mal")</f>
        <v>ok</v>
      </c>
      <c r="K68" s="79">
        <f t="shared" si="3"/>
        <v>0</v>
      </c>
      <c r="L68" s="80">
        <f>IF(VLOOKUP(B68,TbPiezas[],5,0)="NA",0,VLOOKUP(B68,TbPiezas[],5,0))</f>
        <v>17.599999999999994</v>
      </c>
      <c r="M68" s="81">
        <f>TEN[[#This Row],[TOTAL]]*TEN[[#This Row],[P.U. (1)]]</f>
        <v>0</v>
      </c>
      <c r="N68" s="82">
        <f>+VLOOKUP(B68,TbPiezas[],6,0)</f>
        <v>923.91</v>
      </c>
      <c r="O68" s="83">
        <f>TEN[[#This Row],[TOTAL]]*TEN[[#This Row],[P.U. (2)]]</f>
        <v>0</v>
      </c>
      <c r="P68" s="82">
        <f>+VLOOKUP(B68,TbPiezas[],7,0)</f>
        <v>46.195500000000003</v>
      </c>
      <c r="Q68" s="84">
        <f>ROUND(TEN[[#This Row],[TOTAL]]*TEN[[#This Row],[P.U. (3)]],2)</f>
        <v>0</v>
      </c>
    </row>
    <row r="69" spans="2:17" x14ac:dyDescent="0.3">
      <c r="B69" s="76" t="s">
        <v>700</v>
      </c>
      <c r="C69" s="76" t="s">
        <v>701</v>
      </c>
      <c r="E69" s="120"/>
      <c r="F69" s="120"/>
      <c r="G69" s="74"/>
      <c r="I69" s="76" t="str">
        <f t="shared" si="1"/>
        <v>EN.3900</v>
      </c>
      <c r="J69" s="301" t="str">
        <f>+IF(B69=TEN[[#This Row],[ITEM]],"ok","mal")</f>
        <v>ok</v>
      </c>
      <c r="K69" s="79">
        <f t="shared" si="3"/>
        <v>0</v>
      </c>
      <c r="L69" s="80">
        <f>IF(VLOOKUP(B69,TbPiezas[],5,0)="NA",0,VLOOKUP(B69,TbPiezas[],5,0))</f>
        <v>9.2999999999999972</v>
      </c>
      <c r="M69" s="81">
        <f>TEN[[#This Row],[TOTAL]]*TEN[[#This Row],[P.U. (1)]]</f>
        <v>0</v>
      </c>
      <c r="N69" s="82">
        <f>+VLOOKUP(B69,TbPiezas[],6,0)</f>
        <v>711.4</v>
      </c>
      <c r="O69" s="83">
        <f>TEN[[#This Row],[TOTAL]]*TEN[[#This Row],[P.U. (2)]]</f>
        <v>0</v>
      </c>
      <c r="P69" s="82">
        <f>+VLOOKUP(B69,TbPiezas[],7,0)</f>
        <v>35.57</v>
      </c>
      <c r="Q69" s="84">
        <f>ROUND(TEN[[#This Row],[TOTAL]]*TEN[[#This Row],[P.U. (3)]],2)</f>
        <v>0</v>
      </c>
    </row>
    <row r="70" spans="2:17" x14ac:dyDescent="0.3">
      <c r="B70" s="76" t="s">
        <v>702</v>
      </c>
      <c r="C70" s="76" t="s">
        <v>703</v>
      </c>
      <c r="E70" s="120"/>
      <c r="F70" s="120"/>
      <c r="G70" s="74"/>
      <c r="I70" s="76" t="str">
        <f t="shared" si="1"/>
        <v>EN.4000</v>
      </c>
      <c r="J70" s="301" t="str">
        <f>+IF(B70=TEN[[#This Row],[ITEM]],"ok","mal")</f>
        <v>ok</v>
      </c>
      <c r="K70" s="79">
        <f t="shared" si="3"/>
        <v>0</v>
      </c>
      <c r="L70" s="80">
        <f>IF(VLOOKUP(B70,TbPiezas[],5,0)="NA",0,VLOOKUP(B70,TbPiezas[],5,0))</f>
        <v>4.2999999999999972</v>
      </c>
      <c r="M70" s="81">
        <f>TEN[[#This Row],[TOTAL]]*TEN[[#This Row],[P.U. (1)]]</f>
        <v>0</v>
      </c>
      <c r="N70" s="82">
        <f>+VLOOKUP(B70,TbPiezas[],6,0)</f>
        <v>153.97999999999999</v>
      </c>
      <c r="O70" s="83">
        <f>TEN[[#This Row],[TOTAL]]*TEN[[#This Row],[P.U. (2)]]</f>
        <v>0</v>
      </c>
      <c r="P70" s="82">
        <f>+VLOOKUP(B70,TbPiezas[],7,0)</f>
        <v>7.6989999999999998</v>
      </c>
      <c r="Q70" s="84">
        <f>ROUND(TEN[[#This Row],[TOTAL]]*TEN[[#This Row],[P.U. (3)]],2)</f>
        <v>0</v>
      </c>
    </row>
    <row r="71" spans="2:17" x14ac:dyDescent="0.3">
      <c r="B71" s="76" t="s">
        <v>704</v>
      </c>
      <c r="C71" s="76" t="s">
        <v>705</v>
      </c>
      <c r="E71" s="120"/>
      <c r="F71" s="120"/>
      <c r="G71" s="74"/>
      <c r="I71" s="76" t="str">
        <f t="shared" si="1"/>
        <v>EN.4100</v>
      </c>
      <c r="J71" s="301" t="str">
        <f>+IF(B71=TEN[[#This Row],[ITEM]],"ok","mal")</f>
        <v>ok</v>
      </c>
      <c r="K71" s="79">
        <f t="shared" si="3"/>
        <v>0</v>
      </c>
      <c r="L71" s="80">
        <f>IF(VLOOKUP(B71,TbPiezas[],5,0)="NA",0,VLOOKUP(B71,TbPiezas[],5,0))</f>
        <v>9.6999999999999993</v>
      </c>
      <c r="M71" s="81">
        <f>TEN[[#This Row],[TOTAL]]*TEN[[#This Row],[P.U. (1)]]</f>
        <v>0</v>
      </c>
      <c r="N71" s="82">
        <f>+VLOOKUP(B71,TbPiezas[],6,0)</f>
        <v>1588.13</v>
      </c>
      <c r="O71" s="83">
        <f>TEN[[#This Row],[TOTAL]]*TEN[[#This Row],[P.U. (2)]]</f>
        <v>0</v>
      </c>
      <c r="P71" s="82">
        <f>+VLOOKUP(B71,TbPiezas[],7,0)</f>
        <v>79.406500000000008</v>
      </c>
      <c r="Q71" s="84">
        <f>ROUND(TEN[[#This Row],[TOTAL]]*TEN[[#This Row],[P.U. (3)]],2)</f>
        <v>0</v>
      </c>
    </row>
    <row r="72" spans="2:17" x14ac:dyDescent="0.3">
      <c r="B72" s="76" t="s">
        <v>706</v>
      </c>
      <c r="C72" s="76" t="s">
        <v>707</v>
      </c>
      <c r="E72" s="120"/>
      <c r="F72" s="120"/>
      <c r="G72" s="74"/>
      <c r="I72" s="76" t="str">
        <f>+B72</f>
        <v>EN.4200</v>
      </c>
      <c r="J72" s="301" t="str">
        <f>+IF(B72=TEN[[#This Row],[ITEM]],"ok","mal")</f>
        <v>ok</v>
      </c>
      <c r="K72" s="79">
        <f t="shared" si="3"/>
        <v>0</v>
      </c>
      <c r="L72" s="80">
        <f>IF(VLOOKUP(B72,TbPiezas[],5,0)="NA",0,VLOOKUP(B72,TbPiezas[],5,0))</f>
        <v>3</v>
      </c>
      <c r="M72" s="81">
        <f>TEN[[#This Row],[TOTAL]]*TEN[[#This Row],[P.U. (1)]]</f>
        <v>0</v>
      </c>
      <c r="N72" s="82">
        <f>+VLOOKUP(B72,TbPiezas[],6,0)</f>
        <v>54</v>
      </c>
      <c r="O72" s="83">
        <f>TEN[[#This Row],[TOTAL]]*TEN[[#This Row],[P.U. (2)]]</f>
        <v>0</v>
      </c>
      <c r="P72" s="82">
        <f>+VLOOKUP(B72,TbPiezas[],7,0)</f>
        <v>2.7</v>
      </c>
      <c r="Q72" s="84">
        <f>ROUND(TEN[[#This Row],[TOTAL]]*TEN[[#This Row],[P.U. (3)]],2)</f>
        <v>0</v>
      </c>
    </row>
    <row r="73" spans="2:17" x14ac:dyDescent="0.3">
      <c r="B73" s="76" t="s">
        <v>708</v>
      </c>
      <c r="C73" s="76" t="s">
        <v>709</v>
      </c>
      <c r="E73" s="120"/>
      <c r="F73" s="120"/>
      <c r="G73" s="74"/>
      <c r="I73" s="76" t="str">
        <f>+B73</f>
        <v>EN.4300</v>
      </c>
      <c r="J73" s="301" t="str">
        <f>+IF(B73=TEN[[#This Row],[ITEM]],"ok","mal")</f>
        <v>ok</v>
      </c>
      <c r="K73" s="79">
        <f t="shared" si="3"/>
        <v>0</v>
      </c>
      <c r="L73" s="80">
        <f>IF(VLOOKUP(B73,TbPiezas[],5,0)="NA",0,VLOOKUP(B73,TbPiezas[],5,0))</f>
        <v>7.5</v>
      </c>
      <c r="M73" s="81">
        <f>TEN[[#This Row],[TOTAL]]*TEN[[#This Row],[P.U. (1)]]</f>
        <v>0</v>
      </c>
      <c r="N73" s="82">
        <f>+VLOOKUP(B73,TbPiezas[],6,0)</f>
        <v>153.97999999999999</v>
      </c>
      <c r="O73" s="83">
        <f>TEN[[#This Row],[TOTAL]]*TEN[[#This Row],[P.U. (2)]]</f>
        <v>0</v>
      </c>
      <c r="P73" s="82">
        <f>+VLOOKUP(B73,TbPiezas[],7,0)</f>
        <v>7.6989999999999998</v>
      </c>
      <c r="Q73" s="84">
        <f>ROUND(TEN[[#This Row],[TOTAL]]*TEN[[#This Row],[P.U. (3)]],2)</f>
        <v>0</v>
      </c>
    </row>
    <row r="74" spans="2:17" x14ac:dyDescent="0.3">
      <c r="B74" s="76" t="s">
        <v>710</v>
      </c>
      <c r="C74" s="76" t="s">
        <v>711</v>
      </c>
      <c r="E74" s="120"/>
      <c r="F74" s="120"/>
      <c r="G74" s="74"/>
      <c r="I74" s="76" t="str">
        <f>+B74</f>
        <v>EN.4400</v>
      </c>
      <c r="J74" s="301" t="str">
        <f>+IF(B74=TEN[[#This Row],[ITEM]],"ok","mal")</f>
        <v>ok</v>
      </c>
      <c r="K74" s="79">
        <f t="shared" si="3"/>
        <v>0</v>
      </c>
      <c r="L74" s="80">
        <f>IF(VLOOKUP(B74,TbPiezas[],5,0)="NA",0,VLOOKUP(B74,TbPiezas[],5,0))</f>
        <v>2.2999999999999972</v>
      </c>
      <c r="M74" s="81">
        <f>TEN[[#This Row],[TOTAL]]*TEN[[#This Row],[P.U. (1)]]</f>
        <v>0</v>
      </c>
      <c r="N74" s="82">
        <f>+VLOOKUP(B74,TbPiezas[],6,0)</f>
        <v>76.87</v>
      </c>
      <c r="O74" s="83">
        <f>TEN[[#This Row],[TOTAL]]*TEN[[#This Row],[P.U. (2)]]</f>
        <v>0</v>
      </c>
      <c r="P74" s="82">
        <f>+VLOOKUP(B74,TbPiezas[],7,0)</f>
        <v>3.8435000000000006</v>
      </c>
      <c r="Q74" s="84">
        <f>ROUND(TEN[[#This Row],[TOTAL]]*TEN[[#This Row],[P.U. (3)]],2)</f>
        <v>0</v>
      </c>
    </row>
    <row r="75" spans="2:17" ht="7.5" customHeight="1" x14ac:dyDescent="0.3">
      <c r="C75" s="42"/>
      <c r="E75" s="8"/>
      <c r="F75" s="8"/>
      <c r="G75" s="122"/>
      <c r="I75" s="42"/>
      <c r="J75" s="150"/>
      <c r="K75" s="42"/>
    </row>
    <row r="76" spans="2:17" ht="15" customHeight="1" x14ac:dyDescent="0.3">
      <c r="C76" s="42"/>
      <c r="E76" s="8"/>
      <c r="F76" s="8"/>
      <c r="G76" s="122"/>
      <c r="I76" s="42"/>
      <c r="J76" s="150"/>
      <c r="K76" s="42"/>
      <c r="L76" s="327" t="s">
        <v>1169</v>
      </c>
      <c r="M76" s="89">
        <f>SUM(M5:M75)</f>
        <v>0</v>
      </c>
      <c r="N76" s="90" t="s">
        <v>1170</v>
      </c>
      <c r="O76" s="91">
        <f>SUM(O5:O75)</f>
        <v>0</v>
      </c>
      <c r="P76" s="92" t="s">
        <v>1170</v>
      </c>
      <c r="Q76" s="93">
        <f>SUM(Q5:Q75)</f>
        <v>0</v>
      </c>
    </row>
    <row r="77" spans="2:17" ht="15" customHeight="1" x14ac:dyDescent="0.3">
      <c r="C77" s="42"/>
      <c r="E77" s="8"/>
      <c r="F77" s="8"/>
      <c r="G77" s="122"/>
      <c r="I77" s="42"/>
      <c r="J77" s="150"/>
      <c r="K77" s="42"/>
      <c r="L77" s="502" t="s">
        <v>1286</v>
      </c>
      <c r="M77" s="492">
        <f>+M76/1000</f>
        <v>0</v>
      </c>
      <c r="N77" s="344" t="s">
        <v>1289</v>
      </c>
      <c r="O77" s="449">
        <f>-O76*N78</f>
        <v>0</v>
      </c>
      <c r="P77" s="95" t="s">
        <v>1289</v>
      </c>
      <c r="Q77" s="450">
        <f>-Q76*P78</f>
        <v>0</v>
      </c>
    </row>
    <row r="78" spans="2:17" x14ac:dyDescent="0.3">
      <c r="C78" s="42"/>
      <c r="E78" s="8"/>
      <c r="F78" s="8"/>
      <c r="G78" s="122"/>
      <c r="I78" s="42"/>
      <c r="J78" s="150"/>
      <c r="K78" s="42"/>
      <c r="L78" s="502"/>
      <c r="M78" s="492"/>
      <c r="N78" s="345"/>
      <c r="O78" s="449"/>
      <c r="P78" s="97"/>
      <c r="Q78" s="450"/>
    </row>
    <row r="79" spans="2:17" ht="7.5" customHeight="1" x14ac:dyDescent="0.3">
      <c r="C79" s="42"/>
      <c r="E79" s="122"/>
      <c r="F79" s="122"/>
      <c r="G79" s="122"/>
      <c r="I79" s="42"/>
      <c r="J79" s="150"/>
      <c r="K79" s="42"/>
      <c r="L79" s="2"/>
      <c r="M79" s="2"/>
    </row>
    <row r="80" spans="2:17" ht="15" customHeight="1" x14ac:dyDescent="0.3">
      <c r="C80" s="42"/>
      <c r="E80" s="122"/>
      <c r="F80" s="122"/>
      <c r="G80" s="122"/>
      <c r="I80" s="42"/>
      <c r="J80" s="150"/>
      <c r="K80" s="42"/>
      <c r="L80" s="503" t="s">
        <v>1173</v>
      </c>
      <c r="M80" s="83">
        <v>0</v>
      </c>
      <c r="N80" s="98" t="s">
        <v>1170</v>
      </c>
      <c r="O80" s="83">
        <f>O76+O77</f>
        <v>0</v>
      </c>
      <c r="P80" s="82" t="s">
        <v>1170</v>
      </c>
      <c r="Q80" s="84">
        <f>Q76+Q77</f>
        <v>0</v>
      </c>
    </row>
    <row r="81" spans="2:17" x14ac:dyDescent="0.3">
      <c r="C81" s="42"/>
      <c r="E81" s="122"/>
      <c r="F81" s="122"/>
      <c r="I81" s="42"/>
      <c r="J81" s="150"/>
      <c r="K81" s="42"/>
      <c r="L81" s="503"/>
      <c r="M81" s="83">
        <v>0</v>
      </c>
      <c r="N81" s="98" t="s">
        <v>1174</v>
      </c>
      <c r="O81" s="83">
        <f>0.18*O80</f>
        <v>0</v>
      </c>
      <c r="P81" s="82" t="s">
        <v>1174</v>
      </c>
      <c r="Q81" s="84">
        <f>0.18*Q80</f>
        <v>0</v>
      </c>
    </row>
    <row r="82" spans="2:17" ht="7.5" customHeight="1" x14ac:dyDescent="0.3">
      <c r="C82" s="42"/>
      <c r="E82" s="122"/>
      <c r="F82" s="122"/>
      <c r="G82" s="122"/>
      <c r="I82" s="42"/>
      <c r="J82" s="150"/>
      <c r="K82" s="42"/>
      <c r="L82" s="2"/>
      <c r="M82" s="2"/>
    </row>
    <row r="83" spans="2:17" x14ac:dyDescent="0.3">
      <c r="C83" s="42"/>
      <c r="E83" s="122"/>
      <c r="F83" s="122"/>
      <c r="G83" s="122"/>
      <c r="I83" s="42"/>
      <c r="J83" s="150"/>
      <c r="K83" s="42"/>
      <c r="L83" s="2"/>
      <c r="M83" s="99"/>
      <c r="N83" s="100" t="s">
        <v>1162</v>
      </c>
      <c r="O83" s="101">
        <f>+O80+O81</f>
        <v>0</v>
      </c>
      <c r="P83" s="100" t="s">
        <v>1162</v>
      </c>
      <c r="Q83" s="102">
        <f>+Q80+Q81</f>
        <v>0</v>
      </c>
    </row>
    <row r="84" spans="2:17" x14ac:dyDescent="0.3">
      <c r="B84" s="42"/>
      <c r="C84" s="42"/>
      <c r="D84" s="42"/>
      <c r="E84" s="122"/>
      <c r="F84" s="122"/>
      <c r="G84" s="122"/>
      <c r="H84" s="42"/>
      <c r="I84" s="42"/>
      <c r="J84" s="150"/>
      <c r="K84" s="42"/>
    </row>
    <row r="85" spans="2:17" x14ac:dyDescent="0.3">
      <c r="B85" s="42"/>
      <c r="C85" s="42"/>
      <c r="D85" s="42"/>
      <c r="E85" s="122"/>
      <c r="F85" s="122"/>
      <c r="G85" s="122"/>
      <c r="H85" s="42"/>
      <c r="I85" s="42"/>
      <c r="J85" s="150"/>
      <c r="K85" s="42"/>
    </row>
    <row r="86" spans="2:17" x14ac:dyDescent="0.3">
      <c r="B86" s="42"/>
      <c r="C86" s="42"/>
      <c r="D86" s="42"/>
      <c r="E86" s="122"/>
      <c r="F86" s="122"/>
      <c r="G86" s="122"/>
      <c r="H86" s="42"/>
      <c r="I86" s="42"/>
      <c r="J86" s="150"/>
      <c r="K86" s="42"/>
    </row>
    <row r="87" spans="2:17" x14ac:dyDescent="0.3">
      <c r="B87" s="42"/>
      <c r="C87" s="42"/>
      <c r="D87" s="42"/>
      <c r="E87" s="122"/>
      <c r="F87" s="122"/>
      <c r="G87" s="122"/>
      <c r="H87" s="42"/>
      <c r="I87" s="42"/>
      <c r="J87" s="150"/>
      <c r="K87" s="42"/>
    </row>
    <row r="88" spans="2:17" x14ac:dyDescent="0.3">
      <c r="B88" s="42"/>
      <c r="C88" s="42"/>
      <c r="D88" s="42"/>
      <c r="E88" s="123"/>
      <c r="F88" s="123"/>
      <c r="G88" s="42"/>
      <c r="H88" s="42"/>
      <c r="I88" s="42"/>
      <c r="J88" s="150"/>
      <c r="K88" s="42"/>
    </row>
    <row r="89" spans="2:17" x14ac:dyDescent="0.3">
      <c r="B89" s="42"/>
      <c r="C89" s="42"/>
      <c r="D89" s="42"/>
      <c r="E89" s="123"/>
      <c r="F89" s="123"/>
      <c r="G89" s="42"/>
      <c r="H89" s="42"/>
      <c r="I89" s="42"/>
      <c r="J89" s="150"/>
      <c r="K89" s="42"/>
    </row>
    <row r="90" spans="2:17" x14ac:dyDescent="0.3">
      <c r="B90" s="42"/>
      <c r="C90" s="42"/>
      <c r="D90" s="42"/>
      <c r="E90" s="123"/>
      <c r="F90" s="123"/>
      <c r="G90" s="42"/>
      <c r="H90" s="42"/>
      <c r="I90" s="42"/>
      <c r="J90" s="150"/>
      <c r="K90" s="42"/>
    </row>
    <row r="91" spans="2:17" x14ac:dyDescent="0.3">
      <c r="B91" s="42"/>
      <c r="C91" s="42"/>
      <c r="D91" s="42"/>
      <c r="E91" s="123"/>
      <c r="F91" s="123"/>
      <c r="G91" s="42"/>
      <c r="H91" s="42"/>
      <c r="I91" s="42"/>
      <c r="J91" s="150"/>
      <c r="K91" s="42"/>
    </row>
    <row r="92" spans="2:17" ht="2.85" customHeight="1" x14ac:dyDescent="0.3"/>
  </sheetData>
  <autoFilter ref="B5:G5" xr:uid="{1EB2EB53-F805-4C33-8CD5-348FEB134F01}"/>
  <mergeCells count="8">
    <mergeCell ref="L80:L81"/>
    <mergeCell ref="L4:M4"/>
    <mergeCell ref="N4:O4"/>
    <mergeCell ref="P4:Q4"/>
    <mergeCell ref="L77:L78"/>
    <mergeCell ref="M77:M78"/>
    <mergeCell ref="O77:O78"/>
    <mergeCell ref="Q77:Q78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50AB-51DF-4E33-A688-6D0B63A9E087}">
  <sheetPr codeName="Hoja21">
    <tabColor rgb="FF00B0F0"/>
  </sheetPr>
  <dimension ref="B1:R36"/>
  <sheetViews>
    <sheetView workbookViewId="0">
      <selection activeCell="E10" sqref="E10"/>
    </sheetView>
  </sheetViews>
  <sheetFormatPr baseColWidth="10" defaultColWidth="11.44140625" defaultRowHeight="15" customHeight="1" outlineLevelRow="1" outlineLevelCol="1" x14ac:dyDescent="0.3"/>
  <cols>
    <col min="1" max="1" width="1.6640625" style="2" customWidth="1"/>
    <col min="2" max="2" width="11.44140625" style="2"/>
    <col min="3" max="3" width="33.77734375" style="2" bestFit="1" customWidth="1"/>
    <col min="4" max="4" width="6.6640625" style="2" customWidth="1" outlineLevel="1"/>
    <col min="5" max="6" width="8.5546875" style="40" bestFit="1" customWidth="1" outlineLevel="1"/>
    <col min="7" max="7" width="8.5546875" style="40" customWidth="1" outlineLevel="1"/>
    <col min="8" max="8" width="3.6640625" style="2" customWidth="1"/>
    <col min="9" max="9" width="12.33203125" style="40" hidden="1" customWidth="1"/>
    <col min="10" max="10" width="6.33203125" style="40" hidden="1" customWidth="1"/>
    <col min="11" max="11" width="12.33203125" style="40" customWidth="1"/>
    <col min="12" max="13" width="13.33203125" style="42" customWidth="1"/>
    <col min="14" max="17" width="13.33203125" style="43" customWidth="1"/>
    <col min="18" max="16384" width="11.44140625" style="2"/>
  </cols>
  <sheetData>
    <row r="1" spans="2:18" ht="7.5" customHeight="1" x14ac:dyDescent="0.3">
      <c r="E1" s="4"/>
      <c r="F1" s="4"/>
      <c r="G1" s="2"/>
      <c r="I1" s="2"/>
      <c r="J1" s="68"/>
      <c r="K1" s="2"/>
    </row>
    <row r="2" spans="2:18" ht="15" customHeight="1" x14ac:dyDescent="0.3">
      <c r="B2" s="182" t="s">
        <v>1209</v>
      </c>
      <c r="C2" s="183"/>
      <c r="E2" s="43"/>
      <c r="F2" s="43"/>
      <c r="G2" s="43"/>
      <c r="H2" s="43"/>
      <c r="I2" s="43"/>
      <c r="J2" s="43"/>
      <c r="K2" s="43"/>
      <c r="L2" s="2"/>
      <c r="M2" s="2"/>
      <c r="N2" s="2"/>
      <c r="O2" s="2"/>
    </row>
    <row r="3" spans="2:18" ht="7.5" customHeight="1" x14ac:dyDescent="0.3">
      <c r="E3" s="4"/>
      <c r="F3" s="4"/>
      <c r="G3" s="2"/>
      <c r="I3" s="2"/>
      <c r="J3" s="68"/>
      <c r="K3" s="2"/>
    </row>
    <row r="4" spans="2:18" ht="15" customHeight="1" outlineLevel="1" x14ac:dyDescent="0.3">
      <c r="C4" s="184" t="s">
        <v>1051</v>
      </c>
      <c r="E4" s="185">
        <v>1.5</v>
      </c>
      <c r="F4" s="185">
        <v>1.5</v>
      </c>
      <c r="G4" s="185"/>
      <c r="I4" s="2"/>
      <c r="J4" s="2"/>
      <c r="K4" s="2"/>
      <c r="M4" s="43"/>
      <c r="R4" s="43"/>
    </row>
    <row r="5" spans="2:18" ht="15" customHeight="1" outlineLevel="1" x14ac:dyDescent="0.3">
      <c r="C5" s="186" t="s">
        <v>1210</v>
      </c>
      <c r="E5" s="187" t="s">
        <v>1054</v>
      </c>
      <c r="F5" s="187" t="s">
        <v>1054</v>
      </c>
      <c r="G5" s="187"/>
      <c r="I5" s="2"/>
      <c r="J5" s="2"/>
      <c r="K5" s="2"/>
      <c r="R5" s="43"/>
    </row>
    <row r="6" spans="2:18" ht="15" customHeight="1" outlineLevel="1" x14ac:dyDescent="0.3">
      <c r="C6" s="186" t="s">
        <v>995</v>
      </c>
      <c r="E6" s="171" t="s">
        <v>1019</v>
      </c>
      <c r="F6" s="171" t="s">
        <v>1019</v>
      </c>
      <c r="G6" s="171"/>
      <c r="I6" s="2"/>
      <c r="J6" s="2"/>
      <c r="K6" s="2"/>
    </row>
    <row r="7" spans="2:18" ht="7.5" customHeight="1" outlineLevel="1" x14ac:dyDescent="0.3">
      <c r="E7" s="4"/>
      <c r="F7" s="4"/>
      <c r="G7" s="2"/>
      <c r="I7" s="2"/>
      <c r="J7" s="68"/>
      <c r="K7" s="2"/>
    </row>
    <row r="8" spans="2:18" s="68" customFormat="1" ht="15" customHeight="1" x14ac:dyDescent="0.3">
      <c r="B8" s="105"/>
      <c r="C8" s="105"/>
      <c r="E8" s="106" t="s">
        <v>1207</v>
      </c>
      <c r="F8" s="106" t="s">
        <v>1208</v>
      </c>
      <c r="G8" s="106" t="s">
        <v>1208</v>
      </c>
      <c r="K8" s="107">
        <f>SUM(TD[TOTAL])</f>
        <v>10</v>
      </c>
      <c r="L8" s="454" t="s">
        <v>2</v>
      </c>
      <c r="M8" s="455"/>
      <c r="N8" s="456" t="s">
        <v>1158</v>
      </c>
      <c r="O8" s="457"/>
      <c r="P8" s="443" t="s">
        <v>1159</v>
      </c>
      <c r="Q8" s="444"/>
    </row>
    <row r="9" spans="2:18" s="68" customFormat="1" ht="15" customHeight="1" x14ac:dyDescent="0.3">
      <c r="B9" s="109" t="s">
        <v>1</v>
      </c>
      <c r="C9" s="109" t="s">
        <v>0</v>
      </c>
      <c r="E9" s="110">
        <f>SUM(E10:E20)</f>
        <v>6</v>
      </c>
      <c r="F9" s="110">
        <f>SUM(F10:F20)</f>
        <v>6</v>
      </c>
      <c r="G9" s="110">
        <f>SUM(G10:G20)</f>
        <v>0</v>
      </c>
      <c r="I9" s="112" t="s">
        <v>1</v>
      </c>
      <c r="J9" s="112" t="s">
        <v>1161</v>
      </c>
      <c r="K9" s="112" t="s">
        <v>1162</v>
      </c>
      <c r="L9" s="188" t="s">
        <v>1163</v>
      </c>
      <c r="M9" s="188" t="s">
        <v>1164</v>
      </c>
      <c r="N9" s="189" t="s">
        <v>1165</v>
      </c>
      <c r="O9" s="189" t="s">
        <v>1166</v>
      </c>
      <c r="P9" s="190" t="s">
        <v>1167</v>
      </c>
      <c r="Q9" s="190" t="s">
        <v>1168</v>
      </c>
    </row>
    <row r="10" spans="2:18" ht="15" customHeight="1" x14ac:dyDescent="0.3">
      <c r="B10" s="76" t="s">
        <v>273</v>
      </c>
      <c r="C10" s="76" t="s">
        <v>274</v>
      </c>
      <c r="E10" s="171">
        <f>IF(E4=1.5,1,0)</f>
        <v>1</v>
      </c>
      <c r="F10" s="171">
        <f>IF(F4=1.5,1,0)</f>
        <v>1</v>
      </c>
      <c r="G10" s="171">
        <f>IF(G4=1.5,1,0)</f>
        <v>0</v>
      </c>
      <c r="I10" s="76" t="str">
        <f>+B10</f>
        <v>EC.0600</v>
      </c>
      <c r="J10" s="74" t="str">
        <f>+IF(TD[[#This Row],[ITEM]]=B10,"ok","mal")</f>
        <v>ok</v>
      </c>
      <c r="K10" s="79"/>
      <c r="L10" s="80">
        <f>IF(VLOOKUP(B10,TbPiezas[],5,0)="NA",0,VLOOKUP(B10,TbPiezas[],5,0))</f>
        <v>203</v>
      </c>
      <c r="M10" s="81">
        <f>TD[[#This Row],[TOTAL]]*TD[[#This Row],[P.U. (1)]]</f>
        <v>0</v>
      </c>
      <c r="N10" s="82">
        <f>+VLOOKUP(B10,TbPiezas[],6,0)</f>
        <v>6098.4</v>
      </c>
      <c r="O10" s="83">
        <f>ROUND(TD[[#This Row],[TOTAL]]*TD[[#This Row],[P.U. (2)]],2)</f>
        <v>0</v>
      </c>
      <c r="P10" s="82">
        <f>+VLOOKUP(B10,TbPiezas[],7,0)</f>
        <v>304.92</v>
      </c>
      <c r="Q10" s="84">
        <f>ROUND(TD[[#This Row],[TOTAL]]*TD[[#This Row],[P.U. (3)]],2)</f>
        <v>0</v>
      </c>
    </row>
    <row r="11" spans="2:18" ht="15" customHeight="1" x14ac:dyDescent="0.3">
      <c r="B11" s="76" t="s">
        <v>275</v>
      </c>
      <c r="C11" s="76" t="s">
        <v>276</v>
      </c>
      <c r="E11" s="139">
        <f>IF(E4=2,1,0)</f>
        <v>0</v>
      </c>
      <c r="F11" s="139">
        <f>IF(F4=2,1,0)</f>
        <v>0</v>
      </c>
      <c r="G11" s="139">
        <f>IF(G4=2,1,0)</f>
        <v>0</v>
      </c>
      <c r="I11" s="76" t="str">
        <f t="shared" ref="I11:I19" si="0">+B11</f>
        <v>EC.0700</v>
      </c>
      <c r="J11" s="74" t="str">
        <f>+IF(TD[[#This Row],[ITEM]]=B11,"ok","mal")</f>
        <v>ok</v>
      </c>
      <c r="K11" s="79">
        <f t="shared" ref="K11:K19" si="1">SUM(D11:H11)</f>
        <v>0</v>
      </c>
      <c r="L11" s="80">
        <f>IF(VLOOKUP(B11,TbPiezas[],5,0)="NA",0,VLOOKUP(B11,TbPiezas[],5,0))</f>
        <v>290</v>
      </c>
      <c r="M11" s="81">
        <f>TD[[#This Row],[TOTAL]]*TD[[#This Row],[P.U. (1)]]</f>
        <v>0</v>
      </c>
      <c r="N11" s="82">
        <f>+VLOOKUP(B11,TbPiezas[],6,0)</f>
        <v>8639.4</v>
      </c>
      <c r="O11" s="83">
        <f>ROUND(TD[[#This Row],[TOTAL]]*TD[[#This Row],[P.U. (2)]],2)</f>
        <v>0</v>
      </c>
      <c r="P11" s="82">
        <f>+VLOOKUP(B11,TbPiezas[],7,0)</f>
        <v>431.97</v>
      </c>
      <c r="Q11" s="84">
        <f>ROUND(TD[[#This Row],[TOTAL]]*TD[[#This Row],[P.U. (3)]],2)</f>
        <v>0</v>
      </c>
    </row>
    <row r="12" spans="2:18" ht="15" customHeight="1" x14ac:dyDescent="0.3">
      <c r="B12" s="76" t="s">
        <v>277</v>
      </c>
      <c r="C12" s="76" t="s">
        <v>278</v>
      </c>
      <c r="E12" s="139">
        <f>IF(E4=1.5,E10*2,0)</f>
        <v>2</v>
      </c>
      <c r="F12" s="139">
        <f>IF(F4=1.5,F10*2,0)</f>
        <v>2</v>
      </c>
      <c r="G12" s="139">
        <f>IF(G4=1.5,G10*2,0)</f>
        <v>0</v>
      </c>
      <c r="I12" s="76" t="str">
        <f t="shared" si="0"/>
        <v>EC.0710</v>
      </c>
      <c r="J12" s="74" t="str">
        <f>+IF(TD[[#This Row],[ITEM]]=B12,"ok","mal")</f>
        <v>ok</v>
      </c>
      <c r="K12" s="79">
        <f t="shared" si="1"/>
        <v>4</v>
      </c>
      <c r="L12" s="80">
        <f>IF(VLOOKUP(B12,TbPiezas[],5,0)="NA",0,VLOOKUP(B12,TbPiezas[],5,0))</f>
        <v>13.1</v>
      </c>
      <c r="M12" s="81">
        <f>TD[[#This Row],[TOTAL]]*TD[[#This Row],[P.U. (1)]]</f>
        <v>52.4</v>
      </c>
      <c r="N12" s="82">
        <f>+VLOOKUP(B12,TbPiezas[],6,0)</f>
        <v>825.83</v>
      </c>
      <c r="O12" s="83">
        <f>ROUND(TD[[#This Row],[TOTAL]]*TD[[#This Row],[P.U. (2)]],2)</f>
        <v>3303.32</v>
      </c>
      <c r="P12" s="82">
        <f>+VLOOKUP(B12,TbPiezas[],7,0)</f>
        <v>41.291500000000006</v>
      </c>
      <c r="Q12" s="84">
        <f>ROUND(TD[[#This Row],[TOTAL]]*TD[[#This Row],[P.U. (3)]],2)</f>
        <v>165.17</v>
      </c>
    </row>
    <row r="13" spans="2:18" ht="15" customHeight="1" x14ac:dyDescent="0.3">
      <c r="B13" s="76" t="s">
        <v>279</v>
      </c>
      <c r="C13" s="76" t="s">
        <v>280</v>
      </c>
      <c r="E13" s="139">
        <f>IF(AND(E4=2,E5="NUEVA"),E11*2,0)</f>
        <v>0</v>
      </c>
      <c r="F13" s="139">
        <f>IF(AND(F4=2,F5="NUEVA"),F11*2,0)</f>
        <v>0</v>
      </c>
      <c r="G13" s="139">
        <f>IF(AND(G4=2,G5="NUEVA"),G11*2,0)</f>
        <v>0</v>
      </c>
      <c r="I13" s="76" t="str">
        <f t="shared" si="0"/>
        <v>EC.0711</v>
      </c>
      <c r="J13" s="74" t="str">
        <f>+IF(TD[[#This Row],[ITEM]]=B13,"ok","mal")</f>
        <v>ok</v>
      </c>
      <c r="K13" s="79">
        <f t="shared" si="1"/>
        <v>0</v>
      </c>
      <c r="L13" s="80">
        <f>IF(VLOOKUP(B13,TbPiezas[],5,0)="NA",0,VLOOKUP(B13,TbPiezas[],5,0))</f>
        <v>12.2</v>
      </c>
      <c r="M13" s="81">
        <f>TD[[#This Row],[TOTAL]]*TD[[#This Row],[P.U. (1)]]</f>
        <v>0</v>
      </c>
      <c r="N13" s="82">
        <f>+VLOOKUP(B13,TbPiezas[],6,0)</f>
        <v>974.64</v>
      </c>
      <c r="O13" s="83">
        <f>ROUND(TD[[#This Row],[TOTAL]]*TD[[#This Row],[P.U. (2)]],2)</f>
        <v>0</v>
      </c>
      <c r="P13" s="82">
        <f>+VLOOKUP(B13,TbPiezas[],7,0)</f>
        <v>48.731999999999999</v>
      </c>
      <c r="Q13" s="84">
        <f>ROUND(TD[[#This Row],[TOTAL]]*TD[[#This Row],[P.U. (3)]],2)</f>
        <v>0</v>
      </c>
    </row>
    <row r="14" spans="2:18" ht="15" customHeight="1" x14ac:dyDescent="0.3">
      <c r="B14" s="76" t="s">
        <v>281</v>
      </c>
      <c r="C14" s="76" t="s">
        <v>282</v>
      </c>
      <c r="E14" s="139">
        <f>IF(AND(E4=2,E5="NUEVA"),E11*2,0)</f>
        <v>0</v>
      </c>
      <c r="F14" s="139">
        <f>IF(AND(F4=2,F5="NUEVA"),F11*2,0)</f>
        <v>0</v>
      </c>
      <c r="G14" s="139">
        <f>IF(AND(G4=2,G5="NUEVA"),G11*2,0)</f>
        <v>0</v>
      </c>
      <c r="I14" s="76" t="str">
        <f t="shared" si="0"/>
        <v>EC.0712</v>
      </c>
      <c r="J14" s="74" t="str">
        <f>+IF(TD[[#This Row],[ITEM]]=B14,"ok","mal")</f>
        <v>ok</v>
      </c>
      <c r="K14" s="79">
        <f t="shared" si="1"/>
        <v>0</v>
      </c>
      <c r="L14" s="80">
        <f>IF(VLOOKUP(B14,TbPiezas[],5,0)="NA",0,VLOOKUP(B14,TbPiezas[],5,0))</f>
        <v>12.2</v>
      </c>
      <c r="M14" s="81">
        <f>TD[[#This Row],[TOTAL]]*TD[[#This Row],[P.U. (1)]]</f>
        <v>0</v>
      </c>
      <c r="N14" s="82">
        <f>+VLOOKUP(B14,TbPiezas[],6,0)</f>
        <v>974.64</v>
      </c>
      <c r="O14" s="83">
        <f>ROUND(TD[[#This Row],[TOTAL]]*TD[[#This Row],[P.U. (2)]],2)</f>
        <v>0</v>
      </c>
      <c r="P14" s="82">
        <f>+VLOOKUP(B14,TbPiezas[],7,0)</f>
        <v>48.731999999999999</v>
      </c>
      <c r="Q14" s="84">
        <f>ROUND(TD[[#This Row],[TOTAL]]*TD[[#This Row],[P.U. (3)]],2)</f>
        <v>0</v>
      </c>
    </row>
    <row r="15" spans="2:18" ht="15" customHeight="1" x14ac:dyDescent="0.3">
      <c r="B15" s="76" t="s">
        <v>283</v>
      </c>
      <c r="C15" s="76" t="s">
        <v>284</v>
      </c>
      <c r="E15" s="139">
        <f>IF(AND(E4=1.5,E5="NUEVA"),"ERROR",IF(AND(E4=1.5,E5="ANTIGUA"),2,))</f>
        <v>2</v>
      </c>
      <c r="F15" s="139">
        <f>IF(AND(F4=1.5,F5="NUEVA"),"ERROR",IF(AND(F4=1.5,F5="ANTIGUA"),2,))</f>
        <v>2</v>
      </c>
      <c r="G15" s="139">
        <f>IF(AND(G4=1.5,G5="NUEVA"),"ERROR",IF(AND(G4=1.5,G5="ANTIGUA"),2,))</f>
        <v>0</v>
      </c>
      <c r="I15" s="76" t="str">
        <f t="shared" si="0"/>
        <v>EC.0713</v>
      </c>
      <c r="J15" s="74" t="str">
        <f>+IF(TD[[#This Row],[ITEM]]=B15,"ok","mal")</f>
        <v>ok</v>
      </c>
      <c r="K15" s="79">
        <f t="shared" si="1"/>
        <v>4</v>
      </c>
      <c r="L15" s="80">
        <f>IF(VLOOKUP(B15,TbPiezas[],5,0)="NA",0,VLOOKUP(B15,TbPiezas[],5,0))</f>
        <v>12</v>
      </c>
      <c r="M15" s="81">
        <f>TD[[#This Row],[TOTAL]]*TD[[#This Row],[P.U. (1)]]</f>
        <v>48</v>
      </c>
      <c r="N15" s="82">
        <f>+VLOOKUP(B15,TbPiezas[],6,0)</f>
        <v>947.63</v>
      </c>
      <c r="O15" s="83">
        <f>ROUND(TD[[#This Row],[TOTAL]]*TD[[#This Row],[P.U. (2)]],2)</f>
        <v>3790.52</v>
      </c>
      <c r="P15" s="82">
        <f>+VLOOKUP(B15,TbPiezas[],7,0)</f>
        <v>47.381500000000003</v>
      </c>
      <c r="Q15" s="84">
        <f>ROUND(TD[[#This Row],[TOTAL]]*TD[[#This Row],[P.U. (3)]],2)</f>
        <v>189.53</v>
      </c>
    </row>
    <row r="16" spans="2:18" ht="15" customHeight="1" x14ac:dyDescent="0.3">
      <c r="B16" s="76" t="s">
        <v>285</v>
      </c>
      <c r="C16" s="76" t="s">
        <v>286</v>
      </c>
      <c r="E16" s="139">
        <f>IF(AND(E4=2,E5="NUEVA"),2,IF(AND(E4=2,E5="ANTIGUA"),0,))</f>
        <v>0</v>
      </c>
      <c r="F16" s="139">
        <f>IF(AND(F4=2,F5="NUEVA"),2,IF(AND(F4=2,F5="ANTIGUA"),0,))</f>
        <v>0</v>
      </c>
      <c r="G16" s="139">
        <f>IF(AND(G4=2,G5="NUEVA"),2,IF(AND(G4=2,G5="ANTIGUA"),0,))</f>
        <v>0</v>
      </c>
      <c r="I16" s="76" t="str">
        <f t="shared" si="0"/>
        <v>EC.0714</v>
      </c>
      <c r="J16" s="74" t="str">
        <f>+IF(TD[[#This Row],[ITEM]]=B16,"ok","mal")</f>
        <v>ok</v>
      </c>
      <c r="K16" s="79">
        <f t="shared" si="1"/>
        <v>0</v>
      </c>
      <c r="L16" s="80">
        <f>IF(VLOOKUP(B16,TbPiezas[],5,0)="NA",0,VLOOKUP(B16,TbPiezas[],5,0))</f>
        <v>13.1</v>
      </c>
      <c r="M16" s="81">
        <f>TD[[#This Row],[TOTAL]]*TD[[#This Row],[P.U. (1)]]</f>
        <v>0</v>
      </c>
      <c r="N16" s="82">
        <f>+VLOOKUP(B16,TbPiezas[],6,0)</f>
        <v>1114.8599999999999</v>
      </c>
      <c r="O16" s="83">
        <f>ROUND(TD[[#This Row],[TOTAL]]*TD[[#This Row],[P.U. (2)]],2)</f>
        <v>0</v>
      </c>
      <c r="P16" s="82">
        <f>+VLOOKUP(B16,TbPiezas[],7,0)</f>
        <v>55.742999999999995</v>
      </c>
      <c r="Q16" s="84">
        <f>ROUND(TD[[#This Row],[TOTAL]]*TD[[#This Row],[P.U. (3)]],2)</f>
        <v>0</v>
      </c>
    </row>
    <row r="17" spans="2:17" ht="15" customHeight="1" x14ac:dyDescent="0.3">
      <c r="B17" s="76" t="s">
        <v>287</v>
      </c>
      <c r="C17" s="76" t="s">
        <v>288</v>
      </c>
      <c r="E17" s="139">
        <f>IF(AND(E4=2,E5="NUEVA"),E11*2,0)</f>
        <v>0</v>
      </c>
      <c r="F17" s="139">
        <f>IF(AND(F4=2,F5="NUEVA"),F11*2,0)</f>
        <v>0</v>
      </c>
      <c r="G17" s="139">
        <f>IF(AND(G4=2,G5="NUEVA"),G11*2,0)</f>
        <v>0</v>
      </c>
      <c r="I17" s="76" t="str">
        <f t="shared" si="0"/>
        <v>EC.0720</v>
      </c>
      <c r="J17" s="74" t="str">
        <f>+IF(TD[[#This Row],[ITEM]]=B17,"ok","mal")</f>
        <v>ok</v>
      </c>
      <c r="K17" s="79">
        <f t="shared" si="1"/>
        <v>0</v>
      </c>
      <c r="L17" s="80">
        <f>IF(VLOOKUP(B17,TbPiezas[],5,0)="NA",0,VLOOKUP(B17,TbPiezas[],5,0))</f>
        <v>3.4</v>
      </c>
      <c r="M17" s="81">
        <f>TD[[#This Row],[TOTAL]]*TD[[#This Row],[P.U. (1)]]</f>
        <v>0</v>
      </c>
      <c r="N17" s="82">
        <f>+VLOOKUP(B17,TbPiezas[],6,0)</f>
        <v>228.69</v>
      </c>
      <c r="O17" s="83">
        <f>ROUND(TD[[#This Row],[TOTAL]]*TD[[#This Row],[P.U. (2)]],2)</f>
        <v>0</v>
      </c>
      <c r="P17" s="82">
        <f>+VLOOKUP(B17,TbPiezas[],7,0)</f>
        <v>11.4345</v>
      </c>
      <c r="Q17" s="84">
        <f>ROUND(TD[[#This Row],[TOTAL]]*TD[[#This Row],[P.U. (3)]],2)</f>
        <v>0</v>
      </c>
    </row>
    <row r="18" spans="2:17" ht="15" customHeight="1" x14ac:dyDescent="0.3">
      <c r="B18" s="76" t="s">
        <v>289</v>
      </c>
      <c r="C18" s="76" t="s">
        <v>290</v>
      </c>
      <c r="E18" s="139">
        <f>IF(AND(E4=2,E5="NUEVA"),E11*4,0)</f>
        <v>0</v>
      </c>
      <c r="F18" s="139">
        <f>IF(AND(F4=2,F5="NUEVA"),F11*4,0)</f>
        <v>0</v>
      </c>
      <c r="G18" s="139">
        <f>IF(AND(G4=2,G5="NUEVA"),G11*4,0)</f>
        <v>0</v>
      </c>
      <c r="I18" s="76" t="str">
        <f t="shared" si="0"/>
        <v>EC.0730</v>
      </c>
      <c r="J18" s="74" t="str">
        <f>+IF(TD[[#This Row],[ITEM]]=B18,"ok","mal")</f>
        <v>ok</v>
      </c>
      <c r="K18" s="79">
        <f t="shared" si="1"/>
        <v>0</v>
      </c>
      <c r="L18" s="80">
        <f>IF(VLOOKUP(B18,TbPiezas[],5,0)="NA",0,VLOOKUP(B18,TbPiezas[],5,0))</f>
        <v>0.15</v>
      </c>
      <c r="M18" s="81">
        <f>TD[[#This Row],[TOTAL]]*TD[[#This Row],[P.U. (1)]]</f>
        <v>0</v>
      </c>
      <c r="N18" s="82">
        <f>+VLOOKUP(B18,TbPiezas[],6,0)</f>
        <v>19.059999999999999</v>
      </c>
      <c r="O18" s="83">
        <f>ROUND(TD[[#This Row],[TOTAL]]*TD[[#This Row],[P.U. (2)]],2)</f>
        <v>0</v>
      </c>
      <c r="P18" s="82">
        <f>+VLOOKUP(B18,TbPiezas[],7,0)</f>
        <v>0.95299999999999996</v>
      </c>
      <c r="Q18" s="84">
        <f>ROUND(TD[[#This Row],[TOTAL]]*TD[[#This Row],[P.U. (3)]],2)</f>
        <v>0</v>
      </c>
    </row>
    <row r="19" spans="2:17" ht="15" customHeight="1" x14ac:dyDescent="0.3">
      <c r="B19" s="76" t="s">
        <v>293</v>
      </c>
      <c r="C19" s="76" t="s">
        <v>294</v>
      </c>
      <c r="E19" s="171">
        <f>IF(E6="SI",1,0)</f>
        <v>1</v>
      </c>
      <c r="F19" s="171">
        <f>IF(F6="SI",1,0)</f>
        <v>1</v>
      </c>
      <c r="G19" s="171">
        <f>IF(G6="SI",1,0)</f>
        <v>0</v>
      </c>
      <c r="I19" s="76" t="str">
        <f t="shared" si="0"/>
        <v>EC.0900</v>
      </c>
      <c r="J19" s="74" t="str">
        <f>+IF(TD[[#This Row],[ITEM]]=B19,"ok","mal")</f>
        <v>ok</v>
      </c>
      <c r="K19" s="79">
        <f t="shared" si="1"/>
        <v>2</v>
      </c>
      <c r="L19" s="80">
        <f>IF(VLOOKUP(B19,TbPiezas[],5,0)="NA",0,VLOOKUP(B19,TbPiezas[],5,0))</f>
        <v>170</v>
      </c>
      <c r="M19" s="81">
        <f>TD[[#This Row],[TOTAL]]*TD[[#This Row],[P.U. (1)]]</f>
        <v>340</v>
      </c>
      <c r="N19" s="82">
        <f>+VLOOKUP(B19,TbPiezas[],6,0)</f>
        <v>8639.4</v>
      </c>
      <c r="O19" s="83">
        <f>ROUND(TD[[#This Row],[TOTAL]]*TD[[#This Row],[P.U. (2)]],2)</f>
        <v>17278.8</v>
      </c>
      <c r="P19" s="82">
        <f>+VLOOKUP(B19,TbPiezas[],7,0)</f>
        <v>431.97</v>
      </c>
      <c r="Q19" s="84">
        <f>ROUND(TD[[#This Row],[TOTAL]]*TD[[#This Row],[P.U. (3)]],2)</f>
        <v>863.94</v>
      </c>
    </row>
    <row r="20" spans="2:17" s="193" customFormat="1" ht="15" customHeight="1" x14ac:dyDescent="0.3">
      <c r="B20" s="2"/>
      <c r="C20" s="42"/>
      <c r="D20" s="42"/>
      <c r="E20" s="42"/>
      <c r="F20" s="42"/>
      <c r="G20" s="42"/>
      <c r="H20" s="42"/>
      <c r="I20" s="42"/>
      <c r="J20" s="42"/>
      <c r="K20" s="42"/>
      <c r="L20" s="191"/>
      <c r="M20" s="191"/>
      <c r="N20" s="192"/>
      <c r="O20" s="192"/>
      <c r="P20" s="192"/>
      <c r="Q20" s="192"/>
    </row>
    <row r="21" spans="2:17" ht="15" customHeight="1" x14ac:dyDescent="0.3">
      <c r="C21" s="42"/>
      <c r="D21" s="42"/>
      <c r="E21" s="42"/>
      <c r="F21" s="42"/>
      <c r="G21" s="42"/>
      <c r="H21" s="42"/>
      <c r="I21" s="42"/>
      <c r="J21" s="42"/>
      <c r="K21" s="42"/>
      <c r="L21" s="327" t="s">
        <v>1169</v>
      </c>
      <c r="M21" s="89">
        <f>SUM(M9:M20)</f>
        <v>440.4</v>
      </c>
      <c r="N21" s="90" t="s">
        <v>1170</v>
      </c>
      <c r="O21" s="91">
        <f>SUM(O9:O20)</f>
        <v>24372.639999999999</v>
      </c>
      <c r="P21" s="92" t="s">
        <v>1170</v>
      </c>
      <c r="Q21" s="93">
        <f>SUM(Q9:Q20)</f>
        <v>1218.6400000000001</v>
      </c>
    </row>
    <row r="22" spans="2:17" ht="15" customHeight="1" x14ac:dyDescent="0.3">
      <c r="C22" s="42"/>
      <c r="D22" s="42"/>
      <c r="E22" s="42"/>
      <c r="F22" s="42"/>
      <c r="G22" s="42"/>
      <c r="H22" s="42"/>
      <c r="I22" s="42"/>
      <c r="J22" s="42"/>
      <c r="K22" s="42"/>
      <c r="L22" s="502" t="s">
        <v>1286</v>
      </c>
      <c r="M22" s="492">
        <f>+M21/1000</f>
        <v>0.44039999999999996</v>
      </c>
      <c r="N22" s="344" t="s">
        <v>1289</v>
      </c>
      <c r="O22" s="449">
        <f>-O21*N23</f>
        <v>0</v>
      </c>
      <c r="P22" s="95" t="s">
        <v>1289</v>
      </c>
      <c r="Q22" s="450">
        <f>-Q21*P23</f>
        <v>0</v>
      </c>
    </row>
    <row r="23" spans="2:17" ht="15" customHeight="1" x14ac:dyDescent="0.3">
      <c r="C23" s="42"/>
      <c r="D23" s="42"/>
      <c r="E23" s="42"/>
      <c r="F23" s="42"/>
      <c r="G23" s="42"/>
      <c r="H23" s="42"/>
      <c r="I23" s="42"/>
      <c r="J23" s="42"/>
      <c r="K23" s="42"/>
      <c r="L23" s="502"/>
      <c r="M23" s="492"/>
      <c r="N23" s="345"/>
      <c r="O23" s="449"/>
      <c r="P23" s="97"/>
      <c r="Q23" s="450"/>
    </row>
    <row r="24" spans="2:17" s="193" customFormat="1" ht="15" customHeight="1" x14ac:dyDescent="0.3">
      <c r="C24" s="42"/>
      <c r="D24" s="42"/>
      <c r="E24" s="42"/>
      <c r="F24" s="42"/>
      <c r="G24" s="42"/>
      <c r="H24" s="42"/>
      <c r="I24" s="42"/>
      <c r="J24" s="42"/>
      <c r="K24" s="42"/>
      <c r="L24" s="2"/>
      <c r="M24" s="2"/>
      <c r="N24" s="43"/>
      <c r="O24" s="43"/>
      <c r="P24" s="43"/>
      <c r="Q24" s="43"/>
    </row>
    <row r="25" spans="2:17" ht="15" customHeight="1" x14ac:dyDescent="0.3">
      <c r="C25" s="42"/>
      <c r="D25" s="42"/>
      <c r="E25" s="42"/>
      <c r="F25" s="42"/>
      <c r="G25" s="42"/>
      <c r="H25" s="42"/>
      <c r="I25" s="42"/>
      <c r="J25" s="42"/>
      <c r="K25" s="42"/>
      <c r="L25" s="503" t="s">
        <v>1173</v>
      </c>
      <c r="M25" s="83">
        <v>0</v>
      </c>
      <c r="N25" s="98" t="s">
        <v>1170</v>
      </c>
      <c r="O25" s="83">
        <f>O21+O22</f>
        <v>24372.639999999999</v>
      </c>
      <c r="P25" s="82" t="s">
        <v>1170</v>
      </c>
      <c r="Q25" s="84">
        <f>Q21+Q22</f>
        <v>1218.6400000000001</v>
      </c>
    </row>
    <row r="26" spans="2:17" ht="15" customHeight="1" x14ac:dyDescent="0.3">
      <c r="C26" s="42"/>
      <c r="D26" s="42"/>
      <c r="E26" s="42"/>
      <c r="F26" s="42"/>
      <c r="G26" s="42"/>
      <c r="H26" s="42"/>
      <c r="I26" s="42"/>
      <c r="J26" s="42"/>
      <c r="K26" s="42"/>
      <c r="L26" s="503"/>
      <c r="M26" s="83">
        <v>0</v>
      </c>
      <c r="N26" s="98" t="s">
        <v>1174</v>
      </c>
      <c r="O26" s="83">
        <f>0.18*O25</f>
        <v>4387.0751999999993</v>
      </c>
      <c r="P26" s="82" t="s">
        <v>1174</v>
      </c>
      <c r="Q26" s="84">
        <f>0.18*Q25</f>
        <v>219.3552</v>
      </c>
    </row>
    <row r="27" spans="2:17" s="193" customFormat="1" ht="15" customHeight="1" x14ac:dyDescent="0.3">
      <c r="C27" s="42"/>
      <c r="D27" s="42"/>
      <c r="E27" s="42"/>
      <c r="F27" s="42"/>
      <c r="G27" s="42"/>
      <c r="H27" s="42"/>
      <c r="I27" s="42"/>
      <c r="J27" s="42"/>
      <c r="K27" s="42"/>
      <c r="L27" s="2"/>
      <c r="M27" s="2"/>
      <c r="N27" s="43"/>
      <c r="O27" s="43"/>
      <c r="P27" s="43"/>
      <c r="Q27" s="43"/>
    </row>
    <row r="28" spans="2:17" ht="15" customHeight="1" x14ac:dyDescent="0.3">
      <c r="C28" s="42"/>
      <c r="D28" s="42"/>
      <c r="E28" s="42"/>
      <c r="F28" s="42"/>
      <c r="G28" s="42"/>
      <c r="H28" s="42"/>
      <c r="I28" s="42"/>
      <c r="J28" s="42"/>
      <c r="K28" s="42"/>
      <c r="L28" s="2"/>
      <c r="M28" s="99"/>
      <c r="N28" s="100" t="s">
        <v>1162</v>
      </c>
      <c r="O28" s="101">
        <f>+O25+O26</f>
        <v>28759.715199999999</v>
      </c>
      <c r="P28" s="100" t="s">
        <v>1162</v>
      </c>
      <c r="Q28" s="102">
        <f>+Q25+Q26</f>
        <v>1437.9952000000001</v>
      </c>
    </row>
    <row r="29" spans="2:17" ht="15" customHeight="1" x14ac:dyDescent="0.3">
      <c r="C29" s="42"/>
      <c r="D29" s="42"/>
      <c r="E29" s="42"/>
      <c r="F29" s="42"/>
      <c r="G29" s="42"/>
      <c r="H29" s="42"/>
      <c r="I29" s="42"/>
      <c r="J29" s="42"/>
      <c r="K29" s="42"/>
    </row>
    <row r="30" spans="2:17" ht="15" customHeight="1" x14ac:dyDescent="0.3">
      <c r="C30" s="42"/>
      <c r="D30" s="42"/>
      <c r="E30" s="42"/>
      <c r="F30" s="42"/>
      <c r="G30" s="42"/>
      <c r="H30" s="42"/>
      <c r="I30" s="42"/>
      <c r="J30" s="42"/>
      <c r="K30" s="42"/>
    </row>
    <row r="31" spans="2:17" ht="15" customHeight="1" x14ac:dyDescent="0.3">
      <c r="C31" s="42"/>
      <c r="D31" s="42"/>
      <c r="E31" s="42"/>
      <c r="F31" s="42"/>
      <c r="G31" s="42"/>
      <c r="H31" s="42"/>
      <c r="I31" s="42"/>
      <c r="J31" s="42"/>
      <c r="K31" s="42"/>
    </row>
    <row r="32" spans="2:17" ht="15" customHeight="1" x14ac:dyDescent="0.3">
      <c r="B32" s="42"/>
      <c r="C32" s="42"/>
      <c r="D32" s="42"/>
      <c r="E32" s="42"/>
      <c r="F32" s="42"/>
      <c r="G32" s="42"/>
      <c r="H32" s="42"/>
      <c r="I32" s="42"/>
      <c r="J32" s="42"/>
      <c r="K32" s="42"/>
    </row>
    <row r="33" spans="2:11" ht="15" customHeight="1" x14ac:dyDescent="0.3">
      <c r="B33" s="42"/>
      <c r="C33" s="42"/>
      <c r="D33" s="42"/>
      <c r="E33" s="42"/>
      <c r="F33" s="42"/>
      <c r="G33" s="42"/>
      <c r="H33" s="42"/>
      <c r="I33" s="42"/>
      <c r="J33" s="42"/>
      <c r="K33" s="42"/>
    </row>
    <row r="34" spans="2:11" ht="15" customHeight="1" x14ac:dyDescent="0.3">
      <c r="B34" s="42"/>
      <c r="C34" s="42"/>
      <c r="D34" s="42"/>
      <c r="E34" s="42"/>
      <c r="F34" s="42"/>
      <c r="G34" s="42"/>
      <c r="H34" s="42"/>
      <c r="I34" s="42"/>
      <c r="J34" s="42"/>
      <c r="K34" s="42"/>
    </row>
    <row r="35" spans="2:11" ht="15" customHeight="1" x14ac:dyDescent="0.3">
      <c r="B35" s="42"/>
      <c r="C35" s="42"/>
      <c r="D35" s="42"/>
      <c r="E35" s="42"/>
      <c r="F35" s="42"/>
      <c r="G35" s="42"/>
      <c r="H35" s="42"/>
      <c r="I35" s="42"/>
      <c r="J35" s="42"/>
      <c r="K35" s="42"/>
    </row>
    <row r="36" spans="2:11" ht="15" customHeight="1" x14ac:dyDescent="0.3">
      <c r="B36" s="42"/>
      <c r="C36" s="42"/>
      <c r="D36" s="42"/>
      <c r="E36" s="42"/>
      <c r="F36" s="42"/>
      <c r="G36" s="42"/>
      <c r="H36" s="42"/>
      <c r="I36" s="42"/>
      <c r="J36" s="42"/>
      <c r="K36" s="42"/>
    </row>
  </sheetData>
  <autoFilter ref="B9:G9" xr:uid="{6B0E50AB-51DF-4E33-A688-6D0B63A9E087}"/>
  <mergeCells count="8">
    <mergeCell ref="L25:L26"/>
    <mergeCell ref="L8:M8"/>
    <mergeCell ref="N8:O8"/>
    <mergeCell ref="P8:Q8"/>
    <mergeCell ref="L22:L23"/>
    <mergeCell ref="M22:M23"/>
    <mergeCell ref="O22:O23"/>
    <mergeCell ref="Q22:Q23"/>
  </mergeCells>
  <conditionalFormatting sqref="E4:G4">
    <cfRule type="cellIs" dxfId="66" priority="1" operator="equal">
      <formula>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1740447-C74B-4090-BDD7-A9E0B60A2608}">
          <x14:formula1>
            <xm:f>Apoyo1Despiece!$C$48:$C$49</xm:f>
          </x14:formula1>
          <xm:sqref>E4:G4</xm:sqref>
        </x14:dataValidation>
        <x14:dataValidation type="list" allowBlank="1" showInputMessage="1" showErrorMessage="1" xr:uid="{D8284B02-8908-4C8F-89F8-35AD71547490}">
          <x14:formula1>
            <xm:f>Apoyo1Despiece!$D$48:$D$49</xm:f>
          </x14:formula1>
          <xm:sqref>E5:G5</xm:sqref>
        </x14:dataValidation>
        <x14:dataValidation type="list" allowBlank="1" showInputMessage="1" showErrorMessage="1" xr:uid="{8DA7A942-85E7-4ACF-8EEF-12C0A050D6C2}">
          <x14:formula1>
            <xm:f>Apoyo1Despiece!$G$48:$G$49</xm:f>
          </x14:formula1>
          <xm:sqref>E6:G6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D7CE6-6965-472B-8FDA-3A2AECE70D44}">
  <sheetPr codeName="Hoja22">
    <tabColor rgb="FF92D050"/>
  </sheetPr>
  <dimension ref="B1:Y166"/>
  <sheetViews>
    <sheetView topLeftCell="C1" workbookViewId="0">
      <selection activeCell="J19" sqref="J19"/>
    </sheetView>
  </sheetViews>
  <sheetFormatPr baseColWidth="10" defaultColWidth="11.5546875" defaultRowHeight="14.4" outlineLevelRow="1" outlineLevelCol="1" x14ac:dyDescent="0.3"/>
  <cols>
    <col min="1" max="1" width="1.6640625" customWidth="1"/>
    <col min="2" max="2" width="10" bestFit="1" customWidth="1"/>
    <col min="3" max="3" width="40.6640625" style="5" customWidth="1"/>
    <col min="4" max="6" width="5.6640625" customWidth="1"/>
    <col min="7" max="7" width="5.6640625" style="7" customWidth="1"/>
    <col min="8" max="8" width="5.6640625" customWidth="1"/>
    <col min="9" max="9" width="1.6640625" customWidth="1" outlineLevel="1"/>
    <col min="10" max="10" width="10.6640625" style="210" customWidth="1" outlineLevel="1"/>
    <col min="11" max="11" width="1.6640625" customWidth="1" outlineLevel="1"/>
    <col min="12" max="12" width="10.6640625" style="210" customWidth="1" outlineLevel="1"/>
    <col min="13" max="14" width="13.33203125" customWidth="1" outlineLevel="1"/>
    <col min="15" max="15" width="3.6640625" customWidth="1"/>
    <col min="16" max="16" width="10.6640625" style="210" hidden="1" customWidth="1"/>
    <col min="17" max="17" width="6.33203125" style="210" hidden="1" customWidth="1"/>
    <col min="18" max="18" width="10.6640625" style="210" customWidth="1"/>
    <col min="19" max="24" width="13.33203125" customWidth="1"/>
  </cols>
  <sheetData>
    <row r="1" spans="2:25" ht="7.5" customHeight="1" x14ac:dyDescent="0.3">
      <c r="C1" s="194"/>
      <c r="D1" s="194"/>
      <c r="E1" s="194"/>
      <c r="F1" s="194"/>
      <c r="G1" s="195"/>
      <c r="H1" s="194"/>
      <c r="J1" s="196"/>
      <c r="L1" s="196"/>
      <c r="P1" s="196"/>
      <c r="Q1" s="196"/>
      <c r="R1" s="196"/>
    </row>
    <row r="2" spans="2:25" x14ac:dyDescent="0.3">
      <c r="B2" s="197" t="s">
        <v>1211</v>
      </c>
      <c r="C2" s="198"/>
      <c r="D2" s="198"/>
      <c r="E2" s="198"/>
      <c r="F2" s="198"/>
      <c r="G2" s="198"/>
      <c r="H2" s="198"/>
      <c r="J2" s="196"/>
      <c r="L2"/>
      <c r="P2"/>
      <c r="Q2"/>
      <c r="R2"/>
      <c r="Y2" s="199"/>
    </row>
    <row r="3" spans="2:25" ht="7.5" customHeight="1" x14ac:dyDescent="0.3">
      <c r="C3" s="194"/>
      <c r="D3" s="194"/>
      <c r="E3" s="194"/>
      <c r="F3" s="194"/>
      <c r="G3" s="195"/>
      <c r="H3" s="194"/>
      <c r="J3" s="196"/>
      <c r="L3" s="196"/>
      <c r="P3" s="196"/>
      <c r="Q3" s="196"/>
      <c r="R3" s="196"/>
    </row>
    <row r="4" spans="2:25" s="199" customFormat="1" ht="15" customHeight="1" outlineLevel="1" x14ac:dyDescent="0.3">
      <c r="B4" s="200"/>
      <c r="C4" s="201"/>
      <c r="D4" s="202"/>
      <c r="E4" s="202"/>
      <c r="F4" s="202"/>
      <c r="G4" s="202"/>
      <c r="H4" s="203" t="s">
        <v>1212</v>
      </c>
      <c r="J4" s="204" t="s">
        <v>1067</v>
      </c>
      <c r="L4"/>
      <c r="M4"/>
      <c r="N4"/>
      <c r="P4"/>
      <c r="Q4"/>
      <c r="R4"/>
      <c r="S4" t="s">
        <v>1213</v>
      </c>
    </row>
    <row r="5" spans="2:25" s="199" customFormat="1" outlineLevel="1" x14ac:dyDescent="0.3">
      <c r="B5" s="200"/>
      <c r="C5" s="201"/>
      <c r="D5" s="202"/>
      <c r="E5" s="202"/>
      <c r="F5" s="202"/>
      <c r="G5" s="202"/>
      <c r="H5" s="203" t="s">
        <v>1214</v>
      </c>
      <c r="J5" s="204" t="s">
        <v>1019</v>
      </c>
      <c r="L5"/>
      <c r="M5"/>
      <c r="N5"/>
      <c r="P5"/>
      <c r="Q5"/>
      <c r="R5"/>
      <c r="S5" t="s">
        <v>1215</v>
      </c>
    </row>
    <row r="6" spans="2:25" s="199" customFormat="1" outlineLevel="1" x14ac:dyDescent="0.3">
      <c r="B6" s="200"/>
      <c r="C6" s="201"/>
      <c r="D6" s="202"/>
      <c r="E6" s="202"/>
      <c r="F6" s="202"/>
      <c r="G6" s="202"/>
      <c r="H6" s="203" t="s">
        <v>1216</v>
      </c>
      <c r="J6" s="204">
        <v>10</v>
      </c>
      <c r="L6"/>
      <c r="M6"/>
      <c r="N6"/>
      <c r="P6"/>
      <c r="Q6"/>
      <c r="R6"/>
      <c r="S6" t="s">
        <v>1217</v>
      </c>
    </row>
    <row r="7" spans="2:25" s="199" customFormat="1" outlineLevel="1" x14ac:dyDescent="0.3">
      <c r="B7" s="200"/>
      <c r="C7" s="201"/>
      <c r="D7" s="202"/>
      <c r="E7" s="202"/>
      <c r="F7" s="202"/>
      <c r="G7" s="202"/>
      <c r="H7" s="203" t="s">
        <v>1218</v>
      </c>
      <c r="J7" s="204" t="s">
        <v>1068</v>
      </c>
      <c r="L7"/>
      <c r="M7"/>
      <c r="N7"/>
      <c r="P7"/>
      <c r="Q7"/>
      <c r="R7"/>
      <c r="S7" t="s">
        <v>1219</v>
      </c>
    </row>
    <row r="8" spans="2:25" s="199" customFormat="1" outlineLevel="1" x14ac:dyDescent="0.3">
      <c r="B8" s="200"/>
      <c r="C8" s="201"/>
      <c r="D8" s="202"/>
      <c r="E8" s="202"/>
      <c r="F8" s="202"/>
      <c r="G8" s="202"/>
      <c r="H8" s="203" t="s">
        <v>1220</v>
      </c>
      <c r="J8" s="204" t="s">
        <v>1068</v>
      </c>
      <c r="L8"/>
      <c r="M8"/>
      <c r="N8"/>
      <c r="P8"/>
      <c r="Q8"/>
      <c r="R8"/>
      <c r="S8" t="s">
        <v>1221</v>
      </c>
      <c r="T8" s="205"/>
    </row>
    <row r="9" spans="2:25" s="199" customFormat="1" outlineLevel="1" x14ac:dyDescent="0.3">
      <c r="B9" s="200"/>
      <c r="C9" s="201"/>
      <c r="D9" s="202"/>
      <c r="E9" s="202"/>
      <c r="F9" s="202"/>
      <c r="G9" s="202"/>
      <c r="H9" s="203" t="s">
        <v>1061</v>
      </c>
      <c r="J9" s="204" t="s">
        <v>1019</v>
      </c>
      <c r="L9"/>
      <c r="M9"/>
      <c r="N9"/>
      <c r="P9"/>
      <c r="Q9"/>
      <c r="R9"/>
      <c r="S9" t="s">
        <v>1222</v>
      </c>
    </row>
    <row r="10" spans="2:25" s="199" customFormat="1" outlineLevel="1" x14ac:dyDescent="0.3">
      <c r="B10" s="200"/>
      <c r="C10" s="201"/>
      <c r="D10" s="202"/>
      <c r="E10" s="202"/>
      <c r="F10" s="202"/>
      <c r="G10" s="202"/>
      <c r="H10" s="203" t="s">
        <v>1223</v>
      </c>
      <c r="J10" s="204" t="s">
        <v>1019</v>
      </c>
      <c r="L10"/>
      <c r="P10"/>
      <c r="Q10"/>
      <c r="R10"/>
    </row>
    <row r="11" spans="2:25" s="199" customFormat="1" outlineLevel="1" x14ac:dyDescent="0.3">
      <c r="B11" s="200"/>
      <c r="C11" s="201"/>
      <c r="D11" s="202"/>
      <c r="E11" s="202"/>
      <c r="F11" s="202"/>
      <c r="G11" s="202"/>
      <c r="H11" s="203" t="s">
        <v>1063</v>
      </c>
      <c r="J11" s="204" t="s">
        <v>1069</v>
      </c>
      <c r="L11"/>
      <c r="P11"/>
      <c r="Q11"/>
      <c r="R11"/>
    </row>
    <row r="12" spans="2:25" s="199" customFormat="1" outlineLevel="1" x14ac:dyDescent="0.3">
      <c r="B12" s="200"/>
      <c r="C12" s="201"/>
      <c r="D12" s="202"/>
      <c r="E12" s="202"/>
      <c r="F12" s="202"/>
      <c r="G12" s="202"/>
      <c r="H12" s="203" t="s">
        <v>1064</v>
      </c>
      <c r="J12" s="204">
        <v>70</v>
      </c>
      <c r="L12"/>
      <c r="P12"/>
      <c r="Q12"/>
      <c r="R12"/>
    </row>
    <row r="13" spans="2:25" s="199" customFormat="1" outlineLevel="1" x14ac:dyDescent="0.3">
      <c r="B13" s="200"/>
      <c r="C13" s="201"/>
      <c r="D13" s="202"/>
      <c r="E13" s="202"/>
      <c r="F13" s="202"/>
      <c r="G13" s="202"/>
      <c r="H13" s="203" t="s">
        <v>1224</v>
      </c>
      <c r="J13" s="204">
        <v>20</v>
      </c>
      <c r="L13"/>
      <c r="P13"/>
      <c r="Q13"/>
      <c r="R13"/>
    </row>
    <row r="14" spans="2:25" s="199" customFormat="1" outlineLevel="1" x14ac:dyDescent="0.3">
      <c r="B14" s="506"/>
      <c r="C14" s="507" t="s">
        <v>1066</v>
      </c>
      <c r="D14" s="206">
        <v>1</v>
      </c>
      <c r="E14" s="206">
        <v>1.5</v>
      </c>
      <c r="F14" s="206"/>
      <c r="G14" s="206"/>
      <c r="H14" s="206"/>
      <c r="J14" s="508">
        <f>SUBTOTAL(9,D14:H14)</f>
        <v>2.5</v>
      </c>
      <c r="L14" s="207"/>
      <c r="M14" s="205"/>
      <c r="N14" s="205"/>
      <c r="P14" s="207"/>
      <c r="Q14" s="207"/>
      <c r="R14" s="207"/>
      <c r="S14" s="205"/>
      <c r="W14" s="208" t="s">
        <v>1225</v>
      </c>
      <c r="X14" s="209">
        <v>0.05</v>
      </c>
    </row>
    <row r="15" spans="2:25" s="199" customFormat="1" outlineLevel="1" x14ac:dyDescent="0.3">
      <c r="B15" s="506"/>
      <c r="C15" s="507"/>
      <c r="D15" s="206" t="s">
        <v>1070</v>
      </c>
      <c r="E15" s="206" t="s">
        <v>1075</v>
      </c>
      <c r="F15" s="206"/>
      <c r="G15" s="206"/>
      <c r="H15" s="206"/>
      <c r="J15" s="508"/>
      <c r="L15" s="207"/>
      <c r="M15" s="205"/>
      <c r="N15" s="205"/>
      <c r="P15" s="207"/>
      <c r="Q15" s="207"/>
      <c r="R15" s="207"/>
      <c r="S15" s="205"/>
      <c r="W15" s="208" t="s">
        <v>1225</v>
      </c>
      <c r="X15" s="209">
        <v>0.05</v>
      </c>
    </row>
    <row r="16" spans="2:25" ht="7.5" customHeight="1" outlineLevel="1" x14ac:dyDescent="0.3">
      <c r="C16" s="194"/>
      <c r="D16" s="194"/>
      <c r="E16" s="194"/>
      <c r="F16" s="194"/>
      <c r="G16" s="195"/>
      <c r="H16" s="194"/>
      <c r="J16" s="196">
        <f>SUM(D9:H9)</f>
        <v>0</v>
      </c>
      <c r="L16" s="196"/>
      <c r="P16" s="196"/>
      <c r="Q16" s="196"/>
      <c r="R16" s="196"/>
    </row>
    <row r="17" spans="2:24" s="199" customFormat="1" ht="15" customHeight="1" x14ac:dyDescent="0.3">
      <c r="B17" s="495" t="s">
        <v>1</v>
      </c>
      <c r="C17" s="509" t="s">
        <v>0</v>
      </c>
      <c r="D17" s="509"/>
      <c r="E17" s="509"/>
      <c r="F17" s="509"/>
      <c r="G17" s="509"/>
      <c r="H17" s="509"/>
      <c r="J17" s="106" t="s">
        <v>1207</v>
      </c>
      <c r="K17" s="210"/>
      <c r="L17" s="106" t="s">
        <v>1207</v>
      </c>
      <c r="M17" s="106" t="s">
        <v>1207</v>
      </c>
      <c r="N17" s="106" t="s">
        <v>1207</v>
      </c>
      <c r="O17" s="210"/>
      <c r="R17" s="211">
        <f>SUM(TC[TOTAL])</f>
        <v>0</v>
      </c>
      <c r="S17" s="454" t="s">
        <v>2</v>
      </c>
      <c r="T17" s="455"/>
      <c r="U17" s="456" t="s">
        <v>1158</v>
      </c>
      <c r="V17" s="457"/>
      <c r="W17" s="443" t="s">
        <v>1159</v>
      </c>
      <c r="X17" s="444"/>
    </row>
    <row r="18" spans="2:24" s="199" customFormat="1" x14ac:dyDescent="0.3">
      <c r="B18" s="495"/>
      <c r="C18" s="509"/>
      <c r="D18" s="509"/>
      <c r="E18" s="509"/>
      <c r="F18" s="509"/>
      <c r="G18" s="509"/>
      <c r="H18" s="509"/>
      <c r="J18" s="110">
        <f>SUM(J19:J154)</f>
        <v>152</v>
      </c>
      <c r="K18" s="210"/>
      <c r="L18" s="110">
        <f>SUM(L19:L154)</f>
        <v>0</v>
      </c>
      <c r="M18" s="110">
        <f>SUM(M19:M154)</f>
        <v>0</v>
      </c>
      <c r="N18" s="110">
        <f>SUM(N19:N154)</f>
        <v>0</v>
      </c>
      <c r="O18" s="210"/>
      <c r="P18" s="112" t="s">
        <v>1</v>
      </c>
      <c r="Q18" s="112" t="s">
        <v>1161</v>
      </c>
      <c r="R18" s="112" t="s">
        <v>1162</v>
      </c>
      <c r="S18" s="113" t="s">
        <v>1163</v>
      </c>
      <c r="T18" s="114" t="s">
        <v>1164</v>
      </c>
      <c r="U18" s="115" t="s">
        <v>1165</v>
      </c>
      <c r="V18" s="116" t="s">
        <v>1166</v>
      </c>
      <c r="W18" s="117" t="s">
        <v>1167</v>
      </c>
      <c r="X18" s="118" t="s">
        <v>1168</v>
      </c>
    </row>
    <row r="19" spans="2:24" s="199" customFormat="1" x14ac:dyDescent="0.3">
      <c r="B19" s="212" t="s">
        <v>335</v>
      </c>
      <c r="C19" s="213" t="s">
        <v>336</v>
      </c>
      <c r="D19" s="214"/>
      <c r="E19" s="214"/>
      <c r="F19" s="214"/>
      <c r="G19" s="214"/>
      <c r="H19" s="215"/>
      <c r="J19" s="216">
        <f>+IF(J$4="SEM63",IF(J$14=1,1,2),0)</f>
        <v>2</v>
      </c>
      <c r="L19" s="216"/>
      <c r="M19" s="217"/>
      <c r="N19" s="217"/>
      <c r="O19" s="218"/>
      <c r="P19" s="219" t="str">
        <f>+B19</f>
        <v>AE.0100</v>
      </c>
      <c r="Q19" s="74" t="str">
        <f>+IF(TC[[#This Row],[ITEM]]=B19,"ok","mal")</f>
        <v>ok</v>
      </c>
      <c r="R19" s="168">
        <f t="shared" ref="R19:R82" si="0">SUM(K19:O19)</f>
        <v>0</v>
      </c>
      <c r="S19" s="169">
        <f>IF(VLOOKUP(B19,TbPiezas[],5,0)="NA",0,VLOOKUP(B19,TbPiezas[],5,0))</f>
        <v>48.8</v>
      </c>
      <c r="T19" s="81">
        <f>TC[[#This Row],[TOTAL]]*TC[[#This Row],[P.U. (1)]]</f>
        <v>0</v>
      </c>
      <c r="U19" s="82">
        <f>+VLOOKUP(B19,TbPiezas[],6,0)</f>
        <v>3303.3</v>
      </c>
      <c r="V19" s="83">
        <f>TC[[#This Row],[TOTAL]]*TC[[#This Row],[P.U. (2)]]</f>
        <v>0</v>
      </c>
      <c r="W19" s="82">
        <f>+VLOOKUP(B19,TbPiezas[],7,0)</f>
        <v>165.16500000000002</v>
      </c>
      <c r="X19" s="220">
        <f>ROUND(TC[[#This Row],[TOTAL]]*TC[[#This Row],[P.U. (3)]],2)</f>
        <v>0</v>
      </c>
    </row>
    <row r="20" spans="2:24" s="199" customFormat="1" x14ac:dyDescent="0.3">
      <c r="B20" s="212" t="s">
        <v>337</v>
      </c>
      <c r="C20" s="213" t="s">
        <v>338</v>
      </c>
      <c r="D20" s="214"/>
      <c r="E20" s="214"/>
      <c r="F20" s="214"/>
      <c r="G20" s="214"/>
      <c r="H20" s="215"/>
      <c r="J20" s="216">
        <f>+IF(J$4="SEM80",IF(J$14=1,1,2),0)</f>
        <v>0</v>
      </c>
      <c r="L20" s="216"/>
      <c r="M20" s="217"/>
      <c r="N20" s="217"/>
      <c r="O20" s="218"/>
      <c r="P20" s="219" t="str">
        <f t="shared" ref="P20:P83" si="1">+B20</f>
        <v>AE.0200</v>
      </c>
      <c r="Q20" s="74" t="str">
        <f>+IF(TC[[#This Row],[ITEM]]=B20,"ok","mal")</f>
        <v>ok</v>
      </c>
      <c r="R20" s="168">
        <f t="shared" si="0"/>
        <v>0</v>
      </c>
      <c r="S20" s="169">
        <f>IF(VLOOKUP(B20,TbPiezas[],5,0)="NA",0,VLOOKUP(B20,TbPiezas[],5,0))</f>
        <v>48.8</v>
      </c>
      <c r="T20" s="81">
        <f>TC[[#This Row],[TOTAL]]*TC[[#This Row],[P.U. (1)]]</f>
        <v>0</v>
      </c>
      <c r="U20" s="82">
        <f>+VLOOKUP(B20,TbPiezas[],6,0)</f>
        <v>3303.3</v>
      </c>
      <c r="V20" s="83">
        <f>TC[[#This Row],[TOTAL]]*TC[[#This Row],[P.U. (2)]]</f>
        <v>0</v>
      </c>
      <c r="W20" s="82">
        <f>+VLOOKUP(B20,TbPiezas[],7,0)</f>
        <v>165.16500000000002</v>
      </c>
      <c r="X20" s="220">
        <f>ROUND(TC[[#This Row],[TOTAL]]*TC[[#This Row],[P.U. (3)]],2)</f>
        <v>0</v>
      </c>
    </row>
    <row r="21" spans="2:24" s="199" customFormat="1" x14ac:dyDescent="0.3">
      <c r="B21" s="212" t="s">
        <v>339</v>
      </c>
      <c r="C21" s="213" t="s">
        <v>340</v>
      </c>
      <c r="D21" s="214"/>
      <c r="E21" s="214"/>
      <c r="F21" s="214"/>
      <c r="G21" s="214"/>
      <c r="H21" s="215"/>
      <c r="J21" s="216">
        <f>+IF(J$4="TIR80",IF(J$14=1,1,2),0)</f>
        <v>0</v>
      </c>
      <c r="L21" s="216"/>
      <c r="M21" s="217"/>
      <c r="N21" s="217"/>
      <c r="O21" s="218"/>
      <c r="P21" s="219" t="str">
        <f t="shared" si="1"/>
        <v>AE.0300</v>
      </c>
      <c r="Q21" s="74" t="str">
        <f>+IF(TC[[#This Row],[ITEM]]=B21,"ok","mal")</f>
        <v>ok</v>
      </c>
      <c r="R21" s="168">
        <f t="shared" si="0"/>
        <v>0</v>
      </c>
      <c r="S21" s="169">
        <f>IF(VLOOKUP(B21,TbPiezas[],5,0)="NA",0,VLOOKUP(B21,TbPiezas[],5,0))</f>
        <v>48.8</v>
      </c>
      <c r="T21" s="81">
        <f>TC[[#This Row],[TOTAL]]*TC[[#This Row],[P.U. (1)]]</f>
        <v>0</v>
      </c>
      <c r="U21" s="82">
        <f>+VLOOKUP(B21,TbPiezas[],6,0)</f>
        <v>3303.3</v>
      </c>
      <c r="V21" s="83">
        <f>TC[[#This Row],[TOTAL]]*TC[[#This Row],[P.U. (2)]]</f>
        <v>0</v>
      </c>
      <c r="W21" s="82">
        <f>+VLOOKUP(B21,TbPiezas[],7,0)</f>
        <v>165.16500000000002</v>
      </c>
      <c r="X21" s="220">
        <f>ROUND(TC[[#This Row],[TOTAL]]*TC[[#This Row],[P.U. (3)]],2)</f>
        <v>0</v>
      </c>
    </row>
    <row r="22" spans="2:24" s="199" customFormat="1" x14ac:dyDescent="0.3">
      <c r="B22" s="212" t="s">
        <v>341</v>
      </c>
      <c r="C22" s="213" t="s">
        <v>342</v>
      </c>
      <c r="D22" s="214"/>
      <c r="E22" s="214"/>
      <c r="F22" s="214"/>
      <c r="G22" s="214"/>
      <c r="H22" s="215"/>
      <c r="J22" s="216">
        <f>+IF(J$4="TIN80",IF(J$14=1,1,2),0)</f>
        <v>0</v>
      </c>
      <c r="L22" s="216"/>
      <c r="M22" s="217"/>
      <c r="N22" s="217"/>
      <c r="O22" s="218"/>
      <c r="P22" s="219" t="str">
        <f t="shared" si="1"/>
        <v>AE.0400</v>
      </c>
      <c r="Q22" s="74" t="str">
        <f>+IF(TC[[#This Row],[ITEM]]=B22,"ok","mal")</f>
        <v>ok</v>
      </c>
      <c r="R22" s="168">
        <f t="shared" si="0"/>
        <v>0</v>
      </c>
      <c r="S22" s="169">
        <f>IF(VLOOKUP(B22,TbPiezas[],5,0)="NA",0,VLOOKUP(B22,TbPiezas[],5,0))</f>
        <v>48.8</v>
      </c>
      <c r="T22" s="81">
        <f>TC[[#This Row],[TOTAL]]*TC[[#This Row],[P.U. (1)]]</f>
        <v>0</v>
      </c>
      <c r="U22" s="82">
        <f>+VLOOKUP(B22,TbPiezas[],6,0)</f>
        <v>3303.3</v>
      </c>
      <c r="V22" s="83">
        <f>TC[[#This Row],[TOTAL]]*TC[[#This Row],[P.U. (2)]]</f>
        <v>0</v>
      </c>
      <c r="W22" s="82">
        <f>+VLOOKUP(B22,TbPiezas[],7,0)</f>
        <v>165.16500000000002</v>
      </c>
      <c r="X22" s="220">
        <f>ROUND(TC[[#This Row],[TOTAL]]*TC[[#This Row],[P.U. (3)]],2)</f>
        <v>0</v>
      </c>
    </row>
    <row r="23" spans="2:24" s="199" customFormat="1" x14ac:dyDescent="0.3">
      <c r="B23" s="212" t="s">
        <v>343</v>
      </c>
      <c r="C23" s="213" t="s">
        <v>344</v>
      </c>
      <c r="D23" s="214"/>
      <c r="E23" s="214"/>
      <c r="F23" s="214"/>
      <c r="G23" s="214"/>
      <c r="H23" s="215"/>
      <c r="J23" s="216"/>
      <c r="L23" s="216"/>
      <c r="M23" s="217"/>
      <c r="N23" s="217"/>
      <c r="O23" s="218"/>
      <c r="P23" s="219" t="str">
        <f t="shared" si="1"/>
        <v>AE.0401</v>
      </c>
      <c r="Q23" s="74" t="str">
        <f>+IF(TC[[#This Row],[ITEM]]=B23,"ok","mal")</f>
        <v>ok</v>
      </c>
      <c r="R23" s="168">
        <f t="shared" si="0"/>
        <v>0</v>
      </c>
      <c r="S23" s="169">
        <f>IF(VLOOKUP(B23,TbPiezas[],5,0)="NA",0,VLOOKUP(B23,TbPiezas[],5,0))</f>
        <v>48.8</v>
      </c>
      <c r="T23" s="81">
        <f>TC[[#This Row],[TOTAL]]*TC[[#This Row],[P.U. (1)]]</f>
        <v>0</v>
      </c>
      <c r="U23" s="82">
        <f>+VLOOKUP(B23,TbPiezas[],6,0)</f>
        <v>3303.3</v>
      </c>
      <c r="V23" s="83">
        <f>TC[[#This Row],[TOTAL]]*TC[[#This Row],[P.U. (2)]]</f>
        <v>0</v>
      </c>
      <c r="W23" s="82">
        <f>+VLOOKUP(B23,TbPiezas[],7,0)</f>
        <v>165.16500000000002</v>
      </c>
      <c r="X23" s="220">
        <f>ROUND(TC[[#This Row],[TOTAL]]*TC[[#This Row],[P.U. (3)]],2)</f>
        <v>0</v>
      </c>
    </row>
    <row r="24" spans="2:24" s="199" customFormat="1" x14ac:dyDescent="0.3">
      <c r="B24" s="212" t="s">
        <v>345</v>
      </c>
      <c r="C24" s="213" t="s">
        <v>346</v>
      </c>
      <c r="D24" s="214"/>
      <c r="E24" s="214"/>
      <c r="F24" s="214"/>
      <c r="G24" s="214"/>
      <c r="H24" s="215"/>
      <c r="J24" s="216">
        <f>+IF(J$4="SEM63",1,0)</f>
        <v>1</v>
      </c>
      <c r="L24" s="216"/>
      <c r="M24" s="217"/>
      <c r="N24" s="217"/>
      <c r="O24" s="218"/>
      <c r="P24" s="219" t="str">
        <f t="shared" si="1"/>
        <v>AE.0500</v>
      </c>
      <c r="Q24" s="74" t="str">
        <f>+IF(TC[[#This Row],[ITEM]]=B24,"ok","mal")</f>
        <v>ok</v>
      </c>
      <c r="R24" s="168">
        <f t="shared" si="0"/>
        <v>0</v>
      </c>
      <c r="S24" s="169">
        <f>IF(VLOOKUP(B24,TbPiezas[],5,0)="NA",0,VLOOKUP(B24,TbPiezas[],5,0))</f>
        <v>13.299999999999997</v>
      </c>
      <c r="T24" s="81">
        <f>TC[[#This Row],[TOTAL]]*TC[[#This Row],[P.U. (1)]]</f>
        <v>0</v>
      </c>
      <c r="U24" s="82">
        <f>+VLOOKUP(B24,TbPiezas[],6,0)</f>
        <v>2369.94</v>
      </c>
      <c r="V24" s="83">
        <f>TC[[#This Row],[TOTAL]]*TC[[#This Row],[P.U. (2)]]</f>
        <v>0</v>
      </c>
      <c r="W24" s="82">
        <f>+VLOOKUP(B24,TbPiezas[],7,0)</f>
        <v>118.49700000000001</v>
      </c>
      <c r="X24" s="220">
        <f>ROUND(TC[[#This Row],[TOTAL]]*TC[[#This Row],[P.U. (3)]],2)</f>
        <v>0</v>
      </c>
    </row>
    <row r="25" spans="2:24" s="199" customFormat="1" x14ac:dyDescent="0.3">
      <c r="B25" s="212" t="s">
        <v>347</v>
      </c>
      <c r="C25" s="213" t="s">
        <v>348</v>
      </c>
      <c r="D25" s="214"/>
      <c r="E25" s="214"/>
      <c r="F25" s="214"/>
      <c r="G25" s="214"/>
      <c r="H25" s="215"/>
      <c r="J25" s="216">
        <f>+IF(J$4="SEM80",1,0)</f>
        <v>0</v>
      </c>
      <c r="L25" s="216"/>
      <c r="M25" s="217"/>
      <c r="N25" s="217"/>
      <c r="O25" s="218"/>
      <c r="P25" s="219" t="str">
        <f t="shared" si="1"/>
        <v>AE.0600</v>
      </c>
      <c r="Q25" s="74" t="str">
        <f>+IF(TC[[#This Row],[ITEM]]=B25,"ok","mal")</f>
        <v>ok</v>
      </c>
      <c r="R25" s="168">
        <f t="shared" si="0"/>
        <v>0</v>
      </c>
      <c r="S25" s="169">
        <f>IF(VLOOKUP(B25,TbPiezas[],5,0)="NA",0,VLOOKUP(B25,TbPiezas[],5,0))</f>
        <v>13.299999999999997</v>
      </c>
      <c r="T25" s="81">
        <f>TC[[#This Row],[TOTAL]]*TC[[#This Row],[P.U. (1)]]</f>
        <v>0</v>
      </c>
      <c r="U25" s="82">
        <f>+VLOOKUP(B25,TbPiezas[],6,0)</f>
        <v>2369.94</v>
      </c>
      <c r="V25" s="83">
        <f>TC[[#This Row],[TOTAL]]*TC[[#This Row],[P.U. (2)]]</f>
        <v>0</v>
      </c>
      <c r="W25" s="82">
        <f>+VLOOKUP(B25,TbPiezas[],7,0)</f>
        <v>118.49700000000001</v>
      </c>
      <c r="X25" s="220">
        <f>ROUND(TC[[#This Row],[TOTAL]]*TC[[#This Row],[P.U. (3)]],2)</f>
        <v>0</v>
      </c>
    </row>
    <row r="26" spans="2:24" s="199" customFormat="1" x14ac:dyDescent="0.3">
      <c r="B26" s="212" t="s">
        <v>349</v>
      </c>
      <c r="C26" s="213" t="s">
        <v>350</v>
      </c>
      <c r="D26" s="214"/>
      <c r="E26" s="214"/>
      <c r="F26" s="214"/>
      <c r="G26" s="214"/>
      <c r="H26" s="215"/>
      <c r="J26" s="216">
        <f>+IF(J$4="TIR80",1,0)</f>
        <v>0</v>
      </c>
      <c r="L26" s="216"/>
      <c r="M26" s="217"/>
      <c r="N26" s="217"/>
      <c r="O26" s="218"/>
      <c r="P26" s="219" t="str">
        <f t="shared" si="1"/>
        <v>AE.0700</v>
      </c>
      <c r="Q26" s="74" t="str">
        <f>+IF(TC[[#This Row],[ITEM]]=B26,"ok","mal")</f>
        <v>ok</v>
      </c>
      <c r="R26" s="168">
        <f t="shared" si="0"/>
        <v>0</v>
      </c>
      <c r="S26" s="169">
        <f>IF(VLOOKUP(B26,TbPiezas[],5,0)="NA",0,VLOOKUP(B26,TbPiezas[],5,0))</f>
        <v>13.299999999999997</v>
      </c>
      <c r="T26" s="81">
        <f>TC[[#This Row],[TOTAL]]*TC[[#This Row],[P.U. (1)]]</f>
        <v>0</v>
      </c>
      <c r="U26" s="82">
        <f>+VLOOKUP(B26,TbPiezas[],6,0)</f>
        <v>2369.94</v>
      </c>
      <c r="V26" s="83">
        <f>TC[[#This Row],[TOTAL]]*TC[[#This Row],[P.U. (2)]]</f>
        <v>0</v>
      </c>
      <c r="W26" s="82">
        <f>+VLOOKUP(B26,TbPiezas[],7,0)</f>
        <v>118.49700000000001</v>
      </c>
      <c r="X26" s="220">
        <f>ROUND(TC[[#This Row],[TOTAL]]*TC[[#This Row],[P.U. (3)]],2)</f>
        <v>0</v>
      </c>
    </row>
    <row r="27" spans="2:24" s="199" customFormat="1" x14ac:dyDescent="0.3">
      <c r="B27" s="212" t="s">
        <v>351</v>
      </c>
      <c r="C27" s="213" t="s">
        <v>352</v>
      </c>
      <c r="D27" s="214"/>
      <c r="E27" s="214"/>
      <c r="F27" s="214"/>
      <c r="G27" s="214"/>
      <c r="H27" s="215"/>
      <c r="J27" s="216">
        <f>+IF(J$4="TIN80",1,0)</f>
        <v>0</v>
      </c>
      <c r="L27" s="216"/>
      <c r="M27" s="217"/>
      <c r="N27" s="217"/>
      <c r="O27" s="218"/>
      <c r="P27" s="219" t="str">
        <f t="shared" si="1"/>
        <v>AE.0800</v>
      </c>
      <c r="Q27" s="74" t="str">
        <f>+IF(TC[[#This Row],[ITEM]]=B27,"ok","mal")</f>
        <v>ok</v>
      </c>
      <c r="R27" s="168">
        <f t="shared" si="0"/>
        <v>0</v>
      </c>
      <c r="S27" s="169">
        <f>IF(VLOOKUP(B27,TbPiezas[],5,0)="NA",0,VLOOKUP(B27,TbPiezas[],5,0))</f>
        <v>13.299999999999997</v>
      </c>
      <c r="T27" s="81">
        <f>TC[[#This Row],[TOTAL]]*TC[[#This Row],[P.U. (1)]]</f>
        <v>0</v>
      </c>
      <c r="U27" s="82">
        <f>+VLOOKUP(B27,TbPiezas[],6,0)</f>
        <v>2369.94</v>
      </c>
      <c r="V27" s="83">
        <f>TC[[#This Row],[TOTAL]]*TC[[#This Row],[P.U. (2)]]</f>
        <v>0</v>
      </c>
      <c r="W27" s="82">
        <f>+VLOOKUP(B27,TbPiezas[],7,0)</f>
        <v>118.49700000000001</v>
      </c>
      <c r="X27" s="220">
        <f>ROUND(TC[[#This Row],[TOTAL]]*TC[[#This Row],[P.U. (3)]],2)</f>
        <v>0</v>
      </c>
    </row>
    <row r="28" spans="2:24" s="199" customFormat="1" x14ac:dyDescent="0.3">
      <c r="B28" s="212" t="s">
        <v>353</v>
      </c>
      <c r="C28" s="213" t="s">
        <v>354</v>
      </c>
      <c r="D28" s="214"/>
      <c r="E28" s="214"/>
      <c r="F28" s="214"/>
      <c r="G28" s="214"/>
      <c r="H28" s="215"/>
      <c r="J28" s="216"/>
      <c r="L28" s="216"/>
      <c r="M28" s="217"/>
      <c r="N28" s="217"/>
      <c r="O28" s="218"/>
      <c r="P28" s="219" t="str">
        <f t="shared" si="1"/>
        <v>AE.0801</v>
      </c>
      <c r="Q28" s="74" t="str">
        <f>+IF(TC[[#This Row],[ITEM]]=B28,"ok","mal")</f>
        <v>ok</v>
      </c>
      <c r="R28" s="168">
        <f t="shared" si="0"/>
        <v>0</v>
      </c>
      <c r="S28" s="169">
        <f>IF(VLOOKUP(B28,TbPiezas[],5,0)="NA",0,VLOOKUP(B28,TbPiezas[],5,0))</f>
        <v>13.299999999999997</v>
      </c>
      <c r="T28" s="81">
        <f>TC[[#This Row],[TOTAL]]*TC[[#This Row],[P.U. (1)]]</f>
        <v>0</v>
      </c>
      <c r="U28" s="82">
        <f>+VLOOKUP(B28,TbPiezas[],6,0)</f>
        <v>2369.94</v>
      </c>
      <c r="V28" s="83">
        <f>TC[[#This Row],[TOTAL]]*TC[[#This Row],[P.U. (2)]]</f>
        <v>0</v>
      </c>
      <c r="W28" s="82">
        <f>+VLOOKUP(B28,TbPiezas[],7,0)</f>
        <v>118.49700000000001</v>
      </c>
      <c r="X28" s="220">
        <f>ROUND(TC[[#This Row],[TOTAL]]*TC[[#This Row],[P.U. (3)]],2)</f>
        <v>0</v>
      </c>
    </row>
    <row r="29" spans="2:24" s="199" customFormat="1" x14ac:dyDescent="0.3">
      <c r="B29" s="212" t="s">
        <v>355</v>
      </c>
      <c r="C29" s="213" t="s">
        <v>356</v>
      </c>
      <c r="D29" s="214"/>
      <c r="E29" s="214"/>
      <c r="F29" s="214"/>
      <c r="G29" s="214"/>
      <c r="H29" s="215"/>
      <c r="J29" s="216">
        <f>+IF(J$5="SI",1,0)</f>
        <v>1</v>
      </c>
      <c r="L29" s="216"/>
      <c r="M29" s="217"/>
      <c r="N29" s="217"/>
      <c r="O29" s="218"/>
      <c r="P29" s="219" t="str">
        <f t="shared" si="1"/>
        <v>AE.0900</v>
      </c>
      <c r="Q29" s="74" t="str">
        <f>+IF(TC[[#This Row],[ITEM]]=B29,"ok","mal")</f>
        <v>ok</v>
      </c>
      <c r="R29" s="168">
        <f t="shared" si="0"/>
        <v>0</v>
      </c>
      <c r="S29" s="169">
        <f>IF(VLOOKUP(B29,TbPiezas[],5,0)="NA",0,VLOOKUP(B29,TbPiezas[],5,0))</f>
        <v>46.5</v>
      </c>
      <c r="T29" s="81">
        <f>TC[[#This Row],[TOTAL]]*TC[[#This Row],[P.U. (1)]]</f>
        <v>0</v>
      </c>
      <c r="U29" s="82">
        <f>+VLOOKUP(B29,TbPiezas[],6,0)</f>
        <v>5200</v>
      </c>
      <c r="V29" s="83">
        <f>TC[[#This Row],[TOTAL]]*TC[[#This Row],[P.U. (2)]]</f>
        <v>0</v>
      </c>
      <c r="W29" s="82">
        <f>+VLOOKUP(B29,TbPiezas[],7,0)</f>
        <v>260</v>
      </c>
      <c r="X29" s="220">
        <f>ROUND(TC[[#This Row],[TOTAL]]*TC[[#This Row],[P.U. (3)]],2)</f>
        <v>0</v>
      </c>
    </row>
    <row r="30" spans="2:24" s="199" customFormat="1" x14ac:dyDescent="0.3">
      <c r="B30" s="212" t="s">
        <v>357</v>
      </c>
      <c r="C30" s="213" t="s">
        <v>358</v>
      </c>
      <c r="D30" s="214"/>
      <c r="E30" s="214"/>
      <c r="F30" s="214"/>
      <c r="G30" s="214"/>
      <c r="H30" s="215"/>
      <c r="J30" s="216"/>
      <c r="L30" s="216"/>
      <c r="M30" s="217"/>
      <c r="N30" s="217"/>
      <c r="O30" s="218"/>
      <c r="P30" s="219" t="str">
        <f t="shared" si="1"/>
        <v>AE.0950</v>
      </c>
      <c r="Q30" s="74" t="str">
        <f>+IF(TC[[#This Row],[ITEM]]=B30,"ok","mal")</f>
        <v>ok</v>
      </c>
      <c r="R30" s="168">
        <f t="shared" si="0"/>
        <v>0</v>
      </c>
      <c r="S30" s="169">
        <f>IF(VLOOKUP(B30,TbPiezas[],5,0)="NA",0,VLOOKUP(B30,TbPiezas[],5,0))</f>
        <v>46.4</v>
      </c>
      <c r="T30" s="81">
        <f>TC[[#This Row],[TOTAL]]*TC[[#This Row],[P.U. (1)]]</f>
        <v>0</v>
      </c>
      <c r="U30" s="82">
        <f>+VLOOKUP(B30,TbPiezas[],6,0)</f>
        <v>8500</v>
      </c>
      <c r="V30" s="83">
        <f>TC[[#This Row],[TOTAL]]*TC[[#This Row],[P.U. (2)]]</f>
        <v>0</v>
      </c>
      <c r="W30" s="82">
        <f>+VLOOKUP(B30,TbPiezas[],7,0)</f>
        <v>425</v>
      </c>
      <c r="X30" s="220">
        <f>ROUND(TC[[#This Row],[TOTAL]]*TC[[#This Row],[P.U. (3)]],2)</f>
        <v>0</v>
      </c>
    </row>
    <row r="31" spans="2:24" s="199" customFormat="1" x14ac:dyDescent="0.3">
      <c r="B31" s="212" t="s">
        <v>359</v>
      </c>
      <c r="C31" s="213" t="s">
        <v>360</v>
      </c>
      <c r="D31" s="214"/>
      <c r="E31" s="214"/>
      <c r="F31" s="214"/>
      <c r="G31" s="214"/>
      <c r="H31" s="215"/>
      <c r="J31" s="216"/>
      <c r="L31" s="216"/>
      <c r="M31" s="217"/>
      <c r="N31" s="217"/>
      <c r="O31" s="218"/>
      <c r="P31" s="219" t="str">
        <f t="shared" si="1"/>
        <v>AE.0970</v>
      </c>
      <c r="Q31" s="74" t="str">
        <f>+IF(TC[[#This Row],[ITEM]]=B31,"ok","mal")</f>
        <v>ok</v>
      </c>
      <c r="R31" s="168">
        <f t="shared" si="0"/>
        <v>0</v>
      </c>
      <c r="S31" s="169">
        <f>IF(VLOOKUP(B31,TbPiezas[],5,0)="NA",0,VLOOKUP(B31,TbPiezas[],5,0))</f>
        <v>39.5</v>
      </c>
      <c r="T31" s="81">
        <f>TC[[#This Row],[TOTAL]]*TC[[#This Row],[P.U. (1)]]</f>
        <v>0</v>
      </c>
      <c r="U31" s="82">
        <f>+VLOOKUP(B31,TbPiezas[],6,0)</f>
        <v>2315.96</v>
      </c>
      <c r="V31" s="83">
        <f>TC[[#This Row],[TOTAL]]*TC[[#This Row],[P.U. (2)]]</f>
        <v>0</v>
      </c>
      <c r="W31" s="82">
        <f>+VLOOKUP(B31,TbPiezas[],7,0)</f>
        <v>115.798</v>
      </c>
      <c r="X31" s="220">
        <f>ROUND(TC[[#This Row],[TOTAL]]*TC[[#This Row],[P.U. (3)]],2)</f>
        <v>0</v>
      </c>
    </row>
    <row r="32" spans="2:24" s="199" customFormat="1" x14ac:dyDescent="0.3">
      <c r="B32" s="212" t="s">
        <v>361</v>
      </c>
      <c r="C32" s="213" t="s">
        <v>362</v>
      </c>
      <c r="D32" s="214"/>
      <c r="E32" s="214"/>
      <c r="F32" s="214"/>
      <c r="G32" s="214"/>
      <c r="H32" s="215"/>
      <c r="J32" s="216"/>
      <c r="L32" s="216"/>
      <c r="M32" s="217"/>
      <c r="N32" s="217"/>
      <c r="O32" s="218"/>
      <c r="P32" s="219" t="str">
        <f t="shared" si="1"/>
        <v>AE.0975</v>
      </c>
      <c r="Q32" s="74" t="str">
        <f>+IF(TC[[#This Row],[ITEM]]=B32,"ok","mal")</f>
        <v>ok</v>
      </c>
      <c r="R32" s="168">
        <f t="shared" si="0"/>
        <v>0</v>
      </c>
      <c r="S32" s="169">
        <f>IF(VLOOKUP(B32,TbPiezas[],5,0)="NA",0,VLOOKUP(B32,TbPiezas[],5,0))</f>
        <v>36.4</v>
      </c>
      <c r="T32" s="81">
        <f>TC[[#This Row],[TOTAL]]*TC[[#This Row],[P.U. (1)]]</f>
        <v>0</v>
      </c>
      <c r="U32" s="82">
        <f>+VLOOKUP(B32,TbPiezas[],6,0)</f>
        <v>2137.81</v>
      </c>
      <c r="V32" s="83">
        <f>TC[[#This Row],[TOTAL]]*TC[[#This Row],[P.U. (2)]]</f>
        <v>0</v>
      </c>
      <c r="W32" s="82">
        <f>+VLOOKUP(B32,TbPiezas[],7,0)</f>
        <v>106.8905</v>
      </c>
      <c r="X32" s="220">
        <f>ROUND(TC[[#This Row],[TOTAL]]*TC[[#This Row],[P.U. (3)]],2)</f>
        <v>0</v>
      </c>
    </row>
    <row r="33" spans="2:24" s="199" customFormat="1" x14ac:dyDescent="0.3">
      <c r="B33" s="212" t="s">
        <v>363</v>
      </c>
      <c r="C33" s="213" t="s">
        <v>364</v>
      </c>
      <c r="D33" s="214"/>
      <c r="E33" s="214"/>
      <c r="F33" s="214"/>
      <c r="G33" s="214"/>
      <c r="H33" s="215"/>
      <c r="J33" s="216">
        <f>+IF($H44="SI",IF(AND(J$6+7&gt;90,J$6+7&lt;=100),IF(J$14=1,2,4),0),IF(AND(J$6+1&gt;90,J$6+1&lt;=100),IF(J$14=1,2,4),0))</f>
        <v>0</v>
      </c>
      <c r="L33" s="216"/>
      <c r="M33" s="217"/>
      <c r="N33" s="217"/>
      <c r="O33" s="218"/>
      <c r="P33" s="219" t="str">
        <f t="shared" si="1"/>
        <v>AE.1000</v>
      </c>
      <c r="Q33" s="74" t="str">
        <f>+IF(TC[[#This Row],[ITEM]]=B33,"ok","mal")</f>
        <v>ok</v>
      </c>
      <c r="R33" s="168">
        <f t="shared" si="0"/>
        <v>0</v>
      </c>
      <c r="S33" s="169">
        <f>IF(VLOOKUP(B33,TbPiezas[],5,0)="NA",0,VLOOKUP(B33,TbPiezas[],5,0))</f>
        <v>27.099999999999994</v>
      </c>
      <c r="T33" s="81">
        <f>TC[[#This Row],[TOTAL]]*TC[[#This Row],[P.U. (1)]]</f>
        <v>0</v>
      </c>
      <c r="U33" s="82">
        <f>+VLOOKUP(B33,TbPiezas[],6,0)</f>
        <v>1238.74</v>
      </c>
      <c r="V33" s="83">
        <f>TC[[#This Row],[TOTAL]]*TC[[#This Row],[P.U. (2)]]</f>
        <v>0</v>
      </c>
      <c r="W33" s="82">
        <f>+VLOOKUP(B33,TbPiezas[],7,0)</f>
        <v>61.937000000000005</v>
      </c>
      <c r="X33" s="220">
        <f>ROUND(TC[[#This Row],[TOTAL]]*TC[[#This Row],[P.U. (3)]],2)</f>
        <v>0</v>
      </c>
    </row>
    <row r="34" spans="2:24" s="199" customFormat="1" x14ac:dyDescent="0.3">
      <c r="B34" s="212" t="s">
        <v>365</v>
      </c>
      <c r="C34" s="213" t="s">
        <v>366</v>
      </c>
      <c r="D34" s="214"/>
      <c r="E34" s="214"/>
      <c r="F34" s="214"/>
      <c r="G34" s="214"/>
      <c r="H34" s="215"/>
      <c r="J34" s="216">
        <f>+IF($H44="SI",IF(AND(J$6+7&gt;80,J$6+7&lt;=90),IF(J$14=1,2,4),0),IF(AND(J$6+1&gt;80,J$6+1&lt;=90),IF(J$14=1,2,4),0))</f>
        <v>0</v>
      </c>
      <c r="L34" s="216"/>
      <c r="M34" s="217"/>
      <c r="N34" s="217"/>
      <c r="O34" s="218"/>
      <c r="P34" s="219" t="str">
        <f t="shared" si="1"/>
        <v>AE.1100</v>
      </c>
      <c r="Q34" s="74" t="str">
        <f>+IF(TC[[#This Row],[ITEM]]=B34,"ok","mal")</f>
        <v>ok</v>
      </c>
      <c r="R34" s="168">
        <f t="shared" si="0"/>
        <v>0</v>
      </c>
      <c r="S34" s="169">
        <f>IF(VLOOKUP(B34,TbPiezas[],5,0)="NA",0,VLOOKUP(B34,TbPiezas[],5,0))</f>
        <v>24.399999999999991</v>
      </c>
      <c r="T34" s="81">
        <f>TC[[#This Row],[TOTAL]]*TC[[#This Row],[P.U. (1)]]</f>
        <v>0</v>
      </c>
      <c r="U34" s="82">
        <f>+VLOOKUP(B34,TbPiezas[],6,0)</f>
        <v>1114.8599999999999</v>
      </c>
      <c r="V34" s="83">
        <f>TC[[#This Row],[TOTAL]]*TC[[#This Row],[P.U. (2)]]</f>
        <v>0</v>
      </c>
      <c r="W34" s="82">
        <f>+VLOOKUP(B34,TbPiezas[],7,0)</f>
        <v>55.742999999999995</v>
      </c>
      <c r="X34" s="220">
        <f>ROUND(TC[[#This Row],[TOTAL]]*TC[[#This Row],[P.U. (3)]],2)</f>
        <v>0</v>
      </c>
    </row>
    <row r="35" spans="2:24" s="199" customFormat="1" x14ac:dyDescent="0.3">
      <c r="B35" s="212" t="s">
        <v>367</v>
      </c>
      <c r="C35" s="213" t="s">
        <v>368</v>
      </c>
      <c r="D35" s="214"/>
      <c r="E35" s="214"/>
      <c r="F35" s="214"/>
      <c r="G35" s="214"/>
      <c r="H35" s="215"/>
      <c r="J35" s="216">
        <f>+IF($H44="SI",IF(AND(J$6+7&gt;70,J$6+7&lt;=80),IF(J$14=1,2,4),0),IF(AND(J$6+1&gt;70,J$6+1&lt;=80),IF(J$14=1,2,4),0))</f>
        <v>0</v>
      </c>
      <c r="L35" s="216"/>
      <c r="M35" s="217"/>
      <c r="N35" s="217"/>
      <c r="O35" s="218"/>
      <c r="P35" s="219" t="str">
        <f t="shared" si="1"/>
        <v>AE.1200</v>
      </c>
      <c r="Q35" s="74" t="str">
        <f>+IF(TC[[#This Row],[ITEM]]=B35,"ok","mal")</f>
        <v>ok</v>
      </c>
      <c r="R35" s="168">
        <f t="shared" si="0"/>
        <v>0</v>
      </c>
      <c r="S35" s="169">
        <f>IF(VLOOKUP(B35,TbPiezas[],5,0)="NA",0,VLOOKUP(B35,TbPiezas[],5,0))</f>
        <v>21.700000000000003</v>
      </c>
      <c r="T35" s="81">
        <f>TC[[#This Row],[TOTAL]]*TC[[#This Row],[P.U. (1)]]</f>
        <v>0</v>
      </c>
      <c r="U35" s="82">
        <f>+VLOOKUP(B35,TbPiezas[],6,0)</f>
        <v>990.99</v>
      </c>
      <c r="V35" s="83">
        <f>TC[[#This Row],[TOTAL]]*TC[[#This Row],[P.U. (2)]]</f>
        <v>0</v>
      </c>
      <c r="W35" s="82">
        <f>+VLOOKUP(B35,TbPiezas[],7,0)</f>
        <v>49.549500000000002</v>
      </c>
      <c r="X35" s="220">
        <f>ROUND(TC[[#This Row],[TOTAL]]*TC[[#This Row],[P.U. (3)]],2)</f>
        <v>0</v>
      </c>
    </row>
    <row r="36" spans="2:24" s="199" customFormat="1" x14ac:dyDescent="0.3">
      <c r="B36" s="212" t="s">
        <v>369</v>
      </c>
      <c r="C36" s="213" t="s">
        <v>370</v>
      </c>
      <c r="D36" s="214"/>
      <c r="E36" s="214"/>
      <c r="F36" s="214"/>
      <c r="G36" s="214"/>
      <c r="H36" s="215"/>
      <c r="J36" s="216">
        <f>+IF($H44="SI",IF(AND(J$6+7&gt;60,J$6+7&lt;=70),IF(J$14=1,2,4),0),IF(AND(J$6+1&gt;60,J$6+1&lt;=70),IF(J$14=1,2,4),0))</f>
        <v>0</v>
      </c>
      <c r="L36" s="216"/>
      <c r="M36" s="217"/>
      <c r="N36" s="217"/>
      <c r="O36" s="218"/>
      <c r="P36" s="219" t="str">
        <f t="shared" si="1"/>
        <v>AE.1300</v>
      </c>
      <c r="Q36" s="74" t="str">
        <f>+IF(TC[[#This Row],[ITEM]]=B36,"ok","mal")</f>
        <v>ok</v>
      </c>
      <c r="R36" s="168">
        <f t="shared" si="0"/>
        <v>0</v>
      </c>
      <c r="S36" s="169">
        <f>IF(VLOOKUP(B36,TbPiezas[],5,0)="NA",0,VLOOKUP(B36,TbPiezas[],5,0))</f>
        <v>19</v>
      </c>
      <c r="T36" s="81">
        <f>TC[[#This Row],[TOTAL]]*TC[[#This Row],[P.U. (1)]]</f>
        <v>0</v>
      </c>
      <c r="U36" s="82">
        <f>+VLOOKUP(B36,TbPiezas[],6,0)</f>
        <v>867.12</v>
      </c>
      <c r="V36" s="83">
        <f>TC[[#This Row],[TOTAL]]*TC[[#This Row],[P.U. (2)]]</f>
        <v>0</v>
      </c>
      <c r="W36" s="82">
        <f>+VLOOKUP(B36,TbPiezas[],7,0)</f>
        <v>43.356000000000002</v>
      </c>
      <c r="X36" s="220">
        <f>ROUND(TC[[#This Row],[TOTAL]]*TC[[#This Row],[P.U. (3)]],2)</f>
        <v>0</v>
      </c>
    </row>
    <row r="37" spans="2:24" s="199" customFormat="1" x14ac:dyDescent="0.3">
      <c r="B37" s="212" t="s">
        <v>371</v>
      </c>
      <c r="C37" s="213" t="s">
        <v>372</v>
      </c>
      <c r="D37" s="214"/>
      <c r="E37" s="214"/>
      <c r="F37" s="214"/>
      <c r="G37" s="214"/>
      <c r="H37" s="215"/>
      <c r="J37" s="216">
        <f>IF($H44="SI",IF(AND(J$6+7&gt;50,J$6+7&lt;=60),IF(J$14=1,2,4),0),IF(AND(J$6+1&gt;50,J$6+1&lt;=60),IF(J$14=1,2,4),0))</f>
        <v>0</v>
      </c>
      <c r="L37" s="216"/>
      <c r="M37" s="217"/>
      <c r="N37" s="217"/>
      <c r="O37" s="218"/>
      <c r="P37" s="219" t="str">
        <f t="shared" si="1"/>
        <v>AE.1400</v>
      </c>
      <c r="Q37" s="74" t="str">
        <f>+IF(TC[[#This Row],[ITEM]]=B37,"ok","mal")</f>
        <v>ok</v>
      </c>
      <c r="R37" s="168">
        <f t="shared" si="0"/>
        <v>0</v>
      </c>
      <c r="S37" s="169">
        <f>IF(VLOOKUP(B37,TbPiezas[],5,0)="NA",0,VLOOKUP(B37,TbPiezas[],5,0))</f>
        <v>16.299999999999997</v>
      </c>
      <c r="T37" s="81">
        <f>TC[[#This Row],[TOTAL]]*TC[[#This Row],[P.U. (1)]]</f>
        <v>0</v>
      </c>
      <c r="U37" s="82">
        <f>+VLOOKUP(B37,TbPiezas[],6,0)</f>
        <v>743.24</v>
      </c>
      <c r="V37" s="83">
        <f>TC[[#This Row],[TOTAL]]*TC[[#This Row],[P.U. (2)]]</f>
        <v>0</v>
      </c>
      <c r="W37" s="82">
        <f>+VLOOKUP(B37,TbPiezas[],7,0)</f>
        <v>37.161999999999999</v>
      </c>
      <c r="X37" s="220">
        <f>ROUND(TC[[#This Row],[TOTAL]]*TC[[#This Row],[P.U. (3)]],2)</f>
        <v>0</v>
      </c>
    </row>
    <row r="38" spans="2:24" s="199" customFormat="1" x14ac:dyDescent="0.3">
      <c r="B38" s="212" t="s">
        <v>373</v>
      </c>
      <c r="C38" s="213" t="s">
        <v>374</v>
      </c>
      <c r="D38" s="214"/>
      <c r="E38" s="214"/>
      <c r="F38" s="214"/>
      <c r="G38" s="214"/>
      <c r="H38" s="215"/>
      <c r="J38" s="216">
        <f>IF($H44="SI",IF(AND(J$6+7&gt;40,J$6+7&lt;=50),IF(J$14=1,2,4),0),IF(AND(J$6+1&gt;40,J$6+1&lt;=50),IF(J$14=1,2,4),0))</f>
        <v>0</v>
      </c>
      <c r="L38" s="216"/>
      <c r="M38" s="217"/>
      <c r="N38" s="217"/>
      <c r="O38" s="218"/>
      <c r="P38" s="219" t="str">
        <f t="shared" si="1"/>
        <v>AE.1500</v>
      </c>
      <c r="Q38" s="74" t="str">
        <f>+IF(TC[[#This Row],[ITEM]]=B38,"ok","mal")</f>
        <v>ok</v>
      </c>
      <c r="R38" s="168">
        <f t="shared" si="0"/>
        <v>0</v>
      </c>
      <c r="S38" s="169">
        <f>IF(VLOOKUP(B38,TbPiezas[],5,0)="NA",0,VLOOKUP(B38,TbPiezas[],5,0))</f>
        <v>13.599999999999994</v>
      </c>
      <c r="T38" s="81">
        <f>TC[[#This Row],[TOTAL]]*TC[[#This Row],[P.U. (1)]]</f>
        <v>0</v>
      </c>
      <c r="U38" s="82">
        <f>+VLOOKUP(B38,TbPiezas[],6,0)</f>
        <v>619.37</v>
      </c>
      <c r="V38" s="83">
        <f>TC[[#This Row],[TOTAL]]*TC[[#This Row],[P.U. (2)]]</f>
        <v>0</v>
      </c>
      <c r="W38" s="82">
        <f>+VLOOKUP(B38,TbPiezas[],7,0)</f>
        <v>30.968500000000002</v>
      </c>
      <c r="X38" s="220">
        <f>ROUND(TC[[#This Row],[TOTAL]]*TC[[#This Row],[P.U. (3)]],2)</f>
        <v>0</v>
      </c>
    </row>
    <row r="39" spans="2:24" s="199" customFormat="1" x14ac:dyDescent="0.3">
      <c r="B39" s="212" t="s">
        <v>375</v>
      </c>
      <c r="C39" s="213" t="s">
        <v>376</v>
      </c>
      <c r="D39" s="214"/>
      <c r="E39" s="214"/>
      <c r="F39" s="214"/>
      <c r="G39" s="214"/>
      <c r="H39" s="215"/>
      <c r="J39" s="216">
        <f>IF($H44="SI",IF(AND(J$6+7&gt;30,J$6+7&lt;=40),IF(J$14=1,2,4),0),IF(AND(J$6+1&gt;30,J$6+1&lt;=40),IF(J$14=1,2,4),0))</f>
        <v>0</v>
      </c>
      <c r="L39" s="216"/>
      <c r="M39" s="217"/>
      <c r="N39" s="217"/>
      <c r="O39" s="218"/>
      <c r="P39" s="219" t="str">
        <f t="shared" si="1"/>
        <v>AE.1600</v>
      </c>
      <c r="Q39" s="74" t="str">
        <f>+IF(TC[[#This Row],[ITEM]]=B39,"ok","mal")</f>
        <v>ok</v>
      </c>
      <c r="R39" s="168">
        <f t="shared" si="0"/>
        <v>0</v>
      </c>
      <c r="S39" s="169">
        <f>IF(VLOOKUP(B39,TbPiezas[],5,0)="NA",0,VLOOKUP(B39,TbPiezas[],5,0))</f>
        <v>10.799999999999997</v>
      </c>
      <c r="T39" s="81">
        <f>TC[[#This Row],[TOTAL]]*TC[[#This Row],[P.U. (1)]]</f>
        <v>0</v>
      </c>
      <c r="U39" s="82">
        <f>+VLOOKUP(B39,TbPiezas[],6,0)</f>
        <v>495.5</v>
      </c>
      <c r="V39" s="83">
        <f>TC[[#This Row],[TOTAL]]*TC[[#This Row],[P.U. (2)]]</f>
        <v>0</v>
      </c>
      <c r="W39" s="82">
        <f>+VLOOKUP(B39,TbPiezas[],7,0)</f>
        <v>24.775000000000002</v>
      </c>
      <c r="X39" s="220">
        <f>ROUND(TC[[#This Row],[TOTAL]]*TC[[#This Row],[P.U. (3)]],2)</f>
        <v>0</v>
      </c>
    </row>
    <row r="40" spans="2:24" s="199" customFormat="1" x14ac:dyDescent="0.3">
      <c r="B40" s="212" t="s">
        <v>377</v>
      </c>
      <c r="C40" s="213" t="s">
        <v>378</v>
      </c>
      <c r="D40" s="214"/>
      <c r="E40" s="214"/>
      <c r="F40" s="214"/>
      <c r="G40" s="214"/>
      <c r="H40" s="215"/>
      <c r="J40" s="216">
        <f>IF($H44="SI",IF(AND(J$6+7&gt;20,J$6+7&lt;=30),IF(J$14=1,2,4),0),IF(AND(J$6+1&gt;20,J$6+1&lt;=30),IF(J$14=1,2,4),0))</f>
        <v>0</v>
      </c>
      <c r="L40" s="216"/>
      <c r="M40" s="217"/>
      <c r="N40" s="217"/>
      <c r="O40" s="218"/>
      <c r="P40" s="219" t="str">
        <f t="shared" si="1"/>
        <v>AE.1700</v>
      </c>
      <c r="Q40" s="74" t="str">
        <f>+IF(TC[[#This Row],[ITEM]]=B40,"ok","mal")</f>
        <v>ok</v>
      </c>
      <c r="R40" s="168">
        <f t="shared" si="0"/>
        <v>0</v>
      </c>
      <c r="S40" s="169">
        <f>IF(VLOOKUP(B40,TbPiezas[],5,0)="NA",0,VLOOKUP(B40,TbPiezas[],5,0))</f>
        <v>8.2000000000000028</v>
      </c>
      <c r="T40" s="81">
        <f>TC[[#This Row],[TOTAL]]*TC[[#This Row],[P.U. (1)]]</f>
        <v>0</v>
      </c>
      <c r="U40" s="82">
        <f>+VLOOKUP(B40,TbPiezas[],6,0)</f>
        <v>371.62</v>
      </c>
      <c r="V40" s="83">
        <f>TC[[#This Row],[TOTAL]]*TC[[#This Row],[P.U. (2)]]</f>
        <v>0</v>
      </c>
      <c r="W40" s="82">
        <f>+VLOOKUP(B40,TbPiezas[],7,0)</f>
        <v>18.581</v>
      </c>
      <c r="X40" s="220">
        <f>ROUND(TC[[#This Row],[TOTAL]]*TC[[#This Row],[P.U. (3)]],2)</f>
        <v>0</v>
      </c>
    </row>
    <row r="41" spans="2:24" s="199" customFormat="1" x14ac:dyDescent="0.3">
      <c r="B41" s="212" t="s">
        <v>379</v>
      </c>
      <c r="C41" s="213" t="s">
        <v>380</v>
      </c>
      <c r="D41" s="214"/>
      <c r="E41" s="214"/>
      <c r="F41" s="214"/>
      <c r="G41" s="214"/>
      <c r="H41" s="215"/>
      <c r="J41" s="216">
        <f>IF($H44="SI",IF(AND(J$6+7&gt;10,J$6+7&lt;=20),IF(J$14=1,2,4),0),IF(AND(J$6+1&gt;10,J$6+1&lt;=20),IF(J$14=1,2,4),0))</f>
        <v>4</v>
      </c>
      <c r="L41" s="216"/>
      <c r="M41" s="217"/>
      <c r="N41" s="217"/>
      <c r="O41" s="218"/>
      <c r="P41" s="219" t="str">
        <f t="shared" si="1"/>
        <v>AE.1710</v>
      </c>
      <c r="Q41" s="74" t="str">
        <f>+IF(TC[[#This Row],[ITEM]]=B41,"ok","mal")</f>
        <v>ok</v>
      </c>
      <c r="R41" s="168">
        <f t="shared" si="0"/>
        <v>0</v>
      </c>
      <c r="S41" s="169">
        <f>IF(VLOOKUP(B41,TbPiezas[],5,0)="NA",0,VLOOKUP(B41,TbPiezas[],5,0))</f>
        <v>5.42</v>
      </c>
      <c r="T41" s="81">
        <f>TC[[#This Row],[TOTAL]]*TC[[#This Row],[P.U. (1)]]</f>
        <v>0</v>
      </c>
      <c r="U41" s="82">
        <f>+VLOOKUP(B41,TbPiezas[],6,0)</f>
        <v>247.75</v>
      </c>
      <c r="V41" s="83">
        <f>TC[[#This Row],[TOTAL]]*TC[[#This Row],[P.U. (2)]]</f>
        <v>0</v>
      </c>
      <c r="W41" s="82">
        <f>+VLOOKUP(B41,TbPiezas[],7,0)</f>
        <v>12.387500000000001</v>
      </c>
      <c r="X41" s="220">
        <f>ROUND(TC[[#This Row],[TOTAL]]*TC[[#This Row],[P.U. (3)]],2)</f>
        <v>0</v>
      </c>
    </row>
    <row r="42" spans="2:24" s="199" customFormat="1" x14ac:dyDescent="0.3">
      <c r="B42" s="212" t="s">
        <v>381</v>
      </c>
      <c r="C42" s="213" t="s">
        <v>382</v>
      </c>
      <c r="D42" s="214"/>
      <c r="E42" s="214"/>
      <c r="F42" s="214"/>
      <c r="G42" s="214"/>
      <c r="H42" s="215"/>
      <c r="J42" s="216">
        <f>+IF(J$6="",0,IF(J$14=1,1,2)+IF(J7="MULTI",IF(J$14=1,1,2),0))</f>
        <v>2</v>
      </c>
      <c r="L42" s="216"/>
      <c r="M42" s="217"/>
      <c r="N42" s="217"/>
      <c r="O42" s="218"/>
      <c r="P42" s="219" t="str">
        <f t="shared" si="1"/>
        <v>AE.1800</v>
      </c>
      <c r="Q42" s="74" t="str">
        <f>+IF(TC[[#This Row],[ITEM]]=B42,"ok","mal")</f>
        <v>ok</v>
      </c>
      <c r="R42" s="168">
        <f t="shared" si="0"/>
        <v>0</v>
      </c>
      <c r="S42" s="169">
        <f>IF(VLOOKUP(B42,TbPiezas[],5,0)="NA",0,VLOOKUP(B42,TbPiezas[],5,0))</f>
        <v>4.0999999999999943</v>
      </c>
      <c r="T42" s="81">
        <f>TC[[#This Row],[TOTAL]]*TC[[#This Row],[P.U. (1)]]</f>
        <v>0</v>
      </c>
      <c r="U42" s="82">
        <f>+VLOOKUP(B42,TbPiezas[],6,0)</f>
        <v>439.15</v>
      </c>
      <c r="V42" s="83">
        <f>TC[[#This Row],[TOTAL]]*TC[[#This Row],[P.U. (2)]]</f>
        <v>0</v>
      </c>
      <c r="W42" s="82">
        <f>+VLOOKUP(B42,TbPiezas[],7,0)</f>
        <v>21.9575</v>
      </c>
      <c r="X42" s="220">
        <f>ROUND(TC[[#This Row],[TOTAL]]*TC[[#This Row],[P.U. (3)]],2)</f>
        <v>0</v>
      </c>
    </row>
    <row r="43" spans="2:24" s="199" customFormat="1" x14ac:dyDescent="0.3">
      <c r="B43" s="212" t="s">
        <v>383</v>
      </c>
      <c r="C43" s="213" t="s">
        <v>384</v>
      </c>
      <c r="D43" s="214"/>
      <c r="E43" s="214"/>
      <c r="F43" s="214"/>
      <c r="G43" s="214"/>
      <c r="H43" s="215"/>
      <c r="J43" s="216">
        <f>IF(J$4="",0,IF(J$7="PARAPETO",0,IF(J$14=1,1,2)))</f>
        <v>0</v>
      </c>
      <c r="L43" s="216"/>
      <c r="M43" s="217"/>
      <c r="N43" s="217"/>
      <c r="O43" s="218"/>
      <c r="P43" s="219" t="str">
        <f t="shared" si="1"/>
        <v>AE.1900</v>
      </c>
      <c r="Q43" s="74" t="str">
        <f>+IF(TC[[#This Row],[ITEM]]=B43,"ok","mal")</f>
        <v>ok</v>
      </c>
      <c r="R43" s="168">
        <f t="shared" si="0"/>
        <v>0</v>
      </c>
      <c r="S43" s="169">
        <f>IF(VLOOKUP(B43,TbPiezas[],5,0)="NA",0,VLOOKUP(B43,TbPiezas[],5,0))</f>
        <v>4.0999999999999943</v>
      </c>
      <c r="T43" s="81">
        <f>TC[[#This Row],[TOTAL]]*TC[[#This Row],[P.U. (1)]]</f>
        <v>0</v>
      </c>
      <c r="U43" s="82">
        <f>+VLOOKUP(B43,TbPiezas[],6,0)</f>
        <v>439.15</v>
      </c>
      <c r="V43" s="83">
        <f>TC[[#This Row],[TOTAL]]*TC[[#This Row],[P.U. (2)]]</f>
        <v>0</v>
      </c>
      <c r="W43" s="82">
        <f>+VLOOKUP(B43,TbPiezas[],7,0)</f>
        <v>21.9575</v>
      </c>
      <c r="X43" s="220">
        <f>ROUND(TC[[#This Row],[TOTAL]]*TC[[#This Row],[P.U. (3)]],2)</f>
        <v>0</v>
      </c>
    </row>
    <row r="44" spans="2:24" s="199" customFormat="1" x14ac:dyDescent="0.3">
      <c r="B44" s="212" t="s">
        <v>385</v>
      </c>
      <c r="C44" s="213" t="s">
        <v>386</v>
      </c>
      <c r="D44" s="214"/>
      <c r="E44" s="214"/>
      <c r="F44" s="214"/>
      <c r="G44" s="214" t="s">
        <v>1226</v>
      </c>
      <c r="H44" s="215" t="s">
        <v>1023</v>
      </c>
      <c r="J44" s="216">
        <f>IF(J$4="",0,IF($H44="SI",IF(OR($H44=$H45,$H44=$H46),"ERROR",IF(J$17="ERROR","ERROR",IF(OR(J$7="PARAPETO",J$8="AMBOS"),"ERROR",IF(J$14=1,1,2)))),0))</f>
        <v>0</v>
      </c>
      <c r="L44" s="216"/>
      <c r="M44" s="217"/>
      <c r="N44" s="217"/>
      <c r="O44" s="218"/>
      <c r="P44" s="219" t="str">
        <f t="shared" si="1"/>
        <v>AE.2000</v>
      </c>
      <c r="Q44" s="74" t="str">
        <f>+IF(TC[[#This Row],[ITEM]]=B44,"ok","mal")</f>
        <v>ok</v>
      </c>
      <c r="R44" s="168">
        <f t="shared" si="0"/>
        <v>0</v>
      </c>
      <c r="S44" s="169">
        <f>IF(VLOOKUP(B44,TbPiezas[],5,0)="NA",0,VLOOKUP(B44,TbPiezas[],5,0))</f>
        <v>2.8999999999999915</v>
      </c>
      <c r="T44" s="81">
        <f>TC[[#This Row],[TOTAL]]*TC[[#This Row],[P.U. (1)]]</f>
        <v>0</v>
      </c>
      <c r="U44" s="82">
        <f>+VLOOKUP(B44,TbPiezas[],6,0)</f>
        <v>20.329999999999998</v>
      </c>
      <c r="V44" s="83">
        <f>TC[[#This Row],[TOTAL]]*TC[[#This Row],[P.U. (2)]]</f>
        <v>0</v>
      </c>
      <c r="W44" s="82">
        <f>+VLOOKUP(B44,TbPiezas[],7,0)</f>
        <v>1.0165</v>
      </c>
      <c r="X44" s="220">
        <f>ROUND(TC[[#This Row],[TOTAL]]*TC[[#This Row],[P.U. (3)]],2)</f>
        <v>0</v>
      </c>
    </row>
    <row r="45" spans="2:24" s="199" customFormat="1" x14ac:dyDescent="0.3">
      <c r="B45" s="212" t="s">
        <v>387</v>
      </c>
      <c r="C45" s="213" t="s">
        <v>388</v>
      </c>
      <c r="D45" s="214"/>
      <c r="E45" s="214"/>
      <c r="F45" s="214"/>
      <c r="G45" s="214" t="s">
        <v>1227</v>
      </c>
      <c r="H45" s="215" t="s">
        <v>1019</v>
      </c>
      <c r="J45" s="216">
        <f>IF(J$4="",0,IF($H45="SI",IF(OR($H45=$H44,$H45=$H46),"ERROR",IF(J$17="ERROR","ERROR",IF(J$14=1,1,2))),""))</f>
        <v>2</v>
      </c>
      <c r="L45" s="216"/>
      <c r="M45" s="217"/>
      <c r="N45" s="217"/>
      <c r="O45" s="218"/>
      <c r="P45" s="219" t="str">
        <f t="shared" si="1"/>
        <v>AE.2100</v>
      </c>
      <c r="Q45" s="74" t="str">
        <f>+IF(TC[[#This Row],[ITEM]]=B45,"ok","mal")</f>
        <v>ok</v>
      </c>
      <c r="R45" s="168">
        <f t="shared" si="0"/>
        <v>0</v>
      </c>
      <c r="S45" s="169">
        <f>IF(VLOOKUP(B45,TbPiezas[],5,0)="NA",0,VLOOKUP(B45,TbPiezas[],5,0))</f>
        <v>2.8999999999999915</v>
      </c>
      <c r="T45" s="81">
        <f>TC[[#This Row],[TOTAL]]*TC[[#This Row],[P.U. (1)]]</f>
        <v>0</v>
      </c>
      <c r="U45" s="82">
        <f>+VLOOKUP(B45,TbPiezas[],6,0)</f>
        <v>337.48</v>
      </c>
      <c r="V45" s="83">
        <f>TC[[#This Row],[TOTAL]]*TC[[#This Row],[P.U. (2)]]</f>
        <v>0</v>
      </c>
      <c r="W45" s="82">
        <f>+VLOOKUP(B45,TbPiezas[],7,0)</f>
        <v>16.874000000000002</v>
      </c>
      <c r="X45" s="220">
        <f>ROUND(TC[[#This Row],[TOTAL]]*TC[[#This Row],[P.U. (3)]],2)</f>
        <v>0</v>
      </c>
    </row>
    <row r="46" spans="2:24" s="199" customFormat="1" x14ac:dyDescent="0.3">
      <c r="B46" s="212" t="s">
        <v>389</v>
      </c>
      <c r="C46" s="213" t="s">
        <v>390</v>
      </c>
      <c r="D46" s="214"/>
      <c r="E46" s="214"/>
      <c r="F46" s="214"/>
      <c r="G46" s="214" t="s">
        <v>1228</v>
      </c>
      <c r="H46" s="215" t="s">
        <v>1023</v>
      </c>
      <c r="J46" s="216">
        <f>IF(J$4="",0,IF($H46="SI",IF(OR($H46=$H44,$H46=$H45),"ERROR",IF(J$17="ERROR","ERROR",IF(J$14=1,1,2))),0))</f>
        <v>0</v>
      </c>
      <c r="L46" s="216"/>
      <c r="M46" s="217"/>
      <c r="N46" s="217"/>
      <c r="O46" s="218"/>
      <c r="P46" s="219" t="str">
        <f t="shared" si="1"/>
        <v>AE.2200</v>
      </c>
      <c r="Q46" s="74" t="str">
        <f>+IF(TC[[#This Row],[ITEM]]=B46,"ok","mal")</f>
        <v>ok</v>
      </c>
      <c r="R46" s="168">
        <f t="shared" si="0"/>
        <v>0</v>
      </c>
      <c r="S46" s="169">
        <f>IF(VLOOKUP(B46,TbPiezas[],5,0)="NA",0,VLOOKUP(B46,TbPiezas[],5,0))</f>
        <v>3</v>
      </c>
      <c r="T46" s="81">
        <f>TC[[#This Row],[TOTAL]]*TC[[#This Row],[P.U. (1)]]</f>
        <v>0</v>
      </c>
      <c r="U46" s="82">
        <f>+VLOOKUP(B46,TbPiezas[],6,0)</f>
        <v>337.48</v>
      </c>
      <c r="V46" s="83">
        <f>TC[[#This Row],[TOTAL]]*TC[[#This Row],[P.U. (2)]]</f>
        <v>0</v>
      </c>
      <c r="W46" s="82">
        <f>+VLOOKUP(B46,TbPiezas[],7,0)</f>
        <v>16.874000000000002</v>
      </c>
      <c r="X46" s="220">
        <f>ROUND(TC[[#This Row],[TOTAL]]*TC[[#This Row],[P.U. (3)]],2)</f>
        <v>0</v>
      </c>
    </row>
    <row r="47" spans="2:24" s="199" customFormat="1" x14ac:dyDescent="0.3">
      <c r="B47" s="212" t="s">
        <v>391</v>
      </c>
      <c r="C47" s="213" t="s">
        <v>392</v>
      </c>
      <c r="D47" s="214"/>
      <c r="E47" s="214"/>
      <c r="F47" s="214"/>
      <c r="G47" s="214"/>
      <c r="H47" s="215"/>
      <c r="J47" s="216" t="str">
        <f>IF(J$4="",0,IF(J$8="PARAPETO","",IF($H44="SI",IF(J$14=1,1,2),IF(OR($H45="SI",$H46="SI"),IF(J$14=1,3,6),0))))</f>
        <v/>
      </c>
      <c r="L47" s="216"/>
      <c r="M47" s="217"/>
      <c r="N47" s="217"/>
      <c r="O47" s="218"/>
      <c r="P47" s="219" t="str">
        <f t="shared" si="1"/>
        <v>AE.2300</v>
      </c>
      <c r="Q47" s="74" t="str">
        <f>+IF(TC[[#This Row],[ITEM]]=B47,"ok","mal")</f>
        <v>ok</v>
      </c>
      <c r="R47" s="168">
        <f t="shared" si="0"/>
        <v>0</v>
      </c>
      <c r="S47" s="169">
        <f>IF(VLOOKUP(B47,TbPiezas[],5,0)="NA",0,VLOOKUP(B47,TbPiezas[],5,0))</f>
        <v>1.2000000000000028</v>
      </c>
      <c r="T47" s="81">
        <f>TC[[#This Row],[TOTAL]]*TC[[#This Row],[P.U. (1)]]</f>
        <v>0</v>
      </c>
      <c r="U47" s="82">
        <f>+VLOOKUP(B47,TbPiezas[],6,0)</f>
        <v>210.09</v>
      </c>
      <c r="V47" s="83">
        <f>TC[[#This Row],[TOTAL]]*TC[[#This Row],[P.U. (2)]]</f>
        <v>0</v>
      </c>
      <c r="W47" s="82">
        <f>+VLOOKUP(B47,TbPiezas[],7,0)</f>
        <v>10.5045</v>
      </c>
      <c r="X47" s="220">
        <f>ROUND(TC[[#This Row],[TOTAL]]*TC[[#This Row],[P.U. (3)]],2)</f>
        <v>0</v>
      </c>
    </row>
    <row r="48" spans="2:24" s="199" customFormat="1" x14ac:dyDescent="0.3">
      <c r="B48" s="212" t="s">
        <v>393</v>
      </c>
      <c r="C48" s="213" t="s">
        <v>394</v>
      </c>
      <c r="D48" s="214"/>
      <c r="E48" s="214"/>
      <c r="F48" s="214"/>
      <c r="G48" s="214"/>
      <c r="H48" s="215"/>
      <c r="J48" s="216">
        <f>IF(J$4="",,IF($H44="SI",IF(J$14=1,1,2),0))</f>
        <v>0</v>
      </c>
      <c r="L48" s="216"/>
      <c r="M48" s="217"/>
      <c r="N48" s="217"/>
      <c r="O48" s="218"/>
      <c r="P48" s="219" t="str">
        <f t="shared" si="1"/>
        <v>AE.2400</v>
      </c>
      <c r="Q48" s="74" t="str">
        <f>+IF(TC[[#This Row],[ITEM]]=B48,"ok","mal")</f>
        <v>ok</v>
      </c>
      <c r="R48" s="168">
        <f t="shared" si="0"/>
        <v>0</v>
      </c>
      <c r="S48" s="169">
        <f>IF(VLOOKUP(B48,TbPiezas[],5,0)="NA",0,VLOOKUP(B48,TbPiezas[],5,0))</f>
        <v>1.7999999999999972</v>
      </c>
      <c r="T48" s="81">
        <f>TC[[#This Row],[TOTAL]]*TC[[#This Row],[P.U. (1)]]</f>
        <v>0</v>
      </c>
      <c r="U48" s="82">
        <f>+VLOOKUP(B48,TbPiezas[],6,0)</f>
        <v>337.48</v>
      </c>
      <c r="V48" s="83">
        <f>TC[[#This Row],[TOTAL]]*TC[[#This Row],[P.U. (2)]]</f>
        <v>0</v>
      </c>
      <c r="W48" s="82">
        <f>+VLOOKUP(B48,TbPiezas[],7,0)</f>
        <v>16.874000000000002</v>
      </c>
      <c r="X48" s="220">
        <f>ROUND(TC[[#This Row],[TOTAL]]*TC[[#This Row],[P.U. (3)]],2)</f>
        <v>0</v>
      </c>
    </row>
    <row r="49" spans="2:24" s="199" customFormat="1" x14ac:dyDescent="0.3">
      <c r="B49" s="212" t="s">
        <v>395</v>
      </c>
      <c r="C49" s="213" t="s">
        <v>396</v>
      </c>
      <c r="D49" s="214"/>
      <c r="E49" s="214"/>
      <c r="F49" s="214"/>
      <c r="G49" s="214"/>
      <c r="H49" s="215"/>
      <c r="J49" s="216" t="str">
        <f>IF(J$8="PARAPETO","",IF(J$4="",0,IF(J$14=1,1,2)))</f>
        <v/>
      </c>
      <c r="L49" s="216"/>
      <c r="M49" s="217"/>
      <c r="N49" s="217"/>
      <c r="O49" s="218"/>
      <c r="P49" s="219" t="str">
        <f t="shared" si="1"/>
        <v>AE.2500</v>
      </c>
      <c r="Q49" s="74" t="str">
        <f>+IF(TC[[#This Row],[ITEM]]=B49,"ok","mal")</f>
        <v>ok</v>
      </c>
      <c r="R49" s="168">
        <f t="shared" si="0"/>
        <v>0</v>
      </c>
      <c r="S49" s="169">
        <f>IF(VLOOKUP(B49,TbPiezas[],5,0)="NA",0,VLOOKUP(B49,TbPiezas[],5,0))</f>
        <v>3.0999999999999943</v>
      </c>
      <c r="T49" s="81">
        <f>TC[[#This Row],[TOTAL]]*TC[[#This Row],[P.U. (1)]]</f>
        <v>0</v>
      </c>
      <c r="U49" s="82">
        <f>+VLOOKUP(B49,TbPiezas[],6,0)</f>
        <v>210.09</v>
      </c>
      <c r="V49" s="83">
        <f>TC[[#This Row],[TOTAL]]*TC[[#This Row],[P.U. (2)]]</f>
        <v>0</v>
      </c>
      <c r="W49" s="82">
        <f>+VLOOKUP(B49,TbPiezas[],7,0)</f>
        <v>10.5045</v>
      </c>
      <c r="X49" s="220">
        <f>ROUND(TC[[#This Row],[TOTAL]]*TC[[#This Row],[P.U. (3)]],2)</f>
        <v>0</v>
      </c>
    </row>
    <row r="50" spans="2:24" s="199" customFormat="1" x14ac:dyDescent="0.3">
      <c r="B50" s="212" t="s">
        <v>397</v>
      </c>
      <c r="C50" s="213" t="s">
        <v>398</v>
      </c>
      <c r="D50" s="214"/>
      <c r="E50" s="214"/>
      <c r="F50" s="214"/>
      <c r="G50" s="214"/>
      <c r="H50" s="215"/>
      <c r="J50" s="216" t="str">
        <f>IF(J$4="",,IF(J$8="PARAPETO",IF(J$14=1,2,""),IF($H44="SI",IF(J$14=1,2,""),IF(OR($H45="SI",$H46="SI"),IF(J$14=1,4,2),""))))</f>
        <v/>
      </c>
      <c r="L50" s="216"/>
      <c r="M50" s="217"/>
      <c r="N50" s="217"/>
      <c r="O50" s="218"/>
      <c r="P50" s="219" t="str">
        <f t="shared" si="1"/>
        <v>AE.2600</v>
      </c>
      <c r="Q50" s="74" t="str">
        <f>+IF(TC[[#This Row],[ITEM]]=B50,"ok","mal")</f>
        <v>ok</v>
      </c>
      <c r="R50" s="168">
        <f t="shared" si="0"/>
        <v>0</v>
      </c>
      <c r="S50" s="169">
        <f>IF(VLOOKUP(B50,TbPiezas[],5,0)="NA",0,VLOOKUP(B50,TbPiezas[],5,0))</f>
        <v>4.9999999999997158E-2</v>
      </c>
      <c r="T50" s="81">
        <f>TC[[#This Row],[TOTAL]]*TC[[#This Row],[P.U. (1)]]</f>
        <v>0</v>
      </c>
      <c r="U50" s="82">
        <f>+VLOOKUP(B50,TbPiezas[],6,0)</f>
        <v>32.22</v>
      </c>
      <c r="V50" s="83">
        <f>TC[[#This Row],[TOTAL]]*TC[[#This Row],[P.U. (2)]]</f>
        <v>0</v>
      </c>
      <c r="W50" s="82">
        <f>+VLOOKUP(B50,TbPiezas[],7,0)</f>
        <v>1.611</v>
      </c>
      <c r="X50" s="220">
        <f>ROUND(TC[[#This Row],[TOTAL]]*TC[[#This Row],[P.U. (3)]],2)</f>
        <v>0</v>
      </c>
    </row>
    <row r="51" spans="2:24" s="199" customFormat="1" x14ac:dyDescent="0.3">
      <c r="B51" s="212" t="s">
        <v>399</v>
      </c>
      <c r="C51" s="213" t="s">
        <v>400</v>
      </c>
      <c r="D51" s="214"/>
      <c r="E51" s="214"/>
      <c r="F51" s="214"/>
      <c r="G51" s="214"/>
      <c r="H51" s="215"/>
      <c r="J51" s="216">
        <f>IF(J$4="",,IF(J$8="PARAPETO",IF(J$14=1,8,16)+IF(J$14=1,5,16),IF($H44="SI",IF(J$14=1,8,16)+IF(J$14=1,5,16),IF(OR($H45="SI",$H46="SI"),IF(J$14=1,16,32)+IF(J$14=1,5,12),0)))+IF(J$7="MULTI",IF(J$14=1,4,8)+IF(J$14=1,5,8),0))</f>
        <v>32</v>
      </c>
      <c r="L51" s="216"/>
      <c r="M51" s="217"/>
      <c r="N51" s="217"/>
      <c r="O51" s="218"/>
      <c r="P51" s="219" t="str">
        <f t="shared" si="1"/>
        <v>AE.2700</v>
      </c>
      <c r="Q51" s="74" t="str">
        <f>+IF(TC[[#This Row],[ITEM]]=B51,"ok","mal")</f>
        <v>ok</v>
      </c>
      <c r="R51" s="168">
        <f t="shared" si="0"/>
        <v>0</v>
      </c>
      <c r="S51" s="169">
        <f>IF(VLOOKUP(B51,TbPiezas[],5,0)="NA",0,VLOOKUP(B51,TbPiezas[],5,0))</f>
        <v>9.9999999999994316E-2</v>
      </c>
      <c r="T51" s="81">
        <f>TC[[#This Row],[TOTAL]]*TC[[#This Row],[P.U. (1)]]</f>
        <v>0</v>
      </c>
      <c r="U51" s="82">
        <f>+VLOOKUP(B51,TbPiezas[],6,0)</f>
        <v>8.08</v>
      </c>
      <c r="V51" s="83">
        <f>TC[[#This Row],[TOTAL]]*TC[[#This Row],[P.U. (2)]]</f>
        <v>0</v>
      </c>
      <c r="W51" s="82">
        <f>+VLOOKUP(B51,TbPiezas[],7,0)</f>
        <v>0.40400000000000003</v>
      </c>
      <c r="X51" s="220">
        <f>ROUND(TC[[#This Row],[TOTAL]]*TC[[#This Row],[P.U. (3)]],2)</f>
        <v>0</v>
      </c>
    </row>
    <row r="52" spans="2:24" s="199" customFormat="1" x14ac:dyDescent="0.3">
      <c r="B52" s="212" t="s">
        <v>401</v>
      </c>
      <c r="C52" s="213" t="s">
        <v>402</v>
      </c>
      <c r="D52" s="214"/>
      <c r="E52" s="214"/>
      <c r="F52" s="214"/>
      <c r="G52" s="214"/>
      <c r="H52" s="215"/>
      <c r="J52" s="216">
        <f>+IF(AND(J$14&gt;1,H$61="SI"),4,)</f>
        <v>0</v>
      </c>
      <c r="L52" s="216"/>
      <c r="M52" s="217"/>
      <c r="N52" s="217"/>
      <c r="O52" s="218"/>
      <c r="P52" s="219" t="str">
        <f t="shared" si="1"/>
        <v>AE.2800</v>
      </c>
      <c r="Q52" s="74" t="str">
        <f>+IF(TC[[#This Row],[ITEM]]=B52,"ok","mal")</f>
        <v>ok</v>
      </c>
      <c r="R52" s="168">
        <f t="shared" si="0"/>
        <v>0</v>
      </c>
      <c r="S52" s="169">
        <f>IF(VLOOKUP(B52,TbPiezas[],5,0)="NA",0,VLOOKUP(B52,TbPiezas[],5,0))</f>
        <v>0.1</v>
      </c>
      <c r="T52" s="81">
        <f>TC[[#This Row],[TOTAL]]*TC[[#This Row],[P.U. (1)]]</f>
        <v>0</v>
      </c>
      <c r="U52" s="82">
        <f>+VLOOKUP(B52,TbPiezas[],6,0)</f>
        <v>190.58</v>
      </c>
      <c r="V52" s="83">
        <f>TC[[#This Row],[TOTAL]]*TC[[#This Row],[P.U. (2)]]</f>
        <v>0</v>
      </c>
      <c r="W52" s="82">
        <f>+VLOOKUP(B52,TbPiezas[],7,0)</f>
        <v>9.5290000000000017</v>
      </c>
      <c r="X52" s="220">
        <f>ROUND(TC[[#This Row],[TOTAL]]*TC[[#This Row],[P.U. (3)]],2)</f>
        <v>0</v>
      </c>
    </row>
    <row r="53" spans="2:24" s="199" customFormat="1" x14ac:dyDescent="0.3">
      <c r="B53" s="212" t="s">
        <v>403</v>
      </c>
      <c r="C53" s="213" t="s">
        <v>404</v>
      </c>
      <c r="D53" s="214"/>
      <c r="E53" s="214"/>
      <c r="F53" s="214"/>
      <c r="G53" s="214"/>
      <c r="H53" s="215"/>
      <c r="J53" s="216">
        <f>+IF(J$14=1,4,)</f>
        <v>0</v>
      </c>
      <c r="L53" s="216"/>
      <c r="M53" s="217"/>
      <c r="N53" s="217"/>
      <c r="O53" s="218"/>
      <c r="P53" s="219" t="str">
        <f t="shared" si="1"/>
        <v>AE.2900</v>
      </c>
      <c r="Q53" s="74" t="str">
        <f>+IF(TC[[#This Row],[ITEM]]=B53,"ok","mal")</f>
        <v>ok</v>
      </c>
      <c r="R53" s="168">
        <f t="shared" si="0"/>
        <v>0</v>
      </c>
      <c r="S53" s="169">
        <f>IF(VLOOKUP(B53,TbPiezas[],5,0)="NA",0,VLOOKUP(B53,TbPiezas[],5,0))</f>
        <v>0.4</v>
      </c>
      <c r="T53" s="81">
        <f>TC[[#This Row],[TOTAL]]*TC[[#This Row],[P.U. (1)]]</f>
        <v>0</v>
      </c>
      <c r="U53" s="82">
        <f>+VLOOKUP(B53,TbPiezas[],6,0)</f>
        <v>101.64</v>
      </c>
      <c r="V53" s="83">
        <f>TC[[#This Row],[TOTAL]]*TC[[#This Row],[P.U. (2)]]</f>
        <v>0</v>
      </c>
      <c r="W53" s="82">
        <f>+VLOOKUP(B53,TbPiezas[],7,0)</f>
        <v>5.0820000000000007</v>
      </c>
      <c r="X53" s="220">
        <f>ROUND(TC[[#This Row],[TOTAL]]*TC[[#This Row],[P.U. (3)]],2)</f>
        <v>0</v>
      </c>
    </row>
    <row r="54" spans="2:24" s="199" customFormat="1" x14ac:dyDescent="0.3">
      <c r="B54" s="212" t="s">
        <v>405</v>
      </c>
      <c r="C54" s="213" t="s">
        <v>406</v>
      </c>
      <c r="D54" s="214"/>
      <c r="E54" s="214"/>
      <c r="F54" s="214"/>
      <c r="G54" s="214"/>
      <c r="H54" s="215"/>
      <c r="J54" s="216">
        <f>+IF(J14=1,2,)</f>
        <v>0</v>
      </c>
      <c r="L54" s="216"/>
      <c r="M54" s="217"/>
      <c r="N54" s="217"/>
      <c r="O54" s="218"/>
      <c r="P54" s="219" t="str">
        <f t="shared" si="1"/>
        <v>AE.3000</v>
      </c>
      <c r="Q54" s="74" t="str">
        <f>+IF(TC[[#This Row],[ITEM]]=B54,"ok","mal")</f>
        <v>ok</v>
      </c>
      <c r="R54" s="168">
        <f t="shared" si="0"/>
        <v>0</v>
      </c>
      <c r="S54" s="169">
        <f>IF(VLOOKUP(B54,TbPiezas[],5,0)="NA",0,VLOOKUP(B54,TbPiezas[],5,0))</f>
        <v>14.9</v>
      </c>
      <c r="T54" s="81">
        <f>TC[[#This Row],[TOTAL]]*TC[[#This Row],[P.U. (1)]]</f>
        <v>0</v>
      </c>
      <c r="U54" s="82">
        <f>+VLOOKUP(B54,TbPiezas[],6,0)</f>
        <v>32.22</v>
      </c>
      <c r="V54" s="83">
        <f>TC[[#This Row],[TOTAL]]*TC[[#This Row],[P.U. (2)]]</f>
        <v>0</v>
      </c>
      <c r="W54" s="82">
        <f>+VLOOKUP(B54,TbPiezas[],7,0)</f>
        <v>1.611</v>
      </c>
      <c r="X54" s="220">
        <f>ROUND(TC[[#This Row],[TOTAL]]*TC[[#This Row],[P.U. (3)]],2)</f>
        <v>0</v>
      </c>
    </row>
    <row r="55" spans="2:24" s="199" customFormat="1" x14ac:dyDescent="0.3">
      <c r="B55" s="212" t="s">
        <v>407</v>
      </c>
      <c r="C55" s="213" t="s">
        <v>408</v>
      </c>
      <c r="D55" s="214"/>
      <c r="E55" s="214"/>
      <c r="F55" s="214"/>
      <c r="G55" s="214"/>
      <c r="H55" s="215"/>
      <c r="J55" s="216" t="str">
        <f>IF(J4="",,IF(J$7="PARAPETO","",IF(J$14=1,1,4)))</f>
        <v/>
      </c>
      <c r="L55" s="216"/>
      <c r="M55" s="217"/>
      <c r="N55" s="217"/>
      <c r="O55" s="218"/>
      <c r="P55" s="219" t="str">
        <f t="shared" si="1"/>
        <v>AE.3100</v>
      </c>
      <c r="Q55" s="74" t="str">
        <f>+IF(TC[[#This Row],[ITEM]]=B55,"ok","mal")</f>
        <v>ok</v>
      </c>
      <c r="R55" s="168">
        <f t="shared" si="0"/>
        <v>0</v>
      </c>
      <c r="S55" s="169">
        <f>IF(VLOOKUP(B55,TbPiezas[],5,0)="NA",0,VLOOKUP(B55,TbPiezas[],5,0))</f>
        <v>4.9999999999997158E-2</v>
      </c>
      <c r="T55" s="81">
        <f>TC[[#This Row],[TOTAL]]*TC[[#This Row],[P.U. (1)]]</f>
        <v>0</v>
      </c>
      <c r="U55" s="82">
        <f>+VLOOKUP(B55,TbPiezas[],6,0)</f>
        <v>32.22</v>
      </c>
      <c r="V55" s="83">
        <f>TC[[#This Row],[TOTAL]]*TC[[#This Row],[P.U. (2)]]</f>
        <v>0</v>
      </c>
      <c r="W55" s="82">
        <f>+VLOOKUP(B55,TbPiezas[],7,0)</f>
        <v>1.611</v>
      </c>
      <c r="X55" s="220">
        <f>ROUND(TC[[#This Row],[TOTAL]]*TC[[#This Row],[P.U. (3)]],2)</f>
        <v>0</v>
      </c>
    </row>
    <row r="56" spans="2:24" s="199" customFormat="1" x14ac:dyDescent="0.3">
      <c r="B56" s="212" t="s">
        <v>409</v>
      </c>
      <c r="C56" s="213" t="s">
        <v>410</v>
      </c>
      <c r="D56" s="214"/>
      <c r="E56" s="214"/>
      <c r="F56" s="214"/>
      <c r="G56" s="214"/>
      <c r="H56" s="215"/>
      <c r="J56" s="216" t="str">
        <f>IF(J4="",,IF(J$7="PARAPETO","",IF(J$14=1,1,6)))</f>
        <v/>
      </c>
      <c r="L56" s="216"/>
      <c r="M56" s="217"/>
      <c r="N56" s="217"/>
      <c r="O56" s="218"/>
      <c r="P56" s="219" t="str">
        <f t="shared" si="1"/>
        <v>AE.3200</v>
      </c>
      <c r="Q56" s="74" t="str">
        <f>+IF(TC[[#This Row],[ITEM]]=B56,"ok","mal")</f>
        <v>ok</v>
      </c>
      <c r="R56" s="168">
        <f t="shared" si="0"/>
        <v>0</v>
      </c>
      <c r="S56" s="169">
        <f>IF(VLOOKUP(B56,TbPiezas[],5,0)="NA",0,VLOOKUP(B56,TbPiezas[],5,0))</f>
        <v>4.9999999999997158E-2</v>
      </c>
      <c r="T56" s="81">
        <f>TC[[#This Row],[TOTAL]]*TC[[#This Row],[P.U. (1)]]</f>
        <v>0</v>
      </c>
      <c r="U56" s="82">
        <f>+VLOOKUP(B56,TbPiezas[],6,0)</f>
        <v>32.22</v>
      </c>
      <c r="V56" s="83">
        <f>TC[[#This Row],[TOTAL]]*TC[[#This Row],[P.U. (2)]]</f>
        <v>0</v>
      </c>
      <c r="W56" s="82">
        <f>+VLOOKUP(B56,TbPiezas[],7,0)</f>
        <v>1.611</v>
      </c>
      <c r="X56" s="220">
        <f>ROUND(TC[[#This Row],[TOTAL]]*TC[[#This Row],[P.U. (3)]],2)</f>
        <v>0</v>
      </c>
    </row>
    <row r="57" spans="2:24" s="199" customFormat="1" x14ac:dyDescent="0.3">
      <c r="B57" s="212" t="s">
        <v>411</v>
      </c>
      <c r="C57" s="213" t="s">
        <v>412</v>
      </c>
      <c r="D57" s="214"/>
      <c r="E57" s="214"/>
      <c r="F57" s="214"/>
      <c r="G57" s="214"/>
      <c r="H57" s="215"/>
      <c r="J57" s="216">
        <f>+IF(OR(J$8="PESA",J$8="AMBOS"),IF(J14=1,"",2),)</f>
        <v>0</v>
      </c>
      <c r="L57" s="216"/>
      <c r="M57" s="217"/>
      <c r="N57" s="217"/>
      <c r="O57" s="218"/>
      <c r="P57" s="219" t="str">
        <f t="shared" si="1"/>
        <v>AE.3300</v>
      </c>
      <c r="Q57" s="74" t="str">
        <f>+IF(TC[[#This Row],[ITEM]]=B57,"ok","mal")</f>
        <v>ok</v>
      </c>
      <c r="R57" s="168">
        <f t="shared" si="0"/>
        <v>0</v>
      </c>
      <c r="S57" s="169">
        <f>IF(VLOOKUP(B57,TbPiezas[],5,0)="NA",0,VLOOKUP(B57,TbPiezas[],5,0))</f>
        <v>4.9999999999997158E-2</v>
      </c>
      <c r="T57" s="81">
        <f>TC[[#This Row],[TOTAL]]*TC[[#This Row],[P.U. (1)]]</f>
        <v>0</v>
      </c>
      <c r="U57" s="82">
        <f>+VLOOKUP(B57,TbPiezas[],6,0)</f>
        <v>19.059999999999999</v>
      </c>
      <c r="V57" s="83">
        <f>TC[[#This Row],[TOTAL]]*TC[[#This Row],[P.U. (2)]]</f>
        <v>0</v>
      </c>
      <c r="W57" s="82">
        <f>+VLOOKUP(B57,TbPiezas[],7,0)</f>
        <v>0.95299999999999996</v>
      </c>
      <c r="X57" s="220">
        <f>ROUND(TC[[#This Row],[TOTAL]]*TC[[#This Row],[P.U. (3)]],2)</f>
        <v>0</v>
      </c>
    </row>
    <row r="58" spans="2:24" s="199" customFormat="1" x14ac:dyDescent="0.3">
      <c r="B58" s="212" t="s">
        <v>413</v>
      </c>
      <c r="C58" s="213" t="s">
        <v>414</v>
      </c>
      <c r="D58" s="214"/>
      <c r="E58" s="214"/>
      <c r="F58" s="214"/>
      <c r="G58" s="214"/>
      <c r="H58" s="215"/>
      <c r="J58" s="216">
        <f>+IF(OR(J$8="PESA",J$8="AMBOS"),IF(J14=1,"",2),)</f>
        <v>0</v>
      </c>
      <c r="L58" s="216"/>
      <c r="M58" s="217"/>
      <c r="N58" s="217"/>
      <c r="O58" s="218"/>
      <c r="P58" s="219" t="str">
        <f t="shared" si="1"/>
        <v>AE.3400</v>
      </c>
      <c r="Q58" s="74" t="str">
        <f>+IF(TC[[#This Row],[ITEM]]=B58,"ok","mal")</f>
        <v>ok</v>
      </c>
      <c r="R58" s="168">
        <f t="shared" si="0"/>
        <v>0</v>
      </c>
      <c r="S58" s="169">
        <f>IF(VLOOKUP(B58,TbPiezas[],5,0)="NA",0,VLOOKUP(B58,TbPiezas[],5,0))</f>
        <v>4.9999999999997158E-2</v>
      </c>
      <c r="T58" s="81">
        <f>TC[[#This Row],[TOTAL]]*TC[[#This Row],[P.U. (1)]]</f>
        <v>0</v>
      </c>
      <c r="U58" s="82">
        <f>+VLOOKUP(B58,TbPiezas[],6,0)</f>
        <v>19.059999999999999</v>
      </c>
      <c r="V58" s="83">
        <f>TC[[#This Row],[TOTAL]]*TC[[#This Row],[P.U. (2)]]</f>
        <v>0</v>
      </c>
      <c r="W58" s="82">
        <f>+VLOOKUP(B58,TbPiezas[],7,0)</f>
        <v>0.95299999999999996</v>
      </c>
      <c r="X58" s="220">
        <f>ROUND(TC[[#This Row],[TOTAL]]*TC[[#This Row],[P.U. (3)]],2)</f>
        <v>0</v>
      </c>
    </row>
    <row r="59" spans="2:24" s="199" customFormat="1" x14ac:dyDescent="0.3">
      <c r="B59" s="212" t="s">
        <v>415</v>
      </c>
      <c r="C59" s="213" t="s">
        <v>416</v>
      </c>
      <c r="D59" s="214"/>
      <c r="E59" s="214"/>
      <c r="F59" s="214"/>
      <c r="G59" s="214"/>
      <c r="H59" s="215"/>
      <c r="J59" s="216">
        <f>+IF(OR(J$8="PESA",J$8="AMBOS"),IF(J14=1,,2),)</f>
        <v>0</v>
      </c>
      <c r="L59" s="216"/>
      <c r="M59" s="217"/>
      <c r="N59" s="217"/>
      <c r="O59" s="218"/>
      <c r="P59" s="219" t="str">
        <f t="shared" si="1"/>
        <v>AE.3500</v>
      </c>
      <c r="Q59" s="74" t="str">
        <f>+IF(TC[[#This Row],[ITEM]]=B59,"ok","mal")</f>
        <v>ok</v>
      </c>
      <c r="R59" s="168">
        <f t="shared" si="0"/>
        <v>0</v>
      </c>
      <c r="S59" s="169">
        <f>IF(VLOOKUP(B59,TbPiezas[],5,0)="NA",0,VLOOKUP(B59,TbPiezas[],5,0))</f>
        <v>0.39999999999999147</v>
      </c>
      <c r="T59" s="81">
        <f>TC[[#This Row],[TOTAL]]*TC[[#This Row],[P.U. (1)]]</f>
        <v>0</v>
      </c>
      <c r="U59" s="82">
        <f>+VLOOKUP(B59,TbPiezas[],6,0)</f>
        <v>19.059999999999999</v>
      </c>
      <c r="V59" s="83">
        <f>TC[[#This Row],[TOTAL]]*TC[[#This Row],[P.U. (2)]]</f>
        <v>0</v>
      </c>
      <c r="W59" s="82">
        <f>+VLOOKUP(B59,TbPiezas[],7,0)</f>
        <v>0.95299999999999996</v>
      </c>
      <c r="X59" s="220">
        <f>ROUND(TC[[#This Row],[TOTAL]]*TC[[#This Row],[P.U. (3)]],2)</f>
        <v>0</v>
      </c>
    </row>
    <row r="60" spans="2:24" s="199" customFormat="1" x14ac:dyDescent="0.3">
      <c r="B60" s="212" t="s">
        <v>417</v>
      </c>
      <c r="C60" s="213" t="s">
        <v>418</v>
      </c>
      <c r="D60" s="214"/>
      <c r="E60" s="214"/>
      <c r="F60" s="214"/>
      <c r="G60" s="214" t="s">
        <v>1229</v>
      </c>
      <c r="H60" s="215" t="s">
        <v>1019</v>
      </c>
      <c r="J60" s="216">
        <f>IF(J$4="",,IF(AND(H60="SI",COUNTIF(D14:H14,"E")=1),"ERROR",IF($H60="SI",IF($H60=$H61,"ERROR",IF(J$14=1,"",2)),"")))</f>
        <v>2</v>
      </c>
      <c r="L60" s="216"/>
      <c r="M60" s="217"/>
      <c r="N60" s="217"/>
      <c r="O60" s="218"/>
      <c r="P60" s="219" t="str">
        <f t="shared" si="1"/>
        <v>AE.3600</v>
      </c>
      <c r="Q60" s="74" t="str">
        <f>+IF(TC[[#This Row],[ITEM]]=B60,"ok","mal")</f>
        <v>ok</v>
      </c>
      <c r="R60" s="168">
        <f t="shared" si="0"/>
        <v>0</v>
      </c>
      <c r="S60" s="169">
        <f>IF(VLOOKUP(B60,TbPiezas[],5,0)="NA",0,VLOOKUP(B60,TbPiezas[],5,0))</f>
        <v>28.700000000000003</v>
      </c>
      <c r="T60" s="81">
        <f>TC[[#This Row],[TOTAL]]*TC[[#This Row],[P.U. (1)]]</f>
        <v>0</v>
      </c>
      <c r="U60" s="82">
        <f>+VLOOKUP(B60,TbPiezas[],6,0)</f>
        <v>826.63</v>
      </c>
      <c r="V60" s="83">
        <f>TC[[#This Row],[TOTAL]]*TC[[#This Row],[P.U. (2)]]</f>
        <v>0</v>
      </c>
      <c r="W60" s="82">
        <f>+VLOOKUP(B60,TbPiezas[],7,0)</f>
        <v>41.331500000000005</v>
      </c>
      <c r="X60" s="220">
        <f>ROUND(TC[[#This Row],[TOTAL]]*TC[[#This Row],[P.U. (3)]],2)</f>
        <v>0</v>
      </c>
    </row>
    <row r="61" spans="2:24" s="199" customFormat="1" x14ac:dyDescent="0.3">
      <c r="B61" s="212" t="s">
        <v>419</v>
      </c>
      <c r="C61" s="213" t="s">
        <v>420</v>
      </c>
      <c r="D61" s="214"/>
      <c r="E61" s="214"/>
      <c r="F61" s="214"/>
      <c r="G61" s="214" t="s">
        <v>1230</v>
      </c>
      <c r="H61" s="215" t="s">
        <v>1023</v>
      </c>
      <c r="J61" s="216" t="str">
        <f>IF(J$4="",,IF($H61="SI",IF($H61=$H60,"ERROR",IF(J$14=1,"",2)),""))</f>
        <v/>
      </c>
      <c r="L61" s="216"/>
      <c r="M61" s="217"/>
      <c r="N61" s="217"/>
      <c r="O61" s="218"/>
      <c r="P61" s="219" t="str">
        <f t="shared" si="1"/>
        <v>AE.3700</v>
      </c>
      <c r="Q61" s="74" t="str">
        <f>+IF(TC[[#This Row],[ITEM]]=B61,"ok","mal")</f>
        <v>ok</v>
      </c>
      <c r="R61" s="168">
        <f t="shared" si="0"/>
        <v>0</v>
      </c>
      <c r="S61" s="169">
        <f>IF(VLOOKUP(B61,TbPiezas[],5,0)="NA",0,VLOOKUP(B61,TbPiezas[],5,0))</f>
        <v>25.700000000000003</v>
      </c>
      <c r="T61" s="81">
        <f>TC[[#This Row],[TOTAL]]*TC[[#This Row],[P.U. (1)]]</f>
        <v>0</v>
      </c>
      <c r="U61" s="82">
        <f>+VLOOKUP(B61,TbPiezas[],6,0)</f>
        <v>1099.78</v>
      </c>
      <c r="V61" s="83">
        <f>TC[[#This Row],[TOTAL]]*TC[[#This Row],[P.U. (2)]]</f>
        <v>0</v>
      </c>
      <c r="W61" s="82">
        <f>+VLOOKUP(B61,TbPiezas[],7,0)</f>
        <v>54.989000000000004</v>
      </c>
      <c r="X61" s="220">
        <f>ROUND(TC[[#This Row],[TOTAL]]*TC[[#This Row],[P.U. (3)]],2)</f>
        <v>0</v>
      </c>
    </row>
    <row r="62" spans="2:24" s="199" customFormat="1" x14ac:dyDescent="0.3">
      <c r="B62" s="212" t="s">
        <v>421</v>
      </c>
      <c r="C62" s="213" t="s">
        <v>422</v>
      </c>
      <c r="D62" s="214"/>
      <c r="E62" s="214"/>
      <c r="F62" s="214"/>
      <c r="G62" s="214"/>
      <c r="H62" s="215"/>
      <c r="J62" s="216">
        <f>+IF(J$14=1,1,)</f>
        <v>0</v>
      </c>
      <c r="L62" s="216"/>
      <c r="M62" s="217"/>
      <c r="N62" s="217"/>
      <c r="O62" s="218"/>
      <c r="P62" s="219" t="str">
        <f t="shared" si="1"/>
        <v>AE.3800</v>
      </c>
      <c r="Q62" s="74" t="str">
        <f>+IF(TC[[#This Row],[ITEM]]=B62,"ok","mal")</f>
        <v>ok</v>
      </c>
      <c r="R62" s="168">
        <f t="shared" si="0"/>
        <v>0</v>
      </c>
      <c r="S62" s="169">
        <f>IF(VLOOKUP(B62,TbPiezas[],5,0)="NA",0,VLOOKUP(B62,TbPiezas[],5,0))</f>
        <v>35</v>
      </c>
      <c r="T62" s="81">
        <f>TC[[#This Row],[TOTAL]]*TC[[#This Row],[P.U. (1)]]</f>
        <v>0</v>
      </c>
      <c r="U62" s="82">
        <f>+VLOOKUP(B62,TbPiezas[],6,0)</f>
        <v>826.63</v>
      </c>
      <c r="V62" s="83">
        <f>TC[[#This Row],[TOTAL]]*TC[[#This Row],[P.U. (2)]]</f>
        <v>0</v>
      </c>
      <c r="W62" s="82">
        <f>+VLOOKUP(B62,TbPiezas[],7,0)</f>
        <v>41.331500000000005</v>
      </c>
      <c r="X62" s="220">
        <f>ROUND(TC[[#This Row],[TOTAL]]*TC[[#This Row],[P.U. (3)]],2)</f>
        <v>0</v>
      </c>
    </row>
    <row r="63" spans="2:24" s="199" customFormat="1" x14ac:dyDescent="0.3">
      <c r="B63" s="212" t="s">
        <v>423</v>
      </c>
      <c r="C63" s="213" t="s">
        <v>424</v>
      </c>
      <c r="D63" s="214"/>
      <c r="E63" s="214"/>
      <c r="F63" s="214"/>
      <c r="G63" s="214"/>
      <c r="H63" s="215"/>
      <c r="J63" s="216" t="str">
        <f>IF(J$4="",,IF(COUNTIF(D$14:H$14,"E")=0,"",COUNTIF(D$14:H$14,"E")))</f>
        <v/>
      </c>
      <c r="L63" s="216"/>
      <c r="M63" s="217"/>
      <c r="N63" s="217"/>
      <c r="O63" s="218"/>
      <c r="P63" s="219" t="str">
        <f t="shared" si="1"/>
        <v>AE.3900</v>
      </c>
      <c r="Q63" s="74" t="str">
        <f>+IF(TC[[#This Row],[ITEM]]=B63,"ok","mal")</f>
        <v>ok</v>
      </c>
      <c r="R63" s="168">
        <f t="shared" si="0"/>
        <v>0</v>
      </c>
      <c r="S63" s="169">
        <f>IF(VLOOKUP(B63,TbPiezas[],5,0)="NA",0,VLOOKUP(B63,TbPiezas[],5,0))</f>
        <v>23.099999999999994</v>
      </c>
      <c r="T63" s="81">
        <f>TC[[#This Row],[TOTAL]]*TC[[#This Row],[P.U. (1)]]</f>
        <v>0</v>
      </c>
      <c r="U63" s="82">
        <f>+VLOOKUP(B63,TbPiezas[],6,0)</f>
        <v>1238.74</v>
      </c>
      <c r="V63" s="83">
        <f>TC[[#This Row],[TOTAL]]*TC[[#This Row],[P.U. (2)]]</f>
        <v>0</v>
      </c>
      <c r="W63" s="82">
        <f>+VLOOKUP(B63,TbPiezas[],7,0)</f>
        <v>61.937000000000005</v>
      </c>
      <c r="X63" s="220">
        <f>ROUND(TC[[#This Row],[TOTAL]]*TC[[#This Row],[P.U. (3)]],2)</f>
        <v>0</v>
      </c>
    </row>
    <row r="64" spans="2:24" s="199" customFormat="1" x14ac:dyDescent="0.3">
      <c r="B64" s="212" t="s">
        <v>425</v>
      </c>
      <c r="C64" s="213" t="s">
        <v>426</v>
      </c>
      <c r="D64" s="214"/>
      <c r="E64" s="214"/>
      <c r="F64" s="214"/>
      <c r="G64" s="214"/>
      <c r="H64" s="215"/>
      <c r="J64" s="216">
        <f>+IF(J$14=1,1,)</f>
        <v>0</v>
      </c>
      <c r="L64" s="216"/>
      <c r="M64" s="217"/>
      <c r="N64" s="217"/>
      <c r="O64" s="218"/>
      <c r="P64" s="219" t="str">
        <f t="shared" si="1"/>
        <v>AE.4000</v>
      </c>
      <c r="Q64" s="74" t="str">
        <f>+IF(TC[[#This Row],[ITEM]]=B64,"ok","mal")</f>
        <v>ok</v>
      </c>
      <c r="R64" s="168">
        <f t="shared" si="0"/>
        <v>0</v>
      </c>
      <c r="S64" s="169">
        <f>IF(VLOOKUP(B64,TbPiezas[],5,0)="NA",0,VLOOKUP(B64,TbPiezas[],5,0))</f>
        <v>6.7999999999999972</v>
      </c>
      <c r="T64" s="81">
        <f>TC[[#This Row],[TOTAL]]*TC[[#This Row],[P.U. (1)]]</f>
        <v>0</v>
      </c>
      <c r="U64" s="82">
        <f>+VLOOKUP(B64,TbPiezas[],6,0)</f>
        <v>825.83</v>
      </c>
      <c r="V64" s="83">
        <f>TC[[#This Row],[TOTAL]]*TC[[#This Row],[P.U. (2)]]</f>
        <v>0</v>
      </c>
      <c r="W64" s="82">
        <f>+VLOOKUP(B64,TbPiezas[],7,0)</f>
        <v>41.291500000000006</v>
      </c>
      <c r="X64" s="220">
        <f>ROUND(TC[[#This Row],[TOTAL]]*TC[[#This Row],[P.U. (3)]],2)</f>
        <v>0</v>
      </c>
    </row>
    <row r="65" spans="2:24" s="199" customFormat="1" x14ac:dyDescent="0.3">
      <c r="B65" s="212" t="s">
        <v>427</v>
      </c>
      <c r="C65" s="213" t="s">
        <v>428</v>
      </c>
      <c r="D65" s="214"/>
      <c r="E65" s="214"/>
      <c r="F65" s="214"/>
      <c r="G65" s="214"/>
      <c r="H65" s="215"/>
      <c r="J65" s="216">
        <f>IF(J$4="",,IF(COUNTIF(D$14:H$14,"1.5")=0,"",COUNTIF(D$14:H$14,"1.5")))</f>
        <v>1</v>
      </c>
      <c r="L65" s="216"/>
      <c r="M65" s="217"/>
      <c r="N65" s="217"/>
      <c r="O65" s="218"/>
      <c r="P65" s="219" t="str">
        <f t="shared" si="1"/>
        <v>AE.4100</v>
      </c>
      <c r="Q65" s="74" t="str">
        <f>+IF(TC[[#This Row],[ITEM]]=B65,"ok","mal")</f>
        <v>ok</v>
      </c>
      <c r="R65" s="168">
        <f t="shared" si="0"/>
        <v>0</v>
      </c>
      <c r="S65" s="169">
        <f>IF(VLOOKUP(B65,TbPiezas[],5,0)="NA",0,VLOOKUP(B65,TbPiezas[],5,0))</f>
        <v>13.700000000000003</v>
      </c>
      <c r="T65" s="81">
        <f>TC[[#This Row],[TOTAL]]*TC[[#This Row],[P.U. (1)]]</f>
        <v>0</v>
      </c>
      <c r="U65" s="82">
        <f>+VLOOKUP(B65,TbPiezas[],6,0)</f>
        <v>1238.74</v>
      </c>
      <c r="V65" s="83">
        <f>TC[[#This Row],[TOTAL]]*TC[[#This Row],[P.U. (2)]]</f>
        <v>0</v>
      </c>
      <c r="W65" s="82">
        <f>+VLOOKUP(B65,TbPiezas[],7,0)</f>
        <v>61.937000000000005</v>
      </c>
      <c r="X65" s="220">
        <f>ROUND(TC[[#This Row],[TOTAL]]*TC[[#This Row],[P.U. (3)]],2)</f>
        <v>0</v>
      </c>
    </row>
    <row r="66" spans="2:24" s="199" customFormat="1" x14ac:dyDescent="0.3">
      <c r="B66" s="212" t="s">
        <v>429</v>
      </c>
      <c r="C66" s="213" t="s">
        <v>430</v>
      </c>
      <c r="D66" s="214"/>
      <c r="E66" s="214"/>
      <c r="F66" s="214"/>
      <c r="G66" s="214"/>
      <c r="H66" s="215"/>
      <c r="J66" s="216" t="str">
        <f>IF(J$4="",,IF(COUNTIF(D$14:H$14,"2.0")=0,"",COUNTIF(D$14:H$14,"2.0")))</f>
        <v/>
      </c>
      <c r="L66" s="216"/>
      <c r="M66" s="217"/>
      <c r="N66" s="217"/>
      <c r="O66" s="218"/>
      <c r="P66" s="219" t="str">
        <f t="shared" si="1"/>
        <v>AE.4200</v>
      </c>
      <c r="Q66" s="74" t="str">
        <f>+IF(TC[[#This Row],[ITEM]]=B66,"ok","mal")</f>
        <v>ok</v>
      </c>
      <c r="R66" s="168">
        <f t="shared" si="0"/>
        <v>0</v>
      </c>
      <c r="S66" s="169">
        <f>IF(VLOOKUP(B66,TbPiezas[],5,0)="NA",0,VLOOKUP(B66,TbPiezas[],5,0))</f>
        <v>16</v>
      </c>
      <c r="T66" s="81">
        <f>TC[[#This Row],[TOTAL]]*TC[[#This Row],[P.U. (1)]]</f>
        <v>0</v>
      </c>
      <c r="U66" s="82">
        <f>+VLOOKUP(B66,TbPiezas[],6,0)</f>
        <v>1651.65</v>
      </c>
      <c r="V66" s="83">
        <f>TC[[#This Row],[TOTAL]]*TC[[#This Row],[P.U. (2)]]</f>
        <v>0</v>
      </c>
      <c r="W66" s="82">
        <f>+VLOOKUP(B66,TbPiezas[],7,0)</f>
        <v>82.58250000000001</v>
      </c>
      <c r="X66" s="220">
        <f>ROUND(TC[[#This Row],[TOTAL]]*TC[[#This Row],[P.U. (3)]],2)</f>
        <v>0</v>
      </c>
    </row>
    <row r="67" spans="2:24" s="199" customFormat="1" x14ac:dyDescent="0.3">
      <c r="B67" s="212" t="s">
        <v>431</v>
      </c>
      <c r="C67" s="213" t="s">
        <v>432</v>
      </c>
      <c r="D67" s="214"/>
      <c r="E67" s="214"/>
      <c r="F67" s="214"/>
      <c r="G67" s="214"/>
      <c r="H67" s="215"/>
      <c r="J67" s="216" t="str">
        <f>IF(J$4="",,IF(COUNTIF(D$14:H$14,"3.0")=0,"",COUNTIF(D$14:H$14,"3.0")))</f>
        <v/>
      </c>
      <c r="L67" s="216"/>
      <c r="M67" s="217"/>
      <c r="N67" s="217"/>
      <c r="O67" s="218"/>
      <c r="P67" s="219" t="str">
        <f t="shared" si="1"/>
        <v>AE.4300</v>
      </c>
      <c r="Q67" s="74" t="str">
        <f>+IF(TC[[#This Row],[ITEM]]=B67,"ok","mal")</f>
        <v>ok</v>
      </c>
      <c r="R67" s="168">
        <f t="shared" si="0"/>
        <v>0</v>
      </c>
      <c r="S67" s="169">
        <f>IF(VLOOKUP(B67,TbPiezas[],5,0)="NA",0,VLOOKUP(B67,TbPiezas[],5,0))</f>
        <v>20.099999999999994</v>
      </c>
      <c r="T67" s="81">
        <f>TC[[#This Row],[TOTAL]]*TC[[#This Row],[P.U. (1)]]</f>
        <v>0</v>
      </c>
      <c r="U67" s="82">
        <f>+VLOOKUP(B67,TbPiezas[],6,0)</f>
        <v>2477.48</v>
      </c>
      <c r="V67" s="83">
        <f>TC[[#This Row],[TOTAL]]*TC[[#This Row],[P.U. (2)]]</f>
        <v>0</v>
      </c>
      <c r="W67" s="82">
        <f>+VLOOKUP(B67,TbPiezas[],7,0)</f>
        <v>123.87400000000001</v>
      </c>
      <c r="X67" s="220">
        <f>ROUND(TC[[#This Row],[TOTAL]]*TC[[#This Row],[P.U. (3)]],2)</f>
        <v>0</v>
      </c>
    </row>
    <row r="68" spans="2:24" s="199" customFormat="1" x14ac:dyDescent="0.3">
      <c r="B68" s="212" t="s">
        <v>433</v>
      </c>
      <c r="C68" s="213" t="s">
        <v>434</v>
      </c>
      <c r="D68" s="214"/>
      <c r="E68" s="214"/>
      <c r="F68" s="214"/>
      <c r="G68" s="214"/>
      <c r="H68" s="215"/>
      <c r="J68" s="216">
        <f>IF(J$4="",,IF(J$65="","",J$65))</f>
        <v>1</v>
      </c>
      <c r="L68" s="216"/>
      <c r="M68" s="217"/>
      <c r="N68" s="217"/>
      <c r="O68" s="218"/>
      <c r="P68" s="219" t="str">
        <f t="shared" si="1"/>
        <v>AE.4400</v>
      </c>
      <c r="Q68" s="74" t="str">
        <f>+IF(TC[[#This Row],[ITEM]]=B68,"ok","mal")</f>
        <v>ok</v>
      </c>
      <c r="R68" s="168">
        <f t="shared" si="0"/>
        <v>0</v>
      </c>
      <c r="S68" s="169">
        <f>IF(VLOOKUP(B68,TbPiezas[],5,0)="NA",0,VLOOKUP(B68,TbPiezas[],5,0))</f>
        <v>7.2000000000000028</v>
      </c>
      <c r="T68" s="81">
        <f>TC[[#This Row],[TOTAL]]*TC[[#This Row],[P.U. (1)]]</f>
        <v>0</v>
      </c>
      <c r="U68" s="82">
        <f>+VLOOKUP(B68,TbPiezas[],6,0)</f>
        <v>929.05</v>
      </c>
      <c r="V68" s="83">
        <f>TC[[#This Row],[TOTAL]]*TC[[#This Row],[P.U. (2)]]</f>
        <v>0</v>
      </c>
      <c r="W68" s="82">
        <f>+VLOOKUP(B68,TbPiezas[],7,0)</f>
        <v>46.452500000000001</v>
      </c>
      <c r="X68" s="220">
        <f>ROUND(TC[[#This Row],[TOTAL]]*TC[[#This Row],[P.U. (3)]],2)</f>
        <v>0</v>
      </c>
    </row>
    <row r="69" spans="2:24" s="199" customFormat="1" x14ac:dyDescent="0.3">
      <c r="B69" s="212" t="s">
        <v>435</v>
      </c>
      <c r="C69" s="213" t="s">
        <v>436</v>
      </c>
      <c r="D69" s="214"/>
      <c r="E69" s="214"/>
      <c r="F69" s="214"/>
      <c r="G69" s="214"/>
      <c r="H69" s="215"/>
      <c r="J69" s="216" t="str">
        <f>IF(J$4="",,IF(J$66="","",J$66))</f>
        <v/>
      </c>
      <c r="L69" s="216"/>
      <c r="M69" s="217"/>
      <c r="N69" s="217"/>
      <c r="O69" s="218"/>
      <c r="P69" s="219" t="str">
        <f t="shared" si="1"/>
        <v>AE.4500</v>
      </c>
      <c r="Q69" s="74" t="str">
        <f>+IF(TC[[#This Row],[ITEM]]=B69,"ok","mal")</f>
        <v>ok</v>
      </c>
      <c r="R69" s="168">
        <f t="shared" si="0"/>
        <v>0</v>
      </c>
      <c r="S69" s="169">
        <f>IF(VLOOKUP(B69,TbPiezas[],5,0)="NA",0,VLOOKUP(B69,TbPiezas[],5,0))</f>
        <v>6.2000000000000028</v>
      </c>
      <c r="T69" s="81">
        <f>TC[[#This Row],[TOTAL]]*TC[[#This Row],[P.U. (1)]]</f>
        <v>0</v>
      </c>
      <c r="U69" s="82">
        <f>+VLOOKUP(B69,TbPiezas[],6,0)</f>
        <v>1238.74</v>
      </c>
      <c r="V69" s="83">
        <f>TC[[#This Row],[TOTAL]]*TC[[#This Row],[P.U. (2)]]</f>
        <v>0</v>
      </c>
      <c r="W69" s="82">
        <f>+VLOOKUP(B69,TbPiezas[],7,0)</f>
        <v>61.937000000000005</v>
      </c>
      <c r="X69" s="220">
        <f>ROUND(TC[[#This Row],[TOTAL]]*TC[[#This Row],[P.U. (3)]],2)</f>
        <v>0</v>
      </c>
    </row>
    <row r="70" spans="2:24" s="199" customFormat="1" x14ac:dyDescent="0.3">
      <c r="B70" s="212" t="s">
        <v>437</v>
      </c>
      <c r="C70" s="213" t="s">
        <v>438</v>
      </c>
      <c r="D70" s="214"/>
      <c r="E70" s="214"/>
      <c r="F70" s="214"/>
      <c r="G70" s="214"/>
      <c r="H70" s="215"/>
      <c r="J70" s="216" t="str">
        <f>IF(J$4="",,IF(J$67="","",J$67))</f>
        <v/>
      </c>
      <c r="L70" s="216"/>
      <c r="M70" s="217"/>
      <c r="N70" s="217"/>
      <c r="O70" s="218"/>
      <c r="P70" s="219" t="str">
        <f t="shared" si="1"/>
        <v>AE.4600</v>
      </c>
      <c r="Q70" s="74" t="str">
        <f>+IF(TC[[#This Row],[ITEM]]=B70,"ok","mal")</f>
        <v>ok</v>
      </c>
      <c r="R70" s="168">
        <f t="shared" si="0"/>
        <v>0</v>
      </c>
      <c r="S70" s="169">
        <f>IF(VLOOKUP(B70,TbPiezas[],5,0)="NA",0,VLOOKUP(B70,TbPiezas[],5,0))</f>
        <v>13.599999999999994</v>
      </c>
      <c r="T70" s="81">
        <f>TC[[#This Row],[TOTAL]]*TC[[#This Row],[P.U. (1)]]</f>
        <v>0</v>
      </c>
      <c r="U70" s="82">
        <f>+VLOOKUP(B70,TbPiezas[],6,0)</f>
        <v>1858.11</v>
      </c>
      <c r="V70" s="83">
        <f>TC[[#This Row],[TOTAL]]*TC[[#This Row],[P.U. (2)]]</f>
        <v>0</v>
      </c>
      <c r="W70" s="82">
        <f>+VLOOKUP(B70,TbPiezas[],7,0)</f>
        <v>92.905500000000004</v>
      </c>
      <c r="X70" s="220">
        <f>ROUND(TC[[#This Row],[TOTAL]]*TC[[#This Row],[P.U. (3)]],2)</f>
        <v>0</v>
      </c>
    </row>
    <row r="71" spans="2:24" s="199" customFormat="1" x14ac:dyDescent="0.3">
      <c r="B71" s="212" t="s">
        <v>439</v>
      </c>
      <c r="C71" s="213" t="s">
        <v>440</v>
      </c>
      <c r="D71" s="214"/>
      <c r="E71" s="214"/>
      <c r="F71" s="214"/>
      <c r="G71" s="214"/>
      <c r="H71" s="215"/>
      <c r="J71" s="216">
        <f>IF(J$8="",,IF(J$65="","",J$65))</f>
        <v>1</v>
      </c>
      <c r="L71" s="216"/>
      <c r="M71" s="217"/>
      <c r="N71" s="217"/>
      <c r="O71" s="218"/>
      <c r="P71" s="219" t="str">
        <f t="shared" si="1"/>
        <v>AE.4700</v>
      </c>
      <c r="Q71" s="74" t="str">
        <f>+IF(TC[[#This Row],[ITEM]]=B71,"ok","mal")</f>
        <v>ok</v>
      </c>
      <c r="R71" s="168">
        <f t="shared" si="0"/>
        <v>0</v>
      </c>
      <c r="S71" s="169">
        <f>IF(VLOOKUP(B71,TbPiezas[],5,0)="NA",0,VLOOKUP(B71,TbPiezas[],5,0))</f>
        <v>7.7000000000000028</v>
      </c>
      <c r="T71" s="81">
        <f>TC[[#This Row],[TOTAL]]*TC[[#This Row],[P.U. (1)]]</f>
        <v>0</v>
      </c>
      <c r="U71" s="82">
        <f>+VLOOKUP(B71,TbPiezas[],6,0)</f>
        <v>929.05</v>
      </c>
      <c r="V71" s="83">
        <f>TC[[#This Row],[TOTAL]]*TC[[#This Row],[P.U. (2)]]</f>
        <v>0</v>
      </c>
      <c r="W71" s="82">
        <f>+VLOOKUP(B71,TbPiezas[],7,0)</f>
        <v>46.452500000000001</v>
      </c>
      <c r="X71" s="220">
        <f>ROUND(TC[[#This Row],[TOTAL]]*TC[[#This Row],[P.U. (3)]],2)</f>
        <v>0</v>
      </c>
    </row>
    <row r="72" spans="2:24" s="199" customFormat="1" x14ac:dyDescent="0.3">
      <c r="B72" s="212" t="s">
        <v>441</v>
      </c>
      <c r="C72" s="213" t="s">
        <v>442</v>
      </c>
      <c r="D72" s="214"/>
      <c r="E72" s="214"/>
      <c r="F72" s="214"/>
      <c r="G72" s="214"/>
      <c r="H72" s="215"/>
      <c r="J72" s="216" t="str">
        <f>IF(J$8="",,IF(J$66="","",J$66))</f>
        <v/>
      </c>
      <c r="L72" s="216"/>
      <c r="M72" s="217"/>
      <c r="N72" s="217"/>
      <c r="O72" s="218"/>
      <c r="P72" s="219" t="str">
        <f t="shared" si="1"/>
        <v>AE.4800</v>
      </c>
      <c r="Q72" s="74" t="str">
        <f>+IF(TC[[#This Row],[ITEM]]=B72,"ok","mal")</f>
        <v>ok</v>
      </c>
      <c r="R72" s="168">
        <f t="shared" si="0"/>
        <v>0</v>
      </c>
      <c r="S72" s="169">
        <f>IF(VLOOKUP(B72,TbPiezas[],5,0)="NA",0,VLOOKUP(B72,TbPiezas[],5,0))</f>
        <v>8.5999999999999943</v>
      </c>
      <c r="T72" s="81">
        <f>TC[[#This Row],[TOTAL]]*TC[[#This Row],[P.U. (1)]]</f>
        <v>0</v>
      </c>
      <c r="U72" s="82">
        <f>+VLOOKUP(B72,TbPiezas[],6,0)</f>
        <v>1238.74</v>
      </c>
      <c r="V72" s="83">
        <f>TC[[#This Row],[TOTAL]]*TC[[#This Row],[P.U. (2)]]</f>
        <v>0</v>
      </c>
      <c r="W72" s="82">
        <f>+VLOOKUP(B72,TbPiezas[],7,0)</f>
        <v>61.937000000000005</v>
      </c>
      <c r="X72" s="220">
        <f>ROUND(TC[[#This Row],[TOTAL]]*TC[[#This Row],[P.U. (3)]],2)</f>
        <v>0</v>
      </c>
    </row>
    <row r="73" spans="2:24" s="199" customFormat="1" x14ac:dyDescent="0.3">
      <c r="B73" s="212" t="s">
        <v>443</v>
      </c>
      <c r="C73" s="213" t="s">
        <v>444</v>
      </c>
      <c r="D73" s="214"/>
      <c r="E73" s="214"/>
      <c r="F73" s="214"/>
      <c r="G73" s="214"/>
      <c r="H73" s="215"/>
      <c r="J73" s="216" t="str">
        <f>IF(J$8="",,IF(J$67="","",J$67))</f>
        <v/>
      </c>
      <c r="L73" s="216"/>
      <c r="M73" s="217"/>
      <c r="N73" s="217"/>
      <c r="O73" s="218"/>
      <c r="P73" s="219" t="str">
        <f t="shared" si="1"/>
        <v>AE.4900</v>
      </c>
      <c r="Q73" s="74" t="str">
        <f>+IF(TC[[#This Row],[ITEM]]=B73,"ok","mal")</f>
        <v>ok</v>
      </c>
      <c r="R73" s="168">
        <f t="shared" si="0"/>
        <v>0</v>
      </c>
      <c r="S73" s="169">
        <f>IF(VLOOKUP(B73,TbPiezas[],5,0)="NA",0,VLOOKUP(B73,TbPiezas[],5,0))</f>
        <v>14</v>
      </c>
      <c r="T73" s="81">
        <f>TC[[#This Row],[TOTAL]]*TC[[#This Row],[P.U. (1)]]</f>
        <v>0</v>
      </c>
      <c r="U73" s="82">
        <f>+VLOOKUP(B73,TbPiezas[],6,0)</f>
        <v>1858.11</v>
      </c>
      <c r="V73" s="83">
        <f>TC[[#This Row],[TOTAL]]*TC[[#This Row],[P.U. (2)]]</f>
        <v>0</v>
      </c>
      <c r="W73" s="82">
        <f>+VLOOKUP(B73,TbPiezas[],7,0)</f>
        <v>92.905500000000004</v>
      </c>
      <c r="X73" s="220">
        <f>ROUND(TC[[#This Row],[TOTAL]]*TC[[#This Row],[P.U. (3)]],2)</f>
        <v>0</v>
      </c>
    </row>
    <row r="74" spans="2:24" s="199" customFormat="1" x14ac:dyDescent="0.3">
      <c r="B74" s="212" t="s">
        <v>445</v>
      </c>
      <c r="C74" s="213" t="s">
        <v>446</v>
      </c>
      <c r="D74" s="214"/>
      <c r="E74" s="214"/>
      <c r="F74" s="214"/>
      <c r="G74" s="214"/>
      <c r="H74" s="215"/>
      <c r="J74" s="216">
        <f>+IF(AND(J$14&gt;1,H$61="SI"),2,)</f>
        <v>0</v>
      </c>
      <c r="L74" s="216"/>
      <c r="M74" s="217"/>
      <c r="N74" s="217"/>
      <c r="O74" s="218"/>
      <c r="P74" s="219" t="str">
        <f t="shared" si="1"/>
        <v>AE.5000</v>
      </c>
      <c r="Q74" s="74" t="str">
        <f>+IF(TC[[#This Row],[ITEM]]=B74,"ok","mal")</f>
        <v>ok</v>
      </c>
      <c r="R74" s="168">
        <f t="shared" si="0"/>
        <v>0</v>
      </c>
      <c r="S74" s="169">
        <f>IF(VLOOKUP(B74,TbPiezas[],5,0)="NA",0,VLOOKUP(B74,TbPiezas[],5,0))</f>
        <v>10.9</v>
      </c>
      <c r="T74" s="81">
        <f>TC[[#This Row],[TOTAL]]*TC[[#This Row],[P.U. (1)]]</f>
        <v>0</v>
      </c>
      <c r="U74" s="82">
        <f>+VLOOKUP(B74,TbPiezas[],6,0)</f>
        <v>826.63</v>
      </c>
      <c r="V74" s="83">
        <f>TC[[#This Row],[TOTAL]]*TC[[#This Row],[P.U. (2)]]</f>
        <v>0</v>
      </c>
      <c r="W74" s="82">
        <f>+VLOOKUP(B74,TbPiezas[],7,0)</f>
        <v>41.331500000000005</v>
      </c>
      <c r="X74" s="220">
        <f>ROUND(TC[[#This Row],[TOTAL]]*TC[[#This Row],[P.U. (3)]],2)</f>
        <v>0</v>
      </c>
    </row>
    <row r="75" spans="2:24" s="199" customFormat="1" x14ac:dyDescent="0.3">
      <c r="B75" s="212" t="s">
        <v>447</v>
      </c>
      <c r="C75" s="213" t="s">
        <v>448</v>
      </c>
      <c r="D75" s="214"/>
      <c r="E75" s="214"/>
      <c r="F75" s="214"/>
      <c r="G75" s="214"/>
      <c r="H75" s="215"/>
      <c r="J75" s="216">
        <f>+IF(J$14=1,2,)</f>
        <v>0</v>
      </c>
      <c r="L75" s="216"/>
      <c r="M75" s="217"/>
      <c r="N75" s="217"/>
      <c r="O75" s="218"/>
      <c r="P75" s="219" t="str">
        <f t="shared" si="1"/>
        <v>AE.5100</v>
      </c>
      <c r="Q75" s="74" t="str">
        <f>+IF(TC[[#This Row],[ITEM]]=B75,"ok","mal")</f>
        <v>ok</v>
      </c>
      <c r="R75" s="168">
        <f t="shared" si="0"/>
        <v>0</v>
      </c>
      <c r="S75" s="169">
        <f>IF(VLOOKUP(B75,TbPiezas[],5,0)="NA",0,VLOOKUP(B75,TbPiezas[],5,0))</f>
        <v>4.5599999999999996</v>
      </c>
      <c r="T75" s="81">
        <f>TC[[#This Row],[TOTAL]]*TC[[#This Row],[P.U. (1)]]</f>
        <v>0</v>
      </c>
      <c r="U75" s="82">
        <f>+VLOOKUP(B75,TbPiezas[],6,0)</f>
        <v>614.11</v>
      </c>
      <c r="V75" s="83">
        <f>TC[[#This Row],[TOTAL]]*TC[[#This Row],[P.U. (2)]]</f>
        <v>0</v>
      </c>
      <c r="W75" s="82">
        <f>+VLOOKUP(B75,TbPiezas[],7,0)</f>
        <v>30.705500000000001</v>
      </c>
      <c r="X75" s="220">
        <f>ROUND(TC[[#This Row],[TOTAL]]*TC[[#This Row],[P.U. (3)]],2)</f>
        <v>0</v>
      </c>
    </row>
    <row r="76" spans="2:24" s="199" customFormat="1" x14ac:dyDescent="0.3">
      <c r="B76" s="212" t="s">
        <v>449</v>
      </c>
      <c r="C76" s="213" t="s">
        <v>450</v>
      </c>
      <c r="D76" s="214"/>
      <c r="E76" s="214"/>
      <c r="F76" s="214"/>
      <c r="G76" s="214"/>
      <c r="H76" s="215"/>
      <c r="J76" s="216">
        <f>+IF(J$14=1,2,)</f>
        <v>0</v>
      </c>
      <c r="L76" s="216"/>
      <c r="M76" s="217"/>
      <c r="N76" s="217"/>
      <c r="O76" s="218"/>
      <c r="P76" s="219" t="str">
        <f t="shared" si="1"/>
        <v>AE.5200</v>
      </c>
      <c r="Q76" s="74" t="str">
        <f>+IF(TC[[#This Row],[ITEM]]=B76,"ok","mal")</f>
        <v>ok</v>
      </c>
      <c r="R76" s="168">
        <f t="shared" si="0"/>
        <v>0</v>
      </c>
      <c r="S76" s="169">
        <f>IF(VLOOKUP(B76,TbPiezas[],5,0)="NA",0,VLOOKUP(B76,TbPiezas[],5,0))</f>
        <v>4.6399999999999997</v>
      </c>
      <c r="T76" s="81">
        <f>TC[[#This Row],[TOTAL]]*TC[[#This Row],[P.U. (1)]]</f>
        <v>0</v>
      </c>
      <c r="U76" s="82">
        <f>+VLOOKUP(B76,TbPiezas[],6,0)</f>
        <v>619.37</v>
      </c>
      <c r="V76" s="83">
        <f>TC[[#This Row],[TOTAL]]*TC[[#This Row],[P.U. (2)]]</f>
        <v>0</v>
      </c>
      <c r="W76" s="82">
        <f>+VLOOKUP(B76,TbPiezas[],7,0)</f>
        <v>30.968500000000002</v>
      </c>
      <c r="X76" s="220">
        <f>ROUND(TC[[#This Row],[TOTAL]]*TC[[#This Row],[P.U. (3)]],2)</f>
        <v>0</v>
      </c>
    </row>
    <row r="77" spans="2:24" s="199" customFormat="1" x14ac:dyDescent="0.3">
      <c r="B77" s="212" t="s">
        <v>451</v>
      </c>
      <c r="C77" s="213" t="s">
        <v>452</v>
      </c>
      <c r="D77" s="214"/>
      <c r="E77" s="214"/>
      <c r="F77" s="214"/>
      <c r="G77" s="214"/>
      <c r="H77" s="215"/>
      <c r="J77" s="216" t="str">
        <f>+IF(J$4="",,J$63)</f>
        <v/>
      </c>
      <c r="L77" s="216"/>
      <c r="M77" s="217"/>
      <c r="N77" s="217"/>
      <c r="O77" s="218"/>
      <c r="P77" s="219" t="str">
        <f t="shared" si="1"/>
        <v>AE.5300</v>
      </c>
      <c r="Q77" s="74" t="str">
        <f>+IF(TC[[#This Row],[ITEM]]=B77,"ok","mal")</f>
        <v>ok</v>
      </c>
      <c r="R77" s="168">
        <f t="shared" si="0"/>
        <v>0</v>
      </c>
      <c r="S77" s="169">
        <f>IF(VLOOKUP(B77,TbPiezas[],5,0)="NA",0,VLOOKUP(B77,TbPiezas[],5,0))</f>
        <v>15</v>
      </c>
      <c r="T77" s="81">
        <f>TC[[#This Row],[TOTAL]]*TC[[#This Row],[P.U. (1)]]</f>
        <v>0</v>
      </c>
      <c r="U77" s="82">
        <f>+VLOOKUP(B77,TbPiezas[],6,0)</f>
        <v>1715.18</v>
      </c>
      <c r="V77" s="83">
        <f>TC[[#This Row],[TOTAL]]*TC[[#This Row],[P.U. (2)]]</f>
        <v>0</v>
      </c>
      <c r="W77" s="82">
        <f>+VLOOKUP(B77,TbPiezas[],7,0)</f>
        <v>85.759000000000015</v>
      </c>
      <c r="X77" s="220">
        <f>ROUND(TC[[#This Row],[TOTAL]]*TC[[#This Row],[P.U. (3)]],2)</f>
        <v>0</v>
      </c>
    </row>
    <row r="78" spans="2:24" s="199" customFormat="1" x14ac:dyDescent="0.3">
      <c r="B78" s="212" t="s">
        <v>453</v>
      </c>
      <c r="C78" s="213" t="s">
        <v>454</v>
      </c>
      <c r="D78" s="214"/>
      <c r="E78" s="214"/>
      <c r="F78" s="214"/>
      <c r="G78" s="214"/>
      <c r="H78" s="215"/>
      <c r="J78" s="216" t="str">
        <f>+IF(J$4="",,J$63)</f>
        <v/>
      </c>
      <c r="L78" s="216"/>
      <c r="M78" s="217"/>
      <c r="N78" s="217"/>
      <c r="O78" s="218"/>
      <c r="P78" s="219" t="str">
        <f t="shared" si="1"/>
        <v>AE.5400</v>
      </c>
      <c r="Q78" s="74" t="str">
        <f>+IF(TC[[#This Row],[ITEM]]=B78,"ok","mal")</f>
        <v>ok</v>
      </c>
      <c r="R78" s="168">
        <f t="shared" si="0"/>
        <v>0</v>
      </c>
      <c r="S78" s="169">
        <f>IF(VLOOKUP(B78,TbPiezas[],5,0)="NA",0,VLOOKUP(B78,TbPiezas[],5,0))</f>
        <v>15</v>
      </c>
      <c r="T78" s="81">
        <f>TC[[#This Row],[TOTAL]]*TC[[#This Row],[P.U. (1)]]</f>
        <v>0</v>
      </c>
      <c r="U78" s="82">
        <f>+VLOOKUP(B78,TbPiezas[],6,0)</f>
        <v>1715.18</v>
      </c>
      <c r="V78" s="83">
        <f>TC[[#This Row],[TOTAL]]*TC[[#This Row],[P.U. (2)]]</f>
        <v>0</v>
      </c>
      <c r="W78" s="82">
        <f>+VLOOKUP(B78,TbPiezas[],7,0)</f>
        <v>85.759000000000015</v>
      </c>
      <c r="X78" s="220">
        <f>ROUND(TC[[#This Row],[TOTAL]]*TC[[#This Row],[P.U. (3)]],2)</f>
        <v>0</v>
      </c>
    </row>
    <row r="79" spans="2:24" s="199" customFormat="1" x14ac:dyDescent="0.3">
      <c r="B79" s="212" t="s">
        <v>455</v>
      </c>
      <c r="C79" s="213" t="s">
        <v>456</v>
      </c>
      <c r="D79" s="214"/>
      <c r="E79" s="214"/>
      <c r="F79" s="214"/>
      <c r="G79" s="214"/>
      <c r="H79" s="215"/>
      <c r="J79" s="216" t="str">
        <f>+IF(J$4="",,J$63)</f>
        <v/>
      </c>
      <c r="L79" s="216"/>
      <c r="M79" s="217"/>
      <c r="N79" s="217"/>
      <c r="O79" s="218"/>
      <c r="P79" s="219" t="str">
        <f t="shared" si="1"/>
        <v>AE.5500</v>
      </c>
      <c r="Q79" s="74" t="str">
        <f>+IF(TC[[#This Row],[ITEM]]=B79,"ok","mal")</f>
        <v>ok</v>
      </c>
      <c r="R79" s="168">
        <f t="shared" si="0"/>
        <v>0</v>
      </c>
      <c r="S79" s="169">
        <f>IF(VLOOKUP(B79,TbPiezas[],5,0)="NA",0,VLOOKUP(B79,TbPiezas[],5,0))</f>
        <v>15</v>
      </c>
      <c r="T79" s="81">
        <f>TC[[#This Row],[TOTAL]]*TC[[#This Row],[P.U. (1)]]</f>
        <v>0</v>
      </c>
      <c r="U79" s="82">
        <f>+VLOOKUP(B79,TbPiezas[],6,0)</f>
        <v>1715.18</v>
      </c>
      <c r="V79" s="83">
        <f>TC[[#This Row],[TOTAL]]*TC[[#This Row],[P.U. (2)]]</f>
        <v>0</v>
      </c>
      <c r="W79" s="82">
        <f>+VLOOKUP(B79,TbPiezas[],7,0)</f>
        <v>85.759000000000015</v>
      </c>
      <c r="X79" s="220">
        <f>ROUND(TC[[#This Row],[TOTAL]]*TC[[#This Row],[P.U. (3)]],2)</f>
        <v>0</v>
      </c>
    </row>
    <row r="80" spans="2:24" s="199" customFormat="1" x14ac:dyDescent="0.3">
      <c r="B80" s="212" t="s">
        <v>457</v>
      </c>
      <c r="C80" s="213" t="s">
        <v>458</v>
      </c>
      <c r="D80" s="214"/>
      <c r="E80" s="214"/>
      <c r="F80" s="214"/>
      <c r="G80" s="214" t="s">
        <v>1231</v>
      </c>
      <c r="H80" s="215" t="s">
        <v>1023</v>
      </c>
      <c r="J80" s="216">
        <f>IF($H80="SI",IF(OR($H80=$H81,$H80=$H82),"ERROR",IF(J$4="","",4)),)</f>
        <v>0</v>
      </c>
      <c r="L80" s="216"/>
      <c r="M80" s="217"/>
      <c r="N80" s="217"/>
      <c r="O80" s="218"/>
      <c r="P80" s="219" t="str">
        <f t="shared" si="1"/>
        <v>AE.5600</v>
      </c>
      <c r="Q80" s="74" t="str">
        <f>+IF(TC[[#This Row],[ITEM]]=B80,"ok","mal")</f>
        <v>ok</v>
      </c>
      <c r="R80" s="168">
        <f t="shared" si="0"/>
        <v>0</v>
      </c>
      <c r="S80" s="169">
        <f>IF(VLOOKUP(B80,TbPiezas[],5,0)="NA",0,VLOOKUP(B80,TbPiezas[],5,0))</f>
        <v>2.2999999999999972</v>
      </c>
      <c r="T80" s="81">
        <f>TC[[#This Row],[TOTAL]]*TC[[#This Row],[P.U. (1)]]</f>
        <v>0</v>
      </c>
      <c r="U80" s="82">
        <f>+VLOOKUP(B80,TbPiezas[],6,0)</f>
        <v>210.43</v>
      </c>
      <c r="V80" s="83">
        <f>TC[[#This Row],[TOTAL]]*TC[[#This Row],[P.U. (2)]]</f>
        <v>0</v>
      </c>
      <c r="W80" s="82">
        <f>+VLOOKUP(B80,TbPiezas[],7,0)</f>
        <v>10.521500000000001</v>
      </c>
      <c r="X80" s="220">
        <f>ROUND(TC[[#This Row],[TOTAL]]*TC[[#This Row],[P.U. (3)]],2)</f>
        <v>0</v>
      </c>
    </row>
    <row r="81" spans="2:24" s="199" customFormat="1" x14ac:dyDescent="0.3">
      <c r="B81" s="212" t="s">
        <v>459</v>
      </c>
      <c r="C81" s="213" t="s">
        <v>460</v>
      </c>
      <c r="D81" s="214"/>
      <c r="E81" s="214"/>
      <c r="F81" s="214"/>
      <c r="G81" s="214" t="s">
        <v>1232</v>
      </c>
      <c r="H81" s="215" t="s">
        <v>1023</v>
      </c>
      <c r="J81" s="216">
        <f>IF($H81="SI",IF(OR($H81=$H80,$H81=$H82),"ERROR",IF(J$4="","",4)),)</f>
        <v>0</v>
      </c>
      <c r="L81" s="216"/>
      <c r="M81" s="217"/>
      <c r="N81" s="217"/>
      <c r="O81" s="218"/>
      <c r="P81" s="219" t="str">
        <f t="shared" si="1"/>
        <v>AE.5700</v>
      </c>
      <c r="Q81" s="74" t="str">
        <f>+IF(TC[[#This Row],[ITEM]]=B81,"ok","mal")</f>
        <v>ok</v>
      </c>
      <c r="R81" s="168">
        <f t="shared" si="0"/>
        <v>0</v>
      </c>
      <c r="S81" s="169">
        <f>IF(VLOOKUP(B81,TbPiezas[],5,0)="NA",0,VLOOKUP(B81,TbPiezas[],5,0))</f>
        <v>1</v>
      </c>
      <c r="T81" s="81">
        <f>TC[[#This Row],[TOTAL]]*TC[[#This Row],[P.U. (1)]]</f>
        <v>0</v>
      </c>
      <c r="U81" s="82">
        <f>+VLOOKUP(B81,TbPiezas[],6,0)</f>
        <v>210.43</v>
      </c>
      <c r="V81" s="83">
        <f>TC[[#This Row],[TOTAL]]*TC[[#This Row],[P.U. (2)]]</f>
        <v>0</v>
      </c>
      <c r="W81" s="82">
        <f>+VLOOKUP(B81,TbPiezas[],7,0)</f>
        <v>10.521500000000001</v>
      </c>
      <c r="X81" s="220">
        <f>ROUND(TC[[#This Row],[TOTAL]]*TC[[#This Row],[P.U. (3)]],2)</f>
        <v>0</v>
      </c>
    </row>
    <row r="82" spans="2:24" s="199" customFormat="1" x14ac:dyDescent="0.3">
      <c r="B82" s="212" t="s">
        <v>461</v>
      </c>
      <c r="C82" s="213" t="s">
        <v>462</v>
      </c>
      <c r="D82" s="214"/>
      <c r="E82" s="214"/>
      <c r="F82" s="214"/>
      <c r="G82" s="214" t="s">
        <v>1233</v>
      </c>
      <c r="H82" s="215" t="s">
        <v>1019</v>
      </c>
      <c r="J82" s="216">
        <f>IF($H82="SI",IF(OR($H82=$H81,$H82=$H80),"ERROR",IF(J$4="","",4)),)</f>
        <v>4</v>
      </c>
      <c r="L82" s="216"/>
      <c r="M82" s="217"/>
      <c r="N82" s="217"/>
      <c r="O82" s="218"/>
      <c r="P82" s="219" t="str">
        <f t="shared" si="1"/>
        <v>AE.5800</v>
      </c>
      <c r="Q82" s="74" t="str">
        <f>+IF(TC[[#This Row],[ITEM]]=B82,"ok","mal")</f>
        <v>ok</v>
      </c>
      <c r="R82" s="168">
        <f t="shared" si="0"/>
        <v>0</v>
      </c>
      <c r="S82" s="169">
        <f>IF(VLOOKUP(B82,TbPiezas[],5,0)="NA",0,VLOOKUP(B82,TbPiezas[],5,0))</f>
        <v>0.5</v>
      </c>
      <c r="T82" s="81">
        <f>TC[[#This Row],[TOTAL]]*TC[[#This Row],[P.U. (1)]]</f>
        <v>0</v>
      </c>
      <c r="U82" s="82">
        <f>+VLOOKUP(B82,TbPiezas[],6,0)</f>
        <v>210.43</v>
      </c>
      <c r="V82" s="83">
        <f>TC[[#This Row],[TOTAL]]*TC[[#This Row],[P.U. (2)]]</f>
        <v>0</v>
      </c>
      <c r="W82" s="82">
        <f>+VLOOKUP(B82,TbPiezas[],7,0)</f>
        <v>10.521500000000001</v>
      </c>
      <c r="X82" s="220">
        <f>ROUND(TC[[#This Row],[TOTAL]]*TC[[#This Row],[P.U. (3)]],2)</f>
        <v>0</v>
      </c>
    </row>
    <row r="83" spans="2:24" s="199" customFormat="1" x14ac:dyDescent="0.3">
      <c r="B83" s="212" t="s">
        <v>463</v>
      </c>
      <c r="C83" s="213" t="s">
        <v>464</v>
      </c>
      <c r="D83" s="214"/>
      <c r="E83" s="214"/>
      <c r="F83" s="214"/>
      <c r="G83" s="214" t="s">
        <v>1234</v>
      </c>
      <c r="H83" s="215" t="s">
        <v>1023</v>
      </c>
      <c r="J83" s="216">
        <f>+IF($H83="SI",IF($H83=$H84,"ERROR",IF(J$4="","",2)),)</f>
        <v>0</v>
      </c>
      <c r="L83" s="216"/>
      <c r="M83" s="217"/>
      <c r="N83" s="217"/>
      <c r="O83" s="218"/>
      <c r="P83" s="219" t="str">
        <f t="shared" si="1"/>
        <v>AE.5900</v>
      </c>
      <c r="Q83" s="74" t="str">
        <f>+IF(TC[[#This Row],[ITEM]]=B83,"ok","mal")</f>
        <v>ok</v>
      </c>
      <c r="R83" s="168">
        <f t="shared" ref="R83:R146" si="2">SUM(K83:O83)</f>
        <v>0</v>
      </c>
      <c r="S83" s="169">
        <f>IF(VLOOKUP(B83,TbPiezas[],5,0)="NA",0,VLOOKUP(B83,TbPiezas[],5,0))</f>
        <v>1.2000000000000028</v>
      </c>
      <c r="T83" s="81">
        <f>TC[[#This Row],[TOTAL]]*TC[[#This Row],[P.U. (1)]]</f>
        <v>0</v>
      </c>
      <c r="U83" s="82">
        <f>+VLOOKUP(B83,TbPiezas[],6,0)</f>
        <v>337.48</v>
      </c>
      <c r="V83" s="83">
        <f>TC[[#This Row],[TOTAL]]*TC[[#This Row],[P.U. (2)]]</f>
        <v>0</v>
      </c>
      <c r="W83" s="82">
        <f>+VLOOKUP(B83,TbPiezas[],7,0)</f>
        <v>16.874000000000002</v>
      </c>
      <c r="X83" s="220">
        <f>ROUND(TC[[#This Row],[TOTAL]]*TC[[#This Row],[P.U. (3)]],2)</f>
        <v>0</v>
      </c>
    </row>
    <row r="84" spans="2:24" s="199" customFormat="1" x14ac:dyDescent="0.3">
      <c r="B84" s="212" t="s">
        <v>465</v>
      </c>
      <c r="C84" s="213" t="s">
        <v>466</v>
      </c>
      <c r="D84" s="214"/>
      <c r="E84" s="214"/>
      <c r="F84" s="214"/>
      <c r="G84" s="214" t="s">
        <v>1235</v>
      </c>
      <c r="H84" s="215" t="s">
        <v>1019</v>
      </c>
      <c r="J84" s="216">
        <f>+IF($H84="SI",IF($H84=$H83,"ERROR",IF(J$4="",,2)),)</f>
        <v>2</v>
      </c>
      <c r="L84" s="216"/>
      <c r="M84" s="217"/>
      <c r="N84" s="217"/>
      <c r="O84" s="218"/>
      <c r="P84" s="219" t="str">
        <f t="shared" ref="P84:P147" si="3">+B84</f>
        <v>AE.6000</v>
      </c>
      <c r="Q84" s="74" t="str">
        <f>+IF(TC[[#This Row],[ITEM]]=B84,"ok","mal")</f>
        <v>ok</v>
      </c>
      <c r="R84" s="168">
        <f t="shared" si="2"/>
        <v>0</v>
      </c>
      <c r="S84" s="169">
        <f>IF(VLOOKUP(B84,TbPiezas[],5,0)="NA",0,VLOOKUP(B84,TbPiezas[],5,0))</f>
        <v>2.7000000000000028</v>
      </c>
      <c r="T84" s="81">
        <f>TC[[#This Row],[TOTAL]]*TC[[#This Row],[P.U. (1)]]</f>
        <v>0</v>
      </c>
      <c r="U84" s="82">
        <f>+VLOOKUP(B84,TbPiezas[],6,0)</f>
        <v>337.48</v>
      </c>
      <c r="V84" s="83">
        <f>TC[[#This Row],[TOTAL]]*TC[[#This Row],[P.U. (2)]]</f>
        <v>0</v>
      </c>
      <c r="W84" s="82">
        <f>+VLOOKUP(B84,TbPiezas[],7,0)</f>
        <v>16.874000000000002</v>
      </c>
      <c r="X84" s="220">
        <f>ROUND(TC[[#This Row],[TOTAL]]*TC[[#This Row],[P.U. (3)]],2)</f>
        <v>0</v>
      </c>
    </row>
    <row r="85" spans="2:24" s="199" customFormat="1" x14ac:dyDescent="0.3">
      <c r="B85" s="212" t="s">
        <v>467</v>
      </c>
      <c r="C85" s="213" t="s">
        <v>468</v>
      </c>
      <c r="D85" s="214"/>
      <c r="E85" s="214"/>
      <c r="F85" s="214"/>
      <c r="G85" s="214" t="s">
        <v>1236</v>
      </c>
      <c r="H85" s="215" t="s">
        <v>1019</v>
      </c>
      <c r="J85" s="216" t="str">
        <f>IF(J4="",,IF(J$7="PARAPETO","",IF(H85="SI",IF($H85=$H87,"ERROR",IF(J$14=1,2,2)),)))</f>
        <v/>
      </c>
      <c r="L85" s="216"/>
      <c r="M85" s="217"/>
      <c r="N85" s="217"/>
      <c r="O85" s="218"/>
      <c r="P85" s="219" t="str">
        <f t="shared" si="3"/>
        <v>AE.6100</v>
      </c>
      <c r="Q85" s="74" t="str">
        <f>+IF(TC[[#This Row],[ITEM]]=B85,"ok","mal")</f>
        <v>ok</v>
      </c>
      <c r="R85" s="168">
        <f t="shared" si="2"/>
        <v>0</v>
      </c>
      <c r="S85" s="169">
        <f>IF(VLOOKUP(B85,TbPiezas[],5,0)="NA",0,VLOOKUP(B85,TbPiezas[],5,0))</f>
        <v>18.5</v>
      </c>
      <c r="T85" s="81">
        <f>TC[[#This Row],[TOTAL]]*TC[[#This Row],[P.U. (1)]]</f>
        <v>0</v>
      </c>
      <c r="U85" s="82">
        <f>+VLOOKUP(B85,TbPiezas[],6,0)</f>
        <v>191.38</v>
      </c>
      <c r="V85" s="83">
        <f>TC[[#This Row],[TOTAL]]*TC[[#This Row],[P.U. (2)]]</f>
        <v>0</v>
      </c>
      <c r="W85" s="82">
        <f>+VLOOKUP(B85,TbPiezas[],7,0)</f>
        <v>9.5690000000000008</v>
      </c>
      <c r="X85" s="220">
        <f>ROUND(TC[[#This Row],[TOTAL]]*TC[[#This Row],[P.U. (3)]],2)</f>
        <v>0</v>
      </c>
    </row>
    <row r="86" spans="2:24" s="199" customFormat="1" x14ac:dyDescent="0.3">
      <c r="B86" s="212" t="s">
        <v>469</v>
      </c>
      <c r="C86" s="213" t="s">
        <v>470</v>
      </c>
      <c r="D86" s="214"/>
      <c r="E86" s="214"/>
      <c r="F86" s="214"/>
      <c r="G86" s="214"/>
      <c r="H86" s="215"/>
      <c r="J86" s="216" t="str">
        <f>IF(J4="",,IF(J$7="PARAPETO","",IF(H85="SI",IF($H85=$H87,"ERROR",IF(J$14=1,2,2)),)))</f>
        <v/>
      </c>
      <c r="L86" s="216"/>
      <c r="M86" s="217"/>
      <c r="N86" s="217"/>
      <c r="O86" s="218"/>
      <c r="P86" s="219" t="str">
        <f t="shared" si="3"/>
        <v>AE.6200</v>
      </c>
      <c r="Q86" s="74" t="str">
        <f>+IF(TC[[#This Row],[ITEM]]=B86,"ok","mal")</f>
        <v>ok</v>
      </c>
      <c r="R86" s="168">
        <f t="shared" si="2"/>
        <v>0</v>
      </c>
      <c r="S86" s="169">
        <f>IF(VLOOKUP(B86,TbPiezas[],5,0)="NA",0,VLOOKUP(B86,TbPiezas[],5,0))</f>
        <v>17.299999999999997</v>
      </c>
      <c r="T86" s="81">
        <f>TC[[#This Row],[TOTAL]]*TC[[#This Row],[P.U. (1)]]</f>
        <v>0</v>
      </c>
      <c r="U86" s="82">
        <f>+VLOOKUP(B86,TbPiezas[],6,0)</f>
        <v>191.38</v>
      </c>
      <c r="V86" s="83">
        <f>TC[[#This Row],[TOTAL]]*TC[[#This Row],[P.U. (2)]]</f>
        <v>0</v>
      </c>
      <c r="W86" s="82">
        <f>+VLOOKUP(B86,TbPiezas[],7,0)</f>
        <v>9.5690000000000008</v>
      </c>
      <c r="X86" s="220">
        <f>ROUND(TC[[#This Row],[TOTAL]]*TC[[#This Row],[P.U. (3)]],2)</f>
        <v>0</v>
      </c>
    </row>
    <row r="87" spans="2:24" s="199" customFormat="1" x14ac:dyDescent="0.3">
      <c r="B87" s="212" t="s">
        <v>471</v>
      </c>
      <c r="C87" s="213" t="s">
        <v>472</v>
      </c>
      <c r="D87" s="214"/>
      <c r="E87" s="214"/>
      <c r="F87" s="214"/>
      <c r="G87" s="214" t="s">
        <v>1237</v>
      </c>
      <c r="H87" s="215" t="s">
        <v>1023</v>
      </c>
      <c r="J87" s="216" t="str">
        <f>IF(J4="",,IF(J$7="PARAPETO","",IF($H87="SI",IF($H87=$H85,"ERROR",IF(J$14=1,2,4)),"")))</f>
        <v/>
      </c>
      <c r="L87" s="216"/>
      <c r="M87" s="217"/>
      <c r="N87" s="217"/>
      <c r="O87" s="218"/>
      <c r="P87" s="219" t="str">
        <f t="shared" si="3"/>
        <v>AE.6300</v>
      </c>
      <c r="Q87" s="74" t="str">
        <f>+IF(TC[[#This Row],[ITEM]]=B87,"ok","mal")</f>
        <v>ok</v>
      </c>
      <c r="R87" s="168">
        <f t="shared" si="2"/>
        <v>0</v>
      </c>
      <c r="S87" s="169">
        <f>IF(VLOOKUP(B87,TbPiezas[],5,0)="NA",0,VLOOKUP(B87,TbPiezas[],5,0))</f>
        <v>21</v>
      </c>
      <c r="T87" s="81">
        <f>TC[[#This Row],[TOTAL]]*TC[[#This Row],[P.U. (1)]]</f>
        <v>0</v>
      </c>
      <c r="U87" s="82">
        <f>+VLOOKUP(B87,TbPiezas[],6,0)</f>
        <v>191.38</v>
      </c>
      <c r="V87" s="83">
        <f>TC[[#This Row],[TOTAL]]*TC[[#This Row],[P.U. (2)]]</f>
        <v>0</v>
      </c>
      <c r="W87" s="82">
        <f>+VLOOKUP(B87,TbPiezas[],7,0)</f>
        <v>9.5690000000000008</v>
      </c>
      <c r="X87" s="220">
        <f>ROUND(TC[[#This Row],[TOTAL]]*TC[[#This Row],[P.U. (3)]],2)</f>
        <v>0</v>
      </c>
    </row>
    <row r="88" spans="2:24" s="199" customFormat="1" x14ac:dyDescent="0.3">
      <c r="B88" s="212" t="s">
        <v>473</v>
      </c>
      <c r="C88" s="213" t="s">
        <v>474</v>
      </c>
      <c r="D88" s="214"/>
      <c r="E88" s="214"/>
      <c r="F88" s="214"/>
      <c r="G88" s="214"/>
      <c r="H88" s="215"/>
      <c r="J88" s="216">
        <f>IF(J$8="PARAPETO",,IF(J$4="","",IF(J$14=1,1,2)))</f>
        <v>0</v>
      </c>
      <c r="L88" s="216"/>
      <c r="M88" s="217"/>
      <c r="N88" s="217"/>
      <c r="O88" s="218"/>
      <c r="P88" s="219" t="str">
        <f t="shared" si="3"/>
        <v>AE.6400</v>
      </c>
      <c r="Q88" s="74" t="str">
        <f>+IF(TC[[#This Row],[ITEM]]=B88,"ok","mal")</f>
        <v>ok</v>
      </c>
      <c r="R88" s="168">
        <f t="shared" si="2"/>
        <v>0</v>
      </c>
      <c r="S88" s="169">
        <f>IF(VLOOKUP(B88,TbPiezas[],5,0)="NA",0,VLOOKUP(B88,TbPiezas[],5,0))</f>
        <v>14.400000000000006</v>
      </c>
      <c r="T88" s="81">
        <f>TC[[#This Row],[TOTAL]]*TC[[#This Row],[P.U. (1)]]</f>
        <v>0</v>
      </c>
      <c r="U88" s="82">
        <f>+VLOOKUP(B88,TbPiezas[],6,0)</f>
        <v>191.38</v>
      </c>
      <c r="V88" s="83">
        <f>TC[[#This Row],[TOTAL]]*TC[[#This Row],[P.U. (2)]]</f>
        <v>0</v>
      </c>
      <c r="W88" s="82">
        <f>+VLOOKUP(B88,TbPiezas[],7,0)</f>
        <v>9.5690000000000008</v>
      </c>
      <c r="X88" s="220">
        <f>ROUND(TC[[#This Row],[TOTAL]]*TC[[#This Row],[P.U. (3)]],2)</f>
        <v>0</v>
      </c>
    </row>
    <row r="89" spans="2:24" s="199" customFormat="1" x14ac:dyDescent="0.3">
      <c r="B89" s="212" t="s">
        <v>475</v>
      </c>
      <c r="C89" s="213" t="s">
        <v>476</v>
      </c>
      <c r="D89" s="214"/>
      <c r="E89" s="214"/>
      <c r="F89" s="214"/>
      <c r="G89" s="214" t="s">
        <v>1238</v>
      </c>
      <c r="H89" s="215" t="s">
        <v>1019</v>
      </c>
      <c r="J89" s="216" t="str">
        <f>IF(J4="",,IF(H$89="SI",IF(H$89=H$92,"ERROR",IF(J$7="ESTANDAR",IF(J$14=1,2,4),"")),""))</f>
        <v/>
      </c>
      <c r="L89" s="216"/>
      <c r="M89" s="217"/>
      <c r="N89" s="217"/>
      <c r="O89" s="218"/>
      <c r="P89" s="219" t="str">
        <f t="shared" si="3"/>
        <v>AE.6500</v>
      </c>
      <c r="Q89" s="74" t="str">
        <f>+IF(TC[[#This Row],[ITEM]]=B89,"ok","mal")</f>
        <v>ok</v>
      </c>
      <c r="R89" s="168">
        <f t="shared" si="2"/>
        <v>0</v>
      </c>
      <c r="S89" s="169">
        <f>IF(VLOOKUP(B89,TbPiezas[],5,0)="NA",0,VLOOKUP(B89,TbPiezas[],5,0))</f>
        <v>13.200000000000003</v>
      </c>
      <c r="T89" s="81">
        <f>TC[[#This Row],[TOTAL]]*TC[[#This Row],[P.U. (1)]]</f>
        <v>0</v>
      </c>
      <c r="U89" s="82">
        <f>+VLOOKUP(B89,TbPiezas[],6,0)</f>
        <v>379.07</v>
      </c>
      <c r="V89" s="83">
        <f>TC[[#This Row],[TOTAL]]*TC[[#This Row],[P.U. (2)]]</f>
        <v>0</v>
      </c>
      <c r="W89" s="82">
        <f>+VLOOKUP(B89,TbPiezas[],7,0)</f>
        <v>18.953500000000002</v>
      </c>
      <c r="X89" s="220">
        <f>ROUND(TC[[#This Row],[TOTAL]]*TC[[#This Row],[P.U. (3)]],2)</f>
        <v>0</v>
      </c>
    </row>
    <row r="90" spans="2:24" s="199" customFormat="1" x14ac:dyDescent="0.3">
      <c r="B90" s="212" t="s">
        <v>477</v>
      </c>
      <c r="C90" s="213" t="s">
        <v>478</v>
      </c>
      <c r="D90" s="214"/>
      <c r="E90" s="214"/>
      <c r="F90" s="214"/>
      <c r="G90" s="214"/>
      <c r="H90" s="215"/>
      <c r="J90" s="216"/>
      <c r="L90" s="216"/>
      <c r="M90" s="217"/>
      <c r="N90" s="217"/>
      <c r="O90" s="218"/>
      <c r="P90" s="219" t="str">
        <f t="shared" si="3"/>
        <v>AE.6510</v>
      </c>
      <c r="Q90" s="74" t="str">
        <f>+IF(TC[[#This Row],[ITEM]]=B90,"ok","mal")</f>
        <v>ok</v>
      </c>
      <c r="R90" s="168">
        <f t="shared" si="2"/>
        <v>0</v>
      </c>
      <c r="S90" s="169">
        <f>IF(VLOOKUP(B90,TbPiezas[],5,0)="NA",0,VLOOKUP(B90,TbPiezas[],5,0))</f>
        <v>5.0999999999999996</v>
      </c>
      <c r="T90" s="81">
        <f>TC[[#This Row],[TOTAL]]*TC[[#This Row],[P.U. (1)]]</f>
        <v>0</v>
      </c>
      <c r="U90" s="82">
        <f>+VLOOKUP(B90,TbPiezas[],6,0)</f>
        <v>150</v>
      </c>
      <c r="V90" s="83">
        <f>TC[[#This Row],[TOTAL]]*TC[[#This Row],[P.U. (2)]]</f>
        <v>0</v>
      </c>
      <c r="W90" s="82">
        <f>+VLOOKUP(B90,TbPiezas[],7,0)</f>
        <v>7.5</v>
      </c>
      <c r="X90" s="220">
        <f>ROUND(TC[[#This Row],[TOTAL]]*TC[[#This Row],[P.U. (3)]],2)</f>
        <v>0</v>
      </c>
    </row>
    <row r="91" spans="2:24" s="199" customFormat="1" x14ac:dyDescent="0.3">
      <c r="B91" s="212" t="s">
        <v>479</v>
      </c>
      <c r="C91" s="213" t="s">
        <v>480</v>
      </c>
      <c r="D91" s="214"/>
      <c r="E91" s="214"/>
      <c r="F91" s="214"/>
      <c r="G91" s="214"/>
      <c r="H91" s="215"/>
      <c r="J91" s="216"/>
      <c r="L91" s="216"/>
      <c r="M91" s="217"/>
      <c r="N91" s="217"/>
      <c r="O91" s="218"/>
      <c r="P91" s="219" t="str">
        <f t="shared" si="3"/>
        <v>AE.6520</v>
      </c>
      <c r="Q91" s="74" t="str">
        <f>+IF(TC[[#This Row],[ITEM]]=B91,"ok","mal")</f>
        <v>ok</v>
      </c>
      <c r="R91" s="168">
        <f t="shared" si="2"/>
        <v>0</v>
      </c>
      <c r="S91" s="169">
        <f>IF(VLOOKUP(B91,TbPiezas[],5,0)="NA",0,VLOOKUP(B91,TbPiezas[],5,0))</f>
        <v>6.5</v>
      </c>
      <c r="T91" s="81">
        <f>TC[[#This Row],[TOTAL]]*TC[[#This Row],[P.U. (1)]]</f>
        <v>0</v>
      </c>
      <c r="U91" s="82">
        <f>+VLOOKUP(B91,TbPiezas[],6,0)</f>
        <v>150</v>
      </c>
      <c r="V91" s="83">
        <f>TC[[#This Row],[TOTAL]]*TC[[#This Row],[P.U. (2)]]</f>
        <v>0</v>
      </c>
      <c r="W91" s="82">
        <f>+VLOOKUP(B91,TbPiezas[],7,0)</f>
        <v>7.5</v>
      </c>
      <c r="X91" s="220">
        <f>ROUND(TC[[#This Row],[TOTAL]]*TC[[#This Row],[P.U. (3)]],2)</f>
        <v>0</v>
      </c>
    </row>
    <row r="92" spans="2:24" s="199" customFormat="1" x14ac:dyDescent="0.3">
      <c r="B92" s="212" t="s">
        <v>481</v>
      </c>
      <c r="C92" s="213" t="s">
        <v>482</v>
      </c>
      <c r="D92" s="214"/>
      <c r="E92" s="214"/>
      <c r="F92" s="214"/>
      <c r="G92" s="214" t="s">
        <v>1239</v>
      </c>
      <c r="H92" s="215" t="s">
        <v>1023</v>
      </c>
      <c r="J92" s="216" t="str">
        <f>IF(J4="",,IF(H$92="SI",IF(H$89=H$92,"ERROR",IF(J$7="ESTANDAR",IF(J$14=1,2,4),"")),""))</f>
        <v/>
      </c>
      <c r="L92" s="216"/>
      <c r="M92" s="217"/>
      <c r="N92" s="217"/>
      <c r="O92" s="218"/>
      <c r="P92" s="219" t="str">
        <f t="shared" si="3"/>
        <v>AE.6600</v>
      </c>
      <c r="Q92" s="74" t="str">
        <f>+IF(TC[[#This Row],[ITEM]]=B92,"ok","mal")</f>
        <v>ok</v>
      </c>
      <c r="R92" s="168">
        <f t="shared" si="2"/>
        <v>0</v>
      </c>
      <c r="S92" s="169">
        <f>IF(VLOOKUP(B92,TbPiezas[],5,0)="NA",0,VLOOKUP(B92,TbPiezas[],5,0))</f>
        <v>6.2000000000000028</v>
      </c>
      <c r="T92" s="81">
        <f>TC[[#This Row],[TOTAL]]*TC[[#This Row],[P.U. (1)]]</f>
        <v>0</v>
      </c>
      <c r="U92" s="82">
        <f>+VLOOKUP(B92,TbPiezas[],6,0)</f>
        <v>337.14</v>
      </c>
      <c r="V92" s="83">
        <f>TC[[#This Row],[TOTAL]]*TC[[#This Row],[P.U. (2)]]</f>
        <v>0</v>
      </c>
      <c r="W92" s="82">
        <f>+VLOOKUP(B92,TbPiezas[],7,0)</f>
        <v>16.856999999999999</v>
      </c>
      <c r="X92" s="220">
        <f>ROUND(TC[[#This Row],[TOTAL]]*TC[[#This Row],[P.U. (3)]],2)</f>
        <v>0</v>
      </c>
    </row>
    <row r="93" spans="2:24" s="199" customFormat="1" x14ac:dyDescent="0.3">
      <c r="B93" s="212" t="s">
        <v>483</v>
      </c>
      <c r="C93" s="213" t="s">
        <v>484</v>
      </c>
      <c r="D93" s="214"/>
      <c r="E93" s="214"/>
      <c r="F93" s="214"/>
      <c r="G93" s="214"/>
      <c r="H93" s="215"/>
      <c r="J93" s="216" t="str">
        <f>IF(J4="",,IF(OR(J$7="PARAPETO",J$7="NIVEL"),"",IF(J$14=1,1,2)))</f>
        <v/>
      </c>
      <c r="L93" s="216"/>
      <c r="M93" s="217"/>
      <c r="N93" s="217"/>
      <c r="O93" s="218"/>
      <c r="P93" s="219" t="str">
        <f t="shared" si="3"/>
        <v>AE.6700</v>
      </c>
      <c r="Q93" s="74" t="str">
        <f>+IF(TC[[#This Row],[ITEM]]=B93,"ok","mal")</f>
        <v>ok</v>
      </c>
      <c r="R93" s="168">
        <f t="shared" si="2"/>
        <v>0</v>
      </c>
      <c r="S93" s="169">
        <f>IF(VLOOKUP(B93,TbPiezas[],5,0)="NA",0,VLOOKUP(B93,TbPiezas[],5,0))</f>
        <v>6.8999999999999915</v>
      </c>
      <c r="T93" s="81">
        <f>TC[[#This Row],[TOTAL]]*TC[[#This Row],[P.U. (1)]]</f>
        <v>0</v>
      </c>
      <c r="U93" s="82">
        <f>+VLOOKUP(B93,TbPiezas[],6,0)</f>
        <v>375.25</v>
      </c>
      <c r="V93" s="83">
        <f>TC[[#This Row],[TOTAL]]*TC[[#This Row],[P.U. (2)]]</f>
        <v>0</v>
      </c>
      <c r="W93" s="82">
        <f>+VLOOKUP(B93,TbPiezas[],7,0)</f>
        <v>18.762499999999999</v>
      </c>
      <c r="X93" s="220">
        <f>ROUND(TC[[#This Row],[TOTAL]]*TC[[#This Row],[P.U. (3)]],2)</f>
        <v>0</v>
      </c>
    </row>
    <row r="94" spans="2:24" s="199" customFormat="1" x14ac:dyDescent="0.3">
      <c r="B94" s="212" t="s">
        <v>485</v>
      </c>
      <c r="C94" s="213" t="s">
        <v>486</v>
      </c>
      <c r="D94" s="214"/>
      <c r="E94" s="214"/>
      <c r="F94" s="214"/>
      <c r="G94" s="214"/>
      <c r="H94" s="215"/>
      <c r="J94" s="216" t="str">
        <f>IF(J4="",,IF(OR(J$7="PARAPETO",J$7="NIVEL"),"",IF(J$14=1,1,2)))</f>
        <v/>
      </c>
      <c r="L94" s="216"/>
      <c r="M94" s="217"/>
      <c r="N94" s="217"/>
      <c r="O94" s="218"/>
      <c r="P94" s="219" t="str">
        <f t="shared" si="3"/>
        <v>AE.6800</v>
      </c>
      <c r="Q94" s="74" t="str">
        <f>+IF(TC[[#This Row],[ITEM]]=B94,"ok","mal")</f>
        <v>ok</v>
      </c>
      <c r="R94" s="168">
        <f t="shared" si="2"/>
        <v>0</v>
      </c>
      <c r="S94" s="169">
        <f>IF(VLOOKUP(B94,TbPiezas[],5,0)="NA",0,VLOOKUP(B94,TbPiezas[],5,0))</f>
        <v>18.599999999999994</v>
      </c>
      <c r="T94" s="81">
        <f>TC[[#This Row],[TOTAL]]*TC[[#This Row],[P.U. (1)]]</f>
        <v>0</v>
      </c>
      <c r="U94" s="82">
        <f>+VLOOKUP(B94,TbPiezas[],6,0)</f>
        <v>553.12</v>
      </c>
      <c r="V94" s="83">
        <f>TC[[#This Row],[TOTAL]]*TC[[#This Row],[P.U. (2)]]</f>
        <v>0</v>
      </c>
      <c r="W94" s="82">
        <f>+VLOOKUP(B94,TbPiezas[],7,0)</f>
        <v>27.656000000000002</v>
      </c>
      <c r="X94" s="220">
        <f>ROUND(TC[[#This Row],[TOTAL]]*TC[[#This Row],[P.U. (3)]],2)</f>
        <v>0</v>
      </c>
    </row>
    <row r="95" spans="2:24" s="199" customFormat="1" x14ac:dyDescent="0.3">
      <c r="B95" s="212" t="s">
        <v>487</v>
      </c>
      <c r="C95" s="213" t="s">
        <v>488</v>
      </c>
      <c r="D95" s="214"/>
      <c r="E95" s="214"/>
      <c r="F95" s="214"/>
      <c r="G95" s="214"/>
      <c r="H95" s="215"/>
      <c r="J95" s="216" t="str">
        <f>IF(J4="",,IF(J$7="NIVEL",IF(J$14=1,1,2),""))</f>
        <v/>
      </c>
      <c r="L95" s="216"/>
      <c r="M95" s="217"/>
      <c r="N95" s="217"/>
      <c r="O95" s="218"/>
      <c r="P95" s="219" t="str">
        <f t="shared" si="3"/>
        <v>AE.6900</v>
      </c>
      <c r="Q95" s="74" t="str">
        <f>+IF(TC[[#This Row],[ITEM]]=B95,"ok","mal")</f>
        <v>ok</v>
      </c>
      <c r="R95" s="168">
        <f t="shared" si="2"/>
        <v>0</v>
      </c>
      <c r="S95" s="169">
        <f>IF(VLOOKUP(B95,TbPiezas[],5,0)="NA",0,VLOOKUP(B95,TbPiezas[],5,0))</f>
        <v>23.400000000000006</v>
      </c>
      <c r="T95" s="81">
        <f>TC[[#This Row],[TOTAL]]*TC[[#This Row],[P.U. (1)]]</f>
        <v>0</v>
      </c>
      <c r="U95" s="82">
        <f>+VLOOKUP(B95,TbPiezas[],6,0)</f>
        <v>553.12</v>
      </c>
      <c r="V95" s="83">
        <f>TC[[#This Row],[TOTAL]]*TC[[#This Row],[P.U. (2)]]</f>
        <v>0</v>
      </c>
      <c r="W95" s="82">
        <f>+VLOOKUP(B95,TbPiezas[],7,0)</f>
        <v>27.656000000000002</v>
      </c>
      <c r="X95" s="220">
        <f>ROUND(TC[[#This Row],[TOTAL]]*TC[[#This Row],[P.U. (3)]],2)</f>
        <v>0</v>
      </c>
    </row>
    <row r="96" spans="2:24" s="199" customFormat="1" x14ac:dyDescent="0.3">
      <c r="B96" s="212" t="s">
        <v>489</v>
      </c>
      <c r="C96" s="213" t="s">
        <v>490</v>
      </c>
      <c r="D96" s="214"/>
      <c r="E96" s="214"/>
      <c r="F96" s="214"/>
      <c r="G96" s="214"/>
      <c r="H96" s="215"/>
      <c r="J96" s="216" t="str">
        <f>IF(J4="",,IF(OR(J$7="PARAPETO",J$7="NIVEL"),"",IF(J$14=1,1,2)))</f>
        <v/>
      </c>
      <c r="L96" s="216"/>
      <c r="M96" s="217"/>
      <c r="N96" s="217"/>
      <c r="O96" s="218"/>
      <c r="P96" s="219" t="str">
        <f t="shared" si="3"/>
        <v>AE.7000</v>
      </c>
      <c r="Q96" s="74" t="str">
        <f>+IF(TC[[#This Row],[ITEM]]=B96,"ok","mal")</f>
        <v>ok</v>
      </c>
      <c r="R96" s="168">
        <f t="shared" si="2"/>
        <v>0</v>
      </c>
      <c r="S96" s="169">
        <f>IF(VLOOKUP(B96,TbPiezas[],5,0)="NA",0,VLOOKUP(B96,TbPiezas[],5,0))</f>
        <v>20.099999999999994</v>
      </c>
      <c r="T96" s="81">
        <f>TC[[#This Row],[TOTAL]]*TC[[#This Row],[P.U. (1)]]</f>
        <v>0</v>
      </c>
      <c r="U96" s="82">
        <f>+VLOOKUP(B96,TbPiezas[],6,0)</f>
        <v>553.12</v>
      </c>
      <c r="V96" s="83">
        <f>TC[[#This Row],[TOTAL]]*TC[[#This Row],[P.U. (2)]]</f>
        <v>0</v>
      </c>
      <c r="W96" s="82">
        <f>+VLOOKUP(B96,TbPiezas[],7,0)</f>
        <v>27.656000000000002</v>
      </c>
      <c r="X96" s="220">
        <f>ROUND(TC[[#This Row],[TOTAL]]*TC[[#This Row],[P.U. (3)]],2)</f>
        <v>0</v>
      </c>
    </row>
    <row r="97" spans="2:25" s="199" customFormat="1" x14ac:dyDescent="0.3">
      <c r="B97" s="212" t="s">
        <v>491</v>
      </c>
      <c r="C97" s="213" t="s">
        <v>492</v>
      </c>
      <c r="D97" s="214"/>
      <c r="E97" s="214"/>
      <c r="F97" s="214"/>
      <c r="G97" s="214"/>
      <c r="H97" s="215"/>
      <c r="J97" s="216">
        <f>IF(J$7="NIVEL",IF(J$14=1,1,2),)</f>
        <v>0</v>
      </c>
      <c r="L97" s="216"/>
      <c r="M97" s="217"/>
      <c r="N97" s="217"/>
      <c r="O97" s="218"/>
      <c r="P97" s="219" t="str">
        <f t="shared" si="3"/>
        <v>AE.7100</v>
      </c>
      <c r="Q97" s="74" t="str">
        <f>+IF(TC[[#This Row],[ITEM]]=B97,"ok","mal")</f>
        <v>ok</v>
      </c>
      <c r="R97" s="168">
        <f t="shared" si="2"/>
        <v>0</v>
      </c>
      <c r="S97" s="169">
        <f>IF(VLOOKUP(B97,TbPiezas[],5,0)="NA",0,VLOOKUP(B97,TbPiezas[],5,0))</f>
        <v>15.400000000000006</v>
      </c>
      <c r="T97" s="81">
        <f>TC[[#This Row],[TOTAL]]*TC[[#This Row],[P.U. (1)]]</f>
        <v>0</v>
      </c>
      <c r="U97" s="82">
        <f>+VLOOKUP(B97,TbPiezas[],6,0)</f>
        <v>553.12</v>
      </c>
      <c r="V97" s="83">
        <f>TC[[#This Row],[TOTAL]]*TC[[#This Row],[P.U. (2)]]</f>
        <v>0</v>
      </c>
      <c r="W97" s="82">
        <f>+VLOOKUP(B97,TbPiezas[],7,0)</f>
        <v>27.656000000000002</v>
      </c>
      <c r="X97" s="220">
        <f>ROUND(TC[[#This Row],[TOTAL]]*TC[[#This Row],[P.U. (3)]],2)</f>
        <v>0</v>
      </c>
    </row>
    <row r="98" spans="2:25" s="199" customFormat="1" x14ac:dyDescent="0.3">
      <c r="B98" s="212" t="s">
        <v>493</v>
      </c>
      <c r="C98" s="213" t="s">
        <v>494</v>
      </c>
      <c r="D98" s="214"/>
      <c r="E98" s="214"/>
      <c r="F98" s="214"/>
      <c r="G98" s="214"/>
      <c r="H98" s="215"/>
      <c r="J98" s="216">
        <f>IF($J$12=100,1,)</f>
        <v>0</v>
      </c>
      <c r="L98" s="216"/>
      <c r="M98" s="217"/>
      <c r="N98" s="217"/>
      <c r="O98" s="218"/>
      <c r="P98" s="219" t="str">
        <f t="shared" si="3"/>
        <v>AE.7200</v>
      </c>
      <c r="Q98" s="74" t="str">
        <f>+IF(TC[[#This Row],[ITEM]]=B98,"ok","mal")</f>
        <v>ok</v>
      </c>
      <c r="R98" s="168">
        <f t="shared" si="2"/>
        <v>0</v>
      </c>
      <c r="S98" s="169">
        <f>IF(VLOOKUP(B98,TbPiezas[],5,0)="NA",0,VLOOKUP(B98,TbPiezas[],5,0))</f>
        <v>25.899999999999991</v>
      </c>
      <c r="T98" s="81">
        <f>TC[[#This Row],[TOTAL]]*TC[[#This Row],[P.U. (1)]]</f>
        <v>0</v>
      </c>
      <c r="U98" s="82">
        <f>+VLOOKUP(B98,TbPiezas[],6,0)</f>
        <v>1605.09</v>
      </c>
      <c r="V98" s="83">
        <f>TC[[#This Row],[TOTAL]]*TC[[#This Row],[P.U. (2)]]</f>
        <v>0</v>
      </c>
      <c r="W98" s="82">
        <f>+VLOOKUP(B98,TbPiezas[],7,0)</f>
        <v>80.254500000000007</v>
      </c>
      <c r="X98" s="220">
        <f>ROUND(TC[[#This Row],[TOTAL]]*TC[[#This Row],[P.U. (3)]],2)</f>
        <v>0</v>
      </c>
    </row>
    <row r="99" spans="2:25" s="199" customFormat="1" x14ac:dyDescent="0.3">
      <c r="B99" s="212" t="s">
        <v>495</v>
      </c>
      <c r="C99" s="213" t="s">
        <v>496</v>
      </c>
      <c r="D99" s="214"/>
      <c r="E99" s="214"/>
      <c r="F99" s="214"/>
      <c r="G99" s="214"/>
      <c r="H99" s="215"/>
      <c r="J99" s="216">
        <f>IF($J$12=80,1,)</f>
        <v>0</v>
      </c>
      <c r="L99" s="216"/>
      <c r="M99" s="217"/>
      <c r="N99" s="217"/>
      <c r="O99" s="218"/>
      <c r="P99" s="219" t="str">
        <f t="shared" si="3"/>
        <v>AE.7300</v>
      </c>
      <c r="Q99" s="74" t="str">
        <f>+IF(TC[[#This Row],[ITEM]]=B99,"ok","mal")</f>
        <v>ok</v>
      </c>
      <c r="R99" s="168">
        <f t="shared" si="2"/>
        <v>0</v>
      </c>
      <c r="S99" s="169">
        <f>IF(VLOOKUP(B99,TbPiezas[],5,0)="NA",0,VLOOKUP(B99,TbPiezas[],5,0))</f>
        <v>20.700000000000003</v>
      </c>
      <c r="T99" s="81">
        <f>TC[[#This Row],[TOTAL]]*TC[[#This Row],[P.U. (1)]]</f>
        <v>0</v>
      </c>
      <c r="U99" s="82">
        <f>+VLOOKUP(B99,TbPiezas[],6,0)</f>
        <v>1284.07</v>
      </c>
      <c r="V99" s="83">
        <f>TC[[#This Row],[TOTAL]]*TC[[#This Row],[P.U. (2)]]</f>
        <v>0</v>
      </c>
      <c r="W99" s="82">
        <f>+VLOOKUP(B99,TbPiezas[],7,0)</f>
        <v>64.203500000000005</v>
      </c>
      <c r="X99" s="220">
        <f>ROUND(TC[[#This Row],[TOTAL]]*TC[[#This Row],[P.U. (3)]],2)</f>
        <v>0</v>
      </c>
      <c r="Y99" s="199" t="str">
        <f>IF(J13=70,1,"")</f>
        <v/>
      </c>
    </row>
    <row r="100" spans="2:25" s="199" customFormat="1" x14ac:dyDescent="0.3">
      <c r="B100" s="212" t="s">
        <v>497</v>
      </c>
      <c r="C100" s="213" t="s">
        <v>498</v>
      </c>
      <c r="D100" s="214"/>
      <c r="E100" s="214"/>
      <c r="F100" s="214"/>
      <c r="G100" s="214"/>
      <c r="H100" s="215"/>
      <c r="J100" s="216">
        <f>IF($J$12=70,1,)</f>
        <v>1</v>
      </c>
      <c r="L100" s="216"/>
      <c r="M100" s="217"/>
      <c r="N100" s="217"/>
      <c r="O100" s="218"/>
      <c r="P100" s="219" t="str">
        <f t="shared" si="3"/>
        <v>AE.7400</v>
      </c>
      <c r="Q100" s="74" t="str">
        <f>+IF(TC[[#This Row],[ITEM]]=B100,"ok","mal")</f>
        <v>ok</v>
      </c>
      <c r="R100" s="168">
        <f t="shared" si="2"/>
        <v>0</v>
      </c>
      <c r="S100" s="169">
        <f>IF(VLOOKUP(B100,TbPiezas[],5,0)="NA",0,VLOOKUP(B100,TbPiezas[],5,0))</f>
        <v>18.100000000000009</v>
      </c>
      <c r="T100" s="81">
        <f>TC[[#This Row],[TOTAL]]*TC[[#This Row],[P.U. (1)]]</f>
        <v>0</v>
      </c>
      <c r="U100" s="82">
        <f>+VLOOKUP(B100,TbPiezas[],6,0)</f>
        <v>1123.56</v>
      </c>
      <c r="V100" s="83">
        <f>TC[[#This Row],[TOTAL]]*TC[[#This Row],[P.U. (2)]]</f>
        <v>0</v>
      </c>
      <c r="W100" s="82">
        <f>+VLOOKUP(B100,TbPiezas[],7,0)</f>
        <v>56.177999999999997</v>
      </c>
      <c r="X100" s="220">
        <f>ROUND(TC[[#This Row],[TOTAL]]*TC[[#This Row],[P.U. (3)]],2)</f>
        <v>0</v>
      </c>
    </row>
    <row r="101" spans="2:25" s="199" customFormat="1" x14ac:dyDescent="0.3">
      <c r="B101" s="212" t="s">
        <v>499</v>
      </c>
      <c r="C101" s="213" t="s">
        <v>500</v>
      </c>
      <c r="D101" s="214"/>
      <c r="E101" s="214"/>
      <c r="F101" s="214"/>
      <c r="G101" s="214"/>
      <c r="H101" s="215"/>
      <c r="J101" s="216">
        <f>IF($J$12=70,1,)</f>
        <v>1</v>
      </c>
      <c r="L101" s="216"/>
      <c r="M101" s="217"/>
      <c r="N101" s="217"/>
      <c r="O101" s="218"/>
      <c r="P101" s="219" t="str">
        <f t="shared" si="3"/>
        <v>AE.7450</v>
      </c>
      <c r="Q101" s="74" t="str">
        <f>+IF(TC[[#This Row],[ITEM]]=B101,"ok","mal")</f>
        <v>ok</v>
      </c>
      <c r="R101" s="168">
        <f t="shared" si="2"/>
        <v>0</v>
      </c>
      <c r="S101" s="169">
        <f>IF(VLOOKUP(B101,TbPiezas[],5,0)="NA",0,VLOOKUP(B101,TbPiezas[],5,0))</f>
        <v>10.350000000000001</v>
      </c>
      <c r="T101" s="81">
        <f>TC[[#This Row],[TOTAL]]*TC[[#This Row],[P.U. (1)]]</f>
        <v>0</v>
      </c>
      <c r="U101" s="82">
        <f>+VLOOKUP(B101,TbPiezas[],6,0)</f>
        <v>813.44</v>
      </c>
      <c r="V101" s="83">
        <f>TC[[#This Row],[TOTAL]]*TC[[#This Row],[P.U. (2)]]</f>
        <v>0</v>
      </c>
      <c r="W101" s="82">
        <f>+VLOOKUP(B101,TbPiezas[],7,0)</f>
        <v>40.672000000000004</v>
      </c>
      <c r="X101" s="220">
        <f>ROUND(TC[[#This Row],[TOTAL]]*TC[[#This Row],[P.U. (3)]],2)</f>
        <v>0</v>
      </c>
    </row>
    <row r="102" spans="2:25" s="199" customFormat="1" x14ac:dyDescent="0.3">
      <c r="B102" s="212" t="s">
        <v>501</v>
      </c>
      <c r="C102" s="213" t="s">
        <v>502</v>
      </c>
      <c r="D102" s="214"/>
      <c r="E102" s="214"/>
      <c r="F102" s="214"/>
      <c r="G102" s="214"/>
      <c r="H102" s="215"/>
      <c r="J102" s="216">
        <f>+IF(J$4="",,IF(J$14=1,1,2))</f>
        <v>2</v>
      </c>
      <c r="L102" s="216"/>
      <c r="M102" s="217"/>
      <c r="N102" s="217"/>
      <c r="O102" s="218"/>
      <c r="P102" s="219" t="str">
        <f t="shared" si="3"/>
        <v>AE.7500</v>
      </c>
      <c r="Q102" s="74" t="str">
        <f>+IF(TC[[#This Row],[ITEM]]=B102,"ok","mal")</f>
        <v>ok</v>
      </c>
      <c r="R102" s="168">
        <f t="shared" si="2"/>
        <v>0</v>
      </c>
      <c r="S102" s="169">
        <f>IF(VLOOKUP(B102,TbPiezas[],5,0)="NA",0,VLOOKUP(B102,TbPiezas[],5,0))</f>
        <v>0.20000000000000284</v>
      </c>
      <c r="T102" s="81">
        <f>TC[[#This Row],[TOTAL]]*TC[[#This Row],[P.U. (1)]]</f>
        <v>0</v>
      </c>
      <c r="U102" s="82">
        <f>+VLOOKUP(B102,TbPiezas[],6,0)</f>
        <v>88.94</v>
      </c>
      <c r="V102" s="83">
        <f>TC[[#This Row],[TOTAL]]*TC[[#This Row],[P.U. (2)]]</f>
        <v>0</v>
      </c>
      <c r="W102" s="82">
        <f>+VLOOKUP(B102,TbPiezas[],7,0)</f>
        <v>4.4470000000000001</v>
      </c>
      <c r="X102" s="220">
        <f>ROUND(TC[[#This Row],[TOTAL]]*TC[[#This Row],[P.U. (3)]],2)</f>
        <v>0</v>
      </c>
    </row>
    <row r="103" spans="2:25" s="199" customFormat="1" x14ac:dyDescent="0.3">
      <c r="B103" s="212" t="s">
        <v>503</v>
      </c>
      <c r="C103" s="213" t="s">
        <v>504</v>
      </c>
      <c r="D103" s="214"/>
      <c r="E103" s="214"/>
      <c r="F103" s="214"/>
      <c r="G103" s="214"/>
      <c r="H103" s="215"/>
      <c r="J103" s="216">
        <f>+IF(J$4="",,2)</f>
        <v>2</v>
      </c>
      <c r="L103" s="216"/>
      <c r="M103" s="217"/>
      <c r="N103" s="217"/>
      <c r="O103" s="218"/>
      <c r="P103" s="219" t="str">
        <f t="shared" si="3"/>
        <v>AE.7600</v>
      </c>
      <c r="Q103" s="74" t="str">
        <f>+IF(TC[[#This Row],[ITEM]]=B103,"ok","mal")</f>
        <v>ok</v>
      </c>
      <c r="R103" s="168">
        <f t="shared" si="2"/>
        <v>0</v>
      </c>
      <c r="S103" s="169">
        <f>IF(VLOOKUP(B103,TbPiezas[],5,0)="NA",0,VLOOKUP(B103,TbPiezas[],5,0))</f>
        <v>0.20000000000000284</v>
      </c>
      <c r="T103" s="81">
        <f>TC[[#This Row],[TOTAL]]*TC[[#This Row],[P.U. (1)]]</f>
        <v>0</v>
      </c>
      <c r="U103" s="82">
        <f>+VLOOKUP(B103,TbPiezas[],6,0)</f>
        <v>88.94</v>
      </c>
      <c r="V103" s="83">
        <f>TC[[#This Row],[TOTAL]]*TC[[#This Row],[P.U. (2)]]</f>
        <v>0</v>
      </c>
      <c r="W103" s="82">
        <f>+VLOOKUP(B103,TbPiezas[],7,0)</f>
        <v>4.4470000000000001</v>
      </c>
      <c r="X103" s="220">
        <f>ROUND(TC[[#This Row],[TOTAL]]*TC[[#This Row],[P.U. (3)]],2)</f>
        <v>0</v>
      </c>
    </row>
    <row r="104" spans="2:25" s="199" customFormat="1" x14ac:dyDescent="0.3">
      <c r="B104" s="212" t="s">
        <v>505</v>
      </c>
      <c r="C104" s="213" t="s">
        <v>506</v>
      </c>
      <c r="D104" s="214"/>
      <c r="E104" s="214"/>
      <c r="F104" s="214"/>
      <c r="G104" s="214"/>
      <c r="H104" s="215"/>
      <c r="J104" s="216">
        <f>IF(OR(J$4="SEM63",J$4="SEM80"),IF(J$9="SI",1,""),)</f>
        <v>1</v>
      </c>
      <c r="L104" s="216"/>
      <c r="M104" s="217"/>
      <c r="N104" s="217"/>
      <c r="O104" s="218"/>
      <c r="P104" s="219" t="str">
        <f t="shared" si="3"/>
        <v>AE.7700</v>
      </c>
      <c r="Q104" s="74" t="str">
        <f>+IF(TC[[#This Row],[ITEM]]=B104,"ok","mal")</f>
        <v>ok</v>
      </c>
      <c r="R104" s="168">
        <f t="shared" si="2"/>
        <v>0</v>
      </c>
      <c r="S104" s="169">
        <f>IF(VLOOKUP(B104,TbPiezas[],5,0)="NA",0,VLOOKUP(B104,TbPiezas[],5,0))</f>
        <v>0.5</v>
      </c>
      <c r="T104" s="81">
        <f>TC[[#This Row],[TOTAL]]*TC[[#This Row],[P.U. (1)]]</f>
        <v>0</v>
      </c>
      <c r="U104" s="82">
        <f>+VLOOKUP(B104,TbPiezas[],6,0)</f>
        <v>210.09</v>
      </c>
      <c r="V104" s="83">
        <f>TC[[#This Row],[TOTAL]]*TC[[#This Row],[P.U. (2)]]</f>
        <v>0</v>
      </c>
      <c r="W104" s="82">
        <f>+VLOOKUP(B104,TbPiezas[],7,0)</f>
        <v>10.5045</v>
      </c>
      <c r="X104" s="220">
        <f>ROUND(TC[[#This Row],[TOTAL]]*TC[[#This Row],[P.U. (3)]],2)</f>
        <v>0</v>
      </c>
    </row>
    <row r="105" spans="2:25" s="199" customFormat="1" x14ac:dyDescent="0.3">
      <c r="B105" s="212" t="s">
        <v>507</v>
      </c>
      <c r="C105" s="213" t="s">
        <v>508</v>
      </c>
      <c r="D105" s="214"/>
      <c r="E105" s="214"/>
      <c r="F105" s="214"/>
      <c r="G105" s="214"/>
      <c r="H105" s="215"/>
      <c r="J105" s="216">
        <f>+IF(OR(J$4="TIR80",J$4="TIN80"),IF(J$9="SI",1,""),)</f>
        <v>0</v>
      </c>
      <c r="L105" s="216"/>
      <c r="M105" s="217"/>
      <c r="N105" s="217"/>
      <c r="O105" s="218"/>
      <c r="P105" s="219" t="str">
        <f t="shared" si="3"/>
        <v>AE.7800</v>
      </c>
      <c r="Q105" s="74" t="str">
        <f>+IF(TC[[#This Row],[ITEM]]=B105,"ok","mal")</f>
        <v>ok</v>
      </c>
      <c r="R105" s="168">
        <f t="shared" si="2"/>
        <v>0</v>
      </c>
      <c r="S105" s="169">
        <f>IF(VLOOKUP(B105,TbPiezas[],5,0)="NA",0,VLOOKUP(B105,TbPiezas[],5,0))</f>
        <v>0.5</v>
      </c>
      <c r="T105" s="81">
        <f>TC[[#This Row],[TOTAL]]*TC[[#This Row],[P.U. (1)]]</f>
        <v>0</v>
      </c>
      <c r="U105" s="82">
        <f>+VLOOKUP(B105,TbPiezas[],6,0)</f>
        <v>210.09</v>
      </c>
      <c r="V105" s="83">
        <f>TC[[#This Row],[TOTAL]]*TC[[#This Row],[P.U. (2)]]</f>
        <v>0</v>
      </c>
      <c r="W105" s="82">
        <f>+VLOOKUP(B105,TbPiezas[],7,0)</f>
        <v>10.5045</v>
      </c>
      <c r="X105" s="220">
        <f>ROUND(TC[[#This Row],[TOTAL]]*TC[[#This Row],[P.U. (3)]],2)</f>
        <v>0</v>
      </c>
    </row>
    <row r="106" spans="2:25" s="199" customFormat="1" x14ac:dyDescent="0.3">
      <c r="B106" s="212" t="s">
        <v>509</v>
      </c>
      <c r="C106" s="213" t="s">
        <v>510</v>
      </c>
      <c r="D106" s="214"/>
      <c r="E106" s="214"/>
      <c r="F106" s="214"/>
      <c r="G106" s="214"/>
      <c r="H106" s="215"/>
      <c r="J106" s="216">
        <f>IF(J$10="SI",IF(J14=1,"",2),)</f>
        <v>2</v>
      </c>
      <c r="L106" s="216"/>
      <c r="M106" s="217"/>
      <c r="N106" s="217"/>
      <c r="O106" s="218"/>
      <c r="P106" s="219" t="str">
        <f t="shared" si="3"/>
        <v>AE.7900</v>
      </c>
      <c r="Q106" s="74" t="str">
        <f>+IF(TC[[#This Row],[ITEM]]=B106,"ok","mal")</f>
        <v>ok</v>
      </c>
      <c r="R106" s="168">
        <f t="shared" si="2"/>
        <v>0</v>
      </c>
      <c r="S106" s="169">
        <f>IF(VLOOKUP(B106,TbPiezas[],5,0)="NA",0,VLOOKUP(B106,TbPiezas[],5,0))</f>
        <v>0.5</v>
      </c>
      <c r="T106" s="81">
        <f>TC[[#This Row],[TOTAL]]*TC[[#This Row],[P.U. (1)]]</f>
        <v>0</v>
      </c>
      <c r="U106" s="82">
        <f>+VLOOKUP(B106,TbPiezas[],6,0)</f>
        <v>157.1</v>
      </c>
      <c r="V106" s="83">
        <f>TC[[#This Row],[TOTAL]]*TC[[#This Row],[P.U. (2)]]</f>
        <v>0</v>
      </c>
      <c r="W106" s="82">
        <f>+VLOOKUP(B106,TbPiezas[],7,0)</f>
        <v>7.8550000000000004</v>
      </c>
      <c r="X106" s="220">
        <f>ROUND(TC[[#This Row],[TOTAL]]*TC[[#This Row],[P.U. (3)]],2)</f>
        <v>0</v>
      </c>
    </row>
    <row r="107" spans="2:25" s="199" customFormat="1" x14ac:dyDescent="0.3">
      <c r="B107" s="212" t="s">
        <v>511</v>
      </c>
      <c r="C107" s="213" t="s">
        <v>512</v>
      </c>
      <c r="D107" s="214"/>
      <c r="E107" s="214"/>
      <c r="F107" s="214"/>
      <c r="G107" s="214"/>
      <c r="H107" s="215"/>
      <c r="J107" s="216">
        <f>IF(J$10="SI",IF(J14=1,"",2),)</f>
        <v>2</v>
      </c>
      <c r="L107" s="216"/>
      <c r="M107" s="217"/>
      <c r="N107" s="217"/>
      <c r="O107" s="218"/>
      <c r="P107" s="219" t="str">
        <f t="shared" si="3"/>
        <v>AE.8000</v>
      </c>
      <c r="Q107" s="74" t="str">
        <f>+IF(TC[[#This Row],[ITEM]]=B107,"ok","mal")</f>
        <v>ok</v>
      </c>
      <c r="R107" s="168">
        <f t="shared" si="2"/>
        <v>0</v>
      </c>
      <c r="S107" s="169">
        <f>IF(VLOOKUP(B107,TbPiezas[],5,0)="NA",0,VLOOKUP(B107,TbPiezas[],5,0))</f>
        <v>0.5</v>
      </c>
      <c r="T107" s="81">
        <f>TC[[#This Row],[TOTAL]]*TC[[#This Row],[P.U. (1)]]</f>
        <v>0</v>
      </c>
      <c r="U107" s="82">
        <f>+VLOOKUP(B107,TbPiezas[],6,0)</f>
        <v>19.059999999999999</v>
      </c>
      <c r="V107" s="83">
        <f>TC[[#This Row],[TOTAL]]*TC[[#This Row],[P.U. (2)]]</f>
        <v>0</v>
      </c>
      <c r="W107" s="82">
        <f>+VLOOKUP(B107,TbPiezas[],7,0)</f>
        <v>0.95299999999999996</v>
      </c>
      <c r="X107" s="220">
        <f>ROUND(TC[[#This Row],[TOTAL]]*TC[[#This Row],[P.U. (3)]],2)</f>
        <v>0</v>
      </c>
    </row>
    <row r="108" spans="2:25" s="199" customFormat="1" x14ac:dyDescent="0.3">
      <c r="B108" s="212" t="s">
        <v>513</v>
      </c>
      <c r="C108" s="213" t="s">
        <v>514</v>
      </c>
      <c r="D108" s="214"/>
      <c r="E108" s="214"/>
      <c r="F108" s="214"/>
      <c r="G108" s="214"/>
      <c r="H108" s="215"/>
      <c r="J108" s="216">
        <f>IF(J$10="SI",IF(J14=1,"",2),)</f>
        <v>2</v>
      </c>
      <c r="L108" s="216"/>
      <c r="M108" s="217"/>
      <c r="N108" s="217"/>
      <c r="O108" s="218"/>
      <c r="P108" s="219" t="str">
        <f t="shared" si="3"/>
        <v>AE.8100</v>
      </c>
      <c r="Q108" s="74" t="str">
        <f>+IF(TC[[#This Row],[ITEM]]=B108,"ok","mal")</f>
        <v>ok</v>
      </c>
      <c r="R108" s="168">
        <f t="shared" si="2"/>
        <v>0</v>
      </c>
      <c r="S108" s="169">
        <f>IF(VLOOKUP(B108,TbPiezas[],5,0)="NA",0,VLOOKUP(B108,TbPiezas[],5,0))</f>
        <v>2</v>
      </c>
      <c r="T108" s="81">
        <f>TC[[#This Row],[TOTAL]]*TC[[#This Row],[P.U. (1)]]</f>
        <v>0</v>
      </c>
      <c r="U108" s="82">
        <f>+VLOOKUP(B108,TbPiezas[],6,0)</f>
        <v>19.059999999999999</v>
      </c>
      <c r="V108" s="83">
        <f>TC[[#This Row],[TOTAL]]*TC[[#This Row],[P.U. (2)]]</f>
        <v>0</v>
      </c>
      <c r="W108" s="82">
        <f>+VLOOKUP(B108,TbPiezas[],7,0)</f>
        <v>0.95299999999999996</v>
      </c>
      <c r="X108" s="220">
        <f>ROUND(TC[[#This Row],[TOTAL]]*TC[[#This Row],[P.U. (3)]],2)</f>
        <v>0</v>
      </c>
    </row>
    <row r="109" spans="2:25" s="199" customFormat="1" x14ac:dyDescent="0.3">
      <c r="B109" s="212" t="s">
        <v>515</v>
      </c>
      <c r="C109" s="213" t="s">
        <v>516</v>
      </c>
      <c r="D109" s="214"/>
      <c r="E109" s="214"/>
      <c r="F109" s="214"/>
      <c r="G109" s="214"/>
      <c r="H109" s="215"/>
      <c r="J109" s="216">
        <f>+IF(J$14&gt;1,2,)</f>
        <v>2</v>
      </c>
      <c r="L109" s="216"/>
      <c r="M109" s="217"/>
      <c r="N109" s="217"/>
      <c r="O109" s="218"/>
      <c r="P109" s="219" t="str">
        <f t="shared" si="3"/>
        <v>AE.8200</v>
      </c>
      <c r="Q109" s="74" t="str">
        <f>+IF(TC[[#This Row],[ITEM]]=B109,"ok","mal")</f>
        <v>ok</v>
      </c>
      <c r="R109" s="168">
        <f t="shared" si="2"/>
        <v>0</v>
      </c>
      <c r="S109" s="169">
        <f>IF(VLOOKUP(B109,TbPiezas[],5,0)="NA",0,VLOOKUP(B109,TbPiezas[],5,0))</f>
        <v>4.3999999999999915</v>
      </c>
      <c r="T109" s="81">
        <f>TC[[#This Row],[TOTAL]]*TC[[#This Row],[P.U. (1)]]</f>
        <v>0</v>
      </c>
      <c r="U109" s="82">
        <f>+VLOOKUP(B109,TbPiezas[],6,0)</f>
        <v>312.10000000000002</v>
      </c>
      <c r="V109" s="83">
        <f>TC[[#This Row],[TOTAL]]*TC[[#This Row],[P.U. (2)]]</f>
        <v>0</v>
      </c>
      <c r="W109" s="82">
        <f>+VLOOKUP(B109,TbPiezas[],7,0)</f>
        <v>15.605000000000002</v>
      </c>
      <c r="X109" s="220">
        <f>ROUND(TC[[#This Row],[TOTAL]]*TC[[#This Row],[P.U. (3)]],2)</f>
        <v>0</v>
      </c>
    </row>
    <row r="110" spans="2:25" s="199" customFormat="1" x14ac:dyDescent="0.3">
      <c r="B110" s="212" t="s">
        <v>517</v>
      </c>
      <c r="C110" s="213" t="s">
        <v>518</v>
      </c>
      <c r="D110" s="214"/>
      <c r="E110" s="214"/>
      <c r="F110" s="214"/>
      <c r="G110" s="214"/>
      <c r="H110" s="215"/>
      <c r="J110" s="216">
        <f>+IF(J14=1,1,)</f>
        <v>0</v>
      </c>
      <c r="L110" s="216"/>
      <c r="M110" s="217"/>
      <c r="N110" s="217"/>
      <c r="O110" s="218"/>
      <c r="P110" s="219" t="str">
        <f t="shared" si="3"/>
        <v>AE.8300</v>
      </c>
      <c r="Q110" s="74" t="str">
        <f>+IF(TC[[#This Row],[ITEM]]=B110,"ok","mal")</f>
        <v>ok</v>
      </c>
      <c r="R110" s="168">
        <f t="shared" si="2"/>
        <v>0</v>
      </c>
      <c r="S110" s="169">
        <f>IF(VLOOKUP(B110,TbPiezas[],5,0)="NA",0,VLOOKUP(B110,TbPiezas[],5,0))</f>
        <v>3.7999999999999972</v>
      </c>
      <c r="T110" s="81">
        <f>TC[[#This Row],[TOTAL]]*TC[[#This Row],[P.U. (1)]]</f>
        <v>0</v>
      </c>
      <c r="U110" s="82">
        <f>+VLOOKUP(B110,TbPiezas[],6,0)</f>
        <v>312.10000000000002</v>
      </c>
      <c r="V110" s="83">
        <f>TC[[#This Row],[TOTAL]]*TC[[#This Row],[P.U. (2)]]</f>
        <v>0</v>
      </c>
      <c r="W110" s="82">
        <f>+VLOOKUP(B110,TbPiezas[],7,0)</f>
        <v>15.605000000000002</v>
      </c>
      <c r="X110" s="220">
        <f>ROUND(TC[[#This Row],[TOTAL]]*TC[[#This Row],[P.U. (3)]],2)</f>
        <v>0</v>
      </c>
    </row>
    <row r="111" spans="2:25" s="199" customFormat="1" x14ac:dyDescent="0.3">
      <c r="B111" s="212" t="s">
        <v>519</v>
      </c>
      <c r="C111" s="213" t="s">
        <v>520</v>
      </c>
      <c r="D111" s="214"/>
      <c r="E111" s="214"/>
      <c r="F111" s="214"/>
      <c r="G111" s="214"/>
      <c r="H111" s="215"/>
      <c r="J111" s="216">
        <f>+IF(J$4="",,IF(J$14=1,1,2))</f>
        <v>2</v>
      </c>
      <c r="L111" s="216"/>
      <c r="M111" s="217"/>
      <c r="N111" s="217"/>
      <c r="O111" s="218"/>
      <c r="P111" s="219" t="str">
        <f t="shared" si="3"/>
        <v>AE.8400</v>
      </c>
      <c r="Q111" s="74" t="str">
        <f>+IF(TC[[#This Row],[ITEM]]=B111,"ok","mal")</f>
        <v>ok</v>
      </c>
      <c r="R111" s="168">
        <f t="shared" si="2"/>
        <v>0</v>
      </c>
      <c r="S111" s="169">
        <f>IF(VLOOKUP(B111,TbPiezas[],5,0)="NA",0,VLOOKUP(B111,TbPiezas[],5,0))</f>
        <v>9.9999999999994316E-2</v>
      </c>
      <c r="T111" s="81">
        <f>TC[[#This Row],[TOTAL]]*TC[[#This Row],[P.U. (1)]]</f>
        <v>0</v>
      </c>
      <c r="U111" s="82">
        <f>+VLOOKUP(B111,TbPiezas[],6,0)</f>
        <v>63.53</v>
      </c>
      <c r="V111" s="83">
        <f>TC[[#This Row],[TOTAL]]*TC[[#This Row],[P.U. (2)]]</f>
        <v>0</v>
      </c>
      <c r="W111" s="82">
        <f>+VLOOKUP(B111,TbPiezas[],7,0)</f>
        <v>3.1765000000000003</v>
      </c>
      <c r="X111" s="220">
        <f>ROUND(TC[[#This Row],[TOTAL]]*TC[[#This Row],[P.U. (3)]],2)</f>
        <v>0</v>
      </c>
    </row>
    <row r="112" spans="2:25" s="199" customFormat="1" x14ac:dyDescent="0.3">
      <c r="B112" s="212" t="s">
        <v>521</v>
      </c>
      <c r="C112" s="213" t="s">
        <v>522</v>
      </c>
      <c r="D112" s="214"/>
      <c r="E112" s="214"/>
      <c r="F112" s="214"/>
      <c r="G112" s="214"/>
      <c r="H112" s="215"/>
      <c r="J112" s="216"/>
      <c r="L112" s="216"/>
      <c r="M112" s="217"/>
      <c r="N112" s="217"/>
      <c r="O112" s="218"/>
      <c r="P112" s="219" t="str">
        <f t="shared" si="3"/>
        <v>AE.8440</v>
      </c>
      <c r="Q112" s="74" t="str">
        <f>+IF(TC[[#This Row],[ITEM]]=B112,"ok","mal")</f>
        <v>ok</v>
      </c>
      <c r="R112" s="168">
        <f t="shared" si="2"/>
        <v>0</v>
      </c>
      <c r="S112" s="169">
        <f>IF(VLOOKUP(B112,TbPiezas[],5,0)="NA",0,VLOOKUP(B112,TbPiezas[],5,0))</f>
        <v>19.2</v>
      </c>
      <c r="T112" s="81">
        <f>TC[[#This Row],[TOTAL]]*TC[[#This Row],[P.U. (1)]]</f>
        <v>0</v>
      </c>
      <c r="U112" s="82">
        <f>+VLOOKUP(B112,TbPiezas[],6,0)</f>
        <v>1040.03</v>
      </c>
      <c r="V112" s="83">
        <f>TC[[#This Row],[TOTAL]]*TC[[#This Row],[P.U. (2)]]</f>
        <v>0</v>
      </c>
      <c r="W112" s="82">
        <f>+VLOOKUP(B112,TbPiezas[],7,0)</f>
        <v>52.0015</v>
      </c>
      <c r="X112" s="220">
        <f>ROUND(TC[[#This Row],[TOTAL]]*TC[[#This Row],[P.U. (3)]],2)</f>
        <v>0</v>
      </c>
    </row>
    <row r="113" spans="2:24" s="199" customFormat="1" x14ac:dyDescent="0.3">
      <c r="B113" s="212" t="s">
        <v>523</v>
      </c>
      <c r="C113" s="213" t="s">
        <v>524</v>
      </c>
      <c r="D113" s="214"/>
      <c r="E113" s="214"/>
      <c r="F113" s="214"/>
      <c r="G113" s="214"/>
      <c r="H113" s="215"/>
      <c r="J113" s="216" t="str">
        <f>+IF(J$11="TEJIDA",IF(J$6+15&gt;100,IF(J$14=1,1,2),""),)</f>
        <v/>
      </c>
      <c r="L113" s="216"/>
      <c r="M113" s="217"/>
      <c r="N113" s="217"/>
      <c r="O113" s="218"/>
      <c r="P113" s="219" t="str">
        <f t="shared" si="3"/>
        <v>AE.8450</v>
      </c>
      <c r="Q113" s="74" t="str">
        <f>+IF(TC[[#This Row],[ITEM]]=B113,"ok","mal")</f>
        <v>ok</v>
      </c>
      <c r="R113" s="168">
        <f t="shared" si="2"/>
        <v>0</v>
      </c>
      <c r="S113" s="169">
        <f>IF(VLOOKUP(B113,TbPiezas[],5,0)="NA",0,VLOOKUP(B113,TbPiezas[],5,0))</f>
        <v>17.22</v>
      </c>
      <c r="T113" s="81">
        <f>TC[[#This Row],[TOTAL]]*TC[[#This Row],[P.U. (1)]]</f>
        <v>0</v>
      </c>
      <c r="U113" s="82">
        <f>+VLOOKUP(B113,TbPiezas[],6,0)</f>
        <v>960.03</v>
      </c>
      <c r="V113" s="83">
        <f>TC[[#This Row],[TOTAL]]*TC[[#This Row],[P.U. (2)]]</f>
        <v>0</v>
      </c>
      <c r="W113" s="82">
        <f>+VLOOKUP(B113,TbPiezas[],7,0)</f>
        <v>48.0015</v>
      </c>
      <c r="X113" s="220">
        <f>ROUND(TC[[#This Row],[TOTAL]]*TC[[#This Row],[P.U. (3)]],2)</f>
        <v>0</v>
      </c>
    </row>
    <row r="114" spans="2:24" s="199" customFormat="1" x14ac:dyDescent="0.3">
      <c r="B114" s="212" t="s">
        <v>525</v>
      </c>
      <c r="C114" s="213" t="s">
        <v>526</v>
      </c>
      <c r="D114" s="214"/>
      <c r="E114" s="214"/>
      <c r="F114" s="214"/>
      <c r="G114" s="214"/>
      <c r="H114" s="215"/>
      <c r="J114" s="216" t="str">
        <f>+IF(J$11="TEJIDA",IF(AND(J$6+15&gt;80,J$6+15&lt;=100),IF(J$14=1,1,2),""),)</f>
        <v/>
      </c>
      <c r="L114" s="216"/>
      <c r="M114" s="217"/>
      <c r="N114" s="217"/>
      <c r="O114" s="218"/>
      <c r="P114" s="219" t="str">
        <f t="shared" si="3"/>
        <v>AE.8500</v>
      </c>
      <c r="Q114" s="74" t="str">
        <f>+IF(TC[[#This Row],[ITEM]]=B114,"ok","mal")</f>
        <v>ok</v>
      </c>
      <c r="R114" s="168">
        <f t="shared" si="2"/>
        <v>0</v>
      </c>
      <c r="S114" s="169">
        <f>IF(VLOOKUP(B114,TbPiezas[],5,0)="NA",0,VLOOKUP(B114,TbPiezas[],5,0))</f>
        <v>12.299999999999997</v>
      </c>
      <c r="T114" s="81">
        <f>TC[[#This Row],[TOTAL]]*TC[[#This Row],[P.U. (1)]]</f>
        <v>0</v>
      </c>
      <c r="U114" s="82">
        <f>+VLOOKUP(B114,TbPiezas[],6,0)</f>
        <v>635.25</v>
      </c>
      <c r="V114" s="83">
        <f>TC[[#This Row],[TOTAL]]*TC[[#This Row],[P.U. (2)]]</f>
        <v>0</v>
      </c>
      <c r="W114" s="82">
        <f>+VLOOKUP(B114,TbPiezas[],7,0)</f>
        <v>31.762500000000003</v>
      </c>
      <c r="X114" s="220">
        <f>ROUND(TC[[#This Row],[TOTAL]]*TC[[#This Row],[P.U. (3)]],2)</f>
        <v>0</v>
      </c>
    </row>
    <row r="115" spans="2:24" s="199" customFormat="1" x14ac:dyDescent="0.3">
      <c r="B115" s="212" t="s">
        <v>527</v>
      </c>
      <c r="C115" s="213" t="s">
        <v>528</v>
      </c>
      <c r="D115" s="214"/>
      <c r="E115" s="214"/>
      <c r="F115" s="214"/>
      <c r="G115" s="214"/>
      <c r="H115" s="215"/>
      <c r="J115" s="216" t="str">
        <f>+IF(J$11="TEJIDA",IF(AND(J$6+15&gt;70,J$6+15&lt;=80),IF(J$14=1,1,2),""),)</f>
        <v/>
      </c>
      <c r="L115" s="216"/>
      <c r="M115" s="217"/>
      <c r="N115" s="217"/>
      <c r="O115" s="218"/>
      <c r="P115" s="219" t="str">
        <f t="shared" si="3"/>
        <v>AE.8600</v>
      </c>
      <c r="Q115" s="74" t="str">
        <f>+IF(TC[[#This Row],[ITEM]]=B115,"ok","mal")</f>
        <v>ok</v>
      </c>
      <c r="R115" s="168">
        <f t="shared" si="2"/>
        <v>0</v>
      </c>
      <c r="S115" s="169">
        <f>IF(VLOOKUP(B115,TbPiezas[],5,0)="NA",0,VLOOKUP(B115,TbPiezas[],5,0))</f>
        <v>12.299999999999997</v>
      </c>
      <c r="T115" s="81">
        <f>TC[[#This Row],[TOTAL]]*TC[[#This Row],[P.U. (1)]]</f>
        <v>0</v>
      </c>
      <c r="U115" s="82">
        <f>+VLOOKUP(B115,TbPiezas[],6,0)</f>
        <v>508.2</v>
      </c>
      <c r="V115" s="83">
        <f>TC[[#This Row],[TOTAL]]*TC[[#This Row],[P.U. (2)]]</f>
        <v>0</v>
      </c>
      <c r="W115" s="82">
        <f>+VLOOKUP(B115,TbPiezas[],7,0)</f>
        <v>25.41</v>
      </c>
      <c r="X115" s="220">
        <f>ROUND(TC[[#This Row],[TOTAL]]*TC[[#This Row],[P.U. (3)]],2)</f>
        <v>0</v>
      </c>
    </row>
    <row r="116" spans="2:24" s="199" customFormat="1" x14ac:dyDescent="0.3">
      <c r="B116" s="212" t="s">
        <v>529</v>
      </c>
      <c r="C116" s="213" t="s">
        <v>530</v>
      </c>
      <c r="D116" s="214"/>
      <c r="E116" s="214"/>
      <c r="F116" s="214"/>
      <c r="G116" s="214"/>
      <c r="H116" s="215"/>
      <c r="J116" s="216" t="str">
        <f>+IF(J$11="TEJIDA",IF(AND(J$6+15&gt;60,J$6+15&lt;=70),IF(J$14=1,1,2),""),)</f>
        <v/>
      </c>
      <c r="L116" s="216"/>
      <c r="M116" s="217"/>
      <c r="N116" s="217"/>
      <c r="O116" s="218"/>
      <c r="P116" s="219" t="str">
        <f t="shared" si="3"/>
        <v>AE.8700</v>
      </c>
      <c r="Q116" s="74" t="str">
        <f>+IF(TC[[#This Row],[ITEM]]=B116,"ok","mal")</f>
        <v>ok</v>
      </c>
      <c r="R116" s="168">
        <f t="shared" si="2"/>
        <v>0</v>
      </c>
      <c r="S116" s="169">
        <f>IF(VLOOKUP(B116,TbPiezas[],5,0)="NA",0,VLOOKUP(B116,TbPiezas[],5,0))</f>
        <v>9.8400000000000034</v>
      </c>
      <c r="T116" s="81">
        <f>TC[[#This Row],[TOTAL]]*TC[[#This Row],[P.U. (1)]]</f>
        <v>0</v>
      </c>
      <c r="U116" s="82">
        <f>+VLOOKUP(B116,TbPiezas[],6,0)</f>
        <v>444.68</v>
      </c>
      <c r="V116" s="83">
        <f>TC[[#This Row],[TOTAL]]*TC[[#This Row],[P.U. (2)]]</f>
        <v>0</v>
      </c>
      <c r="W116" s="82">
        <f>+VLOOKUP(B116,TbPiezas[],7,0)</f>
        <v>22.234000000000002</v>
      </c>
      <c r="X116" s="220">
        <f>ROUND(TC[[#This Row],[TOTAL]]*TC[[#This Row],[P.U. (3)]],2)</f>
        <v>0</v>
      </c>
    </row>
    <row r="117" spans="2:24" s="199" customFormat="1" x14ac:dyDescent="0.3">
      <c r="B117" s="212" t="s">
        <v>531</v>
      </c>
      <c r="C117" s="213" t="s">
        <v>532</v>
      </c>
      <c r="D117" s="214"/>
      <c r="E117" s="214"/>
      <c r="F117" s="214"/>
      <c r="G117" s="214"/>
      <c r="H117" s="215"/>
      <c r="J117" s="216" t="str">
        <f>+IF(J$11="TEJIDA",IF(AND(J$6+15&gt;50,J$6+15&lt;=60),IF(J$14=1,1,2),""),)</f>
        <v/>
      </c>
      <c r="L117" s="216"/>
      <c r="M117" s="217"/>
      <c r="N117" s="217"/>
      <c r="O117" s="218"/>
      <c r="P117" s="219" t="str">
        <f t="shared" si="3"/>
        <v>AE.8800</v>
      </c>
      <c r="Q117" s="74" t="str">
        <f>+IF(TC[[#This Row],[ITEM]]=B117,"ok","mal")</f>
        <v>ok</v>
      </c>
      <c r="R117" s="168">
        <f t="shared" si="2"/>
        <v>0</v>
      </c>
      <c r="S117" s="169">
        <f>IF(VLOOKUP(B117,TbPiezas[],5,0)="NA",0,VLOOKUP(B117,TbPiezas[],5,0))</f>
        <v>8.61</v>
      </c>
      <c r="T117" s="81">
        <f>TC[[#This Row],[TOTAL]]*TC[[#This Row],[P.U. (1)]]</f>
        <v>0</v>
      </c>
      <c r="U117" s="82">
        <f>+VLOOKUP(B117,TbPiezas[],6,0)</f>
        <v>381.15</v>
      </c>
      <c r="V117" s="83">
        <f>TC[[#This Row],[TOTAL]]*TC[[#This Row],[P.U. (2)]]</f>
        <v>0</v>
      </c>
      <c r="W117" s="82">
        <f>+VLOOKUP(B117,TbPiezas[],7,0)</f>
        <v>19.057500000000001</v>
      </c>
      <c r="X117" s="220">
        <f>ROUND(TC[[#This Row],[TOTAL]]*TC[[#This Row],[P.U. (3)]],2)</f>
        <v>0</v>
      </c>
    </row>
    <row r="118" spans="2:24" s="199" customFormat="1" x14ac:dyDescent="0.3">
      <c r="B118" s="212" t="s">
        <v>533</v>
      </c>
      <c r="C118" s="213" t="s">
        <v>534</v>
      </c>
      <c r="D118" s="214"/>
      <c r="E118" s="214"/>
      <c r="F118" s="214"/>
      <c r="G118" s="214"/>
      <c r="H118" s="215"/>
      <c r="J118" s="216">
        <f>+IF(J$11="TEJIDA",IF(AND(J$6+15&gt;0,J$6+15&lt;=50),IF(J$14=1,1,2),""),)</f>
        <v>2</v>
      </c>
      <c r="L118" s="216"/>
      <c r="M118" s="217"/>
      <c r="N118" s="217"/>
      <c r="O118" s="218"/>
      <c r="P118" s="219" t="str">
        <f t="shared" si="3"/>
        <v>AE.8900</v>
      </c>
      <c r="Q118" s="74" t="str">
        <f>+IF(TC[[#This Row],[ITEM]]=B118,"ok","mal")</f>
        <v>ok</v>
      </c>
      <c r="R118" s="168">
        <f t="shared" si="2"/>
        <v>0</v>
      </c>
      <c r="S118" s="169">
        <f>IF(VLOOKUP(B118,TbPiezas[],5,0)="NA",0,VLOOKUP(B118,TbPiezas[],5,0))</f>
        <v>7.3799999999999955</v>
      </c>
      <c r="T118" s="81">
        <f>TC[[#This Row],[TOTAL]]*TC[[#This Row],[P.U. (1)]]</f>
        <v>0</v>
      </c>
      <c r="U118" s="82">
        <f>+VLOOKUP(B118,TbPiezas[],6,0)</f>
        <v>317.63</v>
      </c>
      <c r="V118" s="83">
        <f>TC[[#This Row],[TOTAL]]*TC[[#This Row],[P.U. (2)]]</f>
        <v>0</v>
      </c>
      <c r="W118" s="82">
        <f>+VLOOKUP(B118,TbPiezas[],7,0)</f>
        <v>15.881500000000001</v>
      </c>
      <c r="X118" s="220">
        <f>ROUND(TC[[#This Row],[TOTAL]]*TC[[#This Row],[P.U. (3)]],2)</f>
        <v>0</v>
      </c>
    </row>
    <row r="119" spans="2:24" s="199" customFormat="1" x14ac:dyDescent="0.3">
      <c r="B119" s="212" t="s">
        <v>535</v>
      </c>
      <c r="C119" s="213" t="s">
        <v>536</v>
      </c>
      <c r="D119" s="214"/>
      <c r="E119" s="214"/>
      <c r="F119" s="214"/>
      <c r="G119" s="214"/>
      <c r="H119" s="215"/>
      <c r="J119" s="216">
        <f>+IF(J$11="TORCIDA",IF(AND(J$6+15&gt;80,J$6+15&lt;=100),IF(J$14=1,1,2),""),)</f>
        <v>0</v>
      </c>
      <c r="L119" s="216"/>
      <c r="M119" s="217"/>
      <c r="N119" s="217"/>
      <c r="O119" s="218"/>
      <c r="P119" s="219" t="str">
        <f t="shared" si="3"/>
        <v>AE.9000</v>
      </c>
      <c r="Q119" s="74" t="str">
        <f>+IF(TC[[#This Row],[ITEM]]=B119,"ok","mal")</f>
        <v>ok</v>
      </c>
      <c r="R119" s="168">
        <f t="shared" si="2"/>
        <v>0</v>
      </c>
      <c r="S119" s="169">
        <f>IF(VLOOKUP(B119,TbPiezas[],5,0)="NA",0,VLOOKUP(B119,TbPiezas[],5,0))</f>
        <v>20</v>
      </c>
      <c r="T119" s="81">
        <f>TC[[#This Row],[TOTAL]]*TC[[#This Row],[P.U. (1)]]</f>
        <v>0</v>
      </c>
      <c r="U119" s="82">
        <f>+VLOOKUP(B119,TbPiezas[],6,0)</f>
        <v>635.25</v>
      </c>
      <c r="V119" s="83">
        <f>TC[[#This Row],[TOTAL]]*TC[[#This Row],[P.U. (2)]]</f>
        <v>0</v>
      </c>
      <c r="W119" s="82">
        <f>+VLOOKUP(B119,TbPiezas[],7,0)</f>
        <v>31.762500000000003</v>
      </c>
      <c r="X119" s="220">
        <f>ROUND(TC[[#This Row],[TOTAL]]*TC[[#This Row],[P.U. (3)]],2)</f>
        <v>0</v>
      </c>
    </row>
    <row r="120" spans="2:24" s="199" customFormat="1" x14ac:dyDescent="0.3">
      <c r="B120" s="212" t="s">
        <v>537</v>
      </c>
      <c r="C120" s="213" t="s">
        <v>538</v>
      </c>
      <c r="D120" s="214"/>
      <c r="E120" s="214"/>
      <c r="F120" s="214"/>
      <c r="G120" s="214"/>
      <c r="H120" s="215"/>
      <c r="J120" s="216">
        <f>+IF(J$11="TORCIDA",IF(AND(J$6+15&gt;70,J$6+15&lt;=80),IF(J$14=1,1,2),""),)</f>
        <v>0</v>
      </c>
      <c r="L120" s="216"/>
      <c r="M120" s="217"/>
      <c r="N120" s="217"/>
      <c r="O120" s="218"/>
      <c r="P120" s="219" t="str">
        <f t="shared" si="3"/>
        <v>AE.9100</v>
      </c>
      <c r="Q120" s="74" t="str">
        <f>+IF(TC[[#This Row],[ITEM]]=B120,"ok","mal")</f>
        <v>ok</v>
      </c>
      <c r="R120" s="168">
        <f t="shared" si="2"/>
        <v>0</v>
      </c>
      <c r="S120" s="169">
        <f>IF(VLOOKUP(B120,TbPiezas[],5,0)="NA",0,VLOOKUP(B120,TbPiezas[],5,0))</f>
        <v>16</v>
      </c>
      <c r="T120" s="81">
        <f>TC[[#This Row],[TOTAL]]*TC[[#This Row],[P.U. (1)]]</f>
        <v>0</v>
      </c>
      <c r="U120" s="82">
        <f>+VLOOKUP(B120,TbPiezas[],6,0)</f>
        <v>508.2</v>
      </c>
      <c r="V120" s="83">
        <f>TC[[#This Row],[TOTAL]]*TC[[#This Row],[P.U. (2)]]</f>
        <v>0</v>
      </c>
      <c r="W120" s="82">
        <f>+VLOOKUP(B120,TbPiezas[],7,0)</f>
        <v>25.41</v>
      </c>
      <c r="X120" s="220">
        <f>ROUND(TC[[#This Row],[TOTAL]]*TC[[#This Row],[P.U. (3)]],2)</f>
        <v>0</v>
      </c>
    </row>
    <row r="121" spans="2:24" s="199" customFormat="1" x14ac:dyDescent="0.3">
      <c r="B121" s="212" t="s">
        <v>539</v>
      </c>
      <c r="C121" s="213" t="s">
        <v>540</v>
      </c>
      <c r="D121" s="214"/>
      <c r="E121" s="214"/>
      <c r="F121" s="214"/>
      <c r="G121" s="214"/>
      <c r="H121" s="215"/>
      <c r="J121" s="216">
        <f>+IF(J$11="TORCIDA",IF(AND(J$6+15&gt;60,J$6+15&lt;=70),IF(J$14=1,1,2),""),)</f>
        <v>0</v>
      </c>
      <c r="L121" s="216"/>
      <c r="M121" s="217"/>
      <c r="N121" s="217"/>
      <c r="O121" s="218"/>
      <c r="P121" s="219" t="str">
        <f t="shared" si="3"/>
        <v>AE.9200</v>
      </c>
      <c r="Q121" s="74" t="str">
        <f>+IF(TC[[#This Row],[ITEM]]=B121,"ok","mal")</f>
        <v>ok</v>
      </c>
      <c r="R121" s="168">
        <f t="shared" si="2"/>
        <v>0</v>
      </c>
      <c r="S121" s="169">
        <f>IF(VLOOKUP(B121,TbPiezas[],5,0)="NA",0,VLOOKUP(B121,TbPiezas[],5,0))</f>
        <v>15</v>
      </c>
      <c r="T121" s="81">
        <f>TC[[#This Row],[TOTAL]]*TC[[#This Row],[P.U. (1)]]</f>
        <v>0</v>
      </c>
      <c r="U121" s="82">
        <f>+VLOOKUP(B121,TbPiezas[],6,0)</f>
        <v>444.68</v>
      </c>
      <c r="V121" s="83">
        <f>TC[[#This Row],[TOTAL]]*TC[[#This Row],[P.U. (2)]]</f>
        <v>0</v>
      </c>
      <c r="W121" s="82">
        <f>+VLOOKUP(B121,TbPiezas[],7,0)</f>
        <v>22.234000000000002</v>
      </c>
      <c r="X121" s="220">
        <f>ROUND(TC[[#This Row],[TOTAL]]*TC[[#This Row],[P.U. (3)]],2)</f>
        <v>0</v>
      </c>
    </row>
    <row r="122" spans="2:24" s="199" customFormat="1" x14ac:dyDescent="0.3">
      <c r="B122" s="212" t="s">
        <v>541</v>
      </c>
      <c r="C122" s="213" t="s">
        <v>542</v>
      </c>
      <c r="D122" s="214"/>
      <c r="E122" s="214"/>
      <c r="F122" s="214"/>
      <c r="G122" s="214"/>
      <c r="H122" s="215"/>
      <c r="J122" s="216">
        <f>+IF(J$11="TORCIDA",IF(AND(J$6+15&gt;50,J$6+15&lt;=60),IF(J$14=1,1,2),""),)</f>
        <v>0</v>
      </c>
      <c r="L122" s="216"/>
      <c r="M122" s="217"/>
      <c r="N122" s="217"/>
      <c r="O122" s="218"/>
      <c r="P122" s="219" t="str">
        <f t="shared" si="3"/>
        <v>AE.9300</v>
      </c>
      <c r="Q122" s="74" t="str">
        <f>+IF(TC[[#This Row],[ITEM]]=B122,"ok","mal")</f>
        <v>ok</v>
      </c>
      <c r="R122" s="168">
        <f t="shared" si="2"/>
        <v>0</v>
      </c>
      <c r="S122" s="169">
        <f>IF(VLOOKUP(B122,TbPiezas[],5,0)="NA",0,VLOOKUP(B122,TbPiezas[],5,0))</f>
        <v>12</v>
      </c>
      <c r="T122" s="81">
        <f>TC[[#This Row],[TOTAL]]*TC[[#This Row],[P.U. (1)]]</f>
        <v>0</v>
      </c>
      <c r="U122" s="82">
        <f>+VLOOKUP(B122,TbPiezas[],6,0)</f>
        <v>381.15</v>
      </c>
      <c r="V122" s="83">
        <f>TC[[#This Row],[TOTAL]]*TC[[#This Row],[P.U. (2)]]</f>
        <v>0</v>
      </c>
      <c r="W122" s="82">
        <f>+VLOOKUP(B122,TbPiezas[],7,0)</f>
        <v>19.057500000000001</v>
      </c>
      <c r="X122" s="220">
        <f>ROUND(TC[[#This Row],[TOTAL]]*TC[[#This Row],[P.U. (3)]],2)</f>
        <v>0</v>
      </c>
    </row>
    <row r="123" spans="2:24" s="199" customFormat="1" x14ac:dyDescent="0.3">
      <c r="B123" s="212" t="s">
        <v>543</v>
      </c>
      <c r="C123" s="213" t="s">
        <v>544</v>
      </c>
      <c r="D123" s="214"/>
      <c r="E123" s="214"/>
      <c r="F123" s="214"/>
      <c r="G123" s="214"/>
      <c r="H123" s="215"/>
      <c r="J123" s="216">
        <f>+IF(J$11="TORCIDA",IF(AND(J$6+15&gt;0,J$6+15&lt;=50),IF(J$14=1,1,2),""),)</f>
        <v>0</v>
      </c>
      <c r="L123" s="216"/>
      <c r="M123" s="217"/>
      <c r="N123" s="217"/>
      <c r="O123" s="218"/>
      <c r="P123" s="219" t="str">
        <f t="shared" si="3"/>
        <v>AE.9400</v>
      </c>
      <c r="Q123" s="74" t="str">
        <f>+IF(TC[[#This Row],[ITEM]]=B123,"ok","mal")</f>
        <v>ok</v>
      </c>
      <c r="R123" s="168">
        <f t="shared" si="2"/>
        <v>0</v>
      </c>
      <c r="S123" s="169">
        <f>IF(VLOOKUP(B123,TbPiezas[],5,0)="NA",0,VLOOKUP(B123,TbPiezas[],5,0))</f>
        <v>10</v>
      </c>
      <c r="T123" s="81">
        <f>TC[[#This Row],[TOTAL]]*TC[[#This Row],[P.U. (1)]]</f>
        <v>0</v>
      </c>
      <c r="U123" s="82">
        <f>+VLOOKUP(B123,TbPiezas[],6,0)</f>
        <v>317.63</v>
      </c>
      <c r="V123" s="83">
        <f>TC[[#This Row],[TOTAL]]*TC[[#This Row],[P.U. (2)]]</f>
        <v>0</v>
      </c>
      <c r="W123" s="82">
        <f>+VLOOKUP(B123,TbPiezas[],7,0)</f>
        <v>15.881500000000001</v>
      </c>
      <c r="X123" s="220">
        <f>ROUND(TC[[#This Row],[TOTAL]]*TC[[#This Row],[P.U. (3)]],2)</f>
        <v>0</v>
      </c>
    </row>
    <row r="124" spans="2:24" s="199" customFormat="1" x14ac:dyDescent="0.3">
      <c r="B124" s="212" t="s">
        <v>545</v>
      </c>
      <c r="C124" s="213" t="s">
        <v>546</v>
      </c>
      <c r="D124" s="214"/>
      <c r="E124" s="214"/>
      <c r="F124" s="214"/>
      <c r="G124" s="214" t="s">
        <v>1240</v>
      </c>
      <c r="H124" s="215" t="s">
        <v>1019</v>
      </c>
      <c r="J124" s="216">
        <f>IF(J$4="",,IF($H124="SI",IF(OR($H124=$H125,$H124=$H126),"ERROR",IF(J$14=1,1,2)),""))</f>
        <v>2</v>
      </c>
      <c r="L124" s="216"/>
      <c r="M124" s="217"/>
      <c r="N124" s="217"/>
      <c r="O124" s="218"/>
      <c r="P124" s="219" t="str">
        <f t="shared" si="3"/>
        <v>AE.9500</v>
      </c>
      <c r="Q124" s="74" t="str">
        <f>+IF(TC[[#This Row],[ITEM]]=B124,"ok","mal")</f>
        <v>ok</v>
      </c>
      <c r="R124" s="168">
        <f t="shared" si="2"/>
        <v>0</v>
      </c>
      <c r="S124" s="169">
        <f>IF(VLOOKUP(B124,TbPiezas[],5,0)="NA",0,VLOOKUP(B124,TbPiezas[],5,0))</f>
        <v>0.5</v>
      </c>
      <c r="T124" s="81">
        <f>TC[[#This Row],[TOTAL]]*TC[[#This Row],[P.U. (1)]]</f>
        <v>0</v>
      </c>
      <c r="U124" s="82">
        <f>+VLOOKUP(B124,TbPiezas[],6,0)</f>
        <v>464.53</v>
      </c>
      <c r="V124" s="83">
        <f>TC[[#This Row],[TOTAL]]*TC[[#This Row],[P.U. (2)]]</f>
        <v>0</v>
      </c>
      <c r="W124" s="82">
        <f>+VLOOKUP(B124,TbPiezas[],7,0)</f>
        <v>23.226500000000001</v>
      </c>
      <c r="X124" s="220">
        <f>ROUND(TC[[#This Row],[TOTAL]]*TC[[#This Row],[P.U. (3)]],2)</f>
        <v>0</v>
      </c>
    </row>
    <row r="125" spans="2:24" s="199" customFormat="1" x14ac:dyDescent="0.3">
      <c r="B125" s="212" t="s">
        <v>547</v>
      </c>
      <c r="C125" s="213" t="s">
        <v>548</v>
      </c>
      <c r="D125" s="214"/>
      <c r="E125" s="214"/>
      <c r="F125" s="214"/>
      <c r="G125" s="214" t="s">
        <v>1241</v>
      </c>
      <c r="H125" s="215" t="s">
        <v>1023</v>
      </c>
      <c r="J125" s="216" t="str">
        <f>IF(J$4="",,IF($H125="SI",IF(OR($H125=$H124,$H125=$H126),"ERROR",IF(J$14=1,1,2)),""))</f>
        <v/>
      </c>
      <c r="L125" s="216"/>
      <c r="M125" s="217"/>
      <c r="N125" s="217"/>
      <c r="O125" s="218"/>
      <c r="P125" s="219" t="str">
        <f t="shared" si="3"/>
        <v>AE.9600</v>
      </c>
      <c r="Q125" s="74" t="str">
        <f>+IF(TC[[#This Row],[ITEM]]=B125,"ok","mal")</f>
        <v>ok</v>
      </c>
      <c r="R125" s="168">
        <f t="shared" si="2"/>
        <v>0</v>
      </c>
      <c r="S125" s="169">
        <f>IF(VLOOKUP(B125,TbPiezas[],5,0)="NA",0,VLOOKUP(B125,TbPiezas[],5,0))</f>
        <v>0.5</v>
      </c>
      <c r="T125" s="81">
        <f>TC[[#This Row],[TOTAL]]*TC[[#This Row],[P.U. (1)]]</f>
        <v>0</v>
      </c>
      <c r="U125" s="82">
        <f>+VLOOKUP(B125,TbPiezas[],6,0)</f>
        <v>464.53</v>
      </c>
      <c r="V125" s="83">
        <f>TC[[#This Row],[TOTAL]]*TC[[#This Row],[P.U. (2)]]</f>
        <v>0</v>
      </c>
      <c r="W125" s="82">
        <f>+VLOOKUP(B125,TbPiezas[],7,0)</f>
        <v>23.226500000000001</v>
      </c>
      <c r="X125" s="220">
        <f>ROUND(TC[[#This Row],[TOTAL]]*TC[[#This Row],[P.U. (3)]],2)</f>
        <v>0</v>
      </c>
    </row>
    <row r="126" spans="2:24" s="199" customFormat="1" x14ac:dyDescent="0.3">
      <c r="B126" s="212" t="s">
        <v>549</v>
      </c>
      <c r="C126" s="213" t="s">
        <v>550</v>
      </c>
      <c r="D126" s="214"/>
      <c r="E126" s="214"/>
      <c r="F126" s="214"/>
      <c r="G126" s="214" t="s">
        <v>1242</v>
      </c>
      <c r="H126" s="215" t="s">
        <v>1023</v>
      </c>
      <c r="J126" s="216" t="str">
        <f>IF(J$4="",,IF($H126="SI",IF(OR($H126=$H125,$H126=$H124),"ERROR",IF(J$14=1,1,2)),""))</f>
        <v/>
      </c>
      <c r="L126" s="216"/>
      <c r="M126" s="217"/>
      <c r="N126" s="217"/>
      <c r="O126" s="218"/>
      <c r="P126" s="219" t="str">
        <f t="shared" si="3"/>
        <v>AE.9700</v>
      </c>
      <c r="Q126" s="74" t="str">
        <f>+IF(TC[[#This Row],[ITEM]]=B126,"ok","mal")</f>
        <v>ok</v>
      </c>
      <c r="R126" s="168">
        <f t="shared" si="2"/>
        <v>0</v>
      </c>
      <c r="S126" s="169">
        <f>IF(VLOOKUP(B126,TbPiezas[],5,0)="NA",0,VLOOKUP(B126,TbPiezas[],5,0))</f>
        <v>0.5</v>
      </c>
      <c r="T126" s="81">
        <f>TC[[#This Row],[TOTAL]]*TC[[#This Row],[P.U. (1)]]</f>
        <v>0</v>
      </c>
      <c r="U126" s="82">
        <f>+VLOOKUP(B126,TbPiezas[],6,0)</f>
        <v>464.53</v>
      </c>
      <c r="V126" s="83">
        <f>TC[[#This Row],[TOTAL]]*TC[[#This Row],[P.U. (2)]]</f>
        <v>0</v>
      </c>
      <c r="W126" s="82">
        <f>+VLOOKUP(B126,TbPiezas[],7,0)</f>
        <v>23.226500000000001</v>
      </c>
      <c r="X126" s="220">
        <f>ROUND(TC[[#This Row],[TOTAL]]*TC[[#This Row],[P.U. (3)]],2)</f>
        <v>0</v>
      </c>
    </row>
    <row r="127" spans="2:24" s="199" customFormat="1" x14ac:dyDescent="0.3">
      <c r="B127" s="212" t="s">
        <v>551</v>
      </c>
      <c r="C127" s="213" t="s">
        <v>552</v>
      </c>
      <c r="D127" s="214"/>
      <c r="E127" s="214"/>
      <c r="F127" s="214"/>
      <c r="G127" s="214"/>
      <c r="H127" s="215"/>
      <c r="J127" s="216">
        <f>IF(J$4="",,IF(J$14=1,1,2))</f>
        <v>2</v>
      </c>
      <c r="L127" s="216"/>
      <c r="M127" s="217"/>
      <c r="N127" s="217"/>
      <c r="O127" s="218"/>
      <c r="P127" s="219" t="str">
        <f t="shared" si="3"/>
        <v>AE.9800</v>
      </c>
      <c r="Q127" s="74" t="str">
        <f>+IF(TC[[#This Row],[ITEM]]=B127,"ok","mal")</f>
        <v>ok</v>
      </c>
      <c r="R127" s="168">
        <f t="shared" si="2"/>
        <v>0</v>
      </c>
      <c r="S127" s="169">
        <f>IF(VLOOKUP(B127,TbPiezas[],5,0)="NA",0,VLOOKUP(B127,TbPiezas[],5,0))</f>
        <v>9.9999999999994316E-2</v>
      </c>
      <c r="T127" s="81">
        <f>TC[[#This Row],[TOTAL]]*TC[[#This Row],[P.U. (1)]]</f>
        <v>0</v>
      </c>
      <c r="U127" s="82">
        <f>+VLOOKUP(B127,TbPiezas[],6,0)</f>
        <v>10.16</v>
      </c>
      <c r="V127" s="83">
        <f>TC[[#This Row],[TOTAL]]*TC[[#This Row],[P.U. (2)]]</f>
        <v>0</v>
      </c>
      <c r="W127" s="82">
        <f>+VLOOKUP(B127,TbPiezas[],7,0)</f>
        <v>0.50800000000000001</v>
      </c>
      <c r="X127" s="220">
        <f>ROUND(TC[[#This Row],[TOTAL]]*TC[[#This Row],[P.U. (3)]],2)</f>
        <v>0</v>
      </c>
    </row>
    <row r="128" spans="2:24" s="199" customFormat="1" x14ac:dyDescent="0.3">
      <c r="B128" s="212" t="s">
        <v>553</v>
      </c>
      <c r="C128" s="213" t="s">
        <v>554</v>
      </c>
      <c r="D128" s="214"/>
      <c r="E128" s="214"/>
      <c r="F128" s="214"/>
      <c r="G128" s="214"/>
      <c r="H128" s="215"/>
      <c r="J128" s="216" t="str">
        <f>IF(J4="",,IF(J$7="PARAPETO","",IF(J$14=1,4,8)))</f>
        <v/>
      </c>
      <c r="L128" s="216"/>
      <c r="M128" s="217"/>
      <c r="N128" s="217"/>
      <c r="O128" s="218"/>
      <c r="P128" s="219" t="str">
        <f t="shared" si="3"/>
        <v>AE.9900</v>
      </c>
      <c r="Q128" s="74" t="str">
        <f>+IF(TC[[#This Row],[ITEM]]=B128,"ok","mal")</f>
        <v>ok</v>
      </c>
      <c r="R128" s="168">
        <f t="shared" si="2"/>
        <v>0</v>
      </c>
      <c r="S128" s="169">
        <f>IF(VLOOKUP(B128,TbPiezas[],5,0)="NA",0,VLOOKUP(B128,TbPiezas[],5,0))</f>
        <v>9.9999999999994316E-2</v>
      </c>
      <c r="T128" s="81">
        <f>TC[[#This Row],[TOTAL]]*TC[[#This Row],[P.U. (1)]]</f>
        <v>0</v>
      </c>
      <c r="U128" s="82">
        <f>+VLOOKUP(B128,TbPiezas[],6,0)</f>
        <v>10.16</v>
      </c>
      <c r="V128" s="83">
        <f>TC[[#This Row],[TOTAL]]*TC[[#This Row],[P.U. (2)]]</f>
        <v>0</v>
      </c>
      <c r="W128" s="82">
        <f>+VLOOKUP(B128,TbPiezas[],7,0)</f>
        <v>0.50800000000000001</v>
      </c>
      <c r="X128" s="220">
        <f>ROUND(TC[[#This Row],[TOTAL]]*TC[[#This Row],[P.U. (3)]],2)</f>
        <v>0</v>
      </c>
    </row>
    <row r="129" spans="2:24" s="199" customFormat="1" x14ac:dyDescent="0.3">
      <c r="B129" s="212" t="s">
        <v>555</v>
      </c>
      <c r="C129" s="213" t="s">
        <v>556</v>
      </c>
      <c r="D129" s="214"/>
      <c r="E129" s="214"/>
      <c r="F129" s="214"/>
      <c r="G129" s="214"/>
      <c r="H129" s="215"/>
      <c r="J129" s="216">
        <f>+IF(J$4="",,IF(J$14=1,1,2))</f>
        <v>2</v>
      </c>
      <c r="L129" s="216"/>
      <c r="M129" s="217"/>
      <c r="N129" s="217"/>
      <c r="O129" s="218"/>
      <c r="P129" s="219" t="str">
        <f t="shared" si="3"/>
        <v>AE.10000</v>
      </c>
      <c r="Q129" s="74" t="str">
        <f>+IF(TC[[#This Row],[ITEM]]=B129,"ok","mal")</f>
        <v>ok</v>
      </c>
      <c r="R129" s="168">
        <f t="shared" si="2"/>
        <v>0</v>
      </c>
      <c r="S129" s="169">
        <f>IF(VLOOKUP(B129,TbPiezas[],5,0)="NA",0,VLOOKUP(B129,TbPiezas[],5,0))</f>
        <v>9.9999999999994316E-2</v>
      </c>
      <c r="T129" s="81">
        <f>TC[[#This Row],[TOTAL]]*TC[[#This Row],[P.U. (1)]]</f>
        <v>0</v>
      </c>
      <c r="U129" s="82">
        <f>+VLOOKUP(B129,TbPiezas[],6,0)</f>
        <v>10.16</v>
      </c>
      <c r="V129" s="83">
        <f>TC[[#This Row],[TOTAL]]*TC[[#This Row],[P.U. (2)]]</f>
        <v>0</v>
      </c>
      <c r="W129" s="82">
        <f>+VLOOKUP(B129,TbPiezas[],7,0)</f>
        <v>0.50800000000000001</v>
      </c>
      <c r="X129" s="220">
        <f>ROUND(TC[[#This Row],[TOTAL]]*TC[[#This Row],[P.U. (3)]],2)</f>
        <v>0</v>
      </c>
    </row>
    <row r="130" spans="2:24" s="199" customFormat="1" x14ac:dyDescent="0.3">
      <c r="B130" s="212" t="s">
        <v>557</v>
      </c>
      <c r="C130" s="213" t="s">
        <v>558</v>
      </c>
      <c r="D130" s="214"/>
      <c r="E130" s="214"/>
      <c r="F130" s="214"/>
      <c r="G130" s="214"/>
      <c r="H130" s="215"/>
      <c r="J130" s="216">
        <f>IF(J$4="",,IF($H44="SI",IF(J$14=1,2,""),IF(H$45="SI",IF(J$14=1,5,4),IF(H46="SI",4,""))))</f>
        <v>4</v>
      </c>
      <c r="L130" s="216"/>
      <c r="M130" s="217"/>
      <c r="N130" s="217"/>
      <c r="O130" s="218"/>
      <c r="P130" s="219" t="str">
        <f t="shared" si="3"/>
        <v>AE.10100</v>
      </c>
      <c r="Q130" s="74" t="str">
        <f>+IF(TC[[#This Row],[ITEM]]=B130,"ok","mal")</f>
        <v>ok</v>
      </c>
      <c r="R130" s="168">
        <f t="shared" si="2"/>
        <v>0</v>
      </c>
      <c r="S130" s="169">
        <f>IF(VLOOKUP(B130,TbPiezas[],5,0)="NA",0,VLOOKUP(B130,TbPiezas[],5,0))</f>
        <v>9.9999999999994316E-2</v>
      </c>
      <c r="T130" s="81">
        <f>TC[[#This Row],[TOTAL]]*TC[[#This Row],[P.U. (1)]]</f>
        <v>0</v>
      </c>
      <c r="U130" s="82">
        <f>+VLOOKUP(B130,TbPiezas[],6,0)</f>
        <v>10.16</v>
      </c>
      <c r="V130" s="83">
        <f>TC[[#This Row],[TOTAL]]*TC[[#This Row],[P.U. (2)]]</f>
        <v>0</v>
      </c>
      <c r="W130" s="82">
        <f>+VLOOKUP(B130,TbPiezas[],7,0)</f>
        <v>0.50800000000000001</v>
      </c>
      <c r="X130" s="220">
        <f>ROUND(TC[[#This Row],[TOTAL]]*TC[[#This Row],[P.U. (3)]],2)</f>
        <v>0</v>
      </c>
    </row>
    <row r="131" spans="2:24" s="199" customFormat="1" x14ac:dyDescent="0.3">
      <c r="B131" s="212" t="s">
        <v>559</v>
      </c>
      <c r="C131" s="213" t="s">
        <v>560</v>
      </c>
      <c r="D131" s="214"/>
      <c r="E131" s="214"/>
      <c r="F131" s="214"/>
      <c r="G131" s="214"/>
      <c r="H131" s="215"/>
      <c r="J131" s="216" t="str">
        <f>IF(J$4="",,IF(J7="ESTANDAR",2*SUM(J$145:J$146),IF(J7="MULTI",2*SUM(J145:J146),"")))</f>
        <v/>
      </c>
      <c r="L131" s="216"/>
      <c r="M131" s="217"/>
      <c r="N131" s="217"/>
      <c r="O131" s="218"/>
      <c r="P131" s="219" t="str">
        <f t="shared" si="3"/>
        <v>AE.10200</v>
      </c>
      <c r="Q131" s="74" t="str">
        <f>+IF(TC[[#This Row],[ITEM]]=B131,"ok","mal")</f>
        <v>ok</v>
      </c>
      <c r="R131" s="168">
        <f t="shared" si="2"/>
        <v>0</v>
      </c>
      <c r="S131" s="169">
        <f>IF(VLOOKUP(B131,TbPiezas[],5,0)="NA",0,VLOOKUP(B131,TbPiezas[],5,0))</f>
        <v>9.9999999999994316E-2</v>
      </c>
      <c r="T131" s="81">
        <f>TC[[#This Row],[TOTAL]]*TC[[#This Row],[P.U. (1)]]</f>
        <v>0</v>
      </c>
      <c r="U131" s="82">
        <f>+VLOOKUP(B131,TbPiezas[],6,0)</f>
        <v>10.16</v>
      </c>
      <c r="V131" s="83">
        <f>TC[[#This Row],[TOTAL]]*TC[[#This Row],[P.U. (2)]]</f>
        <v>0</v>
      </c>
      <c r="W131" s="82">
        <f>+VLOOKUP(B131,TbPiezas[],7,0)</f>
        <v>0.50800000000000001</v>
      </c>
      <c r="X131" s="220">
        <f>ROUND(TC[[#This Row],[TOTAL]]*TC[[#This Row],[P.U. (3)]],2)</f>
        <v>0</v>
      </c>
    </row>
    <row r="132" spans="2:24" s="199" customFormat="1" x14ac:dyDescent="0.3">
      <c r="B132" s="212" t="s">
        <v>561</v>
      </c>
      <c r="C132" s="213" t="s">
        <v>562</v>
      </c>
      <c r="D132" s="214"/>
      <c r="E132" s="214"/>
      <c r="F132" s="214"/>
      <c r="G132" s="214"/>
      <c r="H132" s="215"/>
      <c r="J132" s="216">
        <f>IF(J4="",,IF(J8="PARAPETO",2,IF(H44="SI",IF(J$14=1,9,18),IF(OR(H45="SI",H46="SI"),IF(J$14=1,8,10),""))))</f>
        <v>2</v>
      </c>
      <c r="L132" s="216"/>
      <c r="M132" s="217"/>
      <c r="N132" s="217"/>
      <c r="O132" s="218"/>
      <c r="P132" s="219" t="str">
        <f t="shared" si="3"/>
        <v>AE.10300</v>
      </c>
      <c r="Q132" s="74" t="str">
        <f>+IF(TC[[#This Row],[ITEM]]=B132,"ok","mal")</f>
        <v>ok</v>
      </c>
      <c r="R132" s="168">
        <f t="shared" si="2"/>
        <v>0</v>
      </c>
      <c r="S132" s="169">
        <f>IF(VLOOKUP(B132,TbPiezas[],5,0)="NA",0,VLOOKUP(B132,TbPiezas[],5,0))</f>
        <v>9.9999999999994316E-2</v>
      </c>
      <c r="T132" s="81">
        <f>TC[[#This Row],[TOTAL]]*TC[[#This Row],[P.U. (1)]]</f>
        <v>0</v>
      </c>
      <c r="U132" s="82">
        <f>+VLOOKUP(B132,TbPiezas[],6,0)</f>
        <v>10.16</v>
      </c>
      <c r="V132" s="83">
        <f>TC[[#This Row],[TOTAL]]*TC[[#This Row],[P.U. (2)]]</f>
        <v>0</v>
      </c>
      <c r="W132" s="82">
        <f>+VLOOKUP(B132,TbPiezas[],7,0)</f>
        <v>0.50800000000000001</v>
      </c>
      <c r="X132" s="220">
        <f>ROUND(TC[[#This Row],[TOTAL]]*TC[[#This Row],[P.U. (3)]],2)</f>
        <v>0</v>
      </c>
    </row>
    <row r="133" spans="2:24" s="199" customFormat="1" x14ac:dyDescent="0.3">
      <c r="B133" s="212" t="s">
        <v>563</v>
      </c>
      <c r="C133" s="213" t="s">
        <v>564</v>
      </c>
      <c r="D133" s="214"/>
      <c r="E133" s="214"/>
      <c r="F133" s="214"/>
      <c r="G133" s="214"/>
      <c r="H133" s="215"/>
      <c r="J133" s="216" t="str">
        <f>IF(J$4="",,IF(J7="ESTANDAR",IF(J$14=1,4,16),IF(J7="MULTI",IF(J14=1,4,16),"")))</f>
        <v/>
      </c>
      <c r="L133" s="216"/>
      <c r="M133" s="217"/>
      <c r="N133" s="217"/>
      <c r="O133" s="218"/>
      <c r="P133" s="219" t="str">
        <f t="shared" si="3"/>
        <v>AE.10400</v>
      </c>
      <c r="Q133" s="74" t="str">
        <f>+IF(TC[[#This Row],[ITEM]]=B133,"ok","mal")</f>
        <v>ok</v>
      </c>
      <c r="R133" s="168">
        <f t="shared" si="2"/>
        <v>0</v>
      </c>
      <c r="S133" s="169">
        <f>IF(VLOOKUP(B133,TbPiezas[],5,0)="NA",0,VLOOKUP(B133,TbPiezas[],5,0))</f>
        <v>9.9999999999994316E-2</v>
      </c>
      <c r="T133" s="81">
        <f>TC[[#This Row],[TOTAL]]*TC[[#This Row],[P.U. (1)]]</f>
        <v>0</v>
      </c>
      <c r="U133" s="82">
        <f>+VLOOKUP(B133,TbPiezas[],6,0)</f>
        <v>10.16</v>
      </c>
      <c r="V133" s="83">
        <f>TC[[#This Row],[TOTAL]]*TC[[#This Row],[P.U. (2)]]</f>
        <v>0</v>
      </c>
      <c r="W133" s="82">
        <f>+VLOOKUP(B133,TbPiezas[],7,0)</f>
        <v>0.50800000000000001</v>
      </c>
      <c r="X133" s="220">
        <f>ROUND(TC[[#This Row],[TOTAL]]*TC[[#This Row],[P.U. (3)]],2)</f>
        <v>0</v>
      </c>
    </row>
    <row r="134" spans="2:24" s="199" customFormat="1" x14ac:dyDescent="0.3">
      <c r="B134" s="212" t="s">
        <v>565</v>
      </c>
      <c r="C134" s="213" t="s">
        <v>566</v>
      </c>
      <c r="D134" s="214"/>
      <c r="E134" s="214"/>
      <c r="F134" s="214"/>
      <c r="G134" s="214"/>
      <c r="H134" s="215"/>
      <c r="J134" s="216" t="str">
        <f>+IF(J4="",,IF(J14=1,4,""))</f>
        <v/>
      </c>
      <c r="L134" s="216"/>
      <c r="M134" s="217"/>
      <c r="N134" s="217"/>
      <c r="O134" s="218"/>
      <c r="P134" s="219" t="str">
        <f t="shared" si="3"/>
        <v>AE.10500</v>
      </c>
      <c r="Q134" s="74" t="str">
        <f>+IF(TC[[#This Row],[ITEM]]=B134,"ok","mal")</f>
        <v>ok</v>
      </c>
      <c r="R134" s="168">
        <f t="shared" si="2"/>
        <v>0</v>
      </c>
      <c r="S134" s="169">
        <f>IF(VLOOKUP(B134,TbPiezas[],5,0)="NA",0,VLOOKUP(B134,TbPiezas[],5,0))</f>
        <v>9.9999999999994316E-2</v>
      </c>
      <c r="T134" s="81">
        <f>TC[[#This Row],[TOTAL]]*TC[[#This Row],[P.U. (1)]]</f>
        <v>0</v>
      </c>
      <c r="U134" s="82">
        <f>+VLOOKUP(B134,TbPiezas[],6,0)</f>
        <v>10.16</v>
      </c>
      <c r="V134" s="83">
        <f>TC[[#This Row],[TOTAL]]*TC[[#This Row],[P.U. (2)]]</f>
        <v>0</v>
      </c>
      <c r="W134" s="82">
        <f>+VLOOKUP(B134,TbPiezas[],7,0)</f>
        <v>0.50800000000000001</v>
      </c>
      <c r="X134" s="220">
        <f>ROUND(TC[[#This Row],[TOTAL]]*TC[[#This Row],[P.U. (3)]],2)</f>
        <v>0</v>
      </c>
    </row>
    <row r="135" spans="2:24" s="199" customFormat="1" x14ac:dyDescent="0.3">
      <c r="B135" s="212" t="s">
        <v>567</v>
      </c>
      <c r="C135" s="213" t="s">
        <v>568</v>
      </c>
      <c r="D135" s="214"/>
      <c r="E135" s="214"/>
      <c r="F135" s="214"/>
      <c r="G135" s="214"/>
      <c r="H135" s="215"/>
      <c r="J135" s="216">
        <f>IF(J$4="",,IF(J$14=1,8,IF(COUNTIF(D$14:H$14,"E")&gt;=1,4,0)+4*(COUNT(D$14:H$14)+1)))</f>
        <v>12</v>
      </c>
      <c r="L135" s="216"/>
      <c r="M135" s="217"/>
      <c r="N135" s="217"/>
      <c r="O135" s="218"/>
      <c r="P135" s="219" t="str">
        <f t="shared" si="3"/>
        <v>AE.10600</v>
      </c>
      <c r="Q135" s="74" t="str">
        <f>+IF(TC[[#This Row],[ITEM]]=B135,"ok","mal")</f>
        <v>ok</v>
      </c>
      <c r="R135" s="168">
        <f t="shared" si="2"/>
        <v>0</v>
      </c>
      <c r="S135" s="169">
        <f>IF(VLOOKUP(B135,TbPiezas[],5,0)="NA",0,VLOOKUP(B135,TbPiezas[],5,0))</f>
        <v>9.9999999999994316E-2</v>
      </c>
      <c r="T135" s="81">
        <f>TC[[#This Row],[TOTAL]]*TC[[#This Row],[P.U. (1)]]</f>
        <v>0</v>
      </c>
      <c r="U135" s="82">
        <f>+VLOOKUP(B135,TbPiezas[],6,0)</f>
        <v>10.16</v>
      </c>
      <c r="V135" s="83">
        <f>TC[[#This Row],[TOTAL]]*TC[[#This Row],[P.U. (2)]]</f>
        <v>0</v>
      </c>
      <c r="W135" s="82">
        <f>+VLOOKUP(B135,TbPiezas[],7,0)</f>
        <v>0.50800000000000001</v>
      </c>
      <c r="X135" s="220">
        <f>ROUND(TC[[#This Row],[TOTAL]]*TC[[#This Row],[P.U. (3)]],2)</f>
        <v>0</v>
      </c>
    </row>
    <row r="136" spans="2:24" s="199" customFormat="1" x14ac:dyDescent="0.3">
      <c r="B136" s="212" t="s">
        <v>569</v>
      </c>
      <c r="C136" s="213" t="s">
        <v>570</v>
      </c>
      <c r="D136" s="214"/>
      <c r="E136" s="214"/>
      <c r="F136" s="214"/>
      <c r="G136" s="214"/>
      <c r="H136" s="215"/>
      <c r="J136" s="216">
        <f>IF(J$4="",,IF(J$14=1,8,IF(COUNTIF(D$14:H$14,"E")&gt;=1,4,0)+4*(COUNT(D$14:H$14)+1)))</f>
        <v>12</v>
      </c>
      <c r="L136" s="216"/>
      <c r="M136" s="217"/>
      <c r="N136" s="217"/>
      <c r="O136" s="218"/>
      <c r="P136" s="219" t="str">
        <f t="shared" si="3"/>
        <v>AE.10700</v>
      </c>
      <c r="Q136" s="74" t="str">
        <f>+IF(TC[[#This Row],[ITEM]]=B136,"ok","mal")</f>
        <v>ok</v>
      </c>
      <c r="R136" s="168">
        <f t="shared" si="2"/>
        <v>0</v>
      </c>
      <c r="S136" s="169">
        <f>IF(VLOOKUP(B136,TbPiezas[],5,0)="NA",0,VLOOKUP(B136,TbPiezas[],5,0))</f>
        <v>9.9999999999994316E-2</v>
      </c>
      <c r="T136" s="81">
        <f>TC[[#This Row],[TOTAL]]*TC[[#This Row],[P.U. (1)]]</f>
        <v>0</v>
      </c>
      <c r="U136" s="82">
        <f>+VLOOKUP(B136,TbPiezas[],6,0)</f>
        <v>10.16</v>
      </c>
      <c r="V136" s="83">
        <f>TC[[#This Row],[TOTAL]]*TC[[#This Row],[P.U. (2)]]</f>
        <v>0</v>
      </c>
      <c r="W136" s="82">
        <f>+VLOOKUP(B136,TbPiezas[],7,0)</f>
        <v>0.50800000000000001</v>
      </c>
      <c r="X136" s="220">
        <f>ROUND(TC[[#This Row],[TOTAL]]*TC[[#This Row],[P.U. (3)]],2)</f>
        <v>0</v>
      </c>
    </row>
    <row r="137" spans="2:24" s="199" customFormat="1" x14ac:dyDescent="0.3">
      <c r="B137" s="212" t="s">
        <v>571</v>
      </c>
      <c r="C137" s="213" t="s">
        <v>572</v>
      </c>
      <c r="D137" s="214"/>
      <c r="E137" s="214"/>
      <c r="F137" s="214"/>
      <c r="G137" s="214"/>
      <c r="H137" s="215"/>
      <c r="J137" s="216">
        <f>IF(J$14=1,2,IF(COUNTIF(D15:H15,"G")&gt;0,IF(J$4="","",2*COUNTIFS(D$14:H$14,"1.5",D$15:H$15,"G")+2*COUNTIFS(D$14:H$14,"2.0",D$15:H$15,"G")+6*COUNTIFS(D$14:H$14,"3.0",D$15:H$15,"G")),))</f>
        <v>2</v>
      </c>
      <c r="L137" s="216"/>
      <c r="M137" s="217"/>
      <c r="N137" s="217"/>
      <c r="O137" s="218"/>
      <c r="P137" s="219" t="str">
        <f t="shared" si="3"/>
        <v>AE.10800</v>
      </c>
      <c r="Q137" s="74" t="str">
        <f>+IF(TC[[#This Row],[ITEM]]=B137,"ok","mal")</f>
        <v>ok</v>
      </c>
      <c r="R137" s="168">
        <f t="shared" si="2"/>
        <v>0</v>
      </c>
      <c r="S137" s="169">
        <f>IF(VLOOKUP(B137,TbPiezas[],5,0)="NA",0,VLOOKUP(B137,TbPiezas[],5,0))</f>
        <v>9.9999999999994316E-2</v>
      </c>
      <c r="T137" s="81">
        <f>TC[[#This Row],[TOTAL]]*TC[[#This Row],[P.U. (1)]]</f>
        <v>0</v>
      </c>
      <c r="U137" s="82">
        <f>+VLOOKUP(B137,TbPiezas[],6,0)</f>
        <v>10.16</v>
      </c>
      <c r="V137" s="83">
        <f>TC[[#This Row],[TOTAL]]*TC[[#This Row],[P.U. (2)]]</f>
        <v>0</v>
      </c>
      <c r="W137" s="82">
        <f>+VLOOKUP(B137,TbPiezas[],7,0)</f>
        <v>0.50800000000000001</v>
      </c>
      <c r="X137" s="220">
        <f>ROUND(TC[[#This Row],[TOTAL]]*TC[[#This Row],[P.U. (3)]],2)</f>
        <v>0</v>
      </c>
    </row>
    <row r="138" spans="2:24" s="199" customFormat="1" x14ac:dyDescent="0.3">
      <c r="B138" s="212" t="s">
        <v>573</v>
      </c>
      <c r="C138" s="213" t="s">
        <v>574</v>
      </c>
      <c r="D138" s="214"/>
      <c r="E138" s="214"/>
      <c r="F138" s="214"/>
      <c r="G138" s="214"/>
      <c r="H138" s="215"/>
      <c r="J138" s="216">
        <f>IF(J14=1,,IF(COUNTIF(D15:H15,"D")&gt;0,IF(J$4="","",2*COUNTIFS(D$14:H$14,"1.5",D$15:H$15,"D")+2*COUNTIFS(D$14:H$14,"2.0",D$15:H$15,"D")+6*COUNTIFS(D$14:H$14,"3.0",D$15:H$15,"D")),))</f>
        <v>0</v>
      </c>
      <c r="L138" s="216"/>
      <c r="M138" s="217"/>
      <c r="N138" s="217"/>
      <c r="O138" s="218"/>
      <c r="P138" s="219" t="str">
        <f t="shared" si="3"/>
        <v>AE.10900</v>
      </c>
      <c r="Q138" s="74" t="str">
        <f>+IF(TC[[#This Row],[ITEM]]=B138,"ok","mal")</f>
        <v>ok</v>
      </c>
      <c r="R138" s="168">
        <f t="shared" si="2"/>
        <v>0</v>
      </c>
      <c r="S138" s="169">
        <f>IF(VLOOKUP(B138,TbPiezas[],5,0)="NA",0,VLOOKUP(B138,TbPiezas[],5,0))</f>
        <v>9.9999999999994316E-2</v>
      </c>
      <c r="T138" s="81">
        <f>TC[[#This Row],[TOTAL]]*TC[[#This Row],[P.U. (1)]]</f>
        <v>0</v>
      </c>
      <c r="U138" s="82">
        <f>+VLOOKUP(B138,TbPiezas[],6,0)</f>
        <v>10.16</v>
      </c>
      <c r="V138" s="83">
        <f>TC[[#This Row],[TOTAL]]*TC[[#This Row],[P.U. (2)]]</f>
        <v>0</v>
      </c>
      <c r="W138" s="82">
        <f>+VLOOKUP(B138,TbPiezas[],7,0)</f>
        <v>0.50800000000000001</v>
      </c>
      <c r="X138" s="220">
        <f>ROUND(TC[[#This Row],[TOTAL]]*TC[[#This Row],[P.U. (3)]],2)</f>
        <v>0</v>
      </c>
    </row>
    <row r="139" spans="2:24" s="199" customFormat="1" x14ac:dyDescent="0.3">
      <c r="B139" s="212" t="s">
        <v>575</v>
      </c>
      <c r="C139" s="213" t="s">
        <v>576</v>
      </c>
      <c r="D139" s="214"/>
      <c r="E139" s="214"/>
      <c r="F139" s="214"/>
      <c r="G139" s="214"/>
      <c r="H139" s="215"/>
      <c r="J139" s="216">
        <f>+IF(J$52="",,J$52*4)</f>
        <v>0</v>
      </c>
      <c r="L139" s="216"/>
      <c r="M139" s="217"/>
      <c r="N139" s="217"/>
      <c r="O139" s="218"/>
      <c r="P139" s="219" t="str">
        <f t="shared" si="3"/>
        <v>AE.11000</v>
      </c>
      <c r="Q139" s="74" t="str">
        <f>+IF(TC[[#This Row],[ITEM]]=B139,"ok","mal")</f>
        <v>ok</v>
      </c>
      <c r="R139" s="168">
        <f t="shared" si="2"/>
        <v>0</v>
      </c>
      <c r="S139" s="169">
        <f>IF(VLOOKUP(B139,TbPiezas[],5,0)="NA",0,VLOOKUP(B139,TbPiezas[],5,0))</f>
        <v>9.9999999999994316E-2</v>
      </c>
      <c r="T139" s="81">
        <f>TC[[#This Row],[TOTAL]]*TC[[#This Row],[P.U. (1)]]</f>
        <v>0</v>
      </c>
      <c r="U139" s="82">
        <f>+VLOOKUP(B139,TbPiezas[],6,0)</f>
        <v>10.16</v>
      </c>
      <c r="V139" s="83">
        <f>TC[[#This Row],[TOTAL]]*TC[[#This Row],[P.U. (2)]]</f>
        <v>0</v>
      </c>
      <c r="W139" s="82">
        <f>+VLOOKUP(B139,TbPiezas[],7,0)</f>
        <v>0.50800000000000001</v>
      </c>
      <c r="X139" s="220">
        <f>ROUND(TC[[#This Row],[TOTAL]]*TC[[#This Row],[P.U. (3)]],2)</f>
        <v>0</v>
      </c>
    </row>
    <row r="140" spans="2:24" s="199" customFormat="1" x14ac:dyDescent="0.3">
      <c r="B140" s="212" t="s">
        <v>577</v>
      </c>
      <c r="C140" s="213" t="s">
        <v>578</v>
      </c>
      <c r="D140" s="214"/>
      <c r="E140" s="214"/>
      <c r="F140" s="214"/>
      <c r="G140" s="214"/>
      <c r="H140" s="215"/>
      <c r="J140" s="216">
        <f>+IF(J$4="",,2*SUM(J$19:J$22))</f>
        <v>4</v>
      </c>
      <c r="L140" s="216"/>
      <c r="M140" s="217"/>
      <c r="N140" s="217"/>
      <c r="O140" s="218"/>
      <c r="P140" s="219" t="str">
        <f t="shared" si="3"/>
        <v>AE.11100</v>
      </c>
      <c r="Q140" s="74" t="str">
        <f>+IF(TC[[#This Row],[ITEM]]=B140,"ok","mal")</f>
        <v>ok</v>
      </c>
      <c r="R140" s="168">
        <f t="shared" si="2"/>
        <v>0</v>
      </c>
      <c r="S140" s="169">
        <f>IF(VLOOKUP(B140,TbPiezas[],5,0)="NA",0,VLOOKUP(B140,TbPiezas[],5,0))</f>
        <v>9.9999999999994316E-2</v>
      </c>
      <c r="T140" s="81">
        <f>TC[[#This Row],[TOTAL]]*TC[[#This Row],[P.U. (1)]]</f>
        <v>0</v>
      </c>
      <c r="U140" s="82">
        <f>+VLOOKUP(B140,TbPiezas[],6,0)</f>
        <v>10.16</v>
      </c>
      <c r="V140" s="83">
        <f>TC[[#This Row],[TOTAL]]*TC[[#This Row],[P.U. (2)]]</f>
        <v>0</v>
      </c>
      <c r="W140" s="82">
        <f>+VLOOKUP(B140,TbPiezas[],7,0)</f>
        <v>0.50800000000000001</v>
      </c>
      <c r="X140" s="220">
        <f>ROUND(TC[[#This Row],[TOTAL]]*TC[[#This Row],[P.U. (3)]],2)</f>
        <v>0</v>
      </c>
    </row>
    <row r="141" spans="2:24" s="199" customFormat="1" x14ac:dyDescent="0.3">
      <c r="B141" s="212" t="s">
        <v>579</v>
      </c>
      <c r="C141" s="213" t="s">
        <v>580</v>
      </c>
      <c r="D141" s="214"/>
      <c r="E141" s="214"/>
      <c r="F141" s="214"/>
      <c r="G141" s="214"/>
      <c r="H141" s="215"/>
      <c r="J141" s="216">
        <f>+IF(J$14=1,8,)</f>
        <v>0</v>
      </c>
      <c r="L141" s="216"/>
      <c r="M141" s="217"/>
      <c r="N141" s="217"/>
      <c r="O141" s="218"/>
      <c r="P141" s="219" t="str">
        <f t="shared" si="3"/>
        <v>AE.11200</v>
      </c>
      <c r="Q141" s="74" t="str">
        <f>+IF(TC[[#This Row],[ITEM]]=B141,"ok","mal")</f>
        <v>ok</v>
      </c>
      <c r="R141" s="168">
        <f t="shared" si="2"/>
        <v>0</v>
      </c>
      <c r="S141" s="169">
        <f>IF(VLOOKUP(B141,TbPiezas[],5,0)="NA",0,VLOOKUP(B141,TbPiezas[],5,0))</f>
        <v>9.9999999999994316E-2</v>
      </c>
      <c r="T141" s="81">
        <f>TC[[#This Row],[TOTAL]]*TC[[#This Row],[P.U. (1)]]</f>
        <v>0</v>
      </c>
      <c r="U141" s="82">
        <f>+VLOOKUP(B141,TbPiezas[],6,0)</f>
        <v>10.16</v>
      </c>
      <c r="V141" s="83">
        <f>TC[[#This Row],[TOTAL]]*TC[[#This Row],[P.U. (2)]]</f>
        <v>0</v>
      </c>
      <c r="W141" s="82">
        <f>+VLOOKUP(B141,TbPiezas[],7,0)</f>
        <v>0.50800000000000001</v>
      </c>
      <c r="X141" s="220">
        <f>ROUND(TC[[#This Row],[TOTAL]]*TC[[#This Row],[P.U. (3)]],2)</f>
        <v>0</v>
      </c>
    </row>
    <row r="142" spans="2:24" s="199" customFormat="1" x14ac:dyDescent="0.3">
      <c r="B142" s="212" t="s">
        <v>581</v>
      </c>
      <c r="C142" s="213" t="s">
        <v>582</v>
      </c>
      <c r="D142" s="214"/>
      <c r="E142" s="214"/>
      <c r="F142" s="214"/>
      <c r="G142" s="214"/>
      <c r="H142" s="215"/>
      <c r="J142" s="216">
        <f>+IF(J$4="",,4*SUM(J$80:J$82))</f>
        <v>16</v>
      </c>
      <c r="L142" s="216"/>
      <c r="M142" s="217"/>
      <c r="N142" s="217"/>
      <c r="O142" s="218"/>
      <c r="P142" s="219" t="str">
        <f t="shared" si="3"/>
        <v>AE.11300</v>
      </c>
      <c r="Q142" s="74" t="str">
        <f>+IF(TC[[#This Row],[ITEM]]=B142,"ok","mal")</f>
        <v>ok</v>
      </c>
      <c r="R142" s="168">
        <f t="shared" si="2"/>
        <v>0</v>
      </c>
      <c r="S142" s="169">
        <f>IF(VLOOKUP(B142,TbPiezas[],5,0)="NA",0,VLOOKUP(B142,TbPiezas[],5,0))</f>
        <v>9.9999999999994316E-2</v>
      </c>
      <c r="T142" s="81">
        <f>TC[[#This Row],[TOTAL]]*TC[[#This Row],[P.U. (1)]]</f>
        <v>0</v>
      </c>
      <c r="U142" s="82">
        <f>+VLOOKUP(B142,TbPiezas[],6,0)</f>
        <v>10.16</v>
      </c>
      <c r="V142" s="83">
        <f>TC[[#This Row],[TOTAL]]*TC[[#This Row],[P.U. (2)]]</f>
        <v>0</v>
      </c>
      <c r="W142" s="82">
        <f>+VLOOKUP(B142,TbPiezas[],7,0)</f>
        <v>0.50800000000000001</v>
      </c>
      <c r="X142" s="220">
        <f>ROUND(TC[[#This Row],[TOTAL]]*TC[[#This Row],[P.U. (3)]],2)</f>
        <v>0</v>
      </c>
    </row>
    <row r="143" spans="2:24" s="199" customFormat="1" x14ac:dyDescent="0.3">
      <c r="B143" s="212" t="s">
        <v>583</v>
      </c>
      <c r="C143" s="213" t="s">
        <v>584</v>
      </c>
      <c r="D143" s="214"/>
      <c r="E143" s="214"/>
      <c r="F143" s="214"/>
      <c r="G143" s="214"/>
      <c r="H143" s="215"/>
      <c r="J143" s="216">
        <f>+IF(J$4="",,8+2*SUM(J$83:J$84))</f>
        <v>12</v>
      </c>
      <c r="L143" s="216"/>
      <c r="M143" s="217"/>
      <c r="N143" s="217"/>
      <c r="O143" s="218"/>
      <c r="P143" s="219" t="str">
        <f t="shared" si="3"/>
        <v>AE.11400</v>
      </c>
      <c r="Q143" s="74" t="str">
        <f>+IF(TC[[#This Row],[ITEM]]=B143,"ok","mal")</f>
        <v>ok</v>
      </c>
      <c r="R143" s="168">
        <f t="shared" si="2"/>
        <v>0</v>
      </c>
      <c r="S143" s="169">
        <f>IF(VLOOKUP(B143,TbPiezas[],5,0)="NA",0,VLOOKUP(B143,TbPiezas[],5,0))</f>
        <v>9.9999999999994316E-2</v>
      </c>
      <c r="T143" s="81">
        <f>TC[[#This Row],[TOTAL]]*TC[[#This Row],[P.U. (1)]]</f>
        <v>0</v>
      </c>
      <c r="U143" s="82">
        <f>+VLOOKUP(B143,TbPiezas[],6,0)</f>
        <v>10.16</v>
      </c>
      <c r="V143" s="83">
        <f>TC[[#This Row],[TOTAL]]*TC[[#This Row],[P.U. (2)]]</f>
        <v>0</v>
      </c>
      <c r="W143" s="82">
        <f>+VLOOKUP(B143,TbPiezas[],7,0)</f>
        <v>0.50800000000000001</v>
      </c>
      <c r="X143" s="220">
        <f>ROUND(TC[[#This Row],[TOTAL]]*TC[[#This Row],[P.U. (3)]],2)</f>
        <v>0</v>
      </c>
    </row>
    <row r="144" spans="2:24" s="199" customFormat="1" x14ac:dyDescent="0.3">
      <c r="B144" s="212" t="s">
        <v>585</v>
      </c>
      <c r="C144" s="213" t="s">
        <v>586</v>
      </c>
      <c r="D144" s="214"/>
      <c r="E144" s="214"/>
      <c r="F144" s="214"/>
      <c r="G144" s="214"/>
      <c r="H144" s="215"/>
      <c r="J144" s="216" t="str">
        <f>IF(J4="",,IF(J$7="PARAPETO","",IF(J$14=1,20,IF($J$14&lt;=6,36,40))))</f>
        <v/>
      </c>
      <c r="L144" s="216"/>
      <c r="M144" s="217"/>
      <c r="N144" s="217"/>
      <c r="O144" s="218"/>
      <c r="P144" s="219" t="str">
        <f t="shared" si="3"/>
        <v>AE.11500</v>
      </c>
      <c r="Q144" s="74" t="str">
        <f>+IF(TC[[#This Row],[ITEM]]=B144,"ok","mal")</f>
        <v>ok</v>
      </c>
      <c r="R144" s="168">
        <f t="shared" si="2"/>
        <v>0</v>
      </c>
      <c r="S144" s="169">
        <f>IF(VLOOKUP(B144,TbPiezas[],5,0)="NA",0,VLOOKUP(B144,TbPiezas[],5,0))</f>
        <v>25</v>
      </c>
      <c r="T144" s="81">
        <f>TC[[#This Row],[TOTAL]]*TC[[#This Row],[P.U. (1)]]</f>
        <v>0</v>
      </c>
      <c r="U144" s="82">
        <f>+VLOOKUP(B144,TbPiezas[],6,0)</f>
        <v>229.52</v>
      </c>
      <c r="V144" s="83">
        <f>TC[[#This Row],[TOTAL]]*TC[[#This Row],[P.U. (2)]]</f>
        <v>0</v>
      </c>
      <c r="W144" s="82">
        <f>+VLOOKUP(B144,TbPiezas[],7,0)</f>
        <v>11.476000000000001</v>
      </c>
      <c r="X144" s="220">
        <f>ROUND(TC[[#This Row],[TOTAL]]*TC[[#This Row],[P.U. (3)]],2)</f>
        <v>0</v>
      </c>
    </row>
    <row r="145" spans="2:24" s="199" customFormat="1" x14ac:dyDescent="0.3">
      <c r="B145" s="212" t="s">
        <v>587</v>
      </c>
      <c r="C145" s="213" t="s">
        <v>588</v>
      </c>
      <c r="D145" s="214"/>
      <c r="E145" s="214"/>
      <c r="F145" s="214"/>
      <c r="G145" s="214" t="s">
        <v>1243</v>
      </c>
      <c r="H145" s="215" t="s">
        <v>1019</v>
      </c>
      <c r="J145" s="216">
        <f>IF(J$4="",,IF(H$145="SI",IF(H$145=H$146,"ERROR",IF(J$14=1,1,4)),""))</f>
        <v>4</v>
      </c>
      <c r="L145" s="216"/>
      <c r="M145" s="217"/>
      <c r="N145" s="217"/>
      <c r="O145" s="218"/>
      <c r="P145" s="219" t="str">
        <f t="shared" si="3"/>
        <v>AE.11600</v>
      </c>
      <c r="Q145" s="74" t="str">
        <f>+IF(TC[[#This Row],[ITEM]]=B145,"ok","mal")</f>
        <v>ok</v>
      </c>
      <c r="R145" s="168">
        <f t="shared" si="2"/>
        <v>0</v>
      </c>
      <c r="S145" s="169">
        <f>IF(VLOOKUP(B145,TbPiezas[],5,0)="NA",0,VLOOKUP(B145,TbPiezas[],5,0))</f>
        <v>11.799999999999997</v>
      </c>
      <c r="T145" s="81">
        <f>TC[[#This Row],[TOTAL]]*TC[[#This Row],[P.U. (1)]]</f>
        <v>0</v>
      </c>
      <c r="U145" s="82">
        <f>+VLOOKUP(B145,TbPiezas[],6,0)</f>
        <v>229.52</v>
      </c>
      <c r="V145" s="83">
        <f>TC[[#This Row],[TOTAL]]*TC[[#This Row],[P.U. (2)]]</f>
        <v>0</v>
      </c>
      <c r="W145" s="82">
        <f>+VLOOKUP(B145,TbPiezas[],7,0)</f>
        <v>11.476000000000001</v>
      </c>
      <c r="X145" s="220">
        <f>ROUND(TC[[#This Row],[TOTAL]]*TC[[#This Row],[P.U. (3)]],2)</f>
        <v>0</v>
      </c>
    </row>
    <row r="146" spans="2:24" s="199" customFormat="1" x14ac:dyDescent="0.3">
      <c r="B146" s="212" t="s">
        <v>589</v>
      </c>
      <c r="C146" s="213" t="s">
        <v>590</v>
      </c>
      <c r="D146" s="214"/>
      <c r="E146" s="214"/>
      <c r="F146" s="214"/>
      <c r="G146" s="214" t="s">
        <v>1244</v>
      </c>
      <c r="H146" s="215" t="s">
        <v>1023</v>
      </c>
      <c r="J146" s="216" t="str">
        <f>IF(J$4="",,IF(H$146="SI",IF(H$145=H$146,"ERROR",IF(J$14=1,1,2)),""))</f>
        <v/>
      </c>
      <c r="L146" s="216"/>
      <c r="M146" s="217"/>
      <c r="N146" s="217"/>
      <c r="O146" s="218"/>
      <c r="P146" s="219" t="str">
        <f t="shared" si="3"/>
        <v>AE.11700</v>
      </c>
      <c r="Q146" s="74" t="str">
        <f>+IF(TC[[#This Row],[ITEM]]=B146,"ok","mal")</f>
        <v>ok</v>
      </c>
      <c r="R146" s="168">
        <f t="shared" si="2"/>
        <v>0</v>
      </c>
      <c r="S146" s="169">
        <f>IF(VLOOKUP(B146,TbPiezas[],5,0)="NA",0,VLOOKUP(B146,TbPiezas[],5,0))</f>
        <v>11.799999999999997</v>
      </c>
      <c r="T146" s="81">
        <f>TC[[#This Row],[TOTAL]]*TC[[#This Row],[P.U. (1)]]</f>
        <v>0</v>
      </c>
      <c r="U146" s="82">
        <f>+VLOOKUP(B146,TbPiezas[],6,0)</f>
        <v>229.52</v>
      </c>
      <c r="V146" s="83">
        <f>TC[[#This Row],[TOTAL]]*TC[[#This Row],[P.U. (2)]]</f>
        <v>0</v>
      </c>
      <c r="W146" s="82">
        <f>+VLOOKUP(B146,TbPiezas[],7,0)</f>
        <v>11.476000000000001</v>
      </c>
      <c r="X146" s="220">
        <f>ROUND(TC[[#This Row],[TOTAL]]*TC[[#This Row],[P.U. (3)]],2)</f>
        <v>0</v>
      </c>
    </row>
    <row r="147" spans="2:24" s="199" customFormat="1" x14ac:dyDescent="0.3">
      <c r="B147" s="212" t="s">
        <v>591</v>
      </c>
      <c r="C147" s="213" t="s">
        <v>592</v>
      </c>
      <c r="D147" s="214"/>
      <c r="E147" s="214"/>
      <c r="F147" s="214"/>
      <c r="G147" s="214"/>
      <c r="H147" s="215"/>
      <c r="J147" s="216">
        <f>+IF(OR(J$8="PARAPETO",J$8="AMBOS"),IF(J$14=1,1,2),)</f>
        <v>2</v>
      </c>
      <c r="L147" s="216"/>
      <c r="M147" s="217"/>
      <c r="N147" s="217"/>
      <c r="O147" s="218"/>
      <c r="P147" s="219" t="str">
        <f t="shared" si="3"/>
        <v>AE.11800</v>
      </c>
      <c r="Q147" s="74" t="str">
        <f>+IF(TC[[#This Row],[ITEM]]=B147,"ok","mal")</f>
        <v>ok</v>
      </c>
      <c r="R147" s="168">
        <f t="shared" ref="R147:R153" si="4">SUM(K147:O147)</f>
        <v>0</v>
      </c>
      <c r="S147" s="169">
        <f>IF(VLOOKUP(B147,TbPiezas[],5,0)="NA",0,VLOOKUP(B147,TbPiezas[],5,0))</f>
        <v>28.899999999999991</v>
      </c>
      <c r="T147" s="81">
        <f>TC[[#This Row],[TOTAL]]*TC[[#This Row],[P.U. (1)]]</f>
        <v>0</v>
      </c>
      <c r="U147" s="82">
        <f>+VLOOKUP(B147,TbPiezas[],6,0)</f>
        <v>1099.44</v>
      </c>
      <c r="V147" s="83">
        <f>TC[[#This Row],[TOTAL]]*TC[[#This Row],[P.U. (2)]]</f>
        <v>0</v>
      </c>
      <c r="W147" s="82">
        <f>+VLOOKUP(B147,TbPiezas[],7,0)</f>
        <v>54.972000000000008</v>
      </c>
      <c r="X147" s="220">
        <f>ROUND(TC[[#This Row],[TOTAL]]*TC[[#This Row],[P.U. (3)]],2)</f>
        <v>0</v>
      </c>
    </row>
    <row r="148" spans="2:24" s="199" customFormat="1" x14ac:dyDescent="0.3">
      <c r="B148" s="212" t="s">
        <v>593</v>
      </c>
      <c r="C148" s="213" t="s">
        <v>594</v>
      </c>
      <c r="D148" s="214"/>
      <c r="E148" s="214"/>
      <c r="F148" s="214"/>
      <c r="G148" s="214"/>
      <c r="H148" s="215"/>
      <c r="J148" s="216"/>
      <c r="L148" s="216"/>
      <c r="M148" s="217"/>
      <c r="N148" s="217"/>
      <c r="O148" s="218"/>
      <c r="P148" s="219" t="str">
        <f t="shared" ref="P148:P153" si="5">+B148</f>
        <v>AE.11850</v>
      </c>
      <c r="Q148" s="74" t="str">
        <f>+IF(TC[[#This Row],[ITEM]]=B148,"ok","mal")</f>
        <v>ok</v>
      </c>
      <c r="R148" s="168">
        <f t="shared" si="4"/>
        <v>0</v>
      </c>
      <c r="S148" s="169">
        <f>IF(VLOOKUP(B148,TbPiezas[],5,0)="NA",0,VLOOKUP(B148,TbPiezas[],5,0))</f>
        <v>74.099999999999994</v>
      </c>
      <c r="T148" s="81">
        <f>TC[[#This Row],[TOTAL]]*TC[[#This Row],[P.U. (1)]]</f>
        <v>0</v>
      </c>
      <c r="U148" s="82">
        <f>+VLOOKUP(B148,TbPiezas[],6,0)</f>
        <v>3176.25</v>
      </c>
      <c r="V148" s="83">
        <f>TC[[#This Row],[TOTAL]]*TC[[#This Row],[P.U. (2)]]</f>
        <v>0</v>
      </c>
      <c r="W148" s="82">
        <f>+VLOOKUP(B148,TbPiezas[],7,0)</f>
        <v>158.8125</v>
      </c>
      <c r="X148" s="220">
        <f>ROUND(TC[[#This Row],[TOTAL]]*TC[[#This Row],[P.U. (3)]],2)</f>
        <v>0</v>
      </c>
    </row>
    <row r="149" spans="2:24" s="199" customFormat="1" x14ac:dyDescent="0.3">
      <c r="B149" s="212" t="s">
        <v>595</v>
      </c>
      <c r="C149" s="213" t="s">
        <v>596</v>
      </c>
      <c r="D149" s="214"/>
      <c r="E149" s="214"/>
      <c r="F149" s="214"/>
      <c r="G149" s="214"/>
      <c r="H149" s="215"/>
      <c r="J149" s="216">
        <f>+IF(OR(J$8="PARAPETO",J$8="AMBOS"),2,)</f>
        <v>2</v>
      </c>
      <c r="L149" s="216"/>
      <c r="M149" s="217"/>
      <c r="N149" s="217"/>
      <c r="O149" s="218"/>
      <c r="P149" s="219" t="str">
        <f t="shared" si="5"/>
        <v>AE.11900</v>
      </c>
      <c r="Q149" s="74" t="str">
        <f>+IF(TC[[#This Row],[ITEM]]=B149,"ok","mal")</f>
        <v>ok</v>
      </c>
      <c r="R149" s="168">
        <f t="shared" si="4"/>
        <v>0</v>
      </c>
      <c r="S149" s="169">
        <f>IF(VLOOKUP(B149,TbPiezas[],5,0)="NA",0,VLOOKUP(B149,TbPiezas[],5,0))</f>
        <v>0.5</v>
      </c>
      <c r="T149" s="81">
        <f>TC[[#This Row],[TOTAL]]*TC[[#This Row],[P.U. (1)]]</f>
        <v>0</v>
      </c>
      <c r="U149" s="82">
        <f>+VLOOKUP(B149,TbPiezas[],6,0)</f>
        <v>157.1</v>
      </c>
      <c r="V149" s="83">
        <f>TC[[#This Row],[TOTAL]]*TC[[#This Row],[P.U. (2)]]</f>
        <v>0</v>
      </c>
      <c r="W149" s="82">
        <f>+VLOOKUP(B149,TbPiezas[],7,0)</f>
        <v>7.8550000000000004</v>
      </c>
      <c r="X149" s="220">
        <f>ROUND(TC[[#This Row],[TOTAL]]*TC[[#This Row],[P.U. (3)]],2)</f>
        <v>0</v>
      </c>
    </row>
    <row r="150" spans="2:24" s="199" customFormat="1" x14ac:dyDescent="0.3">
      <c r="B150" s="212" t="s">
        <v>597</v>
      </c>
      <c r="C150" s="213" t="s">
        <v>598</v>
      </c>
      <c r="D150" s="214"/>
      <c r="E150" s="214"/>
      <c r="F150" s="214"/>
      <c r="G150" s="214"/>
      <c r="H150" s="215" t="s">
        <v>1023</v>
      </c>
      <c r="J150" s="216" t="str">
        <f>+IF(J$6="",,IF(SUM(J$33:J$38)=0,"",IF(H150="SI",SUM(J$33:J$38),)))</f>
        <v/>
      </c>
      <c r="L150" s="216"/>
      <c r="M150" s="217"/>
      <c r="N150" s="217"/>
      <c r="O150" s="218"/>
      <c r="P150" s="219" t="str">
        <f t="shared" si="5"/>
        <v>AE.12000</v>
      </c>
      <c r="Q150" s="74" t="str">
        <f>+IF(TC[[#This Row],[ITEM]]=B150,"ok","mal")</f>
        <v>ok</v>
      </c>
      <c r="R150" s="168">
        <f t="shared" si="4"/>
        <v>0</v>
      </c>
      <c r="S150" s="169">
        <f>IF(VLOOKUP(B150,TbPiezas[],5,0)="NA",0,VLOOKUP(B150,TbPiezas[],5,0))</f>
        <v>7.0999999999999943</v>
      </c>
      <c r="T150" s="81">
        <f>TC[[#This Row],[TOTAL]]*TC[[#This Row],[P.U. (1)]]</f>
        <v>0</v>
      </c>
      <c r="U150" s="82">
        <f>+VLOOKUP(B150,TbPiezas[],6,0)</f>
        <v>381.15</v>
      </c>
      <c r="V150" s="83">
        <f>TC[[#This Row],[TOTAL]]*TC[[#This Row],[P.U. (2)]]</f>
        <v>0</v>
      </c>
      <c r="W150" s="82">
        <f>+VLOOKUP(B150,TbPiezas[],7,0)</f>
        <v>19.057500000000001</v>
      </c>
      <c r="X150" s="220">
        <f>ROUND(TC[[#This Row],[TOTAL]]*TC[[#This Row],[P.U. (3)]],2)</f>
        <v>0</v>
      </c>
    </row>
    <row r="151" spans="2:24" s="199" customFormat="1" x14ac:dyDescent="0.3">
      <c r="B151" s="212" t="s">
        <v>599</v>
      </c>
      <c r="C151" s="213" t="s">
        <v>600</v>
      </c>
      <c r="D151" s="214"/>
      <c r="E151" s="214"/>
      <c r="F151" s="214"/>
      <c r="G151" s="214"/>
      <c r="H151" s="215" t="s">
        <v>1023</v>
      </c>
      <c r="J151" s="216" t="str">
        <f>IF(J$4="",,IF(H$151="SI",1,""))</f>
        <v/>
      </c>
      <c r="L151" s="216"/>
      <c r="M151" s="217"/>
      <c r="N151" s="217"/>
      <c r="O151" s="218"/>
      <c r="P151" s="219" t="str">
        <f t="shared" si="5"/>
        <v>AE.12100</v>
      </c>
      <c r="Q151" s="74" t="str">
        <f>+IF(TC[[#This Row],[ITEM]]=B151,"ok","mal")</f>
        <v>ok</v>
      </c>
      <c r="R151" s="168">
        <f t="shared" si="4"/>
        <v>0</v>
      </c>
      <c r="S151" s="169">
        <f>IF(VLOOKUP(B151,TbPiezas[],5,0)="NA",0,VLOOKUP(B151,TbPiezas[],5,0))</f>
        <v>0.5</v>
      </c>
      <c r="T151" s="81">
        <f>TC[[#This Row],[TOTAL]]*TC[[#This Row],[P.U. (1)]]</f>
        <v>0</v>
      </c>
      <c r="U151" s="82">
        <f>+VLOOKUP(B151,TbPiezas[],6,0)</f>
        <v>88.94</v>
      </c>
      <c r="V151" s="83">
        <f>TC[[#This Row],[TOTAL]]*TC[[#This Row],[P.U. (2)]]</f>
        <v>0</v>
      </c>
      <c r="W151" s="82">
        <f>+VLOOKUP(B151,TbPiezas[],7,0)</f>
        <v>4.4470000000000001</v>
      </c>
      <c r="X151" s="220">
        <f>ROUND(TC[[#This Row],[TOTAL]]*TC[[#This Row],[P.U. (3)]],2)</f>
        <v>0</v>
      </c>
    </row>
    <row r="152" spans="2:24" s="199" customFormat="1" x14ac:dyDescent="0.3">
      <c r="B152" s="212" t="s">
        <v>601</v>
      </c>
      <c r="C152" s="213" t="s">
        <v>602</v>
      </c>
      <c r="D152" s="214"/>
      <c r="E152" s="214"/>
      <c r="F152" s="214"/>
      <c r="G152" s="214"/>
      <c r="H152" s="215" t="s">
        <v>1023</v>
      </c>
      <c r="J152" s="216" t="str">
        <f>IF(J$4="",,IF(H$152="SI",1,""))</f>
        <v/>
      </c>
      <c r="L152" s="216"/>
      <c r="M152" s="217"/>
      <c r="N152" s="217"/>
      <c r="O152" s="218"/>
      <c r="P152" s="219" t="str">
        <f t="shared" si="5"/>
        <v>AE.12200</v>
      </c>
      <c r="Q152" s="74" t="str">
        <f>+IF(TC[[#This Row],[ITEM]]=B152,"ok","mal")</f>
        <v>ok</v>
      </c>
      <c r="R152" s="168">
        <f t="shared" si="4"/>
        <v>0</v>
      </c>
      <c r="S152" s="169">
        <f>IF(VLOOKUP(B152,TbPiezas[],5,0)="NA",0,VLOOKUP(B152,TbPiezas[],5,0))</f>
        <v>0.75</v>
      </c>
      <c r="T152" s="81">
        <f>TC[[#This Row],[TOTAL]]*TC[[#This Row],[P.U. (1)]]</f>
        <v>0</v>
      </c>
      <c r="U152" s="82">
        <f>+VLOOKUP(B152,TbPiezas[],6,0)</f>
        <v>200</v>
      </c>
      <c r="V152" s="83">
        <f>TC[[#This Row],[TOTAL]]*TC[[#This Row],[P.U. (2)]]</f>
        <v>0</v>
      </c>
      <c r="W152" s="82">
        <f>+VLOOKUP(B152,TbPiezas[],7,0)</f>
        <v>10</v>
      </c>
      <c r="X152" s="220">
        <f>ROUND(TC[[#This Row],[TOTAL]]*TC[[#This Row],[P.U. (3)]],2)</f>
        <v>0</v>
      </c>
    </row>
    <row r="153" spans="2:24" s="199" customFormat="1" x14ac:dyDescent="0.3">
      <c r="B153" s="212" t="s">
        <v>603</v>
      </c>
      <c r="C153" s="213" t="s">
        <v>604</v>
      </c>
      <c r="D153" s="214"/>
      <c r="E153" s="214"/>
      <c r="F153" s="214"/>
      <c r="G153" s="214"/>
      <c r="H153" s="215" t="s">
        <v>1023</v>
      </c>
      <c r="J153" s="216" t="str">
        <f>IF(J$4="",,IF(H$153="SI",1,""))</f>
        <v/>
      </c>
      <c r="L153" s="216"/>
      <c r="M153" s="217"/>
      <c r="N153" s="217"/>
      <c r="O153" s="218"/>
      <c r="P153" s="219" t="str">
        <f t="shared" si="5"/>
        <v>AE.12300</v>
      </c>
      <c r="Q153" s="74" t="str">
        <f>+IF(TC[[#This Row],[ITEM]]=B153,"ok","mal")</f>
        <v>ok</v>
      </c>
      <c r="R153" s="168">
        <f t="shared" si="4"/>
        <v>0</v>
      </c>
      <c r="S153" s="221">
        <f>IF(VLOOKUP(B153,TbPiezas[],5,0)="NA",0,VLOOKUP(B153,TbPiezas[],5,0))</f>
        <v>0.1</v>
      </c>
      <c r="T153" s="81">
        <f>TC[[#This Row],[TOTAL]]*TC[[#This Row],[P.U. (1)]]</f>
        <v>0</v>
      </c>
      <c r="U153" s="82">
        <f>+VLOOKUP(B153,TbPiezas[],6,0)</f>
        <v>200</v>
      </c>
      <c r="V153" s="83">
        <f>TC[[#This Row],[TOTAL]]*TC[[#This Row],[P.U. (2)]]</f>
        <v>0</v>
      </c>
      <c r="W153" s="82">
        <f>+VLOOKUP(B153,TbPiezas[],7,0)</f>
        <v>10</v>
      </c>
      <c r="X153" s="220">
        <f>ROUND(TC[[#This Row],[TOTAL]]*TC[[#This Row],[P.U. (3)]],2)</f>
        <v>0</v>
      </c>
    </row>
    <row r="154" spans="2:24" s="199" customFormat="1" ht="7.5" customHeight="1" x14ac:dyDescent="0.3">
      <c r="C154" s="222"/>
      <c r="D154" s="222"/>
      <c r="E154" s="222"/>
      <c r="F154" s="222"/>
      <c r="G154" s="222"/>
      <c r="H154" s="222"/>
      <c r="J154" s="205"/>
      <c r="L154" s="205"/>
      <c r="P154" s="205"/>
      <c r="Q154" s="205"/>
      <c r="R154" s="205"/>
    </row>
    <row r="155" spans="2:24" s="199" customFormat="1" x14ac:dyDescent="0.3">
      <c r="C155" s="222"/>
      <c r="G155" s="223"/>
      <c r="J155" s="205"/>
      <c r="K155"/>
      <c r="L155" s="205"/>
      <c r="M155"/>
      <c r="N155"/>
      <c r="O155"/>
      <c r="P155" s="205"/>
      <c r="Q155" s="205"/>
      <c r="R155" s="205"/>
      <c r="S155" s="327" t="s">
        <v>1169</v>
      </c>
      <c r="T155" s="89">
        <f>SUM(T18:T154)</f>
        <v>0</v>
      </c>
      <c r="U155" s="90" t="s">
        <v>1170</v>
      </c>
      <c r="V155" s="91">
        <f>SUM(V18:V154)</f>
        <v>0</v>
      </c>
      <c r="W155" s="92" t="s">
        <v>1170</v>
      </c>
      <c r="X155" s="93">
        <f>SUM(X18:X154)</f>
        <v>0</v>
      </c>
    </row>
    <row r="156" spans="2:24" x14ac:dyDescent="0.3">
      <c r="S156" s="491" t="s">
        <v>1171</v>
      </c>
      <c r="T156" s="448">
        <f>+T155/1000</f>
        <v>0</v>
      </c>
      <c r="U156" s="344" t="s">
        <v>1289</v>
      </c>
      <c r="V156" s="449">
        <f>-V155*U157</f>
        <v>0</v>
      </c>
      <c r="W156" s="95" t="s">
        <v>1289</v>
      </c>
      <c r="X156" s="450">
        <f>-X155*W157</f>
        <v>0</v>
      </c>
    </row>
    <row r="157" spans="2:24" x14ac:dyDescent="0.3">
      <c r="S157" s="491"/>
      <c r="T157" s="448"/>
      <c r="U157" s="345"/>
      <c r="V157" s="449"/>
      <c r="W157" s="97"/>
      <c r="X157" s="450"/>
    </row>
    <row r="158" spans="2:24" ht="7.5" customHeight="1" x14ac:dyDescent="0.3">
      <c r="S158" s="2"/>
      <c r="T158" s="2"/>
      <c r="U158" s="43"/>
      <c r="V158" s="43"/>
      <c r="W158" s="43"/>
      <c r="X158" s="43"/>
    </row>
    <row r="159" spans="2:24" ht="15" customHeight="1" x14ac:dyDescent="0.3">
      <c r="S159" s="503" t="s">
        <v>1173</v>
      </c>
      <c r="T159" s="83">
        <v>0</v>
      </c>
      <c r="U159" s="98" t="s">
        <v>1170</v>
      </c>
      <c r="V159" s="83">
        <f>V155+V156</f>
        <v>0</v>
      </c>
      <c r="W159" s="82" t="s">
        <v>1170</v>
      </c>
      <c r="X159" s="84">
        <f>X155+X156</f>
        <v>0</v>
      </c>
    </row>
    <row r="160" spans="2:24" x14ac:dyDescent="0.3">
      <c r="S160" s="503"/>
      <c r="T160" s="83">
        <v>0</v>
      </c>
      <c r="U160" s="98" t="s">
        <v>1174</v>
      </c>
      <c r="V160" s="83">
        <f>0.18*V159</f>
        <v>0</v>
      </c>
      <c r="W160" s="82" t="s">
        <v>1174</v>
      </c>
      <c r="X160" s="84">
        <f>0.18*X159</f>
        <v>0</v>
      </c>
    </row>
    <row r="161" spans="19:24" ht="7.5" customHeight="1" x14ac:dyDescent="0.3">
      <c r="S161" s="2"/>
      <c r="T161" s="2"/>
      <c r="U161" s="43"/>
      <c r="V161" s="43"/>
      <c r="W161" s="43"/>
      <c r="X161" s="43"/>
    </row>
    <row r="162" spans="19:24" x14ac:dyDescent="0.3">
      <c r="S162" s="2"/>
      <c r="T162" s="99"/>
      <c r="U162" s="100" t="s">
        <v>1162</v>
      </c>
      <c r="V162" s="101">
        <f>+V159+V160</f>
        <v>0</v>
      </c>
      <c r="W162" s="100" t="s">
        <v>1162</v>
      </c>
      <c r="X162" s="102">
        <f>+X159+X160</f>
        <v>0</v>
      </c>
    </row>
    <row r="163" spans="19:24" x14ac:dyDescent="0.3">
      <c r="S163" s="42"/>
      <c r="T163" s="42"/>
      <c r="U163" s="43"/>
      <c r="V163" s="43"/>
      <c r="W163" s="43"/>
      <c r="X163" s="43"/>
    </row>
    <row r="164" spans="19:24" x14ac:dyDescent="0.3">
      <c r="U164" s="6"/>
      <c r="W164" s="6"/>
    </row>
    <row r="165" spans="19:24" x14ac:dyDescent="0.3">
      <c r="S165" s="6"/>
      <c r="U165" s="6"/>
      <c r="W165" s="6"/>
    </row>
    <row r="166" spans="19:24" x14ac:dyDescent="0.3">
      <c r="W166" s="6"/>
    </row>
  </sheetData>
  <mergeCells count="13">
    <mergeCell ref="B14:B15"/>
    <mergeCell ref="C14:C15"/>
    <mergeCell ref="J14:J15"/>
    <mergeCell ref="B17:B18"/>
    <mergeCell ref="C17:H18"/>
    <mergeCell ref="S159:S160"/>
    <mergeCell ref="U17:V17"/>
    <mergeCell ref="W17:X17"/>
    <mergeCell ref="S156:S157"/>
    <mergeCell ref="T156:T157"/>
    <mergeCell ref="V156:V157"/>
    <mergeCell ref="X156:X157"/>
    <mergeCell ref="S17:T1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07CD20-3C16-40A4-8DA6-5A1FA8CF6A27}">
          <x14:formula1>
            <xm:f>Apoyo1Despiece!$C$53:$C$56</xm:f>
          </x14:formula1>
          <xm:sqref>J4</xm:sqref>
        </x14:dataValidation>
        <x14:dataValidation type="list" allowBlank="1" showInputMessage="1" showErrorMessage="1" xr:uid="{9A871150-2709-49FE-BF60-7E8E97953674}">
          <x14:formula1>
            <xm:f>Apoyo1Despiece!$D$53:$D$54</xm:f>
          </x14:formula1>
          <xm:sqref>J5</xm:sqref>
        </x14:dataValidation>
        <x14:dataValidation type="list" allowBlank="1" showInputMessage="1" showErrorMessage="1" xr:uid="{C5CD2BB2-FBFB-489C-8E00-DDC75C02C9E7}">
          <x14:formula1>
            <xm:f>Apoyo1Despiece!$E$53:$E$67</xm:f>
          </x14:formula1>
          <xm:sqref>J6</xm:sqref>
        </x14:dataValidation>
        <x14:dataValidation type="list" allowBlank="1" showInputMessage="1" showErrorMessage="1" xr:uid="{E0E23FC4-FCE4-41B2-9676-6F33639916E6}">
          <x14:formula1>
            <xm:f>Apoyo1Despiece!$F$53:$F$56</xm:f>
          </x14:formula1>
          <xm:sqref>J7</xm:sqref>
        </x14:dataValidation>
        <x14:dataValidation type="list" allowBlank="1" showInputMessage="1" showErrorMessage="1" xr:uid="{804F8B96-CFF2-4BFA-B5BC-4CC3C72260B6}">
          <x14:formula1>
            <xm:f>Apoyo1Despiece!$G$53:$G$55</xm:f>
          </x14:formula1>
          <xm:sqref>J8</xm:sqref>
        </x14:dataValidation>
        <x14:dataValidation type="list" allowBlank="1" showInputMessage="1" showErrorMessage="1" xr:uid="{61FF0A94-F6D7-487F-91D5-FEA4D74D6B25}">
          <x14:formula1>
            <xm:f>Apoyo1Despiece!$H$53:$H$54</xm:f>
          </x14:formula1>
          <xm:sqref>J9</xm:sqref>
        </x14:dataValidation>
        <x14:dataValidation type="list" allowBlank="1" showInputMessage="1" showErrorMessage="1" xr:uid="{7B9A5C1D-FBF8-44B0-8A68-681090F05C33}">
          <x14:formula1>
            <xm:f>Apoyo1Despiece!$I$53:$I$54</xm:f>
          </x14:formula1>
          <xm:sqref>J10</xm:sqref>
        </x14:dataValidation>
        <x14:dataValidation type="list" allowBlank="1" showInputMessage="1" showErrorMessage="1" xr:uid="{FB04D852-5270-46FC-A4CF-E48A20ECE40F}">
          <x14:formula1>
            <xm:f>Apoyo1Despiece!$J$53:$J$54</xm:f>
          </x14:formula1>
          <xm:sqref>J11</xm:sqref>
        </x14:dataValidation>
        <x14:dataValidation type="list" allowBlank="1" showInputMessage="1" showErrorMessage="1" xr:uid="{95395835-D24E-41B8-A779-42D39207B65C}">
          <x14:formula1>
            <xm:f>Apoyo1Despiece!$K$53:$K$55</xm:f>
          </x14:formula1>
          <xm:sqref>J12</xm:sqref>
        </x14:dataValidation>
        <x14:dataValidation type="list" allowBlank="1" showInputMessage="1" showErrorMessage="1" xr:uid="{53C6A826-C2C3-4382-9D4A-77955E022897}">
          <x14:formula1>
            <xm:f>Apoyo1Despiece!$L$53:$L$61</xm:f>
          </x14:formula1>
          <xm:sqref>J13</xm:sqref>
        </x14:dataValidation>
        <x14:dataValidation type="list" allowBlank="1" showInputMessage="1" showErrorMessage="1" xr:uid="{67FD1CF0-6548-4381-8E14-E08F1EE2059A}">
          <x14:formula1>
            <xm:f>Apoyo1Despiece!$M$53:$M$56</xm:f>
          </x14:formula1>
          <xm:sqref>D14:H14</xm:sqref>
        </x14:dataValidation>
        <x14:dataValidation type="list" allowBlank="1" showInputMessage="1" showErrorMessage="1" xr:uid="{8F4E6E36-CCC3-4F72-A1CD-BB5DFE87CEA9}">
          <x14:formula1>
            <xm:f>Apoyo1Despiece!$N$53:$N$54</xm:f>
          </x14:formula1>
          <xm:sqref>D15:H15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42D22-40C9-4161-B4F3-43FAD8507C76}">
  <sheetPr codeName="Hoja24">
    <tabColor rgb="FF92D050"/>
  </sheetPr>
  <dimension ref="A1:P195"/>
  <sheetViews>
    <sheetView tabSelected="1" topLeftCell="A129" zoomScaleNormal="100" workbookViewId="0">
      <selection activeCell="A175" sqref="A175"/>
    </sheetView>
  </sheetViews>
  <sheetFormatPr baseColWidth="10" defaultColWidth="11.44140625" defaultRowHeight="14.4" outlineLevelRow="1" outlineLevelCol="1" x14ac:dyDescent="0.3"/>
  <cols>
    <col min="1" max="1" width="3.44140625" style="2" customWidth="1"/>
    <col min="2" max="2" width="6.5546875" style="2" customWidth="1"/>
    <col min="3" max="3" width="10.44140625" style="2" customWidth="1"/>
    <col min="4" max="4" width="83.88671875" style="2" customWidth="1"/>
    <col min="5" max="5" width="1.6640625" style="40" customWidth="1" outlineLevel="1"/>
    <col min="6" max="6" width="23.109375" style="40" customWidth="1" outlineLevel="1"/>
    <col min="7" max="7" width="3.6640625" style="40" customWidth="1"/>
    <col min="8" max="8" width="10.6640625" style="40" hidden="1" customWidth="1"/>
    <col min="9" max="9" width="6.33203125" style="40" hidden="1" customWidth="1"/>
    <col min="10" max="10" width="10.6640625" style="40" customWidth="1"/>
    <col min="11" max="12" width="13.33203125" style="42" customWidth="1"/>
    <col min="13" max="16" width="13.33203125" style="43" customWidth="1"/>
    <col min="17" max="16384" width="11.44140625" style="2"/>
  </cols>
  <sheetData>
    <row r="1" spans="3:16" ht="7.5" customHeight="1" x14ac:dyDescent="0.3">
      <c r="E1" s="2"/>
      <c r="F1" s="68"/>
      <c r="G1" s="2"/>
      <c r="H1" s="2"/>
      <c r="I1" s="2"/>
      <c r="J1" s="2"/>
      <c r="K1" s="2"/>
    </row>
    <row r="2" spans="3:16" ht="15" customHeight="1" x14ac:dyDescent="0.3">
      <c r="C2" s="124" t="s">
        <v>1248</v>
      </c>
      <c r="D2" s="124"/>
      <c r="E2" s="2"/>
      <c r="F2" s="68"/>
      <c r="G2" s="2"/>
      <c r="H2" s="2"/>
      <c r="I2" s="2"/>
      <c r="J2" s="2"/>
      <c r="K2" s="2"/>
    </row>
    <row r="3" spans="3:16" ht="7.5" customHeight="1" thickBot="1" x14ac:dyDescent="0.35">
      <c r="E3" s="2"/>
      <c r="F3" s="68"/>
      <c r="G3" s="2"/>
      <c r="H3" s="2"/>
      <c r="I3" s="2"/>
      <c r="J3" s="2"/>
      <c r="K3" s="2"/>
      <c r="L3" s="2"/>
      <c r="M3" s="2"/>
    </row>
    <row r="4" spans="3:16" ht="15" customHeight="1" outlineLevel="1" x14ac:dyDescent="0.3">
      <c r="D4" s="413" t="s">
        <v>1399</v>
      </c>
      <c r="E4" s="414"/>
      <c r="F4" s="415" t="s">
        <v>1093</v>
      </c>
      <c r="G4" s="2"/>
      <c r="H4" s="2"/>
      <c r="I4" s="2"/>
      <c r="J4" s="2"/>
      <c r="K4" s="2"/>
      <c r="L4" s="2"/>
      <c r="M4" s="2"/>
    </row>
    <row r="5" spans="3:16" ht="15" customHeight="1" outlineLevel="1" x14ac:dyDescent="0.3">
      <c r="D5" s="416" t="s">
        <v>1401</v>
      </c>
      <c r="E5" s="2"/>
      <c r="F5" s="417" t="s">
        <v>1382</v>
      </c>
      <c r="G5" s="2"/>
      <c r="H5" s="2"/>
      <c r="I5" s="2"/>
      <c r="J5" s="2"/>
      <c r="K5" s="2"/>
      <c r="L5" s="2"/>
      <c r="M5" s="2"/>
    </row>
    <row r="6" spans="3:16" ht="15" customHeight="1" outlineLevel="1" x14ac:dyDescent="0.3">
      <c r="D6" s="416" t="s">
        <v>1402</v>
      </c>
      <c r="E6" s="2"/>
      <c r="F6" s="417" t="s">
        <v>1095</v>
      </c>
      <c r="G6" s="2"/>
      <c r="H6" s="2"/>
      <c r="I6" s="2"/>
      <c r="J6" s="2"/>
      <c r="K6" s="2"/>
      <c r="L6" s="2"/>
      <c r="M6" s="2"/>
    </row>
    <row r="7" spans="3:16" ht="15" customHeight="1" outlineLevel="1" thickBot="1" x14ac:dyDescent="0.35">
      <c r="D7" s="418" t="s">
        <v>1057</v>
      </c>
      <c r="E7" s="419"/>
      <c r="F7" s="420" t="s">
        <v>1095</v>
      </c>
      <c r="G7" s="2"/>
      <c r="H7" s="2"/>
      <c r="I7" s="2"/>
      <c r="J7" s="2"/>
      <c r="K7" s="2"/>
      <c r="L7" s="2"/>
      <c r="M7" s="2"/>
    </row>
    <row r="8" spans="3:16" ht="15" customHeight="1" outlineLevel="1" x14ac:dyDescent="0.3">
      <c r="D8" s="421" t="s">
        <v>1249</v>
      </c>
      <c r="E8" s="414"/>
      <c r="F8" s="422">
        <v>71.650000000000006</v>
      </c>
      <c r="G8" s="2"/>
      <c r="H8" s="2"/>
      <c r="I8" s="2"/>
      <c r="J8" s="2"/>
      <c r="K8" s="2"/>
      <c r="L8" s="2"/>
      <c r="M8" s="2"/>
    </row>
    <row r="9" spans="3:16" ht="15" customHeight="1" outlineLevel="1" x14ac:dyDescent="0.3">
      <c r="D9" s="416" t="s">
        <v>1250</v>
      </c>
      <c r="E9" s="2"/>
      <c r="F9" s="423">
        <v>0</v>
      </c>
      <c r="G9" s="2"/>
      <c r="H9" s="2"/>
      <c r="I9" s="2"/>
      <c r="J9" s="2"/>
      <c r="K9" s="2"/>
      <c r="L9" s="2"/>
      <c r="M9" s="2"/>
    </row>
    <row r="10" spans="3:16" ht="15" customHeight="1" outlineLevel="1" x14ac:dyDescent="0.3">
      <c r="D10" s="416" t="s">
        <v>1404</v>
      </c>
      <c r="E10" s="2"/>
      <c r="F10" s="423">
        <v>5.4</v>
      </c>
      <c r="G10" s="2"/>
      <c r="H10" s="2"/>
      <c r="I10" s="2"/>
      <c r="J10" s="2"/>
      <c r="K10" s="2"/>
      <c r="L10" s="2"/>
      <c r="M10" s="2"/>
    </row>
    <row r="11" spans="3:16" ht="15" customHeight="1" outlineLevel="1" thickBot="1" x14ac:dyDescent="0.35">
      <c r="D11" s="425" t="s">
        <v>1251</v>
      </c>
      <c r="E11" s="2"/>
      <c r="F11" s="426">
        <v>2.65</v>
      </c>
      <c r="G11" s="2"/>
      <c r="H11" s="2"/>
      <c r="I11" s="2"/>
      <c r="J11" s="2"/>
      <c r="K11" s="2"/>
      <c r="L11" s="2"/>
      <c r="M11" s="2"/>
    </row>
    <row r="12" spans="3:16" ht="15" customHeight="1" outlineLevel="1" x14ac:dyDescent="0.3">
      <c r="D12" s="421" t="s">
        <v>1512</v>
      </c>
      <c r="E12" s="414"/>
      <c r="F12" s="422" t="s">
        <v>1377</v>
      </c>
      <c r="G12" s="2"/>
      <c r="H12" s="2"/>
      <c r="I12" s="2"/>
      <c r="J12" s="2"/>
      <c r="K12" s="2"/>
      <c r="L12" s="2"/>
      <c r="M12" s="2"/>
    </row>
    <row r="13" spans="3:16" ht="15" customHeight="1" outlineLevel="1" thickBot="1" x14ac:dyDescent="0.35">
      <c r="D13" s="418" t="s">
        <v>1513</v>
      </c>
      <c r="E13" s="419"/>
      <c r="F13" s="424"/>
      <c r="G13" s="2"/>
      <c r="H13" s="2"/>
      <c r="I13" s="2"/>
      <c r="J13" s="2"/>
      <c r="K13" s="2"/>
      <c r="L13" s="2"/>
      <c r="M13" s="2"/>
    </row>
    <row r="14" spans="3:16" ht="7.5" customHeight="1" outlineLevel="1" x14ac:dyDescent="0.3">
      <c r="E14" s="2"/>
      <c r="F14" s="68"/>
      <c r="G14" s="2"/>
      <c r="H14" s="2"/>
      <c r="I14" s="2"/>
      <c r="J14" s="2"/>
      <c r="K14" s="2"/>
    </row>
    <row r="15" spans="3:16" s="68" customFormat="1" x14ac:dyDescent="0.3">
      <c r="C15" s="495" t="s">
        <v>1</v>
      </c>
      <c r="D15" s="495" t="s">
        <v>0</v>
      </c>
      <c r="E15" s="2"/>
      <c r="F15" s="106" t="s">
        <v>1261</v>
      </c>
      <c r="G15" s="2"/>
      <c r="H15" s="2"/>
      <c r="I15" s="2"/>
      <c r="J15" s="132">
        <f>SUM(TEV[TOTAL])</f>
        <v>582</v>
      </c>
      <c r="K15" s="454" t="s">
        <v>2</v>
      </c>
      <c r="L15" s="455"/>
      <c r="M15" s="456" t="s">
        <v>1158</v>
      </c>
      <c r="N15" s="457"/>
      <c r="O15" s="443" t="s">
        <v>1159</v>
      </c>
      <c r="P15" s="444"/>
    </row>
    <row r="16" spans="3:16" s="68" customFormat="1" x14ac:dyDescent="0.3">
      <c r="C16" s="495"/>
      <c r="D16" s="495"/>
      <c r="E16" s="2"/>
      <c r="F16" s="110">
        <f>SUM(F17:F199)</f>
        <v>582</v>
      </c>
      <c r="G16" s="2"/>
      <c r="H16" s="112" t="s">
        <v>1</v>
      </c>
      <c r="I16" s="112" t="s">
        <v>1161</v>
      </c>
      <c r="J16" s="133" t="s">
        <v>1162</v>
      </c>
      <c r="K16" s="134" t="s">
        <v>1163</v>
      </c>
      <c r="L16" s="114" t="s">
        <v>1164</v>
      </c>
      <c r="M16" s="115" t="s">
        <v>1165</v>
      </c>
      <c r="N16" s="116" t="s">
        <v>1166</v>
      </c>
      <c r="O16" s="117" t="s">
        <v>1167</v>
      </c>
      <c r="P16" s="118" t="s">
        <v>1168</v>
      </c>
    </row>
    <row r="17" spans="2:16" hidden="1" x14ac:dyDescent="0.3">
      <c r="B17" s="129"/>
      <c r="C17" s="244" t="s">
        <v>311</v>
      </c>
      <c r="D17" s="244" t="s">
        <v>312</v>
      </c>
      <c r="E17" s="2"/>
      <c r="F17" s="78">
        <f>+IF(F13="EXPANSION",2*(F130+F131),)</f>
        <v>0</v>
      </c>
      <c r="G17" s="2"/>
      <c r="H17" s="244" t="str">
        <f>+C17</f>
        <v>CON.0700</v>
      </c>
      <c r="I17" s="76" t="str">
        <f>+IF(TEV[[#This Row],[ITEM]]=C17,"ok","mal")</f>
        <v>ok</v>
      </c>
      <c r="J17" s="168">
        <f t="shared" ref="J17:J66" si="0">+F17</f>
        <v>0</v>
      </c>
      <c r="K17" s="169">
        <f>IF(VLOOKUP(C17,TbPiezas[],5,0)="NA",0,VLOOKUP(C17,TbPiezas[],5,0))</f>
        <v>0.6</v>
      </c>
      <c r="L17" s="81">
        <f t="shared" ref="L17:L66" si="1">IF(F17="",0,K17*F17)</f>
        <v>0</v>
      </c>
      <c r="M17" s="82">
        <f>+VLOOKUP(C17,TbPiezas[],6,0)</f>
        <v>57.17</v>
      </c>
      <c r="N17" s="83">
        <f t="shared" ref="N17:N66" si="2">IF(F17="",0,ROUND(M17*F17,2))</f>
        <v>0</v>
      </c>
      <c r="O17" s="82">
        <f>+VLOOKUP(C17,TbPiezas[],7,0)</f>
        <v>2.8585000000000003</v>
      </c>
      <c r="P17" s="220">
        <f t="shared" ref="P17:P66" si="3">IF(F17="",0,ROUND(O17*F17,2))</f>
        <v>0</v>
      </c>
    </row>
    <row r="18" spans="2:16" hidden="1" x14ac:dyDescent="0.3">
      <c r="B18" s="129"/>
      <c r="C18" s="76" t="s">
        <v>613</v>
      </c>
      <c r="D18" s="76" t="s">
        <v>614</v>
      </c>
      <c r="E18" s="2"/>
      <c r="F18" s="78">
        <f>+IF(AND(F4="BASE",F5="PASANTE"),4,0)</f>
        <v>0</v>
      </c>
      <c r="G18" s="2"/>
      <c r="H18" s="244" t="str">
        <f>+C18</f>
        <v>EN.0320</v>
      </c>
      <c r="I18" s="76" t="str">
        <f>+IF(TEV[[#This Row],[ITEM]]=C18,"ok","mal")</f>
        <v>ok</v>
      </c>
      <c r="J18" s="168">
        <f>+F18</f>
        <v>0</v>
      </c>
      <c r="K18" s="383">
        <f>IF(VLOOKUP(C18,TbPiezas[],5,0)="NA",0,VLOOKUP(C18,TbPiezas[],5,0))</f>
        <v>2.2999999999999998</v>
      </c>
      <c r="L18" s="384">
        <f>IF(F18="",0,K18*F18)</f>
        <v>0</v>
      </c>
      <c r="M18" s="385">
        <f>+VLOOKUP(C18,TbPiezas[],6,0)</f>
        <v>107.99</v>
      </c>
      <c r="N18" s="386">
        <f>IF(F18="",0,ROUND(M18*F18,2))</f>
        <v>0</v>
      </c>
      <c r="O18" s="387">
        <f>+VLOOKUP(C18,TbPiezas[],7,0)</f>
        <v>5.3994999999999997</v>
      </c>
      <c r="P18" s="388">
        <f>IF(F18="",0,ROUND(O18*F18,2))</f>
        <v>0</v>
      </c>
    </row>
    <row r="19" spans="2:16" hidden="1" x14ac:dyDescent="0.3">
      <c r="C19" s="234" t="s">
        <v>615</v>
      </c>
      <c r="D19" s="234" t="s">
        <v>1383</v>
      </c>
      <c r="E19" s="2"/>
      <c r="F19" s="78">
        <f>+IF(AND(F4="BASE",F5="EXPANSION"),4,0)</f>
        <v>0</v>
      </c>
      <c r="G19" s="2"/>
      <c r="H19" s="244" t="str">
        <f>+C19</f>
        <v>EN.0325</v>
      </c>
      <c r="I19" s="76" t="str">
        <f>+IF(TEV[[#This Row],[ITEM]]=C19,"ok","mal")</f>
        <v>ok</v>
      </c>
      <c r="J19" s="439">
        <f t="shared" si="0"/>
        <v>0</v>
      </c>
      <c r="K19" s="169">
        <f>IF(VLOOKUP(C19,TbPiezas[],5,0)="NA",0,VLOOKUP(C19,TbPiezas[],5,0))</f>
        <v>1.7</v>
      </c>
      <c r="L19" s="81">
        <f t="shared" si="1"/>
        <v>0</v>
      </c>
      <c r="M19" s="247">
        <f>+VLOOKUP(C19,TbPiezas[],6,0)</f>
        <v>79.34</v>
      </c>
      <c r="N19" s="248">
        <f t="shared" si="2"/>
        <v>0</v>
      </c>
      <c r="O19" s="247">
        <f>+VLOOKUP(C19,TbPiezas[],7,0)</f>
        <v>3.9670000000000005</v>
      </c>
      <c r="P19" s="437">
        <f t="shared" si="3"/>
        <v>0</v>
      </c>
    </row>
    <row r="20" spans="2:16" x14ac:dyDescent="0.3">
      <c r="B20" s="129" t="s">
        <v>1095</v>
      </c>
      <c r="C20" s="244" t="s">
        <v>744</v>
      </c>
      <c r="D20" s="244" t="s">
        <v>745</v>
      </c>
      <c r="E20" s="2"/>
      <c r="F20" s="78">
        <f>IF(F$4="NUEVO",IF(F$6=B20, 1,),)</f>
        <v>1</v>
      </c>
      <c r="G20" s="2"/>
      <c r="H20" s="244" t="str">
        <f>+C20</f>
        <v>EV.0100</v>
      </c>
      <c r="I20" s="76" t="str">
        <f>+IF(TEV[[#This Row],[ITEM]]=C20,"ok","mal")</f>
        <v>ok</v>
      </c>
      <c r="J20" s="439">
        <f t="shared" si="0"/>
        <v>1</v>
      </c>
      <c r="K20" s="169">
        <f>IF(VLOOKUP(C20,TbPiezas[],5,0)="NA",0,VLOOKUP(C20,TbPiezas[],5,0))</f>
        <v>1100</v>
      </c>
      <c r="L20" s="81">
        <f t="shared" si="1"/>
        <v>1100</v>
      </c>
      <c r="M20" s="247">
        <f>+VLOOKUP(C20,TbPiezas[],6,0)</f>
        <v>60984</v>
      </c>
      <c r="N20" s="248">
        <f t="shared" si="2"/>
        <v>60984</v>
      </c>
      <c r="O20" s="247">
        <f>+VLOOKUP(C20,TbPiezas[],7,0)</f>
        <v>3049.2000000000003</v>
      </c>
      <c r="P20" s="437">
        <f t="shared" si="3"/>
        <v>3049.2</v>
      </c>
    </row>
    <row r="21" spans="2:16" hidden="1" x14ac:dyDescent="0.3">
      <c r="B21" s="129" t="s">
        <v>1094</v>
      </c>
      <c r="C21" s="244" t="s">
        <v>746</v>
      </c>
      <c r="D21" s="244" t="s">
        <v>747</v>
      </c>
      <c r="E21" s="2"/>
      <c r="F21" s="78">
        <f>IF(F$4="NUEVO",IF(F$6=B21, 1,),)</f>
        <v>0</v>
      </c>
      <c r="G21" s="2"/>
      <c r="H21" s="244" t="str">
        <f>+C21</f>
        <v>EV.0200</v>
      </c>
      <c r="I21" s="76" t="str">
        <f>+IF(TEV[[#This Row],[ITEM]]=C21,"ok","mal")</f>
        <v>ok</v>
      </c>
      <c r="J21" s="439">
        <f t="shared" si="0"/>
        <v>0</v>
      </c>
      <c r="K21" s="169">
        <f>IF(VLOOKUP(C21,TbPiezas[],5,0)="NA",0,VLOOKUP(C21,TbPiezas[],5,0))</f>
        <v>1100</v>
      </c>
      <c r="L21" s="81">
        <f t="shared" si="1"/>
        <v>0</v>
      </c>
      <c r="M21" s="247">
        <f>+VLOOKUP(C21,TbPiezas[],6,0)</f>
        <v>60984</v>
      </c>
      <c r="N21" s="248">
        <f t="shared" si="2"/>
        <v>0</v>
      </c>
      <c r="O21" s="247">
        <f>+VLOOKUP(C21,TbPiezas[],7,0)</f>
        <v>3049.2000000000003</v>
      </c>
      <c r="P21" s="437">
        <f t="shared" si="3"/>
        <v>0</v>
      </c>
    </row>
    <row r="22" spans="2:16" hidden="1" x14ac:dyDescent="0.3">
      <c r="B22" s="129"/>
      <c r="C22" s="433" t="s">
        <v>1409</v>
      </c>
      <c r="D22" s="240" t="s">
        <v>1405</v>
      </c>
      <c r="E22" s="2"/>
      <c r="F22" s="78"/>
      <c r="G22" s="2"/>
      <c r="H22" s="244"/>
      <c r="I22" s="76" t="str">
        <f>+IF(TEV[[#This Row],[ITEM]]=C22,"ok","mal")</f>
        <v>mal</v>
      </c>
      <c r="J22" s="439">
        <f>+F22</f>
        <v>0</v>
      </c>
      <c r="K22" s="440">
        <f>IF(VLOOKUP(C22,TbPiezas[],5,0)="NA",0,VLOOKUP(C22,TbPiezas[],5,0))</f>
        <v>0</v>
      </c>
      <c r="L22" s="384">
        <f>IF(F22="",0,K22*F22)</f>
        <v>0</v>
      </c>
      <c r="M22" s="385">
        <f>+VLOOKUP(C22,TbPiezas[],6,0)</f>
        <v>0</v>
      </c>
      <c r="N22" s="386">
        <f>IF(F22="",0,ROUND(M22*F22,2))</f>
        <v>0</v>
      </c>
      <c r="O22" s="385">
        <f>+VLOOKUP(C22,TbPiezas[],7,0)</f>
        <v>0</v>
      </c>
      <c r="P22" s="388">
        <f>IF(F22="",0,ROUND(O22*F22,2))</f>
        <v>0</v>
      </c>
    </row>
    <row r="23" spans="2:16" hidden="1" x14ac:dyDescent="0.3">
      <c r="B23" s="129"/>
      <c r="C23" s="433" t="s">
        <v>1410</v>
      </c>
      <c r="D23" s="240" t="s">
        <v>1406</v>
      </c>
      <c r="E23" s="2"/>
      <c r="F23" s="78"/>
      <c r="G23" s="2"/>
      <c r="H23" s="244"/>
      <c r="I23" s="76" t="str">
        <f>+IF(TEV[[#This Row],[ITEM]]=C23,"ok","mal")</f>
        <v>mal</v>
      </c>
      <c r="J23" s="439">
        <f>+F23</f>
        <v>0</v>
      </c>
      <c r="K23" s="440">
        <f>IF(VLOOKUP(C23,TbPiezas[],5,0)="NA",0,VLOOKUP(C23,TbPiezas[],5,0))</f>
        <v>0</v>
      </c>
      <c r="L23" s="384">
        <f>IF(F23="",0,K23*F23)</f>
        <v>0</v>
      </c>
      <c r="M23" s="385">
        <f>+VLOOKUP(C23,TbPiezas[],6,0)</f>
        <v>0</v>
      </c>
      <c r="N23" s="386">
        <f>IF(F23="",0,ROUND(M23*F23,2))</f>
        <v>0</v>
      </c>
      <c r="O23" s="385">
        <f>+VLOOKUP(C23,TbPiezas[],7,0)</f>
        <v>0</v>
      </c>
      <c r="P23" s="388">
        <f>IF(F23="",0,ROUND(O23*F23,2))</f>
        <v>0</v>
      </c>
    </row>
    <row r="24" spans="2:16" hidden="1" x14ac:dyDescent="0.3">
      <c r="B24" s="129"/>
      <c r="C24" s="433" t="s">
        <v>1411</v>
      </c>
      <c r="D24" s="240" t="s">
        <v>1407</v>
      </c>
      <c r="E24" s="2"/>
      <c r="F24" s="78"/>
      <c r="G24" s="2"/>
      <c r="H24" s="244"/>
      <c r="I24" s="76" t="str">
        <f>+IF(TEV[[#This Row],[ITEM]]=C24,"ok","mal")</f>
        <v>mal</v>
      </c>
      <c r="J24" s="439">
        <f>+F24</f>
        <v>0</v>
      </c>
      <c r="K24" s="440">
        <f>IF(VLOOKUP(C24,TbPiezas[],5,0)="NA",0,VLOOKUP(C24,TbPiezas[],5,0))</f>
        <v>0</v>
      </c>
      <c r="L24" s="384">
        <f>IF(F24="",0,K24*F24)</f>
        <v>0</v>
      </c>
      <c r="M24" s="385">
        <f>+VLOOKUP(C24,TbPiezas[],6,0)</f>
        <v>0</v>
      </c>
      <c r="N24" s="386">
        <f>IF(F24="",0,ROUND(M24*F24,2))</f>
        <v>0</v>
      </c>
      <c r="O24" s="385">
        <f>+VLOOKUP(C24,TbPiezas[],7,0)</f>
        <v>0</v>
      </c>
      <c r="P24" s="388">
        <f>IF(F24="",0,ROUND(O24*F24,2))</f>
        <v>0</v>
      </c>
    </row>
    <row r="25" spans="2:16" hidden="1" x14ac:dyDescent="0.3">
      <c r="B25" s="129"/>
      <c r="C25" s="433" t="s">
        <v>1412</v>
      </c>
      <c r="D25" s="240" t="s">
        <v>1408</v>
      </c>
      <c r="E25" s="2"/>
      <c r="F25" s="78"/>
      <c r="G25" s="2"/>
      <c r="H25" s="244"/>
      <c r="I25" s="76" t="str">
        <f>+IF(TEV[[#This Row],[ITEM]]=C25,"ok","mal")</f>
        <v>mal</v>
      </c>
      <c r="J25" s="439">
        <f>+F25</f>
        <v>0</v>
      </c>
      <c r="K25" s="440">
        <f>IF(VLOOKUP(C25,TbPiezas[],5,0)="NA",0,VLOOKUP(C25,TbPiezas[],5,0))</f>
        <v>0</v>
      </c>
      <c r="L25" s="384">
        <f>IF(F25="",0,K25*F25)</f>
        <v>0</v>
      </c>
      <c r="M25" s="385">
        <f>+VLOOKUP(C25,TbPiezas[],6,0)</f>
        <v>0</v>
      </c>
      <c r="N25" s="386">
        <f>IF(F25="",0,ROUND(M25*F25,2))</f>
        <v>0</v>
      </c>
      <c r="O25" s="385">
        <f>+VLOOKUP(C25,TbPiezas[],7,0)</f>
        <v>0</v>
      </c>
      <c r="P25" s="388">
        <f>IF(F25="",0,ROUND(O25*F25,2))</f>
        <v>0</v>
      </c>
    </row>
    <row r="26" spans="2:16" x14ac:dyDescent="0.3">
      <c r="C26" s="433" t="s">
        <v>748</v>
      </c>
      <c r="D26" s="234" t="s">
        <v>1414</v>
      </c>
      <c r="E26" s="2"/>
      <c r="F26" s="78">
        <f t="shared" ref="F26:F33" si="4">IF(F$4="NUEVO",1,)</f>
        <v>1</v>
      </c>
      <c r="G26" s="2"/>
      <c r="H26" s="244" t="str">
        <f>+C26</f>
        <v>EV.0300</v>
      </c>
      <c r="I26" s="76" t="str">
        <f>+IF(TEV[[#This Row],[ITEM]]=C26,"ok","mal")</f>
        <v>ok</v>
      </c>
      <c r="J26" s="439">
        <f t="shared" si="0"/>
        <v>1</v>
      </c>
      <c r="K26" s="169">
        <f>IF(VLOOKUP(C26,TbPiezas[],5,0)="NA",0,VLOOKUP(C26,TbPiezas[],5,0))</f>
        <v>0</v>
      </c>
      <c r="L26" s="81">
        <f t="shared" si="1"/>
        <v>0</v>
      </c>
      <c r="M26" s="247">
        <f>+VLOOKUP(C26,TbPiezas[],6,0)</f>
        <v>9528.75</v>
      </c>
      <c r="N26" s="248">
        <f t="shared" si="2"/>
        <v>9528.75</v>
      </c>
      <c r="O26" s="247">
        <f>+VLOOKUP(C26,TbPiezas[],7,0)</f>
        <v>476.4375</v>
      </c>
      <c r="P26" s="437">
        <f t="shared" si="3"/>
        <v>476.44</v>
      </c>
    </row>
    <row r="27" spans="2:16" hidden="1" x14ac:dyDescent="0.3">
      <c r="C27" s="433" t="s">
        <v>1415</v>
      </c>
      <c r="D27" s="234" t="s">
        <v>1413</v>
      </c>
      <c r="E27" s="2"/>
      <c r="F27" s="78"/>
      <c r="G27" s="2"/>
      <c r="H27" s="244"/>
      <c r="I27" s="76" t="str">
        <f>+IF(TEV[[#This Row],[ITEM]]=C27,"ok","mal")</f>
        <v>mal</v>
      </c>
      <c r="J27" s="439">
        <f>+F27</f>
        <v>0</v>
      </c>
      <c r="K27" s="440">
        <f>IF(VLOOKUP(C27,TbPiezas[],5,0)="NA",0,VLOOKUP(C27,TbPiezas[],5,0))</f>
        <v>0</v>
      </c>
      <c r="L27" s="384">
        <f>IF(F27="",0,K27*F27)</f>
        <v>0</v>
      </c>
      <c r="M27" s="385">
        <f>+VLOOKUP(C27,TbPiezas[],6,0)</f>
        <v>0</v>
      </c>
      <c r="N27" s="386">
        <f>IF(F27="",0,ROUND(M27*F27,2))</f>
        <v>0</v>
      </c>
      <c r="O27" s="385">
        <f>+VLOOKUP(C27,TbPiezas[],7,0)</f>
        <v>0</v>
      </c>
      <c r="P27" s="388">
        <f>IF(F27="",0,ROUND(O27*F27,2))</f>
        <v>0</v>
      </c>
    </row>
    <row r="28" spans="2:16" x14ac:dyDescent="0.3">
      <c r="C28" s="244" t="s">
        <v>749</v>
      </c>
      <c r="D28" s="244" t="s">
        <v>750</v>
      </c>
      <c r="E28" s="2"/>
      <c r="F28" s="78">
        <f t="shared" si="4"/>
        <v>1</v>
      </c>
      <c r="G28" s="2"/>
      <c r="H28" s="244" t="str">
        <f t="shared" ref="H28:H35" si="5">+C28</f>
        <v>EV.0400</v>
      </c>
      <c r="I28" s="76" t="str">
        <f>+IF(TEV[[#This Row],[ITEM]]=C28,"ok","mal")</f>
        <v>ok</v>
      </c>
      <c r="J28" s="439">
        <f t="shared" si="0"/>
        <v>1</v>
      </c>
      <c r="K28" s="169">
        <f>IF(VLOOKUP(C28,TbPiezas[],5,0)="NA",0,VLOOKUP(C28,TbPiezas[],5,0))</f>
        <v>0</v>
      </c>
      <c r="L28" s="81">
        <f t="shared" si="1"/>
        <v>0</v>
      </c>
      <c r="M28" s="247">
        <f>+VLOOKUP(C28,TbPiezas[],6,0)</f>
        <v>444.68</v>
      </c>
      <c r="N28" s="248">
        <f t="shared" si="2"/>
        <v>444.68</v>
      </c>
      <c r="O28" s="247">
        <f>+VLOOKUP(C28,TbPiezas[],7,0)</f>
        <v>22.234000000000002</v>
      </c>
      <c r="P28" s="437">
        <f t="shared" si="3"/>
        <v>22.23</v>
      </c>
    </row>
    <row r="29" spans="2:16" x14ac:dyDescent="0.3">
      <c r="C29" s="244" t="s">
        <v>751</v>
      </c>
      <c r="D29" s="244" t="s">
        <v>752</v>
      </c>
      <c r="E29" s="2"/>
      <c r="F29" s="78">
        <f t="shared" si="4"/>
        <v>1</v>
      </c>
      <c r="G29" s="2"/>
      <c r="H29" s="244" t="str">
        <f t="shared" si="5"/>
        <v>EV.0500</v>
      </c>
      <c r="I29" s="76" t="str">
        <f>+IF(TEV[[#This Row],[ITEM]]=C29,"ok","mal")</f>
        <v>ok</v>
      </c>
      <c r="J29" s="439">
        <f t="shared" si="0"/>
        <v>1</v>
      </c>
      <c r="K29" s="169">
        <f>IF(VLOOKUP(C29,TbPiezas[],5,0)="NA",0,VLOOKUP(C29,TbPiezas[],5,0))</f>
        <v>0</v>
      </c>
      <c r="L29" s="81">
        <f t="shared" si="1"/>
        <v>0</v>
      </c>
      <c r="M29" s="247">
        <f>+VLOOKUP(C29,TbPiezas[],6,0)</f>
        <v>4446.75</v>
      </c>
      <c r="N29" s="248">
        <f t="shared" si="2"/>
        <v>4446.75</v>
      </c>
      <c r="O29" s="247">
        <f>+VLOOKUP(C29,TbPiezas[],7,0)</f>
        <v>222.33750000000001</v>
      </c>
      <c r="P29" s="437">
        <f t="shared" si="3"/>
        <v>222.34</v>
      </c>
    </row>
    <row r="30" spans="2:16" x14ac:dyDescent="0.3">
      <c r="C30" s="244" t="s">
        <v>753</v>
      </c>
      <c r="D30" s="244" t="s">
        <v>754</v>
      </c>
      <c r="E30" s="2"/>
      <c r="F30" s="78">
        <f t="shared" si="4"/>
        <v>1</v>
      </c>
      <c r="G30" s="2"/>
      <c r="H30" s="244" t="str">
        <f t="shared" si="5"/>
        <v>EV.0600</v>
      </c>
      <c r="I30" s="76" t="str">
        <f>+IF(TEV[[#This Row],[ITEM]]=C30,"ok","mal")</f>
        <v>ok</v>
      </c>
      <c r="J30" s="439">
        <f t="shared" si="0"/>
        <v>1</v>
      </c>
      <c r="K30" s="169">
        <f>IF(VLOOKUP(C30,TbPiezas[],5,0)="NA",0,VLOOKUP(C30,TbPiezas[],5,0))</f>
        <v>0</v>
      </c>
      <c r="L30" s="81">
        <f t="shared" si="1"/>
        <v>0</v>
      </c>
      <c r="M30" s="247">
        <f>+VLOOKUP(C30,TbPiezas[],6,0)</f>
        <v>152.46</v>
      </c>
      <c r="N30" s="248">
        <f t="shared" si="2"/>
        <v>152.46</v>
      </c>
      <c r="O30" s="247">
        <f>+VLOOKUP(C30,TbPiezas[],7,0)</f>
        <v>7.6230000000000011</v>
      </c>
      <c r="P30" s="437">
        <f t="shared" si="3"/>
        <v>7.62</v>
      </c>
    </row>
    <row r="31" spans="2:16" x14ac:dyDescent="0.3">
      <c r="C31" s="244" t="s">
        <v>755</v>
      </c>
      <c r="D31" s="244" t="s">
        <v>756</v>
      </c>
      <c r="E31" s="2"/>
      <c r="F31" s="78">
        <f t="shared" si="4"/>
        <v>1</v>
      </c>
      <c r="G31" s="2"/>
      <c r="H31" s="244" t="str">
        <f t="shared" si="5"/>
        <v>EV.0700</v>
      </c>
      <c r="I31" s="76" t="str">
        <f>+IF(TEV[[#This Row],[ITEM]]=C31,"ok","mal")</f>
        <v>ok</v>
      </c>
      <c r="J31" s="439">
        <f t="shared" si="0"/>
        <v>1</v>
      </c>
      <c r="K31" s="169">
        <f>IF(VLOOKUP(C31,TbPiezas[],5,0)="NA",0,VLOOKUP(C31,TbPiezas[],5,0))</f>
        <v>0</v>
      </c>
      <c r="L31" s="81">
        <f t="shared" si="1"/>
        <v>0</v>
      </c>
      <c r="M31" s="247">
        <f>+VLOOKUP(C31,TbPiezas[],6,0)</f>
        <v>317.63</v>
      </c>
      <c r="N31" s="248">
        <f t="shared" si="2"/>
        <v>317.63</v>
      </c>
      <c r="O31" s="247">
        <f>+VLOOKUP(C31,TbPiezas[],7,0)</f>
        <v>15.881500000000001</v>
      </c>
      <c r="P31" s="437">
        <f t="shared" si="3"/>
        <v>15.88</v>
      </c>
    </row>
    <row r="32" spans="2:16" x14ac:dyDescent="0.3">
      <c r="C32" s="244" t="s">
        <v>757</v>
      </c>
      <c r="D32" s="244" t="s">
        <v>758</v>
      </c>
      <c r="E32" s="2"/>
      <c r="F32" s="78">
        <f t="shared" si="4"/>
        <v>1</v>
      </c>
      <c r="G32" s="2"/>
      <c r="H32" s="244" t="str">
        <f t="shared" si="5"/>
        <v>EV.0800</v>
      </c>
      <c r="I32" s="76" t="str">
        <f>+IF(TEV[[#This Row],[ITEM]]=C32,"ok","mal")</f>
        <v>ok</v>
      </c>
      <c r="J32" s="439">
        <f t="shared" si="0"/>
        <v>1</v>
      </c>
      <c r="K32" s="169">
        <f>IF(VLOOKUP(C32,TbPiezas[],5,0)="NA",0,VLOOKUP(C32,TbPiezas[],5,0))</f>
        <v>0</v>
      </c>
      <c r="L32" s="81">
        <f t="shared" si="1"/>
        <v>0</v>
      </c>
      <c r="M32" s="247">
        <f>+VLOOKUP(C32,TbPiezas[],6,0)</f>
        <v>444.68</v>
      </c>
      <c r="N32" s="248">
        <f t="shared" si="2"/>
        <v>444.68</v>
      </c>
      <c r="O32" s="247">
        <f>+VLOOKUP(C32,TbPiezas[],7,0)</f>
        <v>22.234000000000002</v>
      </c>
      <c r="P32" s="437">
        <f t="shared" si="3"/>
        <v>22.23</v>
      </c>
    </row>
    <row r="33" spans="1:16" x14ac:dyDescent="0.3">
      <c r="C33" s="244" t="s">
        <v>759</v>
      </c>
      <c r="D33" s="244" t="s">
        <v>760</v>
      </c>
      <c r="E33" s="2"/>
      <c r="F33" s="78">
        <f t="shared" si="4"/>
        <v>1</v>
      </c>
      <c r="G33" s="2"/>
      <c r="H33" s="244" t="str">
        <f t="shared" si="5"/>
        <v>EV.0900</v>
      </c>
      <c r="I33" s="76" t="str">
        <f>+IF(TEV[[#This Row],[ITEM]]=C33,"ok","mal")</f>
        <v>ok</v>
      </c>
      <c r="J33" s="439">
        <f t="shared" si="0"/>
        <v>1</v>
      </c>
      <c r="K33" s="169">
        <f>IF(VLOOKUP(C33,TbPiezas[],5,0)="NA",0,VLOOKUP(C33,TbPiezas[],5,0))</f>
        <v>0</v>
      </c>
      <c r="L33" s="81">
        <f t="shared" si="1"/>
        <v>0</v>
      </c>
      <c r="M33" s="247">
        <f>+VLOOKUP(C33,TbPiezas[],6,0)</f>
        <v>444.68</v>
      </c>
      <c r="N33" s="248">
        <f t="shared" si="2"/>
        <v>444.68</v>
      </c>
      <c r="O33" s="247">
        <f>+VLOOKUP(C33,TbPiezas[],7,0)</f>
        <v>22.234000000000002</v>
      </c>
      <c r="P33" s="437">
        <f t="shared" si="3"/>
        <v>22.23</v>
      </c>
    </row>
    <row r="34" spans="1:16" x14ac:dyDescent="0.3">
      <c r="A34" s="518"/>
      <c r="C34" s="244" t="s">
        <v>761</v>
      </c>
      <c r="D34" s="244" t="s">
        <v>762</v>
      </c>
      <c r="E34" s="2"/>
      <c r="F34" s="78">
        <f>+IF(F$4="NUEVO",14,)</f>
        <v>14</v>
      </c>
      <c r="G34" s="2"/>
      <c r="H34" s="244" t="str">
        <f t="shared" si="5"/>
        <v>EV.1000</v>
      </c>
      <c r="I34" s="76" t="str">
        <f>+IF(TEV[[#This Row],[ITEM]]=C34,"ok","mal")</f>
        <v>ok</v>
      </c>
      <c r="J34" s="439">
        <f t="shared" si="0"/>
        <v>14</v>
      </c>
      <c r="K34" s="169">
        <f>IF(VLOOKUP(C34,TbPiezas[],5,0)="NA",0,VLOOKUP(C34,TbPiezas[],5,0))</f>
        <v>2</v>
      </c>
      <c r="L34" s="81">
        <f t="shared" si="1"/>
        <v>28</v>
      </c>
      <c r="M34" s="247">
        <f>+VLOOKUP(C34,TbPiezas[],6,0)</f>
        <v>317.63</v>
      </c>
      <c r="N34" s="248">
        <f t="shared" si="2"/>
        <v>4446.82</v>
      </c>
      <c r="O34" s="247">
        <f>+VLOOKUP(C34,TbPiezas[],7,0)</f>
        <v>15.881500000000001</v>
      </c>
      <c r="P34" s="437">
        <f t="shared" si="3"/>
        <v>222.34</v>
      </c>
    </row>
    <row r="35" spans="1:16" x14ac:dyDescent="0.3">
      <c r="C35" s="244" t="s">
        <v>763</v>
      </c>
      <c r="D35" s="244" t="s">
        <v>764</v>
      </c>
      <c r="E35" s="2"/>
      <c r="F35" s="78">
        <f t="shared" ref="F35:F45" si="6">IF(F$4="NUEVO",1,)</f>
        <v>1</v>
      </c>
      <c r="G35" s="2"/>
      <c r="H35" s="244" t="str">
        <f t="shared" si="5"/>
        <v>EV.1100</v>
      </c>
      <c r="I35" s="76" t="str">
        <f>+IF(TEV[[#This Row],[ITEM]]=C35,"ok","mal")</f>
        <v>ok</v>
      </c>
      <c r="J35" s="439">
        <f t="shared" si="0"/>
        <v>1</v>
      </c>
      <c r="K35" s="169">
        <f>IF(VLOOKUP(C35,TbPiezas[],5,0)="NA",0,VLOOKUP(C35,TbPiezas[],5,0))</f>
        <v>9.5</v>
      </c>
      <c r="L35" s="81">
        <f t="shared" si="1"/>
        <v>9.5</v>
      </c>
      <c r="M35" s="247">
        <f>+VLOOKUP(C35,TbPiezas[],6,0)</f>
        <v>827.08</v>
      </c>
      <c r="N35" s="248">
        <f t="shared" si="2"/>
        <v>827.08</v>
      </c>
      <c r="O35" s="247">
        <f>+VLOOKUP(C35,TbPiezas[],7,0)</f>
        <v>41.354000000000006</v>
      </c>
      <c r="P35" s="437">
        <f t="shared" si="3"/>
        <v>41.35</v>
      </c>
    </row>
    <row r="36" spans="1:16" hidden="1" x14ac:dyDescent="0.3">
      <c r="C36" s="433" t="s">
        <v>1420</v>
      </c>
      <c r="D36" s="234" t="s">
        <v>1416</v>
      </c>
      <c r="E36" s="2"/>
      <c r="F36" s="78"/>
      <c r="G36" s="2"/>
      <c r="H36" s="244"/>
      <c r="I36" s="76" t="str">
        <f>+IF(TEV[[#This Row],[ITEM]]=C36,"ok","mal")</f>
        <v>mal</v>
      </c>
      <c r="J36" s="439">
        <f>+F36</f>
        <v>0</v>
      </c>
      <c r="K36" s="440">
        <f>IF(VLOOKUP(C36,TbPiezas[],5,0)="NA",0,VLOOKUP(C36,TbPiezas[],5,0))</f>
        <v>0</v>
      </c>
      <c r="L36" s="384">
        <f>IF(F36="",0,K36*F36)</f>
        <v>0</v>
      </c>
      <c r="M36" s="385">
        <f>+VLOOKUP(C36,TbPiezas[],6,0)</f>
        <v>0</v>
      </c>
      <c r="N36" s="386">
        <f>IF(F36="",0,ROUND(M36*F36,2))</f>
        <v>0</v>
      </c>
      <c r="O36" s="385">
        <f>+VLOOKUP(C36,TbPiezas[],7,0)</f>
        <v>0</v>
      </c>
      <c r="P36" s="388">
        <f>IF(F36="",0,ROUND(O36*F36,2))</f>
        <v>0</v>
      </c>
    </row>
    <row r="37" spans="1:16" hidden="1" x14ac:dyDescent="0.3">
      <c r="C37" s="433" t="s">
        <v>1421</v>
      </c>
      <c r="D37" s="234" t="s">
        <v>1417</v>
      </c>
      <c r="E37" s="2"/>
      <c r="F37" s="78"/>
      <c r="G37" s="2"/>
      <c r="H37" s="244"/>
      <c r="I37" s="76" t="str">
        <f>+IF(TEV[[#This Row],[ITEM]]=C37,"ok","mal")</f>
        <v>mal</v>
      </c>
      <c r="J37" s="439">
        <f>+F37</f>
        <v>0</v>
      </c>
      <c r="K37" s="440">
        <f>IF(VLOOKUP(C37,TbPiezas[],5,0)="NA",0,VLOOKUP(C37,TbPiezas[],5,0))</f>
        <v>0</v>
      </c>
      <c r="L37" s="384">
        <f>IF(F37="",0,K37*F37)</f>
        <v>0</v>
      </c>
      <c r="M37" s="385">
        <f>+VLOOKUP(C37,TbPiezas[],6,0)</f>
        <v>0</v>
      </c>
      <c r="N37" s="386">
        <f>IF(F37="",0,ROUND(M37*F37,2))</f>
        <v>0</v>
      </c>
      <c r="O37" s="385">
        <f>+VLOOKUP(C37,TbPiezas[],7,0)</f>
        <v>0</v>
      </c>
      <c r="P37" s="388">
        <f>IF(F37="",0,ROUND(O37*F37,2))</f>
        <v>0</v>
      </c>
    </row>
    <row r="38" spans="1:16" hidden="1" x14ac:dyDescent="0.3">
      <c r="C38" s="433" t="s">
        <v>1422</v>
      </c>
      <c r="D38" s="234" t="s">
        <v>1418</v>
      </c>
      <c r="E38" s="2"/>
      <c r="F38" s="78"/>
      <c r="G38" s="2"/>
      <c r="H38" s="244"/>
      <c r="I38" s="76" t="str">
        <f>+IF(TEV[[#This Row],[ITEM]]=C38,"ok","mal")</f>
        <v>mal</v>
      </c>
      <c r="J38" s="439">
        <f>+F38</f>
        <v>0</v>
      </c>
      <c r="K38" s="440">
        <f>IF(VLOOKUP(C38,TbPiezas[],5,0)="NA",0,VLOOKUP(C38,TbPiezas[],5,0))</f>
        <v>0</v>
      </c>
      <c r="L38" s="384">
        <f>IF(F38="",0,K38*F38)</f>
        <v>0</v>
      </c>
      <c r="M38" s="385">
        <f>+VLOOKUP(C38,TbPiezas[],6,0)</f>
        <v>0</v>
      </c>
      <c r="N38" s="386">
        <f>IF(F38="",0,ROUND(M38*F38,2))</f>
        <v>0</v>
      </c>
      <c r="O38" s="385">
        <f>+VLOOKUP(C38,TbPiezas[],7,0)</f>
        <v>0</v>
      </c>
      <c r="P38" s="388">
        <f>IF(F38="",0,ROUND(O38*F38,2))</f>
        <v>0</v>
      </c>
    </row>
    <row r="39" spans="1:16" hidden="1" x14ac:dyDescent="0.3">
      <c r="C39" s="433" t="s">
        <v>1423</v>
      </c>
      <c r="D39" s="234" t="s">
        <v>1419</v>
      </c>
      <c r="E39" s="2"/>
      <c r="F39" s="78"/>
      <c r="G39" s="2"/>
      <c r="H39" s="244"/>
      <c r="I39" s="76" t="str">
        <f>+IF(TEV[[#This Row],[ITEM]]=C39,"ok","mal")</f>
        <v>mal</v>
      </c>
      <c r="J39" s="439">
        <f>+F39</f>
        <v>0</v>
      </c>
      <c r="K39" s="440">
        <f>IF(VLOOKUP(C39,TbPiezas[],5,0)="NA",0,VLOOKUP(C39,TbPiezas[],5,0))</f>
        <v>0</v>
      </c>
      <c r="L39" s="384">
        <f>IF(F39="",0,K39*F39)</f>
        <v>0</v>
      </c>
      <c r="M39" s="385">
        <f>+VLOOKUP(C39,TbPiezas[],6,0)</f>
        <v>0</v>
      </c>
      <c r="N39" s="386">
        <f>IF(F39="",0,ROUND(M39*F39,2))</f>
        <v>0</v>
      </c>
      <c r="O39" s="385">
        <f>+VLOOKUP(C39,TbPiezas[],7,0)</f>
        <v>0</v>
      </c>
      <c r="P39" s="388">
        <f>IF(F39="",0,ROUND(O39*F39,2))</f>
        <v>0</v>
      </c>
    </row>
    <row r="40" spans="1:16" hidden="1" x14ac:dyDescent="0.3">
      <c r="C40" s="433" t="s">
        <v>765</v>
      </c>
      <c r="D40" s="234" t="s">
        <v>1424</v>
      </c>
      <c r="E40" s="2"/>
      <c r="F40" s="78"/>
      <c r="G40" s="2"/>
      <c r="H40" s="244"/>
      <c r="I40" s="76" t="str">
        <f>+IF(TEV[[#This Row],[ITEM]]=C40,"ok","mal")</f>
        <v>mal</v>
      </c>
      <c r="J40" s="439">
        <f>+F40</f>
        <v>0</v>
      </c>
      <c r="K40" s="440">
        <f>IF(VLOOKUP(C40,TbPiezas[],5,0)="NA",0,VLOOKUP(C40,TbPiezas[],5,0))</f>
        <v>0</v>
      </c>
      <c r="L40" s="384">
        <f>IF(F40="",0,K40*F40)</f>
        <v>0</v>
      </c>
      <c r="M40" s="385">
        <f>+VLOOKUP(C40,TbPiezas[],6,0)</f>
        <v>1905.75</v>
      </c>
      <c r="N40" s="386">
        <f>IF(F40="",0,ROUND(M40*F40,2))</f>
        <v>0</v>
      </c>
      <c r="O40" s="385">
        <f>+VLOOKUP(C40,TbPiezas[],7,0)</f>
        <v>95.287500000000009</v>
      </c>
      <c r="P40" s="388">
        <f>IF(F40="",0,ROUND(O40*F40,2))</f>
        <v>0</v>
      </c>
    </row>
    <row r="41" spans="1:16" x14ac:dyDescent="0.3">
      <c r="C41" s="433" t="s">
        <v>1426</v>
      </c>
      <c r="D41" s="234" t="s">
        <v>1425</v>
      </c>
      <c r="E41" s="2"/>
      <c r="F41" s="78">
        <f t="shared" si="6"/>
        <v>1</v>
      </c>
      <c r="G41" s="2"/>
      <c r="H41" s="244" t="str">
        <f t="shared" ref="H41:H49" si="7">+C41</f>
        <v>EV.1210</v>
      </c>
      <c r="I41" s="76" t="str">
        <f>+IF(TEV[[#This Row],[ITEM]]=C41,"ok","mal")</f>
        <v>ok</v>
      </c>
      <c r="J41" s="439">
        <f t="shared" si="0"/>
        <v>1</v>
      </c>
      <c r="K41" s="169">
        <f>IF(VLOOKUP(C41,TbPiezas[],5,0)="NA",0,VLOOKUP(C41,TbPiezas[],5,0))</f>
        <v>0</v>
      </c>
      <c r="L41" s="81">
        <f t="shared" si="1"/>
        <v>0</v>
      </c>
      <c r="M41" s="247">
        <f>+VLOOKUP(C41,TbPiezas[],6,0)</f>
        <v>0</v>
      </c>
      <c r="N41" s="248">
        <f t="shared" si="2"/>
        <v>0</v>
      </c>
      <c r="O41" s="247">
        <f>+VLOOKUP(C41,TbPiezas[],7,0)</f>
        <v>0</v>
      </c>
      <c r="P41" s="437">
        <f t="shared" si="3"/>
        <v>0</v>
      </c>
    </row>
    <row r="42" spans="1:16" x14ac:dyDescent="0.3">
      <c r="C42" s="244" t="s">
        <v>766</v>
      </c>
      <c r="D42" s="244" t="s">
        <v>767</v>
      </c>
      <c r="E42" s="2"/>
      <c r="F42" s="78">
        <f t="shared" si="6"/>
        <v>1</v>
      </c>
      <c r="G42" s="2"/>
      <c r="H42" s="244" t="str">
        <f t="shared" si="7"/>
        <v>EV.1300</v>
      </c>
      <c r="I42" s="76" t="str">
        <f>+IF(TEV[[#This Row],[ITEM]]=C42,"ok","mal")</f>
        <v>ok</v>
      </c>
      <c r="J42" s="439">
        <f t="shared" si="0"/>
        <v>1</v>
      </c>
      <c r="K42" s="169">
        <f>IF(VLOOKUP(C42,TbPiezas[],5,0)="NA",0,VLOOKUP(C42,TbPiezas[],5,0))</f>
        <v>10</v>
      </c>
      <c r="L42" s="81">
        <f t="shared" si="1"/>
        <v>10</v>
      </c>
      <c r="M42" s="247">
        <f>+VLOOKUP(C42,TbPiezas[],6,0)</f>
        <v>3176.25</v>
      </c>
      <c r="N42" s="248">
        <f t="shared" si="2"/>
        <v>3176.25</v>
      </c>
      <c r="O42" s="247">
        <f>+VLOOKUP(C42,TbPiezas[],7,0)</f>
        <v>158.8125</v>
      </c>
      <c r="P42" s="437">
        <f t="shared" si="3"/>
        <v>158.81</v>
      </c>
    </row>
    <row r="43" spans="1:16" x14ac:dyDescent="0.3">
      <c r="C43" s="244" t="s">
        <v>768</v>
      </c>
      <c r="D43" s="244" t="s">
        <v>769</v>
      </c>
      <c r="E43" s="2"/>
      <c r="F43" s="78">
        <f>IF(F$4="NUEVO",2,)</f>
        <v>2</v>
      </c>
      <c r="G43" s="2"/>
      <c r="H43" s="244" t="str">
        <f t="shared" si="7"/>
        <v>EV.1400</v>
      </c>
      <c r="I43" s="76" t="str">
        <f>+IF(TEV[[#This Row],[ITEM]]=C43,"ok","mal")</f>
        <v>ok</v>
      </c>
      <c r="J43" s="439">
        <f t="shared" si="0"/>
        <v>2</v>
      </c>
      <c r="K43" s="169">
        <f>IF(VLOOKUP(C43,TbPiezas[],5,0)="NA",0,VLOOKUP(C43,TbPiezas[],5,0))</f>
        <v>5</v>
      </c>
      <c r="L43" s="81">
        <f t="shared" si="1"/>
        <v>10</v>
      </c>
      <c r="M43" s="247">
        <f>+VLOOKUP(C43,TbPiezas[],6,0)</f>
        <v>2413.9499999999998</v>
      </c>
      <c r="N43" s="248">
        <f t="shared" si="2"/>
        <v>4827.8999999999996</v>
      </c>
      <c r="O43" s="247">
        <f>+VLOOKUP(C43,TbPiezas[],7,0)</f>
        <v>120.69749999999999</v>
      </c>
      <c r="P43" s="437">
        <f t="shared" si="3"/>
        <v>241.4</v>
      </c>
    </row>
    <row r="44" spans="1:16" x14ac:dyDescent="0.3">
      <c r="C44" s="244" t="s">
        <v>770</v>
      </c>
      <c r="D44" s="244" t="s">
        <v>771</v>
      </c>
      <c r="E44" s="2"/>
      <c r="F44" s="78">
        <f t="shared" si="6"/>
        <v>1</v>
      </c>
      <c r="G44" s="2"/>
      <c r="H44" s="244" t="str">
        <f t="shared" si="7"/>
        <v>EV.1500</v>
      </c>
      <c r="I44" s="76" t="str">
        <f>+IF(TEV[[#This Row],[ITEM]]=C44,"ok","mal")</f>
        <v>ok</v>
      </c>
      <c r="J44" s="439">
        <f t="shared" si="0"/>
        <v>1</v>
      </c>
      <c r="K44" s="169">
        <f>IF(VLOOKUP(C44,TbPiezas[],5,0)="NA",0,VLOOKUP(C44,TbPiezas[],5,0))</f>
        <v>0</v>
      </c>
      <c r="L44" s="81">
        <f t="shared" si="1"/>
        <v>0</v>
      </c>
      <c r="M44" s="247">
        <f>+VLOOKUP(C44,TbPiezas[],6,0)</f>
        <v>8639.4</v>
      </c>
      <c r="N44" s="248">
        <f t="shared" si="2"/>
        <v>8639.4</v>
      </c>
      <c r="O44" s="247">
        <f>+VLOOKUP(C44,TbPiezas[],7,0)</f>
        <v>431.97</v>
      </c>
      <c r="P44" s="437">
        <f t="shared" si="3"/>
        <v>431.97</v>
      </c>
    </row>
    <row r="45" spans="1:16" x14ac:dyDescent="0.3">
      <c r="C45" s="244" t="s">
        <v>772</v>
      </c>
      <c r="D45" s="244" t="s">
        <v>773</v>
      </c>
      <c r="E45" s="2"/>
      <c r="F45" s="78">
        <f t="shared" si="6"/>
        <v>1</v>
      </c>
      <c r="G45" s="2"/>
      <c r="H45" s="244" t="str">
        <f t="shared" si="7"/>
        <v>EV.1600</v>
      </c>
      <c r="I45" s="76" t="str">
        <f>+IF(TEV[[#This Row],[ITEM]]=C45,"ok","mal")</f>
        <v>ok</v>
      </c>
      <c r="J45" s="439">
        <f t="shared" si="0"/>
        <v>1</v>
      </c>
      <c r="K45" s="169">
        <f>IF(VLOOKUP(C45,TbPiezas[],5,0)="NA",0,VLOOKUP(C45,TbPiezas[],5,0))</f>
        <v>0</v>
      </c>
      <c r="L45" s="81">
        <f t="shared" si="1"/>
        <v>0</v>
      </c>
      <c r="M45" s="247">
        <f>+VLOOKUP(C45,TbPiezas[],6,0)</f>
        <v>6987.75</v>
      </c>
      <c r="N45" s="248">
        <f t="shared" si="2"/>
        <v>6987.75</v>
      </c>
      <c r="O45" s="247">
        <f>+VLOOKUP(C45,TbPiezas[],7,0)</f>
        <v>349.38750000000005</v>
      </c>
      <c r="P45" s="437">
        <f t="shared" si="3"/>
        <v>349.39</v>
      </c>
    </row>
    <row r="46" spans="1:16" x14ac:dyDescent="0.3">
      <c r="C46" s="244" t="s">
        <v>774</v>
      </c>
      <c r="D46" s="244" t="s">
        <v>775</v>
      </c>
      <c r="E46" s="2"/>
      <c r="F46" s="78">
        <f>IF(F$4="NUEVO",2,)</f>
        <v>2</v>
      </c>
      <c r="G46" s="2"/>
      <c r="H46" s="244" t="str">
        <f t="shared" si="7"/>
        <v>EV.1700</v>
      </c>
      <c r="I46" s="76" t="str">
        <f>+IF(TEV[[#This Row],[ITEM]]=C46,"ok","mal")</f>
        <v>ok</v>
      </c>
      <c r="J46" s="439">
        <f t="shared" si="0"/>
        <v>2</v>
      </c>
      <c r="K46" s="169">
        <f>IF(VLOOKUP(C46,TbPiezas[],5,0)="NA",0,VLOOKUP(C46,TbPiezas[],5,0))</f>
        <v>6</v>
      </c>
      <c r="L46" s="81">
        <f t="shared" si="1"/>
        <v>12</v>
      </c>
      <c r="M46" s="247">
        <f>+VLOOKUP(C46,TbPiezas[],6,0)</f>
        <v>825.83</v>
      </c>
      <c r="N46" s="248">
        <f t="shared" si="2"/>
        <v>1651.66</v>
      </c>
      <c r="O46" s="247">
        <f>+VLOOKUP(C46,TbPiezas[],7,0)</f>
        <v>41.291500000000006</v>
      </c>
      <c r="P46" s="437">
        <f t="shared" si="3"/>
        <v>82.58</v>
      </c>
    </row>
    <row r="47" spans="1:16" x14ac:dyDescent="0.3">
      <c r="C47" s="244" t="s">
        <v>776</v>
      </c>
      <c r="D47" s="244" t="s">
        <v>777</v>
      </c>
      <c r="E47" s="2"/>
      <c r="F47" s="78">
        <f>IF(F$4="NUEVO",3,)</f>
        <v>3</v>
      </c>
      <c r="G47" s="2"/>
      <c r="H47" s="244" t="str">
        <f t="shared" si="7"/>
        <v>EV.1800</v>
      </c>
      <c r="I47" s="76" t="str">
        <f>+IF(TEV[[#This Row],[ITEM]]=C47,"ok","mal")</f>
        <v>ok</v>
      </c>
      <c r="J47" s="439">
        <f t="shared" si="0"/>
        <v>3</v>
      </c>
      <c r="K47" s="169">
        <f>IF(VLOOKUP(C47,TbPiezas[],5,0)="NA",0,VLOOKUP(C47,TbPiezas[],5,0))</f>
        <v>5.2</v>
      </c>
      <c r="L47" s="81">
        <f t="shared" si="1"/>
        <v>15.600000000000001</v>
      </c>
      <c r="M47" s="247">
        <f>+VLOOKUP(C47,TbPiezas[],6,0)</f>
        <v>825.83</v>
      </c>
      <c r="N47" s="248">
        <f t="shared" si="2"/>
        <v>2477.4899999999998</v>
      </c>
      <c r="O47" s="247">
        <f>+VLOOKUP(C47,TbPiezas[],7,0)</f>
        <v>41.291500000000006</v>
      </c>
      <c r="P47" s="437">
        <f t="shared" si="3"/>
        <v>123.87</v>
      </c>
    </row>
    <row r="48" spans="1:16" x14ac:dyDescent="0.3">
      <c r="C48" s="244" t="s">
        <v>778</v>
      </c>
      <c r="D48" s="244" t="s">
        <v>779</v>
      </c>
      <c r="E48" s="2"/>
      <c r="F48" s="78">
        <f>IF(F$4="NUEVO",3,)</f>
        <v>3</v>
      </c>
      <c r="G48" s="2"/>
      <c r="H48" s="244" t="str">
        <f t="shared" si="7"/>
        <v>EV.1900</v>
      </c>
      <c r="I48" s="76" t="str">
        <f>+IF(TEV[[#This Row],[ITEM]]=C48,"ok","mal")</f>
        <v>ok</v>
      </c>
      <c r="J48" s="439">
        <f t="shared" si="0"/>
        <v>3</v>
      </c>
      <c r="K48" s="169">
        <f>IF(VLOOKUP(C48,TbPiezas[],5,0)="NA",0,VLOOKUP(C48,TbPiezas[],5,0))</f>
        <v>1.8</v>
      </c>
      <c r="L48" s="81">
        <f t="shared" si="1"/>
        <v>5.4</v>
      </c>
      <c r="M48" s="247">
        <f>+VLOOKUP(C48,TbPiezas[],6,0)</f>
        <v>381.15</v>
      </c>
      <c r="N48" s="248">
        <f t="shared" si="2"/>
        <v>1143.45</v>
      </c>
      <c r="O48" s="247">
        <f>+VLOOKUP(C48,TbPiezas[],7,0)</f>
        <v>19.057500000000001</v>
      </c>
      <c r="P48" s="437">
        <f t="shared" si="3"/>
        <v>57.17</v>
      </c>
    </row>
    <row r="49" spans="1:16" x14ac:dyDescent="0.3">
      <c r="A49" s="518"/>
      <c r="C49" s="234" t="s">
        <v>780</v>
      </c>
      <c r="D49" s="234" t="s">
        <v>1427</v>
      </c>
      <c r="E49" s="2"/>
      <c r="F49" s="78">
        <f>IF(F$4="NUEVO",2,)</f>
        <v>2</v>
      </c>
      <c r="G49" s="2"/>
      <c r="H49" s="244" t="str">
        <f t="shared" si="7"/>
        <v>EV.2000</v>
      </c>
      <c r="I49" s="76" t="str">
        <f>+IF(TEV[[#This Row],[ITEM]]=C49,"ok","mal")</f>
        <v>ok</v>
      </c>
      <c r="J49" s="439">
        <f t="shared" si="0"/>
        <v>2</v>
      </c>
      <c r="K49" s="169">
        <f>IF(VLOOKUP(C49,TbPiezas[],5,0)="NA",0,VLOOKUP(C49,TbPiezas[],5,0))</f>
        <v>70</v>
      </c>
      <c r="L49" s="81">
        <f t="shared" si="1"/>
        <v>140</v>
      </c>
      <c r="M49" s="247">
        <f>+VLOOKUP(C49,TbPiezas[],6,0)</f>
        <v>23698.639999999999</v>
      </c>
      <c r="N49" s="248">
        <f t="shared" si="2"/>
        <v>47397.279999999999</v>
      </c>
      <c r="O49" s="247">
        <f>+VLOOKUP(C49,TbPiezas[],7,0)</f>
        <v>1184.932</v>
      </c>
      <c r="P49" s="437">
        <f t="shared" si="3"/>
        <v>2369.86</v>
      </c>
    </row>
    <row r="50" spans="1:16" hidden="1" x14ac:dyDescent="0.3">
      <c r="C50" s="234" t="s">
        <v>1429</v>
      </c>
      <c r="D50" s="234" t="s">
        <v>1428</v>
      </c>
      <c r="E50" s="2"/>
      <c r="F50" s="78"/>
      <c r="G50" s="2"/>
      <c r="H50" s="244"/>
      <c r="I50" s="76" t="str">
        <f>+IF(TEV[[#This Row],[ITEM]]=C50,"ok","mal")</f>
        <v>mal</v>
      </c>
      <c r="J50" s="439">
        <f>+F50</f>
        <v>0</v>
      </c>
      <c r="K50" s="440">
        <f>IF(VLOOKUP(C50,TbPiezas[],5,0)="NA",0,VLOOKUP(C50,TbPiezas[],5,0))</f>
        <v>0</v>
      </c>
      <c r="L50" s="384">
        <f>IF(F50="",0,K50*F50)</f>
        <v>0</v>
      </c>
      <c r="M50" s="385">
        <f>+VLOOKUP(C50,TbPiezas[],6,0)</f>
        <v>0</v>
      </c>
      <c r="N50" s="386">
        <f>IF(F50="",0,ROUND(M50*F50,2))</f>
        <v>0</v>
      </c>
      <c r="O50" s="385">
        <f>+VLOOKUP(C50,TbPiezas[],7,0)</f>
        <v>0</v>
      </c>
      <c r="P50" s="388">
        <f>IF(F50="",0,ROUND(O50*F50,2))</f>
        <v>0</v>
      </c>
    </row>
    <row r="51" spans="1:16" x14ac:dyDescent="0.3">
      <c r="C51" s="433" t="s">
        <v>781</v>
      </c>
      <c r="D51" s="240" t="s">
        <v>1430</v>
      </c>
      <c r="E51" s="2"/>
      <c r="F51" s="78">
        <f>IF(F$4="NUEVO",1,)</f>
        <v>1</v>
      </c>
      <c r="G51" s="2"/>
      <c r="H51" s="244" t="str">
        <f>+C51</f>
        <v>EV.2100</v>
      </c>
      <c r="I51" s="76" t="str">
        <f>+IF(TEV[[#This Row],[ITEM]]=C51,"ok","mal")</f>
        <v>ok</v>
      </c>
      <c r="J51" s="439">
        <f t="shared" si="0"/>
        <v>1</v>
      </c>
      <c r="K51" s="169">
        <f>IF(VLOOKUP(C51,TbPiezas[],5,0)="NA",0,VLOOKUP(C51,TbPiezas[],5,0))</f>
        <v>16</v>
      </c>
      <c r="L51" s="81">
        <f t="shared" si="1"/>
        <v>16</v>
      </c>
      <c r="M51" s="247">
        <f>+VLOOKUP(C51,TbPiezas[],6,0)</f>
        <v>3176.25</v>
      </c>
      <c r="N51" s="248">
        <f t="shared" si="2"/>
        <v>3176.25</v>
      </c>
      <c r="O51" s="247">
        <f>+VLOOKUP(C51,TbPiezas[],7,0)</f>
        <v>158.8125</v>
      </c>
      <c r="P51" s="437">
        <f t="shared" si="3"/>
        <v>158.81</v>
      </c>
    </row>
    <row r="52" spans="1:16" hidden="1" x14ac:dyDescent="0.3">
      <c r="C52" s="433" t="s">
        <v>1432</v>
      </c>
      <c r="D52" s="240" t="s">
        <v>1431</v>
      </c>
      <c r="E52" s="2"/>
      <c r="F52" s="78"/>
      <c r="G52" s="2"/>
      <c r="H52" s="244"/>
      <c r="I52" s="76" t="str">
        <f>+IF(TEV[[#This Row],[ITEM]]=C52,"ok","mal")</f>
        <v>mal</v>
      </c>
      <c r="J52" s="439">
        <f>+F52</f>
        <v>0</v>
      </c>
      <c r="K52" s="440">
        <f>IF(VLOOKUP(C52,TbPiezas[],5,0)="NA",0,VLOOKUP(C52,TbPiezas[],5,0))</f>
        <v>0</v>
      </c>
      <c r="L52" s="384">
        <f>IF(F52="",0,K52*F52)</f>
        <v>0</v>
      </c>
      <c r="M52" s="385">
        <f>+VLOOKUP(C52,TbPiezas[],6,0)</f>
        <v>0</v>
      </c>
      <c r="N52" s="386">
        <f>IF(F52="",0,ROUND(M52*F52,2))</f>
        <v>0</v>
      </c>
      <c r="O52" s="385">
        <f>+VLOOKUP(C52,TbPiezas[],7,0)</f>
        <v>0</v>
      </c>
      <c r="P52" s="388">
        <f>IF(F52="",0,ROUND(O52*F52,2))</f>
        <v>0</v>
      </c>
    </row>
    <row r="53" spans="1:16" x14ac:dyDescent="0.3">
      <c r="C53" s="244" t="s">
        <v>782</v>
      </c>
      <c r="D53" s="244" t="s">
        <v>783</v>
      </c>
      <c r="E53" s="2"/>
      <c r="F53" s="78">
        <f>IF(F$4="nuevo",1,)</f>
        <v>1</v>
      </c>
      <c r="G53" s="2"/>
      <c r="H53" s="244" t="str">
        <f>+C53</f>
        <v>EV.2200</v>
      </c>
      <c r="I53" s="76" t="str">
        <f>+IF(TEV[[#This Row],[ITEM]]=C53,"ok","mal")</f>
        <v>ok</v>
      </c>
      <c r="J53" s="439">
        <f t="shared" si="0"/>
        <v>1</v>
      </c>
      <c r="K53" s="169">
        <f>IF(VLOOKUP(C53,TbPiezas[],5,0)="NA",0,VLOOKUP(C53,TbPiezas[],5,0))</f>
        <v>400</v>
      </c>
      <c r="L53" s="81">
        <f t="shared" si="1"/>
        <v>400</v>
      </c>
      <c r="M53" s="247">
        <f>+VLOOKUP(C53,TbPiezas[],6,0)</f>
        <v>2413.9499999999998</v>
      </c>
      <c r="N53" s="248">
        <f t="shared" si="2"/>
        <v>2413.9499999999998</v>
      </c>
      <c r="O53" s="247">
        <f>+VLOOKUP(C53,TbPiezas[],7,0)</f>
        <v>120.69749999999999</v>
      </c>
      <c r="P53" s="437">
        <f t="shared" si="3"/>
        <v>120.7</v>
      </c>
    </row>
    <row r="54" spans="1:16" x14ac:dyDescent="0.3">
      <c r="C54" s="433" t="s">
        <v>784</v>
      </c>
      <c r="D54" s="244" t="s">
        <v>785</v>
      </c>
      <c r="E54" s="2"/>
      <c r="F54" s="78">
        <f>IF(F$4="NUEVO",1,)</f>
        <v>1</v>
      </c>
      <c r="G54" s="2"/>
      <c r="H54" s="244" t="str">
        <f>+C54</f>
        <v>EV.2300</v>
      </c>
      <c r="I54" s="76" t="str">
        <f>+IF(TEV[[#This Row],[ITEM]]=C54,"ok","mal")</f>
        <v>ok</v>
      </c>
      <c r="J54" s="439">
        <f t="shared" si="0"/>
        <v>1</v>
      </c>
      <c r="K54" s="169">
        <f>IF(VLOOKUP(C54,TbPiezas[],5,0)="NA",0,VLOOKUP(C54,TbPiezas[],5,0))</f>
        <v>17.8</v>
      </c>
      <c r="L54" s="81">
        <f t="shared" si="1"/>
        <v>17.8</v>
      </c>
      <c r="M54" s="247">
        <f>+VLOOKUP(C54,TbPiezas[],6,0)</f>
        <v>3176.25</v>
      </c>
      <c r="N54" s="248">
        <f t="shared" si="2"/>
        <v>3176.25</v>
      </c>
      <c r="O54" s="247">
        <f>+VLOOKUP(C54,TbPiezas[],7,0)</f>
        <v>158.8125</v>
      </c>
      <c r="P54" s="437">
        <f t="shared" si="3"/>
        <v>158.81</v>
      </c>
    </row>
    <row r="55" spans="1:16" hidden="1" x14ac:dyDescent="0.3">
      <c r="C55" s="433" t="s">
        <v>1434</v>
      </c>
      <c r="D55" s="240" t="s">
        <v>1433</v>
      </c>
      <c r="E55" s="2"/>
      <c r="F55" s="78"/>
      <c r="G55" s="2"/>
      <c r="H55" s="244"/>
      <c r="I55" s="76" t="str">
        <f>+IF(TEV[[#This Row],[ITEM]]=C55,"ok","mal")</f>
        <v>mal</v>
      </c>
      <c r="J55" s="439">
        <f>+F55</f>
        <v>0</v>
      </c>
      <c r="K55" s="440">
        <f>IF(VLOOKUP(C55,TbPiezas[],5,0)="NA",0,VLOOKUP(C55,TbPiezas[],5,0))</f>
        <v>0</v>
      </c>
      <c r="L55" s="384">
        <f>IF(F55="",0,K55*F55)</f>
        <v>0</v>
      </c>
      <c r="M55" s="385">
        <f>+VLOOKUP(C55,TbPiezas[],6,0)</f>
        <v>0</v>
      </c>
      <c r="N55" s="386">
        <f>IF(F55="",0,ROUND(M55*F55,2))</f>
        <v>0</v>
      </c>
      <c r="O55" s="385">
        <f>+VLOOKUP(C55,TbPiezas[],7,0)</f>
        <v>0</v>
      </c>
      <c r="P55" s="388">
        <f>IF(F55="",0,ROUND(O55*F55,2))</f>
        <v>0</v>
      </c>
    </row>
    <row r="56" spans="1:16" x14ac:dyDescent="0.3">
      <c r="C56" s="433" t="s">
        <v>786</v>
      </c>
      <c r="D56" s="244" t="s">
        <v>787</v>
      </c>
      <c r="E56" s="2"/>
      <c r="F56" s="78">
        <f>IF(F$4="NUEVO",2,)</f>
        <v>2</v>
      </c>
      <c r="G56" s="2"/>
      <c r="H56" s="244" t="str">
        <f>+C56</f>
        <v>EV.2400</v>
      </c>
      <c r="I56" s="76" t="str">
        <f>+IF(TEV[[#This Row],[ITEM]]=C56,"ok","mal")</f>
        <v>ok</v>
      </c>
      <c r="J56" s="439">
        <f t="shared" si="0"/>
        <v>2</v>
      </c>
      <c r="K56" s="169">
        <f>IF(VLOOKUP(C56,TbPiezas[],5,0)="NA",0,VLOOKUP(C56,TbPiezas[],5,0))</f>
        <v>0.1</v>
      </c>
      <c r="L56" s="81">
        <f t="shared" si="1"/>
        <v>0.2</v>
      </c>
      <c r="M56" s="247">
        <f>+VLOOKUP(C56,TbPiezas[],6,0)</f>
        <v>190.58</v>
      </c>
      <c r="N56" s="248">
        <f t="shared" si="2"/>
        <v>381.16</v>
      </c>
      <c r="O56" s="247">
        <f>+VLOOKUP(C56,TbPiezas[],7,0)</f>
        <v>9.5290000000000017</v>
      </c>
      <c r="P56" s="437">
        <f t="shared" si="3"/>
        <v>19.059999999999999</v>
      </c>
    </row>
    <row r="57" spans="1:16" hidden="1" x14ac:dyDescent="0.3">
      <c r="C57" s="433" t="s">
        <v>788</v>
      </c>
      <c r="D57" s="240" t="s">
        <v>1435</v>
      </c>
      <c r="E57" s="2"/>
      <c r="F57" s="78"/>
      <c r="G57" s="2"/>
      <c r="H57" s="244"/>
      <c r="I57" s="76" t="str">
        <f>+IF(TEV[[#This Row],[ITEM]]=C57,"ok","mal")</f>
        <v>mal</v>
      </c>
      <c r="J57" s="439">
        <f>+F57</f>
        <v>0</v>
      </c>
      <c r="K57" s="440">
        <f>IF(VLOOKUP(C57,TbPiezas[],5,0)="NA",0,VLOOKUP(C57,TbPiezas[],5,0))</f>
        <v>146</v>
      </c>
      <c r="L57" s="384">
        <f>IF(F57="",0,K57*F57)</f>
        <v>0</v>
      </c>
      <c r="M57" s="385">
        <f>+VLOOKUP(C57,TbPiezas[],6,0)</f>
        <v>6327.09</v>
      </c>
      <c r="N57" s="386">
        <f>IF(F57="",0,ROUND(M57*F57,2))</f>
        <v>0</v>
      </c>
      <c r="O57" s="385">
        <f>+VLOOKUP(C57,TbPiezas[],7,0)</f>
        <v>316.35450000000003</v>
      </c>
      <c r="P57" s="388">
        <f>IF(F57="",0,ROUND(O57*F57,2))</f>
        <v>0</v>
      </c>
    </row>
    <row r="58" spans="1:16" x14ac:dyDescent="0.3">
      <c r="C58" s="433" t="s">
        <v>1437</v>
      </c>
      <c r="D58" s="240" t="s">
        <v>1436</v>
      </c>
      <c r="E58" s="2"/>
      <c r="F58" s="78">
        <f>IF(F$4="NUEVO",1,)</f>
        <v>1</v>
      </c>
      <c r="G58" s="2"/>
      <c r="H58" s="244" t="str">
        <f>+C58</f>
        <v>EV.2510</v>
      </c>
      <c r="I58" s="76" t="str">
        <f>+IF(TEV[[#This Row],[ITEM]]=C58,"ok","mal")</f>
        <v>ok</v>
      </c>
      <c r="J58" s="439">
        <f t="shared" si="0"/>
        <v>1</v>
      </c>
      <c r="K58" s="169">
        <f>IF(VLOOKUP(C58,TbPiezas[],5,0)="NA",0,VLOOKUP(C58,TbPiezas[],5,0))</f>
        <v>0</v>
      </c>
      <c r="L58" s="81">
        <f t="shared" si="1"/>
        <v>0</v>
      </c>
      <c r="M58" s="247">
        <f>+VLOOKUP(C58,TbPiezas[],6,0)</f>
        <v>0</v>
      </c>
      <c r="N58" s="248">
        <f t="shared" si="2"/>
        <v>0</v>
      </c>
      <c r="O58" s="247">
        <f>+VLOOKUP(C58,TbPiezas[],7,0)</f>
        <v>0</v>
      </c>
      <c r="P58" s="437">
        <f t="shared" si="3"/>
        <v>0</v>
      </c>
    </row>
    <row r="59" spans="1:16" x14ac:dyDescent="0.3">
      <c r="C59" s="244" t="s">
        <v>789</v>
      </c>
      <c r="D59" s="244" t="s">
        <v>790</v>
      </c>
      <c r="E59" s="2"/>
      <c r="F59" s="78">
        <f>IF(F$4="NUEVO",1,)</f>
        <v>1</v>
      </c>
      <c r="G59" s="2"/>
      <c r="H59" s="244" t="str">
        <f>+C59</f>
        <v>EV.2600</v>
      </c>
      <c r="I59" s="76" t="str">
        <f>+IF(TEV[[#This Row],[ITEM]]=C59,"ok","mal")</f>
        <v>ok</v>
      </c>
      <c r="J59" s="439">
        <f t="shared" si="0"/>
        <v>1</v>
      </c>
      <c r="K59" s="169">
        <f>IF(VLOOKUP(C59,TbPiezas[],5,0)="NA",0,VLOOKUP(C59,TbPiezas[],5,0))</f>
        <v>18.3</v>
      </c>
      <c r="L59" s="81">
        <f t="shared" si="1"/>
        <v>18.3</v>
      </c>
      <c r="M59" s="247">
        <f>+VLOOKUP(C59,TbPiezas[],6,0)</f>
        <v>8258.25</v>
      </c>
      <c r="N59" s="248">
        <f t="shared" si="2"/>
        <v>8258.25</v>
      </c>
      <c r="O59" s="247">
        <f>+VLOOKUP(C59,TbPiezas[],7,0)</f>
        <v>412.91250000000002</v>
      </c>
      <c r="P59" s="437">
        <f t="shared" si="3"/>
        <v>412.91</v>
      </c>
    </row>
    <row r="60" spans="1:16" x14ac:dyDescent="0.3">
      <c r="C60" s="244" t="s">
        <v>791</v>
      </c>
      <c r="D60" s="244" t="s">
        <v>792</v>
      </c>
      <c r="E60" s="2"/>
      <c r="F60" s="78">
        <f>IF(F$4="NUEVO",1,)</f>
        <v>1</v>
      </c>
      <c r="G60" s="2"/>
      <c r="H60" s="244" t="str">
        <f>+C60</f>
        <v>EV.2700</v>
      </c>
      <c r="I60" s="76" t="str">
        <f>+IF(TEV[[#This Row],[ITEM]]=C60,"ok","mal")</f>
        <v>ok</v>
      </c>
      <c r="J60" s="439">
        <f t="shared" si="0"/>
        <v>1</v>
      </c>
      <c r="K60" s="169">
        <f>IF(VLOOKUP(C60,TbPiezas[],5,0)="NA",0,VLOOKUP(C60,TbPiezas[],5,0))</f>
        <v>29.7</v>
      </c>
      <c r="L60" s="81">
        <f t="shared" si="1"/>
        <v>29.7</v>
      </c>
      <c r="M60" s="247">
        <f>+VLOOKUP(C60,TbPiezas[],6,0)</f>
        <v>1206.98</v>
      </c>
      <c r="N60" s="248">
        <f t="shared" si="2"/>
        <v>1206.98</v>
      </c>
      <c r="O60" s="247">
        <f>+VLOOKUP(C60,TbPiezas[],7,0)</f>
        <v>60.349000000000004</v>
      </c>
      <c r="P60" s="437">
        <f t="shared" si="3"/>
        <v>60.35</v>
      </c>
    </row>
    <row r="61" spans="1:16" x14ac:dyDescent="0.3">
      <c r="C61" s="244" t="s">
        <v>793</v>
      </c>
      <c r="D61" s="244" t="s">
        <v>794</v>
      </c>
      <c r="E61" s="2"/>
      <c r="F61" s="78">
        <f>IF(F$4="NUEVO",1,)</f>
        <v>1</v>
      </c>
      <c r="G61" s="2"/>
      <c r="H61" s="244" t="str">
        <f>+C61</f>
        <v>EV.2800</v>
      </c>
      <c r="I61" s="76" t="str">
        <f>+IF(TEV[[#This Row],[ITEM]]=C61,"ok","mal")</f>
        <v>ok</v>
      </c>
      <c r="J61" s="439">
        <f t="shared" si="0"/>
        <v>1</v>
      </c>
      <c r="K61" s="169">
        <f>IF(VLOOKUP(C61,TbPiezas[],5,0)="NA",0,VLOOKUP(C61,TbPiezas[],5,0))</f>
        <v>0.7</v>
      </c>
      <c r="L61" s="81">
        <f t="shared" si="1"/>
        <v>0.7</v>
      </c>
      <c r="M61" s="247">
        <f>+VLOOKUP(C61,TbPiezas[],6,0)</f>
        <v>444.68</v>
      </c>
      <c r="N61" s="248">
        <f t="shared" si="2"/>
        <v>444.68</v>
      </c>
      <c r="O61" s="247">
        <f>+VLOOKUP(C61,TbPiezas[],7,0)</f>
        <v>22.234000000000002</v>
      </c>
      <c r="P61" s="437">
        <f t="shared" si="3"/>
        <v>22.23</v>
      </c>
    </row>
    <row r="62" spans="1:16" x14ac:dyDescent="0.3">
      <c r="A62" s="518"/>
      <c r="C62" s="244" t="s">
        <v>795</v>
      </c>
      <c r="D62" s="244" t="s">
        <v>796</v>
      </c>
      <c r="E62" s="2"/>
      <c r="F62" s="78">
        <f>IF(F$4="NUEVO",1,)</f>
        <v>1</v>
      </c>
      <c r="G62" s="2"/>
      <c r="H62" s="244" t="str">
        <f>+C62</f>
        <v>EV.2900</v>
      </c>
      <c r="I62" s="76" t="str">
        <f>+IF(TEV[[#This Row],[ITEM]]=C62,"ok","mal")</f>
        <v>ok</v>
      </c>
      <c r="J62" s="439">
        <f t="shared" si="0"/>
        <v>1</v>
      </c>
      <c r="K62" s="169">
        <f>IF(VLOOKUP(C62,TbPiezas[],5,0)="NA",0,VLOOKUP(C62,TbPiezas[],5,0))</f>
        <v>0</v>
      </c>
      <c r="L62" s="81">
        <f t="shared" si="1"/>
        <v>0</v>
      </c>
      <c r="M62" s="247">
        <f>+VLOOKUP(C62,TbPiezas[],6,0)</f>
        <v>190.58</v>
      </c>
      <c r="N62" s="248">
        <f t="shared" si="2"/>
        <v>190.58</v>
      </c>
      <c r="O62" s="247">
        <f>+VLOOKUP(C62,TbPiezas[],7,0)</f>
        <v>9.5290000000000017</v>
      </c>
      <c r="P62" s="437">
        <f t="shared" si="3"/>
        <v>9.5299999999999994</v>
      </c>
    </row>
    <row r="63" spans="1:16" hidden="1" x14ac:dyDescent="0.3">
      <c r="C63" s="234" t="s">
        <v>1441</v>
      </c>
      <c r="D63" s="240" t="s">
        <v>1438</v>
      </c>
      <c r="E63" s="2"/>
      <c r="F63" s="78"/>
      <c r="G63" s="2"/>
      <c r="H63" s="244"/>
      <c r="I63" s="76" t="str">
        <f>+IF(TEV[[#This Row],[ITEM]]=C63,"ok","mal")</f>
        <v>mal</v>
      </c>
      <c r="J63" s="439">
        <f>+F63</f>
        <v>0</v>
      </c>
      <c r="K63" s="440">
        <f>IF(VLOOKUP(C63,TbPiezas[],5,0)="NA",0,VLOOKUP(C63,TbPiezas[],5,0))</f>
        <v>0</v>
      </c>
      <c r="L63" s="384">
        <f>IF(F63="",0,K63*F63)</f>
        <v>0</v>
      </c>
      <c r="M63" s="385">
        <f>+VLOOKUP(C63,TbPiezas[],6,0)</f>
        <v>0</v>
      </c>
      <c r="N63" s="386">
        <f>IF(F63="",0,ROUND(M63*F63,2))</f>
        <v>0</v>
      </c>
      <c r="O63" s="385">
        <f>+VLOOKUP(C63,TbPiezas[],7,0)</f>
        <v>0</v>
      </c>
      <c r="P63" s="388">
        <f>IF(F63="",0,ROUND(O63*F63,2))</f>
        <v>0</v>
      </c>
    </row>
    <row r="64" spans="1:16" hidden="1" x14ac:dyDescent="0.3">
      <c r="C64" s="234" t="s">
        <v>1441</v>
      </c>
      <c r="D64" s="240" t="s">
        <v>1439</v>
      </c>
      <c r="E64" s="2"/>
      <c r="F64" s="78"/>
      <c r="G64" s="2"/>
      <c r="H64" s="244"/>
      <c r="I64" s="76" t="str">
        <f>+IF(TEV[[#This Row],[ITEM]]=C64,"ok","mal")</f>
        <v>mal</v>
      </c>
      <c r="J64" s="439">
        <f>+F64</f>
        <v>0</v>
      </c>
      <c r="K64" s="440">
        <f>IF(VLOOKUP(C64,TbPiezas[],5,0)="NA",0,VLOOKUP(C64,TbPiezas[],5,0))</f>
        <v>0</v>
      </c>
      <c r="L64" s="384">
        <f>IF(F64="",0,K64*F64)</f>
        <v>0</v>
      </c>
      <c r="M64" s="385">
        <f>+VLOOKUP(C64,TbPiezas[],6,0)</f>
        <v>0</v>
      </c>
      <c r="N64" s="386">
        <f>IF(F64="",0,ROUND(M64*F64,2))</f>
        <v>0</v>
      </c>
      <c r="O64" s="385">
        <f>+VLOOKUP(C64,TbPiezas[],7,0)</f>
        <v>0</v>
      </c>
      <c r="P64" s="388">
        <f>IF(F64="",0,ROUND(O64*F64,2))</f>
        <v>0</v>
      </c>
    </row>
    <row r="65" spans="3:16" hidden="1" x14ac:dyDescent="0.3">
      <c r="C65" s="234" t="s">
        <v>1442</v>
      </c>
      <c r="D65" s="240" t="s">
        <v>1440</v>
      </c>
      <c r="E65" s="2"/>
      <c r="F65" s="78"/>
      <c r="G65" s="2"/>
      <c r="H65" s="244"/>
      <c r="I65" s="76" t="str">
        <f>+IF(TEV[[#This Row],[ITEM]]=C65,"ok","mal")</f>
        <v>mal</v>
      </c>
      <c r="J65" s="439">
        <f>+F65</f>
        <v>0</v>
      </c>
      <c r="K65" s="440">
        <f>IF(VLOOKUP(C65,TbPiezas[],5,0)="NA",0,VLOOKUP(C65,TbPiezas[],5,0))</f>
        <v>0</v>
      </c>
      <c r="L65" s="384">
        <f>IF(F65="",0,K65*F65)</f>
        <v>0</v>
      </c>
      <c r="M65" s="385">
        <f>+VLOOKUP(C65,TbPiezas[],6,0)</f>
        <v>0</v>
      </c>
      <c r="N65" s="386">
        <f>IF(F65="",0,ROUND(M65*F65,2))</f>
        <v>0</v>
      </c>
      <c r="O65" s="385">
        <f>+VLOOKUP(C65,TbPiezas[],7,0)</f>
        <v>0</v>
      </c>
      <c r="P65" s="388">
        <f>IF(F65="",0,ROUND(O65*F65,2))</f>
        <v>0</v>
      </c>
    </row>
    <row r="66" spans="3:16" hidden="1" x14ac:dyDescent="0.3">
      <c r="C66" s="244" t="s">
        <v>797</v>
      </c>
      <c r="D66" s="244" t="s">
        <v>798</v>
      </c>
      <c r="E66" s="2"/>
      <c r="F66" s="78">
        <f>IF(F$4="BASE",1,)</f>
        <v>0</v>
      </c>
      <c r="G66" s="2"/>
      <c r="H66" s="244" t="str">
        <f>+C66</f>
        <v>EV.3000</v>
      </c>
      <c r="I66" s="76" t="str">
        <f>+IF(TEV[[#This Row],[ITEM]]=C66,"ok","mal")</f>
        <v>ok</v>
      </c>
      <c r="J66" s="439">
        <f t="shared" si="0"/>
        <v>0</v>
      </c>
      <c r="K66" s="169">
        <f>IF(VLOOKUP(C66,TbPiezas[],5,0)="NA",0,VLOOKUP(C66,TbPiezas[],5,0))</f>
        <v>123</v>
      </c>
      <c r="L66" s="81">
        <f t="shared" si="1"/>
        <v>0</v>
      </c>
      <c r="M66" s="247">
        <f>+VLOOKUP(C66,TbPiezas[],6,0)</f>
        <v>2096.33</v>
      </c>
      <c r="N66" s="248">
        <f t="shared" si="2"/>
        <v>0</v>
      </c>
      <c r="O66" s="247">
        <f>+VLOOKUP(C66,TbPiezas[],7,0)</f>
        <v>104.8165</v>
      </c>
      <c r="P66" s="437">
        <f t="shared" si="3"/>
        <v>0</v>
      </c>
    </row>
    <row r="67" spans="3:16" hidden="1" x14ac:dyDescent="0.3">
      <c r="C67" s="433" t="s">
        <v>1447</v>
      </c>
      <c r="D67" s="240" t="s">
        <v>1443</v>
      </c>
      <c r="E67" s="2"/>
      <c r="F67" s="78"/>
      <c r="G67" s="2"/>
      <c r="H67" s="244"/>
      <c r="I67" s="76" t="str">
        <f>+IF(TEV[[#This Row],[ITEM]]=C67,"ok","mal")</f>
        <v>mal</v>
      </c>
      <c r="J67" s="439">
        <f>+F67</f>
        <v>0</v>
      </c>
      <c r="K67" s="440">
        <f>IF(VLOOKUP(C67,TbPiezas[],5,0)="NA",0,VLOOKUP(C67,TbPiezas[],5,0))</f>
        <v>0</v>
      </c>
      <c r="L67" s="384">
        <f>IF(F67="",0,K67*F67)</f>
        <v>0</v>
      </c>
      <c r="M67" s="385">
        <f>+VLOOKUP(C67,TbPiezas[],6,0)</f>
        <v>0</v>
      </c>
      <c r="N67" s="386">
        <f>IF(F67="",0,ROUND(M67*F67,2))</f>
        <v>0</v>
      </c>
      <c r="O67" s="385">
        <f>+VLOOKUP(C67,TbPiezas[],7,0)</f>
        <v>0</v>
      </c>
      <c r="P67" s="388">
        <f>IF(F67="",0,ROUND(O67*F67,2))</f>
        <v>0</v>
      </c>
    </row>
    <row r="68" spans="3:16" hidden="1" x14ac:dyDescent="0.3">
      <c r="C68" s="433" t="s">
        <v>1448</v>
      </c>
      <c r="D68" s="240" t="s">
        <v>1444</v>
      </c>
      <c r="E68" s="2"/>
      <c r="F68" s="78"/>
      <c r="G68" s="2"/>
      <c r="H68" s="244"/>
      <c r="I68" s="76" t="str">
        <f>+IF(TEV[[#This Row],[ITEM]]=C68,"ok","mal")</f>
        <v>mal</v>
      </c>
      <c r="J68" s="439">
        <f>+F68</f>
        <v>0</v>
      </c>
      <c r="K68" s="440">
        <f>IF(VLOOKUP(C68,TbPiezas[],5,0)="NA",0,VLOOKUP(C68,TbPiezas[],5,0))</f>
        <v>0</v>
      </c>
      <c r="L68" s="384">
        <f>IF(F68="",0,K68*F68)</f>
        <v>0</v>
      </c>
      <c r="M68" s="385">
        <f>+VLOOKUP(C68,TbPiezas[],6,0)</f>
        <v>0</v>
      </c>
      <c r="N68" s="386">
        <f>IF(F68="",0,ROUND(M68*F68,2))</f>
        <v>0</v>
      </c>
      <c r="O68" s="385">
        <f>+VLOOKUP(C68,TbPiezas[],7,0)</f>
        <v>0</v>
      </c>
      <c r="P68" s="388">
        <f>IF(F68="",0,ROUND(O68*F68,2))</f>
        <v>0</v>
      </c>
    </row>
    <row r="69" spans="3:16" hidden="1" x14ac:dyDescent="0.3">
      <c r="C69" s="433" t="s">
        <v>1449</v>
      </c>
      <c r="D69" s="240" t="s">
        <v>1445</v>
      </c>
      <c r="E69" s="2"/>
      <c r="F69" s="78"/>
      <c r="G69" s="2"/>
      <c r="H69" s="244"/>
      <c r="I69" s="76" t="str">
        <f>+IF(TEV[[#This Row],[ITEM]]=C69,"ok","mal")</f>
        <v>mal</v>
      </c>
      <c r="J69" s="439">
        <f>+F69</f>
        <v>0</v>
      </c>
      <c r="K69" s="440">
        <f>IF(VLOOKUP(C69,TbPiezas[],5,0)="NA",0,VLOOKUP(C69,TbPiezas[],5,0))</f>
        <v>0</v>
      </c>
      <c r="L69" s="384">
        <f>IF(F69="",0,K69*F69)</f>
        <v>0</v>
      </c>
      <c r="M69" s="385">
        <f>+VLOOKUP(C69,TbPiezas[],6,0)</f>
        <v>0</v>
      </c>
      <c r="N69" s="386">
        <f>IF(F69="",0,ROUND(M69*F69,2))</f>
        <v>0</v>
      </c>
      <c r="O69" s="385">
        <f>+VLOOKUP(C69,TbPiezas[],7,0)</f>
        <v>0</v>
      </c>
      <c r="P69" s="388">
        <f>IF(F69="",0,ROUND(O69*F69,2))</f>
        <v>0</v>
      </c>
    </row>
    <row r="70" spans="3:16" hidden="1" x14ac:dyDescent="0.3">
      <c r="C70" s="433" t="s">
        <v>1450</v>
      </c>
      <c r="D70" s="240" t="s">
        <v>1446</v>
      </c>
      <c r="E70" s="2"/>
      <c r="F70" s="78"/>
      <c r="G70" s="2"/>
      <c r="H70" s="244"/>
      <c r="I70" s="76" t="str">
        <f>+IF(TEV[[#This Row],[ITEM]]=C70,"ok","mal")</f>
        <v>mal</v>
      </c>
      <c r="J70" s="439">
        <f>+F70</f>
        <v>0</v>
      </c>
      <c r="K70" s="440">
        <f>IF(VLOOKUP(C70,TbPiezas[],5,0)="NA",0,VLOOKUP(C70,TbPiezas[],5,0))</f>
        <v>0</v>
      </c>
      <c r="L70" s="384">
        <f>IF(F70="",0,K70*F70)</f>
        <v>0</v>
      </c>
      <c r="M70" s="385">
        <f>+VLOOKUP(C70,TbPiezas[],6,0)</f>
        <v>0</v>
      </c>
      <c r="N70" s="386">
        <f>IF(F70="",0,ROUND(M70*F70,2))</f>
        <v>0</v>
      </c>
      <c r="O70" s="385">
        <f>+VLOOKUP(C70,TbPiezas[],7,0)</f>
        <v>0</v>
      </c>
      <c r="P70" s="388">
        <f>IF(F70="",0,ROUND(O70*F70,2))</f>
        <v>0</v>
      </c>
    </row>
    <row r="71" spans="3:16" x14ac:dyDescent="0.3">
      <c r="C71" s="244" t="s">
        <v>799</v>
      </c>
      <c r="D71" s="244" t="s">
        <v>800</v>
      </c>
      <c r="E71" s="2"/>
      <c r="F71" s="78">
        <f>IF(F$4="NUEVO",1,)</f>
        <v>1</v>
      </c>
      <c r="G71" s="2"/>
      <c r="H71" s="244" t="str">
        <f>+C71</f>
        <v>EV.3100</v>
      </c>
      <c r="I71" s="76" t="str">
        <f>+IF(TEV[[#This Row],[ITEM]]=C71,"ok","mal")</f>
        <v>ok</v>
      </c>
      <c r="J71" s="439">
        <f t="shared" ref="J71:J123" si="8">+F71</f>
        <v>1</v>
      </c>
      <c r="K71" s="169">
        <f>IF(VLOOKUP(C71,TbPiezas[],5,0)="NA",0,VLOOKUP(C71,TbPiezas[],5,0))</f>
        <v>56.4</v>
      </c>
      <c r="L71" s="81">
        <f t="shared" ref="L71:L123" si="9">IF(F71="",0,K71*F71)</f>
        <v>56.4</v>
      </c>
      <c r="M71" s="247">
        <f>+VLOOKUP(C71,TbPiezas[],6,0)</f>
        <v>2032.8</v>
      </c>
      <c r="N71" s="248">
        <f t="shared" ref="N71:N123" si="10">IF(F71="",0,ROUND(M71*F71,2))</f>
        <v>2032.8</v>
      </c>
      <c r="O71" s="247">
        <f>+VLOOKUP(C71,TbPiezas[],7,0)</f>
        <v>101.64</v>
      </c>
      <c r="P71" s="437">
        <f t="shared" ref="P71:P123" si="11">IF(F71="",0,ROUND(O71*F71,2))</f>
        <v>101.64</v>
      </c>
    </row>
    <row r="72" spans="3:16" x14ac:dyDescent="0.3">
      <c r="C72" s="244" t="s">
        <v>801</v>
      </c>
      <c r="D72" s="244" t="s">
        <v>802</v>
      </c>
      <c r="E72" s="2"/>
      <c r="F72" s="78">
        <f>IF(F$4="NUEVO",2,)</f>
        <v>2</v>
      </c>
      <c r="G72" s="2"/>
      <c r="H72" s="244" t="str">
        <f>+C72</f>
        <v>EV.3200</v>
      </c>
      <c r="I72" s="76" t="str">
        <f>+IF(TEV[[#This Row],[ITEM]]=C72,"ok","mal")</f>
        <v>ok</v>
      </c>
      <c r="J72" s="439">
        <f t="shared" si="8"/>
        <v>2</v>
      </c>
      <c r="K72" s="169">
        <f>IF(VLOOKUP(C72,TbPiezas[],5,0)="NA",0,VLOOKUP(C72,TbPiezas[],5,0))</f>
        <v>26.8</v>
      </c>
      <c r="L72" s="81">
        <f t="shared" si="9"/>
        <v>53.6</v>
      </c>
      <c r="M72" s="247">
        <f>+VLOOKUP(C72,TbPiezas[],6,0)</f>
        <v>1887.84</v>
      </c>
      <c r="N72" s="248">
        <f t="shared" si="10"/>
        <v>3775.68</v>
      </c>
      <c r="O72" s="247">
        <f>+VLOOKUP(C72,TbPiezas[],7,0)</f>
        <v>94.391999999999996</v>
      </c>
      <c r="P72" s="437">
        <f t="shared" si="11"/>
        <v>188.78</v>
      </c>
    </row>
    <row r="73" spans="3:16" hidden="1" x14ac:dyDescent="0.3">
      <c r="C73" s="433" t="s">
        <v>1453</v>
      </c>
      <c r="D73" s="240" t="s">
        <v>1451</v>
      </c>
      <c r="E73" s="2"/>
      <c r="F73" s="78"/>
      <c r="G73" s="2"/>
      <c r="H73" s="244"/>
      <c r="I73" s="76" t="str">
        <f>+IF(TEV[[#This Row],[ITEM]]=C73,"ok","mal")</f>
        <v>mal</v>
      </c>
      <c r="J73" s="439">
        <f>+F73</f>
        <v>0</v>
      </c>
      <c r="K73" s="440">
        <f>IF(VLOOKUP(C73,TbPiezas[],5,0)="NA",0,VLOOKUP(C73,TbPiezas[],5,0))</f>
        <v>0</v>
      </c>
      <c r="L73" s="384">
        <f>IF(F73="",0,K73*F73)</f>
        <v>0</v>
      </c>
      <c r="M73" s="385">
        <f>+VLOOKUP(C73,TbPiezas[],6,0)</f>
        <v>0</v>
      </c>
      <c r="N73" s="386">
        <f>IF(F73="",0,ROUND(M73*F73,2))</f>
        <v>0</v>
      </c>
      <c r="O73" s="385">
        <f>+VLOOKUP(C73,TbPiezas[],7,0)</f>
        <v>0</v>
      </c>
      <c r="P73" s="388">
        <f>IF(F73="",0,ROUND(O73*F73,2))</f>
        <v>0</v>
      </c>
    </row>
    <row r="74" spans="3:16" hidden="1" x14ac:dyDescent="0.3">
      <c r="C74" s="433" t="s">
        <v>1454</v>
      </c>
      <c r="D74" s="240" t="s">
        <v>1452</v>
      </c>
      <c r="E74" s="2"/>
      <c r="F74" s="78"/>
      <c r="G74" s="2"/>
      <c r="H74" s="244"/>
      <c r="I74" s="76" t="str">
        <f>+IF(TEV[[#This Row],[ITEM]]=C74,"ok","mal")</f>
        <v>mal</v>
      </c>
      <c r="J74" s="439">
        <f>+F74</f>
        <v>0</v>
      </c>
      <c r="K74" s="440">
        <f>IF(VLOOKUP(C74,TbPiezas[],5,0)="NA",0,VLOOKUP(C74,TbPiezas[],5,0))</f>
        <v>0</v>
      </c>
      <c r="L74" s="384">
        <f>IF(F74="",0,K74*F74)</f>
        <v>0</v>
      </c>
      <c r="M74" s="385">
        <f>+VLOOKUP(C74,TbPiezas[],6,0)</f>
        <v>0</v>
      </c>
      <c r="N74" s="386">
        <f>IF(F74="",0,ROUND(M74*F74,2))</f>
        <v>0</v>
      </c>
      <c r="O74" s="385">
        <f>+VLOOKUP(C74,TbPiezas[],7,0)</f>
        <v>0</v>
      </c>
      <c r="P74" s="388">
        <f>IF(F74="",0,ROUND(O74*F74,2))</f>
        <v>0</v>
      </c>
    </row>
    <row r="75" spans="3:16" x14ac:dyDescent="0.3">
      <c r="C75" s="244" t="s">
        <v>803</v>
      </c>
      <c r="D75" s="244" t="s">
        <v>804</v>
      </c>
      <c r="E75" s="2"/>
      <c r="F75" s="78">
        <f>IF(F$4="NUEVO",2,)</f>
        <v>2</v>
      </c>
      <c r="G75" s="2"/>
      <c r="H75" s="244" t="str">
        <f>+C75</f>
        <v>EV.3300</v>
      </c>
      <c r="I75" s="76" t="str">
        <f>+IF(TEV[[#This Row],[ITEM]]=C75,"ok","mal")</f>
        <v>ok</v>
      </c>
      <c r="J75" s="439">
        <f t="shared" si="8"/>
        <v>2</v>
      </c>
      <c r="K75" s="169">
        <f>IF(VLOOKUP(C75,TbPiezas[],5,0)="NA",0,VLOOKUP(C75,TbPiezas[],5,0))</f>
        <v>10.9</v>
      </c>
      <c r="L75" s="81">
        <f t="shared" si="9"/>
        <v>21.8</v>
      </c>
      <c r="M75" s="247">
        <f>+VLOOKUP(C75,TbPiezas[],6,0)</f>
        <v>679.72</v>
      </c>
      <c r="N75" s="248">
        <f t="shared" si="10"/>
        <v>1359.44</v>
      </c>
      <c r="O75" s="247">
        <f>+VLOOKUP(C75,TbPiezas[],7,0)</f>
        <v>33.986000000000004</v>
      </c>
      <c r="P75" s="437">
        <f t="shared" si="11"/>
        <v>67.97</v>
      </c>
    </row>
    <row r="76" spans="3:16" x14ac:dyDescent="0.3">
      <c r="C76" s="244" t="s">
        <v>805</v>
      </c>
      <c r="D76" s="244" t="s">
        <v>806</v>
      </c>
      <c r="E76" s="2"/>
      <c r="F76" s="78">
        <f>IF(F$4="NUEVO",2,)</f>
        <v>2</v>
      </c>
      <c r="G76" s="2"/>
      <c r="H76" s="244" t="str">
        <f>+C76</f>
        <v>EV.3400</v>
      </c>
      <c r="I76" s="76" t="str">
        <f>+IF(TEV[[#This Row],[ITEM]]=C76,"ok","mal")</f>
        <v>ok</v>
      </c>
      <c r="J76" s="439">
        <f t="shared" si="8"/>
        <v>2</v>
      </c>
      <c r="K76" s="169">
        <f>IF(VLOOKUP(C76,TbPiezas[],5,0)="NA",0,VLOOKUP(C76,TbPiezas[],5,0))</f>
        <v>13</v>
      </c>
      <c r="L76" s="81">
        <f t="shared" si="9"/>
        <v>26</v>
      </c>
      <c r="M76" s="247">
        <f>+VLOOKUP(C76,TbPiezas[],6,0)</f>
        <v>3176.25</v>
      </c>
      <c r="N76" s="248">
        <f t="shared" si="10"/>
        <v>6352.5</v>
      </c>
      <c r="O76" s="247">
        <f>+VLOOKUP(C76,TbPiezas[],7,0)</f>
        <v>158.8125</v>
      </c>
      <c r="P76" s="437">
        <f t="shared" si="11"/>
        <v>317.63</v>
      </c>
    </row>
    <row r="77" spans="3:16" x14ac:dyDescent="0.3">
      <c r="C77" s="244" t="s">
        <v>807</v>
      </c>
      <c r="D77" s="244" t="s">
        <v>808</v>
      </c>
      <c r="E77" s="2"/>
      <c r="F77" s="78">
        <f>IF(F$4="NUEVO",1,)</f>
        <v>1</v>
      </c>
      <c r="G77" s="2"/>
      <c r="H77" s="244" t="str">
        <f>+C77</f>
        <v>EV.3500</v>
      </c>
      <c r="I77" s="76" t="str">
        <f>+IF(TEV[[#This Row],[ITEM]]=C77,"ok","mal")</f>
        <v>ok</v>
      </c>
      <c r="J77" s="439">
        <f t="shared" si="8"/>
        <v>1</v>
      </c>
      <c r="K77" s="169">
        <f>IF(VLOOKUP(C77,TbPiezas[],5,0)="NA",0,VLOOKUP(C77,TbPiezas[],5,0))</f>
        <v>20.5</v>
      </c>
      <c r="L77" s="81">
        <f t="shared" si="9"/>
        <v>20.5</v>
      </c>
      <c r="M77" s="247">
        <f>+VLOOKUP(C77,TbPiezas[],6,0)</f>
        <v>5717.25</v>
      </c>
      <c r="N77" s="248">
        <f t="shared" si="10"/>
        <v>5717.25</v>
      </c>
      <c r="O77" s="247">
        <f>+VLOOKUP(C77,TbPiezas[],7,0)</f>
        <v>285.86250000000001</v>
      </c>
      <c r="P77" s="437">
        <f t="shared" si="11"/>
        <v>285.86</v>
      </c>
    </row>
    <row r="78" spans="3:16" x14ac:dyDescent="0.3">
      <c r="C78" s="244" t="s">
        <v>809</v>
      </c>
      <c r="D78" s="244" t="s">
        <v>810</v>
      </c>
      <c r="E78" s="2"/>
      <c r="F78" s="78">
        <f>IF(F$4="NUEVO",1,)</f>
        <v>1</v>
      </c>
      <c r="G78" s="2"/>
      <c r="H78" s="244" t="str">
        <f>+C78</f>
        <v>EV.3600</v>
      </c>
      <c r="I78" s="76" t="str">
        <f>+IF(TEV[[#This Row],[ITEM]]=C78,"ok","mal")</f>
        <v>ok</v>
      </c>
      <c r="J78" s="439">
        <f t="shared" si="8"/>
        <v>1</v>
      </c>
      <c r="K78" s="169">
        <f>IF(VLOOKUP(C78,TbPiezas[],5,0)="NA",0,VLOOKUP(C78,TbPiezas[],5,0))</f>
        <v>15.2</v>
      </c>
      <c r="L78" s="81">
        <f t="shared" si="9"/>
        <v>15.2</v>
      </c>
      <c r="M78" s="247">
        <f>+VLOOKUP(C78,TbPiezas[],6,0)</f>
        <v>1041.81</v>
      </c>
      <c r="N78" s="248">
        <f t="shared" si="10"/>
        <v>1041.81</v>
      </c>
      <c r="O78" s="247">
        <f>+VLOOKUP(C78,TbPiezas[],7,0)</f>
        <v>52.090499999999999</v>
      </c>
      <c r="P78" s="437">
        <f t="shared" si="11"/>
        <v>52.09</v>
      </c>
    </row>
    <row r="79" spans="3:16" x14ac:dyDescent="0.3">
      <c r="C79" s="244" t="s">
        <v>811</v>
      </c>
      <c r="D79" s="244" t="s">
        <v>812</v>
      </c>
      <c r="E79" s="2"/>
      <c r="F79" s="78">
        <f>IF(F$4="NUEVO",1,)</f>
        <v>1</v>
      </c>
      <c r="G79" s="2"/>
      <c r="H79" s="244" t="str">
        <f>+C79</f>
        <v>EV.3700</v>
      </c>
      <c r="I79" s="76" t="str">
        <f>+IF(TEV[[#This Row],[ITEM]]=C79,"ok","mal")</f>
        <v>ok</v>
      </c>
      <c r="J79" s="439">
        <f t="shared" si="8"/>
        <v>1</v>
      </c>
      <c r="K79" s="169">
        <f>IF(VLOOKUP(C79,TbPiezas[],5,0)="NA",0,VLOOKUP(C79,TbPiezas[],5,0))</f>
        <v>9.8000000000000007</v>
      </c>
      <c r="L79" s="81">
        <f t="shared" si="9"/>
        <v>9.8000000000000007</v>
      </c>
      <c r="M79" s="247">
        <f>+VLOOKUP(C79,TbPiezas[],6,0)</f>
        <v>813.12</v>
      </c>
      <c r="N79" s="248">
        <f t="shared" si="10"/>
        <v>813.12</v>
      </c>
      <c r="O79" s="247">
        <f>+VLOOKUP(C79,TbPiezas[],7,0)</f>
        <v>40.656000000000006</v>
      </c>
      <c r="P79" s="437">
        <f t="shared" si="11"/>
        <v>40.659999999999997</v>
      </c>
    </row>
    <row r="80" spans="3:16" hidden="1" x14ac:dyDescent="0.3">
      <c r="C80" s="433" t="s">
        <v>1457</v>
      </c>
      <c r="D80" s="240" t="s">
        <v>1455</v>
      </c>
      <c r="E80" s="2"/>
      <c r="F80" s="78"/>
      <c r="G80" s="2"/>
      <c r="H80" s="244"/>
      <c r="I80" s="76" t="str">
        <f>+IF(TEV[[#This Row],[ITEM]]=C80,"ok","mal")</f>
        <v>mal</v>
      </c>
      <c r="J80" s="439">
        <f>+F80</f>
        <v>0</v>
      </c>
      <c r="K80" s="440">
        <f>IF(VLOOKUP(C80,TbPiezas[],5,0)="NA",0,VLOOKUP(C80,TbPiezas[],5,0))</f>
        <v>0</v>
      </c>
      <c r="L80" s="384">
        <f>IF(F80="",0,K80*F80)</f>
        <v>0</v>
      </c>
      <c r="M80" s="385">
        <f>+VLOOKUP(C80,TbPiezas[],6,0)</f>
        <v>0</v>
      </c>
      <c r="N80" s="386">
        <f>IF(F80="",0,ROUND(M80*F80,2))</f>
        <v>0</v>
      </c>
      <c r="O80" s="385">
        <f>+VLOOKUP(C80,TbPiezas[],7,0)</f>
        <v>0</v>
      </c>
      <c r="P80" s="388">
        <f>IF(F80="",0,ROUND(O80*F80,2))</f>
        <v>0</v>
      </c>
    </row>
    <row r="81" spans="1:16" hidden="1" x14ac:dyDescent="0.3">
      <c r="C81" s="433" t="s">
        <v>1458</v>
      </c>
      <c r="D81" s="240" t="s">
        <v>1456</v>
      </c>
      <c r="E81" s="2"/>
      <c r="F81" s="78"/>
      <c r="G81" s="2"/>
      <c r="H81" s="244"/>
      <c r="I81" s="76" t="str">
        <f>+IF(TEV[[#This Row],[ITEM]]=C81,"ok","mal")</f>
        <v>mal</v>
      </c>
      <c r="J81" s="439">
        <f>+F81</f>
        <v>0</v>
      </c>
      <c r="K81" s="440">
        <f>IF(VLOOKUP(C81,TbPiezas[],5,0)="NA",0,VLOOKUP(C81,TbPiezas[],5,0))</f>
        <v>0</v>
      </c>
      <c r="L81" s="384">
        <f>IF(F81="",0,K81*F81)</f>
        <v>0</v>
      </c>
      <c r="M81" s="385">
        <f>+VLOOKUP(C81,TbPiezas[],6,0)</f>
        <v>0</v>
      </c>
      <c r="N81" s="386">
        <f>IF(F81="",0,ROUND(M81*F81,2))</f>
        <v>0</v>
      </c>
      <c r="O81" s="385">
        <f>+VLOOKUP(C81,TbPiezas[],7,0)</f>
        <v>0</v>
      </c>
      <c r="P81" s="388">
        <f>IF(F81="",0,ROUND(O81*F81,2))</f>
        <v>0</v>
      </c>
    </row>
    <row r="82" spans="1:16" x14ac:dyDescent="0.3">
      <c r="C82" s="244" t="s">
        <v>813</v>
      </c>
      <c r="D82" s="244" t="s">
        <v>814</v>
      </c>
      <c r="E82" s="2"/>
      <c r="F82" s="78">
        <f>IF(F$4="NUEVO",1,)</f>
        <v>1</v>
      </c>
      <c r="G82" s="2"/>
      <c r="H82" s="244" t="str">
        <f>+C82</f>
        <v>EV.3800</v>
      </c>
      <c r="I82" s="76" t="str">
        <f>+IF(TEV[[#This Row],[ITEM]]=C82,"ok","mal")</f>
        <v>ok</v>
      </c>
      <c r="J82" s="439">
        <f t="shared" si="8"/>
        <v>1</v>
      </c>
      <c r="K82" s="169">
        <f>IF(VLOOKUP(C82,TbPiezas[],5,0)="NA",0,VLOOKUP(C82,TbPiezas[],5,0))</f>
        <v>9.8000000000000007</v>
      </c>
      <c r="L82" s="81">
        <f t="shared" si="9"/>
        <v>9.8000000000000007</v>
      </c>
      <c r="M82" s="247">
        <f>+VLOOKUP(C82,TbPiezas[],6,0)</f>
        <v>1041.81</v>
      </c>
      <c r="N82" s="248">
        <f t="shared" si="10"/>
        <v>1041.81</v>
      </c>
      <c r="O82" s="247">
        <f>+VLOOKUP(C82,TbPiezas[],7,0)</f>
        <v>52.090499999999999</v>
      </c>
      <c r="P82" s="437">
        <f t="shared" si="11"/>
        <v>52.09</v>
      </c>
    </row>
    <row r="83" spans="1:16" x14ac:dyDescent="0.3">
      <c r="C83" s="244" t="s">
        <v>815</v>
      </c>
      <c r="D83" s="244" t="s">
        <v>816</v>
      </c>
      <c r="E83" s="2"/>
      <c r="F83" s="78">
        <f>IF(F$4="NUEVO",1,)</f>
        <v>1</v>
      </c>
      <c r="G83" s="2"/>
      <c r="H83" s="244" t="str">
        <f>+C83</f>
        <v>EV.3900</v>
      </c>
      <c r="I83" s="76" t="str">
        <f>+IF(TEV[[#This Row],[ITEM]]=C83,"ok","mal")</f>
        <v>ok</v>
      </c>
      <c r="J83" s="439">
        <f t="shared" si="8"/>
        <v>1</v>
      </c>
      <c r="K83" s="169">
        <f>IF(VLOOKUP(C83,TbPiezas[],5,0)="NA",0,VLOOKUP(C83,TbPiezas[],5,0))</f>
        <v>9.8000000000000007</v>
      </c>
      <c r="L83" s="81">
        <f t="shared" si="9"/>
        <v>9.8000000000000007</v>
      </c>
      <c r="M83" s="247">
        <f>+VLOOKUP(C83,TbPiezas[],6,0)</f>
        <v>813.12</v>
      </c>
      <c r="N83" s="248">
        <f t="shared" si="10"/>
        <v>813.12</v>
      </c>
      <c r="O83" s="247">
        <f>+VLOOKUP(C83,TbPiezas[],7,0)</f>
        <v>40.656000000000006</v>
      </c>
      <c r="P83" s="437">
        <f t="shared" si="11"/>
        <v>40.659999999999997</v>
      </c>
    </row>
    <row r="84" spans="1:16" x14ac:dyDescent="0.3">
      <c r="A84" s="518"/>
      <c r="C84" s="244" t="s">
        <v>817</v>
      </c>
      <c r="D84" s="244" t="s">
        <v>818</v>
      </c>
      <c r="E84" s="2"/>
      <c r="F84" s="78">
        <f>IF(F$4="NUEVO",2,)</f>
        <v>2</v>
      </c>
      <c r="G84" s="2"/>
      <c r="H84" s="244" t="str">
        <f>+C84</f>
        <v>EV.4000</v>
      </c>
      <c r="I84" s="76" t="str">
        <f>+IF(TEV[[#This Row],[ITEM]]=C84,"ok","mal")</f>
        <v>ok</v>
      </c>
      <c r="J84" s="439">
        <f t="shared" si="8"/>
        <v>2</v>
      </c>
      <c r="K84" s="169">
        <f>IF(VLOOKUP(C84,TbPiezas[],5,0)="NA",0,VLOOKUP(C84,TbPiezas[],5,0))</f>
        <v>11.7</v>
      </c>
      <c r="L84" s="81">
        <f t="shared" si="9"/>
        <v>23.4</v>
      </c>
      <c r="M84" s="247">
        <f>+VLOOKUP(C84,TbPiezas[],6,0)</f>
        <v>1003.7</v>
      </c>
      <c r="N84" s="248">
        <f t="shared" si="10"/>
        <v>2007.4</v>
      </c>
      <c r="O84" s="247">
        <f>+VLOOKUP(C84,TbPiezas[],7,0)</f>
        <v>50.185000000000002</v>
      </c>
      <c r="P84" s="437">
        <f t="shared" si="11"/>
        <v>100.37</v>
      </c>
    </row>
    <row r="85" spans="1:16" hidden="1" x14ac:dyDescent="0.3">
      <c r="C85" s="433" t="s">
        <v>1460</v>
      </c>
      <c r="D85" s="240" t="s">
        <v>1459</v>
      </c>
      <c r="E85" s="2"/>
      <c r="F85" s="78"/>
      <c r="G85" s="2"/>
      <c r="H85" s="244"/>
      <c r="I85" s="76" t="str">
        <f>+IF(TEV[[#This Row],[ITEM]]=C85,"ok","mal")</f>
        <v>mal</v>
      </c>
      <c r="J85" s="439">
        <f>+F85</f>
        <v>0</v>
      </c>
      <c r="K85" s="440">
        <f>IF(VLOOKUP(C85,TbPiezas[],5,0)="NA",0,VLOOKUP(C85,TbPiezas[],5,0))</f>
        <v>0</v>
      </c>
      <c r="L85" s="384">
        <f>IF(F85="",0,K85*F85)</f>
        <v>0</v>
      </c>
      <c r="M85" s="385">
        <f>+VLOOKUP(C85,TbPiezas[],6,0)</f>
        <v>0</v>
      </c>
      <c r="N85" s="386">
        <f>IF(F85="",0,ROUND(M85*F85,2))</f>
        <v>0</v>
      </c>
      <c r="O85" s="385">
        <f>+VLOOKUP(C85,TbPiezas[],7,0)</f>
        <v>0</v>
      </c>
      <c r="P85" s="388">
        <f>IF(F85="",0,ROUND(O85*F85,2))</f>
        <v>0</v>
      </c>
    </row>
    <row r="86" spans="1:16" x14ac:dyDescent="0.3">
      <c r="C86" s="244" t="s">
        <v>819</v>
      </c>
      <c r="D86" s="244" t="s">
        <v>820</v>
      </c>
      <c r="E86" s="2"/>
      <c r="F86" s="78">
        <f>IF(F$4="NUEVO",2,)</f>
        <v>2</v>
      </c>
      <c r="G86" s="2"/>
      <c r="H86" s="244" t="str">
        <f>+C86</f>
        <v>EV.4100</v>
      </c>
      <c r="I86" s="76" t="str">
        <f>+IF(TEV[[#This Row],[ITEM]]=C86,"ok","mal")</f>
        <v>ok</v>
      </c>
      <c r="J86" s="439">
        <f t="shared" si="8"/>
        <v>2</v>
      </c>
      <c r="K86" s="169">
        <f>IF(VLOOKUP(C86,TbPiezas[],5,0)="NA",0,VLOOKUP(C86,TbPiezas[],5,0))</f>
        <v>30</v>
      </c>
      <c r="L86" s="81">
        <f t="shared" si="9"/>
        <v>60</v>
      </c>
      <c r="M86" s="247">
        <f>+VLOOKUP(C86,TbPiezas[],6,0)</f>
        <v>6352.5</v>
      </c>
      <c r="N86" s="248">
        <f t="shared" si="10"/>
        <v>12705</v>
      </c>
      <c r="O86" s="247">
        <f>+VLOOKUP(C86,TbPiezas[],7,0)</f>
        <v>317.625</v>
      </c>
      <c r="P86" s="437">
        <f t="shared" si="11"/>
        <v>635.25</v>
      </c>
    </row>
    <row r="87" spans="1:16" hidden="1" x14ac:dyDescent="0.3">
      <c r="C87" s="433" t="s">
        <v>1464</v>
      </c>
      <c r="D87" s="240" t="s">
        <v>1461</v>
      </c>
      <c r="E87" s="2"/>
      <c r="F87" s="78"/>
      <c r="G87" s="2"/>
      <c r="H87" s="244"/>
      <c r="I87" s="76" t="str">
        <f>+IF(TEV[[#This Row],[ITEM]]=C87,"ok","mal")</f>
        <v>mal</v>
      </c>
      <c r="J87" s="439">
        <f>+F87</f>
        <v>0</v>
      </c>
      <c r="K87" s="440">
        <f>IF(VLOOKUP(C87,TbPiezas[],5,0)="NA",0,VLOOKUP(C87,TbPiezas[],5,0))</f>
        <v>0</v>
      </c>
      <c r="L87" s="384">
        <f>IF(F87="",0,K87*F87)</f>
        <v>0</v>
      </c>
      <c r="M87" s="385">
        <f>+VLOOKUP(C87,TbPiezas[],6,0)</f>
        <v>0</v>
      </c>
      <c r="N87" s="386">
        <f>IF(F87="",0,ROUND(M87*F87,2))</f>
        <v>0</v>
      </c>
      <c r="O87" s="385">
        <f>+VLOOKUP(C87,TbPiezas[],7,0)</f>
        <v>0</v>
      </c>
      <c r="P87" s="388">
        <f>IF(F87="",0,ROUND(O87*F87,2))</f>
        <v>0</v>
      </c>
    </row>
    <row r="88" spans="1:16" hidden="1" x14ac:dyDescent="0.3">
      <c r="C88" s="433" t="s">
        <v>1465</v>
      </c>
      <c r="D88" s="240" t="s">
        <v>1462</v>
      </c>
      <c r="E88" s="2"/>
      <c r="F88" s="78"/>
      <c r="G88" s="2"/>
      <c r="H88" s="244"/>
      <c r="I88" s="76" t="str">
        <f>+IF(TEV[[#This Row],[ITEM]]=C88,"ok","mal")</f>
        <v>mal</v>
      </c>
      <c r="J88" s="439">
        <f>+F88</f>
        <v>0</v>
      </c>
      <c r="K88" s="440">
        <f>IF(VLOOKUP(C88,TbPiezas[],5,0)="NA",0,VLOOKUP(C88,TbPiezas[],5,0))</f>
        <v>0</v>
      </c>
      <c r="L88" s="384">
        <f>IF(F88="",0,K88*F88)</f>
        <v>0</v>
      </c>
      <c r="M88" s="385">
        <f>+VLOOKUP(C88,TbPiezas[],6,0)</f>
        <v>0</v>
      </c>
      <c r="N88" s="386">
        <f>IF(F88="",0,ROUND(M88*F88,2))</f>
        <v>0</v>
      </c>
      <c r="O88" s="385">
        <f>+VLOOKUP(C88,TbPiezas[],7,0)</f>
        <v>0</v>
      </c>
      <c r="P88" s="388">
        <f>IF(F88="",0,ROUND(O88*F88,2))</f>
        <v>0</v>
      </c>
    </row>
    <row r="89" spans="1:16" hidden="1" x14ac:dyDescent="0.3">
      <c r="C89" s="433" t="s">
        <v>1466</v>
      </c>
      <c r="D89" s="240" t="s">
        <v>1463</v>
      </c>
      <c r="E89" s="2"/>
      <c r="F89" s="78"/>
      <c r="G89" s="2"/>
      <c r="H89" s="244"/>
      <c r="I89" s="76" t="str">
        <f>+IF(TEV[[#This Row],[ITEM]]=C89,"ok","mal")</f>
        <v>mal</v>
      </c>
      <c r="J89" s="439">
        <f>+F89</f>
        <v>0</v>
      </c>
      <c r="K89" s="440">
        <f>IF(VLOOKUP(C89,TbPiezas[],5,0)="NA",0,VLOOKUP(C89,TbPiezas[],5,0))</f>
        <v>0</v>
      </c>
      <c r="L89" s="384">
        <f>IF(F89="",0,K89*F89)</f>
        <v>0</v>
      </c>
      <c r="M89" s="385">
        <f>+VLOOKUP(C89,TbPiezas[],6,0)</f>
        <v>0</v>
      </c>
      <c r="N89" s="386">
        <f>IF(F89="",0,ROUND(M89*F89,2))</f>
        <v>0</v>
      </c>
      <c r="O89" s="385">
        <f>+VLOOKUP(C89,TbPiezas[],7,0)</f>
        <v>0</v>
      </c>
      <c r="P89" s="388">
        <f>IF(F89="",0,ROUND(O89*F89,2))</f>
        <v>0</v>
      </c>
    </row>
    <row r="90" spans="1:16" hidden="1" x14ac:dyDescent="0.3">
      <c r="C90" s="433" t="s">
        <v>1467</v>
      </c>
      <c r="D90" s="240" t="s">
        <v>1463</v>
      </c>
      <c r="E90" s="2"/>
      <c r="F90" s="78"/>
      <c r="G90" s="2"/>
      <c r="H90" s="244"/>
      <c r="I90" s="76" t="str">
        <f>+IF(TEV[[#This Row],[ITEM]]=C90,"ok","mal")</f>
        <v>mal</v>
      </c>
      <c r="J90" s="439">
        <f>+F90</f>
        <v>0</v>
      </c>
      <c r="K90" s="440">
        <f>IF(VLOOKUP(C90,TbPiezas[],5,0)="NA",0,VLOOKUP(C90,TbPiezas[],5,0))</f>
        <v>0</v>
      </c>
      <c r="L90" s="384">
        <f>IF(F90="",0,K90*F90)</f>
        <v>0</v>
      </c>
      <c r="M90" s="385">
        <f>+VLOOKUP(C90,TbPiezas[],6,0)</f>
        <v>0</v>
      </c>
      <c r="N90" s="386">
        <f>IF(F90="",0,ROUND(M90*F90,2))</f>
        <v>0</v>
      </c>
      <c r="O90" s="385">
        <f>+VLOOKUP(C90,TbPiezas[],7,0)</f>
        <v>0</v>
      </c>
      <c r="P90" s="388">
        <f>IF(F90="",0,ROUND(O90*F90,2))</f>
        <v>0</v>
      </c>
    </row>
    <row r="91" spans="1:16" hidden="1" x14ac:dyDescent="0.3">
      <c r="B91" s="129" t="s">
        <v>1094</v>
      </c>
      <c r="C91" s="244" t="s">
        <v>821</v>
      </c>
      <c r="D91" s="244" t="s">
        <v>822</v>
      </c>
      <c r="E91" s="2"/>
      <c r="F91" s="78">
        <f>IF(F$4="NUEVO",IF(F$6=B91, 1,),)</f>
        <v>0</v>
      </c>
      <c r="G91" s="2"/>
      <c r="H91" s="244" t="str">
        <f>+C91</f>
        <v>EV.4200</v>
      </c>
      <c r="I91" s="76" t="str">
        <f>+IF(TEV[[#This Row],[ITEM]]=C91,"ok","mal")</f>
        <v>ok</v>
      </c>
      <c r="J91" s="439">
        <f t="shared" si="8"/>
        <v>0</v>
      </c>
      <c r="K91" s="169">
        <f>IF(VLOOKUP(C91,TbPiezas[],5,0)="NA",0,VLOOKUP(C91,TbPiezas[],5,0))</f>
        <v>29.3</v>
      </c>
      <c r="L91" s="81">
        <f t="shared" si="9"/>
        <v>0</v>
      </c>
      <c r="M91" s="247">
        <f>+VLOOKUP(C91,TbPiezas[],6,0)</f>
        <v>6352.5</v>
      </c>
      <c r="N91" s="248">
        <f t="shared" si="10"/>
        <v>0</v>
      </c>
      <c r="O91" s="247">
        <f>+VLOOKUP(C91,TbPiezas[],7,0)</f>
        <v>317.625</v>
      </c>
      <c r="P91" s="437">
        <f t="shared" si="11"/>
        <v>0</v>
      </c>
    </row>
    <row r="92" spans="1:16" x14ac:dyDescent="0.3">
      <c r="B92" s="129" t="s">
        <v>1095</v>
      </c>
      <c r="C92" s="433" t="s">
        <v>823</v>
      </c>
      <c r="D92" s="244" t="s">
        <v>824</v>
      </c>
      <c r="E92" s="2"/>
      <c r="F92" s="78">
        <f>IF(F$4="NUEVO",IF(F$6=B92, 1,),)</f>
        <v>1</v>
      </c>
      <c r="G92" s="2"/>
      <c r="H92" s="244" t="str">
        <f>+C92</f>
        <v>EV.4300</v>
      </c>
      <c r="I92" s="76" t="str">
        <f>+IF(TEV[[#This Row],[ITEM]]=C92,"ok","mal")</f>
        <v>ok</v>
      </c>
      <c r="J92" s="439">
        <f t="shared" si="8"/>
        <v>1</v>
      </c>
      <c r="K92" s="169">
        <f>IF(VLOOKUP(C92,TbPiezas[],5,0)="NA",0,VLOOKUP(C92,TbPiezas[],5,0))</f>
        <v>42</v>
      </c>
      <c r="L92" s="81">
        <f t="shared" si="9"/>
        <v>42</v>
      </c>
      <c r="M92" s="247">
        <f>+VLOOKUP(C92,TbPiezas[],6,0)</f>
        <v>6352.5</v>
      </c>
      <c r="N92" s="248">
        <f t="shared" si="10"/>
        <v>6352.5</v>
      </c>
      <c r="O92" s="247">
        <f>+VLOOKUP(C92,TbPiezas[],7,0)</f>
        <v>317.625</v>
      </c>
      <c r="P92" s="437">
        <f t="shared" si="11"/>
        <v>317.63</v>
      </c>
    </row>
    <row r="93" spans="1:16" hidden="1" x14ac:dyDescent="0.3">
      <c r="B93" s="129"/>
      <c r="C93" s="433" t="s">
        <v>1472</v>
      </c>
      <c r="D93" s="240" t="s">
        <v>1468</v>
      </c>
      <c r="E93" s="2"/>
      <c r="F93" s="78"/>
      <c r="G93" s="2"/>
      <c r="H93" s="244"/>
      <c r="I93" s="76" t="str">
        <f>+IF(TEV[[#This Row],[ITEM]]=C93,"ok","mal")</f>
        <v>mal</v>
      </c>
      <c r="J93" s="439">
        <f>+F93</f>
        <v>0</v>
      </c>
      <c r="K93" s="440">
        <f>IF(VLOOKUP(C93,TbPiezas[],5,0)="NA",0,VLOOKUP(C93,TbPiezas[],5,0))</f>
        <v>0</v>
      </c>
      <c r="L93" s="384">
        <f>IF(F93="",0,K93*F93)</f>
        <v>0</v>
      </c>
      <c r="M93" s="385">
        <f>+VLOOKUP(C93,TbPiezas[],6,0)</f>
        <v>0</v>
      </c>
      <c r="N93" s="386">
        <f>IF(F93="",0,ROUND(M93*F93,2))</f>
        <v>0</v>
      </c>
      <c r="O93" s="385">
        <f>+VLOOKUP(C93,TbPiezas[],7,0)</f>
        <v>0</v>
      </c>
      <c r="P93" s="388">
        <f>IF(F93="",0,ROUND(O93*F93,2))</f>
        <v>0</v>
      </c>
    </row>
    <row r="94" spans="1:16" hidden="1" x14ac:dyDescent="0.3">
      <c r="B94" s="129"/>
      <c r="C94" s="433" t="s">
        <v>1473</v>
      </c>
      <c r="D94" s="240" t="s">
        <v>1469</v>
      </c>
      <c r="E94" s="2"/>
      <c r="F94" s="78"/>
      <c r="G94" s="2"/>
      <c r="H94" s="244"/>
      <c r="I94" s="76" t="str">
        <f>+IF(TEV[[#This Row],[ITEM]]=C94,"ok","mal")</f>
        <v>mal</v>
      </c>
      <c r="J94" s="439">
        <f>+F94</f>
        <v>0</v>
      </c>
      <c r="K94" s="440">
        <f>IF(VLOOKUP(C94,TbPiezas[],5,0)="NA",0,VLOOKUP(C94,TbPiezas[],5,0))</f>
        <v>0</v>
      </c>
      <c r="L94" s="384">
        <f>IF(F94="",0,K94*F94)</f>
        <v>0</v>
      </c>
      <c r="M94" s="385">
        <f>+VLOOKUP(C94,TbPiezas[],6,0)</f>
        <v>0</v>
      </c>
      <c r="N94" s="386">
        <f>IF(F94="",0,ROUND(M94*F94,2))</f>
        <v>0</v>
      </c>
      <c r="O94" s="385">
        <f>+VLOOKUP(C94,TbPiezas[],7,0)</f>
        <v>0</v>
      </c>
      <c r="P94" s="388">
        <f>IF(F94="",0,ROUND(O94*F94,2))</f>
        <v>0</v>
      </c>
    </row>
    <row r="95" spans="1:16" hidden="1" x14ac:dyDescent="0.3">
      <c r="B95" s="129"/>
      <c r="C95" s="433" t="s">
        <v>1472</v>
      </c>
      <c r="D95" s="240" t="s">
        <v>1470</v>
      </c>
      <c r="E95" s="2"/>
      <c r="F95" s="78"/>
      <c r="G95" s="2"/>
      <c r="H95" s="244"/>
      <c r="I95" s="76" t="str">
        <f>+IF(TEV[[#This Row],[ITEM]]=C95,"ok","mal")</f>
        <v>mal</v>
      </c>
      <c r="J95" s="439">
        <f>+F95</f>
        <v>0</v>
      </c>
      <c r="K95" s="440">
        <f>IF(VLOOKUP(C95,TbPiezas[],5,0)="NA",0,VLOOKUP(C95,TbPiezas[],5,0))</f>
        <v>0</v>
      </c>
      <c r="L95" s="384">
        <f>IF(F95="",0,K95*F95)</f>
        <v>0</v>
      </c>
      <c r="M95" s="385">
        <f>+VLOOKUP(C95,TbPiezas[],6,0)</f>
        <v>0</v>
      </c>
      <c r="N95" s="386">
        <f>IF(F95="",0,ROUND(M95*F95,2))</f>
        <v>0</v>
      </c>
      <c r="O95" s="385">
        <f>+VLOOKUP(C95,TbPiezas[],7,0)</f>
        <v>0</v>
      </c>
      <c r="P95" s="388">
        <f>IF(F95="",0,ROUND(O95*F95,2))</f>
        <v>0</v>
      </c>
    </row>
    <row r="96" spans="1:16" hidden="1" x14ac:dyDescent="0.3">
      <c r="B96" s="129"/>
      <c r="C96" s="433" t="s">
        <v>1473</v>
      </c>
      <c r="D96" s="240" t="s">
        <v>1471</v>
      </c>
      <c r="E96" s="2"/>
      <c r="F96" s="78"/>
      <c r="G96" s="2"/>
      <c r="H96" s="244"/>
      <c r="I96" s="76" t="str">
        <f>+IF(TEV[[#This Row],[ITEM]]=C96,"ok","mal")</f>
        <v>mal</v>
      </c>
      <c r="J96" s="439">
        <f>+F96</f>
        <v>0</v>
      </c>
      <c r="K96" s="440">
        <f>IF(VLOOKUP(C96,TbPiezas[],5,0)="NA",0,VLOOKUP(C96,TbPiezas[],5,0))</f>
        <v>0</v>
      </c>
      <c r="L96" s="384">
        <f>IF(F96="",0,K96*F96)</f>
        <v>0</v>
      </c>
      <c r="M96" s="385">
        <f>+VLOOKUP(C96,TbPiezas[],6,0)</f>
        <v>0</v>
      </c>
      <c r="N96" s="386">
        <f>IF(F96="",0,ROUND(M96*F96,2))</f>
        <v>0</v>
      </c>
      <c r="O96" s="385">
        <f>+VLOOKUP(C96,TbPiezas[],7,0)</f>
        <v>0</v>
      </c>
      <c r="P96" s="388">
        <f>IF(F96="",0,ROUND(O96*F96,2))</f>
        <v>0</v>
      </c>
    </row>
    <row r="97" spans="1:16" x14ac:dyDescent="0.3">
      <c r="B97" s="129"/>
      <c r="C97" s="433" t="s">
        <v>825</v>
      </c>
      <c r="D97" s="244" t="s">
        <v>826</v>
      </c>
      <c r="E97" s="2"/>
      <c r="F97" s="78">
        <f>IF(F$4="NUEVO",3,)</f>
        <v>3</v>
      </c>
      <c r="G97" s="2"/>
      <c r="H97" s="244" t="str">
        <f t="shared" ref="H97:H107" si="12">+C97</f>
        <v>EV.4400</v>
      </c>
      <c r="I97" s="76" t="str">
        <f>+IF(TEV[[#This Row],[ITEM]]=C97,"ok","mal")</f>
        <v>ok</v>
      </c>
      <c r="J97" s="439">
        <f t="shared" si="8"/>
        <v>3</v>
      </c>
      <c r="K97" s="169">
        <f>IF(VLOOKUP(C97,TbPiezas[],5,0)="NA",0,VLOOKUP(C97,TbPiezas[],5,0))</f>
        <v>42</v>
      </c>
      <c r="L97" s="81">
        <f t="shared" si="9"/>
        <v>126</v>
      </c>
      <c r="M97" s="247">
        <f>+VLOOKUP(C97,TbPiezas[],6,0)</f>
        <v>6352.5</v>
      </c>
      <c r="N97" s="248">
        <f t="shared" si="10"/>
        <v>19057.5</v>
      </c>
      <c r="O97" s="247">
        <f>+VLOOKUP(C97,TbPiezas[],7,0)</f>
        <v>317.625</v>
      </c>
      <c r="P97" s="437">
        <f t="shared" si="11"/>
        <v>952.88</v>
      </c>
    </row>
    <row r="98" spans="1:16" hidden="1" x14ac:dyDescent="0.3">
      <c r="B98" s="129" t="s">
        <v>1094</v>
      </c>
      <c r="C98" s="433" t="s">
        <v>827</v>
      </c>
      <c r="D98" s="244" t="s">
        <v>828</v>
      </c>
      <c r="E98" s="2"/>
      <c r="F98" s="78">
        <f t="shared" ref="F98:F107" si="13">IF(F$4="NUEVO",IF(F$6=B98, 1,),)</f>
        <v>0</v>
      </c>
      <c r="G98" s="2"/>
      <c r="H98" s="244" t="str">
        <f t="shared" si="12"/>
        <v>EV.4500</v>
      </c>
      <c r="I98" s="76" t="str">
        <f>+IF(TEV[[#This Row],[ITEM]]=C98,"ok","mal")</f>
        <v>ok</v>
      </c>
      <c r="J98" s="439">
        <f t="shared" si="8"/>
        <v>0</v>
      </c>
      <c r="K98" s="169">
        <f>IF(VLOOKUP(C98,TbPiezas[],5,0)="NA",0,VLOOKUP(C98,TbPiezas[],5,0))</f>
        <v>28.7</v>
      </c>
      <c r="L98" s="81">
        <f t="shared" si="9"/>
        <v>0</v>
      </c>
      <c r="M98" s="247">
        <f>+VLOOKUP(C98,TbPiezas[],6,0)</f>
        <v>6352.5</v>
      </c>
      <c r="N98" s="248">
        <f t="shared" si="10"/>
        <v>0</v>
      </c>
      <c r="O98" s="247">
        <f>+VLOOKUP(C98,TbPiezas[],7,0)</f>
        <v>317.625</v>
      </c>
      <c r="P98" s="437">
        <f t="shared" si="11"/>
        <v>0</v>
      </c>
    </row>
    <row r="99" spans="1:16" x14ac:dyDescent="0.3">
      <c r="B99" s="129" t="s">
        <v>1095</v>
      </c>
      <c r="C99" s="244" t="s">
        <v>829</v>
      </c>
      <c r="D99" s="244" t="s">
        <v>830</v>
      </c>
      <c r="E99" s="2"/>
      <c r="F99" s="78">
        <f t="shared" si="13"/>
        <v>1</v>
      </c>
      <c r="G99" s="2"/>
      <c r="H99" s="244" t="str">
        <f t="shared" si="12"/>
        <v>EV.4600</v>
      </c>
      <c r="I99" s="76" t="str">
        <f>+IF(TEV[[#This Row],[ITEM]]=C99,"ok","mal")</f>
        <v>ok</v>
      </c>
      <c r="J99" s="439">
        <f t="shared" si="8"/>
        <v>1</v>
      </c>
      <c r="K99" s="169">
        <f>IF(VLOOKUP(C99,TbPiezas[],5,0)="NA",0,VLOOKUP(C99,TbPiezas[],5,0))</f>
        <v>28.7</v>
      </c>
      <c r="L99" s="81">
        <f t="shared" si="9"/>
        <v>28.7</v>
      </c>
      <c r="M99" s="247">
        <f>+VLOOKUP(C99,TbPiezas[],6,0)</f>
        <v>6352.5</v>
      </c>
      <c r="N99" s="248">
        <f t="shared" si="10"/>
        <v>6352.5</v>
      </c>
      <c r="O99" s="247">
        <f>+VLOOKUP(C99,TbPiezas[],7,0)</f>
        <v>317.625</v>
      </c>
      <c r="P99" s="437">
        <f t="shared" si="11"/>
        <v>317.63</v>
      </c>
    </row>
    <row r="100" spans="1:16" hidden="1" x14ac:dyDescent="0.3">
      <c r="B100" s="129" t="s">
        <v>1094</v>
      </c>
      <c r="C100" s="244" t="s">
        <v>831</v>
      </c>
      <c r="D100" s="244" t="s">
        <v>832</v>
      </c>
      <c r="E100" s="2"/>
      <c r="F100" s="78">
        <f t="shared" si="13"/>
        <v>0</v>
      </c>
      <c r="G100" s="2"/>
      <c r="H100" s="244" t="str">
        <f t="shared" si="12"/>
        <v>EV.4700</v>
      </c>
      <c r="I100" s="76" t="str">
        <f>+IF(TEV[[#This Row],[ITEM]]=C100,"ok","mal")</f>
        <v>ok</v>
      </c>
      <c r="J100" s="439">
        <f t="shared" si="8"/>
        <v>0</v>
      </c>
      <c r="K100" s="169">
        <f>IF(VLOOKUP(C100,TbPiezas[],5,0)="NA",0,VLOOKUP(C100,TbPiezas[],5,0))</f>
        <v>148</v>
      </c>
      <c r="L100" s="81">
        <f t="shared" si="9"/>
        <v>0</v>
      </c>
      <c r="M100" s="247">
        <f>+VLOOKUP(C100,TbPiezas[],6,0)</f>
        <v>8258.25</v>
      </c>
      <c r="N100" s="248">
        <f t="shared" si="10"/>
        <v>0</v>
      </c>
      <c r="O100" s="247">
        <f>+VLOOKUP(C100,TbPiezas[],7,0)</f>
        <v>412.91250000000002</v>
      </c>
      <c r="P100" s="437">
        <f t="shared" si="11"/>
        <v>0</v>
      </c>
    </row>
    <row r="101" spans="1:16" x14ac:dyDescent="0.3">
      <c r="B101" s="129" t="s">
        <v>1095</v>
      </c>
      <c r="C101" s="244" t="s">
        <v>833</v>
      </c>
      <c r="D101" s="244" t="s">
        <v>834</v>
      </c>
      <c r="E101" s="2"/>
      <c r="F101" s="78">
        <f t="shared" si="13"/>
        <v>1</v>
      </c>
      <c r="G101" s="2"/>
      <c r="H101" s="244" t="str">
        <f t="shared" si="12"/>
        <v>EV.4800</v>
      </c>
      <c r="I101" s="76" t="str">
        <f>+IF(TEV[[#This Row],[ITEM]]=C101,"ok","mal")</f>
        <v>ok</v>
      </c>
      <c r="J101" s="439">
        <f t="shared" si="8"/>
        <v>1</v>
      </c>
      <c r="K101" s="169">
        <f>IF(VLOOKUP(C101,TbPiezas[],5,0)="NA",0,VLOOKUP(C101,TbPiezas[],5,0))</f>
        <v>148</v>
      </c>
      <c r="L101" s="81">
        <f t="shared" si="9"/>
        <v>148</v>
      </c>
      <c r="M101" s="247">
        <f>+VLOOKUP(C101,TbPiezas[],6,0)</f>
        <v>8258.25</v>
      </c>
      <c r="N101" s="248">
        <f t="shared" si="10"/>
        <v>8258.25</v>
      </c>
      <c r="O101" s="247">
        <f>+VLOOKUP(C101,TbPiezas[],7,0)</f>
        <v>412.91250000000002</v>
      </c>
      <c r="P101" s="437">
        <f t="shared" si="11"/>
        <v>412.91</v>
      </c>
    </row>
    <row r="102" spans="1:16" hidden="1" x14ac:dyDescent="0.3">
      <c r="B102" s="129" t="s">
        <v>1094</v>
      </c>
      <c r="C102" s="244" t="s">
        <v>835</v>
      </c>
      <c r="D102" s="244" t="s">
        <v>836</v>
      </c>
      <c r="E102" s="2"/>
      <c r="F102" s="78">
        <f t="shared" si="13"/>
        <v>0</v>
      </c>
      <c r="G102" s="2"/>
      <c r="H102" s="244" t="str">
        <f t="shared" si="12"/>
        <v>EV.4900</v>
      </c>
      <c r="I102" s="76" t="str">
        <f>+IF(TEV[[#This Row],[ITEM]]=C102,"ok","mal")</f>
        <v>ok</v>
      </c>
      <c r="J102" s="439">
        <f t="shared" si="8"/>
        <v>0</v>
      </c>
      <c r="K102" s="169">
        <f>IF(VLOOKUP(C102,TbPiezas[],5,0)="NA",0,VLOOKUP(C102,TbPiezas[],5,0))</f>
        <v>35.9</v>
      </c>
      <c r="L102" s="81">
        <f t="shared" si="9"/>
        <v>0</v>
      </c>
      <c r="M102" s="247">
        <f>+VLOOKUP(C102,TbPiezas[],6,0)</f>
        <v>3049.2</v>
      </c>
      <c r="N102" s="248">
        <f t="shared" si="10"/>
        <v>0</v>
      </c>
      <c r="O102" s="247">
        <f>+VLOOKUP(C102,TbPiezas[],7,0)</f>
        <v>152.46</v>
      </c>
      <c r="P102" s="437">
        <f t="shared" si="11"/>
        <v>0</v>
      </c>
    </row>
    <row r="103" spans="1:16" x14ac:dyDescent="0.3">
      <c r="A103" s="518"/>
      <c r="B103" s="129" t="s">
        <v>1095</v>
      </c>
      <c r="C103" s="244" t="s">
        <v>837</v>
      </c>
      <c r="D103" s="244" t="s">
        <v>838</v>
      </c>
      <c r="E103" s="2"/>
      <c r="F103" s="78">
        <f t="shared" si="13"/>
        <v>1</v>
      </c>
      <c r="G103" s="2"/>
      <c r="H103" s="244" t="str">
        <f t="shared" si="12"/>
        <v>EV.5000</v>
      </c>
      <c r="I103" s="76" t="str">
        <f>+IF(TEV[[#This Row],[ITEM]]=C103,"ok","mal")</f>
        <v>ok</v>
      </c>
      <c r="J103" s="439">
        <f t="shared" si="8"/>
        <v>1</v>
      </c>
      <c r="K103" s="169">
        <f>IF(VLOOKUP(C103,TbPiezas[],5,0)="NA",0,VLOOKUP(C103,TbPiezas[],5,0))</f>
        <v>35.9</v>
      </c>
      <c r="L103" s="81">
        <f t="shared" si="9"/>
        <v>35.9</v>
      </c>
      <c r="M103" s="247">
        <f>+VLOOKUP(C103,TbPiezas[],6,0)</f>
        <v>3049.2</v>
      </c>
      <c r="N103" s="248">
        <f t="shared" si="10"/>
        <v>3049.2</v>
      </c>
      <c r="O103" s="247">
        <f>+VLOOKUP(C103,TbPiezas[],7,0)</f>
        <v>152.46</v>
      </c>
      <c r="P103" s="437">
        <f t="shared" si="11"/>
        <v>152.46</v>
      </c>
    </row>
    <row r="104" spans="1:16" hidden="1" x14ac:dyDescent="0.3">
      <c r="B104" s="129" t="s">
        <v>1094</v>
      </c>
      <c r="C104" s="244" t="s">
        <v>839</v>
      </c>
      <c r="D104" s="244" t="s">
        <v>840</v>
      </c>
      <c r="E104" s="2"/>
      <c r="F104" s="78">
        <f t="shared" si="13"/>
        <v>0</v>
      </c>
      <c r="G104" s="2"/>
      <c r="H104" s="244" t="str">
        <f t="shared" si="12"/>
        <v>EV.5100</v>
      </c>
      <c r="I104" s="76" t="str">
        <f>+IF(TEV[[#This Row],[ITEM]]=C104,"ok","mal")</f>
        <v>ok</v>
      </c>
      <c r="J104" s="439">
        <f t="shared" si="8"/>
        <v>0</v>
      </c>
      <c r="K104" s="169">
        <f>IF(VLOOKUP(C104,TbPiezas[],5,0)="NA",0,VLOOKUP(C104,TbPiezas[],5,0))</f>
        <v>26.6</v>
      </c>
      <c r="L104" s="81">
        <f t="shared" si="9"/>
        <v>0</v>
      </c>
      <c r="M104" s="247">
        <f>+VLOOKUP(C104,TbPiezas[],6,0)</f>
        <v>4446.75</v>
      </c>
      <c r="N104" s="248">
        <f t="shared" si="10"/>
        <v>0</v>
      </c>
      <c r="O104" s="247">
        <f>+VLOOKUP(C104,TbPiezas[],7,0)</f>
        <v>222.33750000000001</v>
      </c>
      <c r="P104" s="437">
        <f t="shared" si="11"/>
        <v>0</v>
      </c>
    </row>
    <row r="105" spans="1:16" x14ac:dyDescent="0.3">
      <c r="B105" s="129" t="s">
        <v>1095</v>
      </c>
      <c r="C105" s="244" t="s">
        <v>841</v>
      </c>
      <c r="D105" s="244" t="s">
        <v>842</v>
      </c>
      <c r="E105" s="2"/>
      <c r="F105" s="78">
        <f t="shared" si="13"/>
        <v>1</v>
      </c>
      <c r="G105" s="2"/>
      <c r="H105" s="244" t="str">
        <f t="shared" si="12"/>
        <v>EV.5200</v>
      </c>
      <c r="I105" s="76" t="str">
        <f>+IF(TEV[[#This Row],[ITEM]]=C105,"ok","mal")</f>
        <v>ok</v>
      </c>
      <c r="J105" s="439">
        <f t="shared" si="8"/>
        <v>1</v>
      </c>
      <c r="K105" s="169">
        <f>IF(VLOOKUP(C105,TbPiezas[],5,0)="NA",0,VLOOKUP(C105,TbPiezas[],5,0))</f>
        <v>20.2</v>
      </c>
      <c r="L105" s="81">
        <f t="shared" si="9"/>
        <v>20.2</v>
      </c>
      <c r="M105" s="247">
        <f>+VLOOKUP(C105,TbPiezas[],6,0)</f>
        <v>4446.75</v>
      </c>
      <c r="N105" s="248">
        <f t="shared" si="10"/>
        <v>4446.75</v>
      </c>
      <c r="O105" s="247">
        <f>+VLOOKUP(C105,TbPiezas[],7,0)</f>
        <v>222.33750000000001</v>
      </c>
      <c r="P105" s="437">
        <f t="shared" si="11"/>
        <v>222.34</v>
      </c>
    </row>
    <row r="106" spans="1:16" hidden="1" x14ac:dyDescent="0.3">
      <c r="B106" s="129" t="s">
        <v>1094</v>
      </c>
      <c r="C106" s="244" t="s">
        <v>843</v>
      </c>
      <c r="D106" s="244" t="s">
        <v>844</v>
      </c>
      <c r="E106" s="2"/>
      <c r="F106" s="78">
        <f t="shared" si="13"/>
        <v>0</v>
      </c>
      <c r="G106" s="2"/>
      <c r="H106" s="244" t="str">
        <f t="shared" si="12"/>
        <v>EV.5300</v>
      </c>
      <c r="I106" s="76" t="str">
        <f>+IF(TEV[[#This Row],[ITEM]]=C106,"ok","mal")</f>
        <v>ok</v>
      </c>
      <c r="J106" s="439">
        <f t="shared" si="8"/>
        <v>0</v>
      </c>
      <c r="K106" s="169">
        <f>IF(VLOOKUP(C106,TbPiezas[],5,0)="NA",0,VLOOKUP(C106,TbPiezas[],5,0))</f>
        <v>26.6</v>
      </c>
      <c r="L106" s="81">
        <f t="shared" si="9"/>
        <v>0</v>
      </c>
      <c r="M106" s="247">
        <f>+VLOOKUP(C106,TbPiezas[],6,0)</f>
        <v>4446.75</v>
      </c>
      <c r="N106" s="248">
        <f t="shared" si="10"/>
        <v>0</v>
      </c>
      <c r="O106" s="247">
        <f>+VLOOKUP(C106,TbPiezas[],7,0)</f>
        <v>222.33750000000001</v>
      </c>
      <c r="P106" s="437">
        <f t="shared" si="11"/>
        <v>0</v>
      </c>
    </row>
    <row r="107" spans="1:16" x14ac:dyDescent="0.3">
      <c r="B107" s="129" t="s">
        <v>1095</v>
      </c>
      <c r="C107" s="244" t="s">
        <v>845</v>
      </c>
      <c r="D107" s="244" t="s">
        <v>846</v>
      </c>
      <c r="E107" s="2"/>
      <c r="F107" s="78">
        <f t="shared" si="13"/>
        <v>1</v>
      </c>
      <c r="G107" s="2"/>
      <c r="H107" s="244" t="str">
        <f t="shared" si="12"/>
        <v>EV.5400</v>
      </c>
      <c r="I107" s="76" t="str">
        <f>+IF(TEV[[#This Row],[ITEM]]=C107,"ok","mal")</f>
        <v>ok</v>
      </c>
      <c r="J107" s="439">
        <f t="shared" si="8"/>
        <v>1</v>
      </c>
      <c r="K107" s="169">
        <f>IF(VLOOKUP(C107,TbPiezas[],5,0)="NA",0,VLOOKUP(C107,TbPiezas[],5,0))</f>
        <v>20.2</v>
      </c>
      <c r="L107" s="81">
        <f t="shared" si="9"/>
        <v>20.2</v>
      </c>
      <c r="M107" s="247">
        <f>+VLOOKUP(C107,TbPiezas[],6,0)</f>
        <v>4446.75</v>
      </c>
      <c r="N107" s="248">
        <f t="shared" si="10"/>
        <v>4446.75</v>
      </c>
      <c r="O107" s="247">
        <f>+VLOOKUP(C107,TbPiezas[],7,0)</f>
        <v>222.33750000000001</v>
      </c>
      <c r="P107" s="437">
        <f t="shared" si="11"/>
        <v>222.34</v>
      </c>
    </row>
    <row r="108" spans="1:16" hidden="1" x14ac:dyDescent="0.3">
      <c r="B108" s="129"/>
      <c r="C108" s="433" t="s">
        <v>1480</v>
      </c>
      <c r="D108" s="240" t="s">
        <v>1474</v>
      </c>
      <c r="E108" s="2"/>
      <c r="F108" s="78"/>
      <c r="G108" s="2"/>
      <c r="H108" s="244"/>
      <c r="I108" s="76" t="str">
        <f>+IF(TEV[[#This Row],[ITEM]]=C108,"ok","mal")</f>
        <v>mal</v>
      </c>
      <c r="J108" s="439">
        <f t="shared" ref="J108:J113" si="14">+F108</f>
        <v>0</v>
      </c>
      <c r="K108" s="440">
        <f>IF(VLOOKUP(C108,TbPiezas[],5,0)="NA",0,VLOOKUP(C108,TbPiezas[],5,0))</f>
        <v>0</v>
      </c>
      <c r="L108" s="384">
        <f t="shared" ref="L108:L113" si="15">IF(F108="",0,K108*F108)</f>
        <v>0</v>
      </c>
      <c r="M108" s="385">
        <f>+VLOOKUP(C108,TbPiezas[],6,0)</f>
        <v>0</v>
      </c>
      <c r="N108" s="386">
        <f t="shared" ref="N108:N113" si="16">IF(F108="",0,ROUND(M108*F108,2))</f>
        <v>0</v>
      </c>
      <c r="O108" s="385">
        <f>+VLOOKUP(C108,TbPiezas[],7,0)</f>
        <v>0</v>
      </c>
      <c r="P108" s="388">
        <f t="shared" ref="P108:P113" si="17">IF(F108="",0,ROUND(O108*F108,2))</f>
        <v>0</v>
      </c>
    </row>
    <row r="109" spans="1:16" hidden="1" x14ac:dyDescent="0.3">
      <c r="B109" s="129"/>
      <c r="C109" s="433" t="s">
        <v>1481</v>
      </c>
      <c r="D109" s="240" t="s">
        <v>1475</v>
      </c>
      <c r="E109" s="2"/>
      <c r="F109" s="78"/>
      <c r="G109" s="2"/>
      <c r="H109" s="244"/>
      <c r="I109" s="76" t="str">
        <f>+IF(TEV[[#This Row],[ITEM]]=C109,"ok","mal")</f>
        <v>mal</v>
      </c>
      <c r="J109" s="439">
        <f t="shared" si="14"/>
        <v>0</v>
      </c>
      <c r="K109" s="440">
        <f>IF(VLOOKUP(C109,TbPiezas[],5,0)="NA",0,VLOOKUP(C109,TbPiezas[],5,0))</f>
        <v>0</v>
      </c>
      <c r="L109" s="384">
        <f t="shared" si="15"/>
        <v>0</v>
      </c>
      <c r="M109" s="385">
        <f>+VLOOKUP(C109,TbPiezas[],6,0)</f>
        <v>0</v>
      </c>
      <c r="N109" s="386">
        <f t="shared" si="16"/>
        <v>0</v>
      </c>
      <c r="O109" s="385">
        <f>+VLOOKUP(C109,TbPiezas[],7,0)</f>
        <v>0</v>
      </c>
      <c r="P109" s="388">
        <f t="shared" si="17"/>
        <v>0</v>
      </c>
    </row>
    <row r="110" spans="1:16" hidden="1" x14ac:dyDescent="0.3">
      <c r="B110" s="129"/>
      <c r="C110" s="433" t="s">
        <v>1482</v>
      </c>
      <c r="D110" s="240" t="s">
        <v>1476</v>
      </c>
      <c r="E110" s="2"/>
      <c r="F110" s="78"/>
      <c r="G110" s="2"/>
      <c r="H110" s="244"/>
      <c r="I110" s="76" t="str">
        <f>+IF(TEV[[#This Row],[ITEM]]=C110,"ok","mal")</f>
        <v>mal</v>
      </c>
      <c r="J110" s="439">
        <f t="shared" si="14"/>
        <v>0</v>
      </c>
      <c r="K110" s="440">
        <f>IF(VLOOKUP(C110,TbPiezas[],5,0)="NA",0,VLOOKUP(C110,TbPiezas[],5,0))</f>
        <v>0</v>
      </c>
      <c r="L110" s="384">
        <f t="shared" si="15"/>
        <v>0</v>
      </c>
      <c r="M110" s="385">
        <f>+VLOOKUP(C110,TbPiezas[],6,0)</f>
        <v>0</v>
      </c>
      <c r="N110" s="386">
        <f t="shared" si="16"/>
        <v>0</v>
      </c>
      <c r="O110" s="385">
        <f>+VLOOKUP(C110,TbPiezas[],7,0)</f>
        <v>0</v>
      </c>
      <c r="P110" s="388">
        <f t="shared" si="17"/>
        <v>0</v>
      </c>
    </row>
    <row r="111" spans="1:16" hidden="1" x14ac:dyDescent="0.3">
      <c r="B111" s="129"/>
      <c r="C111" s="433" t="s">
        <v>1483</v>
      </c>
      <c r="D111" s="240" t="s">
        <v>1477</v>
      </c>
      <c r="E111" s="2"/>
      <c r="F111" s="78"/>
      <c r="G111" s="2"/>
      <c r="H111" s="244"/>
      <c r="I111" s="76" t="str">
        <f>+IF(TEV[[#This Row],[ITEM]]=C111,"ok","mal")</f>
        <v>mal</v>
      </c>
      <c r="J111" s="439">
        <f t="shared" si="14"/>
        <v>0</v>
      </c>
      <c r="K111" s="440">
        <f>IF(VLOOKUP(C111,TbPiezas[],5,0)="NA",0,VLOOKUP(C111,TbPiezas[],5,0))</f>
        <v>0</v>
      </c>
      <c r="L111" s="384">
        <f t="shared" si="15"/>
        <v>0</v>
      </c>
      <c r="M111" s="385">
        <f>+VLOOKUP(C111,TbPiezas[],6,0)</f>
        <v>0</v>
      </c>
      <c r="N111" s="386">
        <f t="shared" si="16"/>
        <v>0</v>
      </c>
      <c r="O111" s="385">
        <f>+VLOOKUP(C111,TbPiezas[],7,0)</f>
        <v>0</v>
      </c>
      <c r="P111" s="388">
        <f t="shared" si="17"/>
        <v>0</v>
      </c>
    </row>
    <row r="112" spans="1:16" hidden="1" x14ac:dyDescent="0.3">
      <c r="B112" s="129"/>
      <c r="C112" s="433" t="s">
        <v>1484</v>
      </c>
      <c r="D112" s="240" t="s">
        <v>1478</v>
      </c>
      <c r="E112" s="2"/>
      <c r="F112" s="78"/>
      <c r="G112" s="2"/>
      <c r="H112" s="244"/>
      <c r="I112" s="76" t="str">
        <f>+IF(TEV[[#This Row],[ITEM]]=C112,"ok","mal")</f>
        <v>mal</v>
      </c>
      <c r="J112" s="439">
        <f t="shared" si="14"/>
        <v>0</v>
      </c>
      <c r="K112" s="440">
        <f>IF(VLOOKUP(C112,TbPiezas[],5,0)="NA",0,VLOOKUP(C112,TbPiezas[],5,0))</f>
        <v>0</v>
      </c>
      <c r="L112" s="384">
        <f t="shared" si="15"/>
        <v>0</v>
      </c>
      <c r="M112" s="385">
        <f>+VLOOKUP(C112,TbPiezas[],6,0)</f>
        <v>0</v>
      </c>
      <c r="N112" s="386">
        <f t="shared" si="16"/>
        <v>0</v>
      </c>
      <c r="O112" s="385">
        <f>+VLOOKUP(C112,TbPiezas[],7,0)</f>
        <v>0</v>
      </c>
      <c r="P112" s="388">
        <f t="shared" si="17"/>
        <v>0</v>
      </c>
    </row>
    <row r="113" spans="1:16" hidden="1" x14ac:dyDescent="0.3">
      <c r="B113" s="129"/>
      <c r="C113" s="433" t="s">
        <v>1485</v>
      </c>
      <c r="D113" s="240" t="s">
        <v>1479</v>
      </c>
      <c r="E113" s="2"/>
      <c r="F113" s="78"/>
      <c r="G113" s="2"/>
      <c r="H113" s="244"/>
      <c r="I113" s="76" t="str">
        <f>+IF(TEV[[#This Row],[ITEM]]=C113,"ok","mal")</f>
        <v>mal</v>
      </c>
      <c r="J113" s="439">
        <f t="shared" si="14"/>
        <v>0</v>
      </c>
      <c r="K113" s="440">
        <f>IF(VLOOKUP(C113,TbPiezas[],5,0)="NA",0,VLOOKUP(C113,TbPiezas[],5,0))</f>
        <v>0</v>
      </c>
      <c r="L113" s="384">
        <f t="shared" si="15"/>
        <v>0</v>
      </c>
      <c r="M113" s="385">
        <f>+VLOOKUP(C113,TbPiezas[],6,0)</f>
        <v>0</v>
      </c>
      <c r="N113" s="386">
        <f t="shared" si="16"/>
        <v>0</v>
      </c>
      <c r="O113" s="385">
        <f>+VLOOKUP(C113,TbPiezas[],7,0)</f>
        <v>0</v>
      </c>
      <c r="P113" s="388">
        <f t="shared" si="17"/>
        <v>0</v>
      </c>
    </row>
    <row r="114" spans="1:16" x14ac:dyDescent="0.3">
      <c r="C114" s="433" t="s">
        <v>847</v>
      </c>
      <c r="D114" s="244" t="s">
        <v>848</v>
      </c>
      <c r="E114" s="2"/>
      <c r="F114" s="78">
        <f>IF(F$4="NUEVO",1,)</f>
        <v>1</v>
      </c>
      <c r="G114" s="2"/>
      <c r="H114" s="244" t="str">
        <f>+C114</f>
        <v>EV.5500</v>
      </c>
      <c r="I114" s="76" t="str">
        <f>+IF(TEV[[#This Row],[ITEM]]=C114,"ok","mal")</f>
        <v>ok</v>
      </c>
      <c r="J114" s="439">
        <f t="shared" si="8"/>
        <v>1</v>
      </c>
      <c r="K114" s="169">
        <f>IF(VLOOKUP(C114,TbPiezas[],5,0)="NA",0,VLOOKUP(C114,TbPiezas[],5,0))</f>
        <v>0.7</v>
      </c>
      <c r="L114" s="81">
        <f t="shared" si="9"/>
        <v>0.7</v>
      </c>
      <c r="M114" s="247">
        <f>+VLOOKUP(C114,TbPiezas[],6,0)</f>
        <v>2032.8</v>
      </c>
      <c r="N114" s="248">
        <f t="shared" si="10"/>
        <v>2032.8</v>
      </c>
      <c r="O114" s="247">
        <f>+VLOOKUP(C114,TbPiezas[],7,0)</f>
        <v>101.64</v>
      </c>
      <c r="P114" s="437">
        <f t="shared" si="11"/>
        <v>101.64</v>
      </c>
    </row>
    <row r="115" spans="1:16" x14ac:dyDescent="0.3">
      <c r="C115" s="433" t="s">
        <v>849</v>
      </c>
      <c r="D115" s="240" t="s">
        <v>1486</v>
      </c>
      <c r="E115" s="2"/>
      <c r="F115" s="78">
        <f>IF(F$4="NUEVO",2,)</f>
        <v>2</v>
      </c>
      <c r="G115" s="2"/>
      <c r="H115" s="244" t="str">
        <f>+C115</f>
        <v>EV.5600</v>
      </c>
      <c r="I115" s="76" t="str">
        <f>+IF(TEV[[#This Row],[ITEM]]=C115,"ok","mal")</f>
        <v>ok</v>
      </c>
      <c r="J115" s="439">
        <f t="shared" si="8"/>
        <v>2</v>
      </c>
      <c r="K115" s="169">
        <f>IF(VLOOKUP(C115,TbPiezas[],5,0)="NA",0,VLOOKUP(C115,TbPiezas[],5,0))</f>
        <v>8.1999999999999993</v>
      </c>
      <c r="L115" s="81">
        <f t="shared" si="9"/>
        <v>16.399999999999999</v>
      </c>
      <c r="M115" s="247">
        <f>+VLOOKUP(C115,TbPiezas[],6,0)</f>
        <v>1079.93</v>
      </c>
      <c r="N115" s="248">
        <f t="shared" si="10"/>
        <v>2159.86</v>
      </c>
      <c r="O115" s="247">
        <f>+VLOOKUP(C115,TbPiezas[],7,0)</f>
        <v>53.996500000000005</v>
      </c>
      <c r="P115" s="437">
        <f t="shared" si="11"/>
        <v>107.99</v>
      </c>
    </row>
    <row r="116" spans="1:16" hidden="1" x14ac:dyDescent="0.3">
      <c r="C116" s="433" t="s">
        <v>1488</v>
      </c>
      <c r="D116" s="240" t="s">
        <v>1487</v>
      </c>
      <c r="E116" s="2"/>
      <c r="F116" s="78"/>
      <c r="G116" s="2"/>
      <c r="H116" s="244"/>
      <c r="I116" s="76" t="str">
        <f>+IF(TEV[[#This Row],[ITEM]]=C116,"ok","mal")</f>
        <v>mal</v>
      </c>
      <c r="J116" s="439">
        <f>+F116</f>
        <v>0</v>
      </c>
      <c r="K116" s="440">
        <f>IF(VLOOKUP(C116,TbPiezas[],5,0)="NA",0,VLOOKUP(C116,TbPiezas[],5,0))</f>
        <v>0</v>
      </c>
      <c r="L116" s="384">
        <f>IF(F116="",0,K116*F116)</f>
        <v>0</v>
      </c>
      <c r="M116" s="385">
        <f>+VLOOKUP(C116,TbPiezas[],6,0)</f>
        <v>0</v>
      </c>
      <c r="N116" s="386">
        <f>IF(F116="",0,ROUND(M116*F116,2))</f>
        <v>0</v>
      </c>
      <c r="O116" s="385">
        <f>+VLOOKUP(C116,TbPiezas[],7,0)</f>
        <v>0</v>
      </c>
      <c r="P116" s="388">
        <f>IF(F116="",0,ROUND(O116*F116,2))</f>
        <v>0</v>
      </c>
    </row>
    <row r="117" spans="1:16" x14ac:dyDescent="0.3">
      <c r="C117" s="244" t="s">
        <v>850</v>
      </c>
      <c r="D117" s="240" t="s">
        <v>1489</v>
      </c>
      <c r="E117" s="2"/>
      <c r="F117" s="78">
        <f>IF(F$4="NUEVO",2,)</f>
        <v>2</v>
      </c>
      <c r="G117" s="2"/>
      <c r="H117" s="244" t="str">
        <f>+C117</f>
        <v>EV.5700</v>
      </c>
      <c r="I117" s="76" t="str">
        <f>+IF(TEV[[#This Row],[ITEM]]=C117,"ok","mal")</f>
        <v>ok</v>
      </c>
      <c r="J117" s="439">
        <f t="shared" si="8"/>
        <v>2</v>
      </c>
      <c r="K117" s="169">
        <f>IF(VLOOKUP(C117,TbPiezas[],5,0)="NA",0,VLOOKUP(C117,TbPiezas[],5,0))</f>
        <v>20</v>
      </c>
      <c r="L117" s="81">
        <f t="shared" si="9"/>
        <v>40</v>
      </c>
      <c r="M117" s="247">
        <f>+VLOOKUP(C117,TbPiezas[],6,0)</f>
        <v>571.73</v>
      </c>
      <c r="N117" s="248">
        <f t="shared" si="10"/>
        <v>1143.46</v>
      </c>
      <c r="O117" s="247">
        <f>+VLOOKUP(C117,TbPiezas[],7,0)</f>
        <v>28.586500000000001</v>
      </c>
      <c r="P117" s="437">
        <f t="shared" si="11"/>
        <v>57.17</v>
      </c>
    </row>
    <row r="118" spans="1:16" hidden="1" x14ac:dyDescent="0.3">
      <c r="C118" s="234" t="s">
        <v>1490</v>
      </c>
      <c r="D118" s="240" t="s">
        <v>1511</v>
      </c>
      <c r="E118" s="2"/>
      <c r="F118" s="78"/>
      <c r="G118" s="2"/>
      <c r="H118" s="244"/>
      <c r="I118" s="76" t="str">
        <f>+IF(TEV[[#This Row],[ITEM]]=C118,"ok","mal")</f>
        <v>mal</v>
      </c>
      <c r="J118" s="439">
        <f>+F118</f>
        <v>0</v>
      </c>
      <c r="K118" s="440">
        <f>IF(VLOOKUP(C118,TbPiezas[],5,0)="NA",0,VLOOKUP(C118,TbPiezas[],5,0))</f>
        <v>0</v>
      </c>
      <c r="L118" s="384">
        <f>IF(F118="",0,K118*F118)</f>
        <v>0</v>
      </c>
      <c r="M118" s="385">
        <f>+VLOOKUP(C118,TbPiezas[],6,0)</f>
        <v>0</v>
      </c>
      <c r="N118" s="386">
        <f>IF(F118="",0,ROUND(M118*F118,2))</f>
        <v>0</v>
      </c>
      <c r="O118" s="385">
        <f>+VLOOKUP(C118,TbPiezas[],7,0)</f>
        <v>0</v>
      </c>
      <c r="P118" s="388">
        <f>IF(F118="",0,ROUND(O118*F118,2))</f>
        <v>0</v>
      </c>
    </row>
    <row r="119" spans="1:16" hidden="1" x14ac:dyDescent="0.3">
      <c r="B119" s="129" t="s">
        <v>1094</v>
      </c>
      <c r="C119" s="244" t="s">
        <v>851</v>
      </c>
      <c r="D119" s="240" t="s">
        <v>1491</v>
      </c>
      <c r="E119" s="2"/>
      <c r="F119" s="78">
        <f>IF(F$4="NUEVO",IF(F$6=B119, 1,),)</f>
        <v>0</v>
      </c>
      <c r="G119" s="2"/>
      <c r="H119" s="244" t="str">
        <f t="shared" ref="H119:H137" si="18">+C119</f>
        <v>EV.5800</v>
      </c>
      <c r="I119" s="76" t="str">
        <f>+IF(TEV[[#This Row],[ITEM]]=C119,"ok","mal")</f>
        <v>ok</v>
      </c>
      <c r="J119" s="439">
        <f t="shared" si="8"/>
        <v>0</v>
      </c>
      <c r="K119" s="169">
        <f>IF(VLOOKUP(C119,TbPiezas[],5,0)="NA",0,VLOOKUP(C119,TbPiezas[],5,0))</f>
        <v>3.3</v>
      </c>
      <c r="L119" s="81">
        <f t="shared" si="9"/>
        <v>0</v>
      </c>
      <c r="M119" s="247">
        <f>+VLOOKUP(C119,TbPiezas[],6,0)</f>
        <v>228.69</v>
      </c>
      <c r="N119" s="248">
        <f t="shared" si="10"/>
        <v>0</v>
      </c>
      <c r="O119" s="247">
        <f>+VLOOKUP(C119,TbPiezas[],7,0)</f>
        <v>11.4345</v>
      </c>
      <c r="P119" s="437">
        <f t="shared" si="11"/>
        <v>0</v>
      </c>
    </row>
    <row r="120" spans="1:16" x14ac:dyDescent="0.3">
      <c r="A120" s="518"/>
      <c r="B120" s="129" t="s">
        <v>1095</v>
      </c>
      <c r="C120" s="244" t="s">
        <v>852</v>
      </c>
      <c r="D120" s="240" t="s">
        <v>1492</v>
      </c>
      <c r="E120" s="2"/>
      <c r="F120" s="78">
        <f>IF(F$4="NUEVO",IF(F$6=B120, 1,),)</f>
        <v>1</v>
      </c>
      <c r="G120" s="2"/>
      <c r="H120" s="244" t="str">
        <f t="shared" si="18"/>
        <v>EV.5900</v>
      </c>
      <c r="I120" s="76" t="str">
        <f>+IF(TEV[[#This Row],[ITEM]]=C120,"ok","mal")</f>
        <v>ok</v>
      </c>
      <c r="J120" s="439">
        <f t="shared" si="8"/>
        <v>1</v>
      </c>
      <c r="K120" s="169">
        <f>IF(VLOOKUP(C120,TbPiezas[],5,0)="NA",0,VLOOKUP(C120,TbPiezas[],5,0))</f>
        <v>3.3</v>
      </c>
      <c r="L120" s="81">
        <f t="shared" si="9"/>
        <v>3.3</v>
      </c>
      <c r="M120" s="247">
        <f>+VLOOKUP(C120,TbPiezas[],6,0)</f>
        <v>228.69</v>
      </c>
      <c r="N120" s="248">
        <f t="shared" si="10"/>
        <v>228.69</v>
      </c>
      <c r="O120" s="247">
        <f>+VLOOKUP(C120,TbPiezas[],7,0)</f>
        <v>11.4345</v>
      </c>
      <c r="P120" s="437">
        <f t="shared" si="11"/>
        <v>11.43</v>
      </c>
    </row>
    <row r="121" spans="1:16" hidden="1" x14ac:dyDescent="0.3">
      <c r="B121" s="129" t="s">
        <v>1094</v>
      </c>
      <c r="C121" s="244" t="s">
        <v>853</v>
      </c>
      <c r="D121" s="244" t="s">
        <v>854</v>
      </c>
      <c r="E121" s="2"/>
      <c r="F121" s="78">
        <f>IF(F$4="NUEVO",IF(F$6=B121, 1,),)</f>
        <v>0</v>
      </c>
      <c r="G121" s="2"/>
      <c r="H121" s="244" t="str">
        <f t="shared" si="18"/>
        <v>EV.6000</v>
      </c>
      <c r="I121" s="76" t="str">
        <f>+IF(TEV[[#This Row],[ITEM]]=C121,"ok","mal")</f>
        <v>ok</v>
      </c>
      <c r="J121" s="439">
        <f t="shared" si="8"/>
        <v>0</v>
      </c>
      <c r="K121" s="169">
        <f>IF(VLOOKUP(C121,TbPiezas[],5,0)="NA",0,VLOOKUP(C121,TbPiezas[],5,0))</f>
        <v>0.2</v>
      </c>
      <c r="L121" s="81">
        <f t="shared" si="9"/>
        <v>0</v>
      </c>
      <c r="M121" s="247">
        <f>+VLOOKUP(C121,TbPiezas[],6,0)</f>
        <v>228.69</v>
      </c>
      <c r="N121" s="248">
        <f t="shared" si="10"/>
        <v>0</v>
      </c>
      <c r="O121" s="247">
        <f>+VLOOKUP(C121,TbPiezas[],7,0)</f>
        <v>11.4345</v>
      </c>
      <c r="P121" s="437">
        <f t="shared" si="11"/>
        <v>0</v>
      </c>
    </row>
    <row r="122" spans="1:16" x14ac:dyDescent="0.3">
      <c r="B122" s="129" t="s">
        <v>1095</v>
      </c>
      <c r="C122" s="244" t="s">
        <v>855</v>
      </c>
      <c r="D122" s="244" t="s">
        <v>856</v>
      </c>
      <c r="E122" s="2"/>
      <c r="F122" s="78">
        <f>IF(F$4="NUEVO",IF(F$6=B122, 1,),)</f>
        <v>1</v>
      </c>
      <c r="G122" s="2"/>
      <c r="H122" s="244" t="str">
        <f t="shared" si="18"/>
        <v>EV.6100</v>
      </c>
      <c r="I122" s="76" t="str">
        <f>+IF(TEV[[#This Row],[ITEM]]=C122,"ok","mal")</f>
        <v>ok</v>
      </c>
      <c r="J122" s="439">
        <f t="shared" si="8"/>
        <v>1</v>
      </c>
      <c r="K122" s="169">
        <f>IF(VLOOKUP(C122,TbPiezas[],5,0)="NA",0,VLOOKUP(C122,TbPiezas[],5,0))</f>
        <v>3</v>
      </c>
      <c r="L122" s="81">
        <f t="shared" si="9"/>
        <v>3</v>
      </c>
      <c r="M122" s="247">
        <f>+VLOOKUP(C122,TbPiezas[],6,0)</f>
        <v>228.69</v>
      </c>
      <c r="N122" s="248">
        <f t="shared" si="10"/>
        <v>228.69</v>
      </c>
      <c r="O122" s="247">
        <f>+VLOOKUP(C122,TbPiezas[],7,0)</f>
        <v>11.4345</v>
      </c>
      <c r="P122" s="437">
        <f t="shared" si="11"/>
        <v>11.43</v>
      </c>
    </row>
    <row r="123" spans="1:16" x14ac:dyDescent="0.3">
      <c r="C123" s="244" t="s">
        <v>857</v>
      </c>
      <c r="D123" s="244" t="s">
        <v>858</v>
      </c>
      <c r="E123" s="2"/>
      <c r="F123" s="78">
        <f>IF(F$4="NUEVO",2,)</f>
        <v>2</v>
      </c>
      <c r="G123" s="2"/>
      <c r="H123" s="244" t="str">
        <f t="shared" si="18"/>
        <v>EV.6200</v>
      </c>
      <c r="I123" s="76" t="str">
        <f>+IF(TEV[[#This Row],[ITEM]]=C123,"ok","mal")</f>
        <v>ok</v>
      </c>
      <c r="J123" s="439">
        <f t="shared" si="8"/>
        <v>2</v>
      </c>
      <c r="K123" s="169">
        <f>IF(VLOOKUP(C123,TbPiezas[],5,0)="NA",0,VLOOKUP(C123,TbPiezas[],5,0))</f>
        <v>3</v>
      </c>
      <c r="L123" s="81">
        <f t="shared" si="9"/>
        <v>6</v>
      </c>
      <c r="M123" s="247">
        <f>+VLOOKUP(C123,TbPiezas[],6,0)</f>
        <v>228.69</v>
      </c>
      <c r="N123" s="248">
        <f t="shared" si="10"/>
        <v>457.38</v>
      </c>
      <c r="O123" s="247">
        <f>+VLOOKUP(C123,TbPiezas[],7,0)</f>
        <v>11.4345</v>
      </c>
      <c r="P123" s="437">
        <f t="shared" si="11"/>
        <v>22.87</v>
      </c>
    </row>
    <row r="124" spans="1:16" x14ac:dyDescent="0.3">
      <c r="C124" s="244" t="s">
        <v>859</v>
      </c>
      <c r="D124" s="244" t="s">
        <v>860</v>
      </c>
      <c r="E124" s="2"/>
      <c r="F124" s="78">
        <f>+F131*2</f>
        <v>18</v>
      </c>
      <c r="G124" s="2"/>
      <c r="H124" s="244" t="str">
        <f t="shared" si="18"/>
        <v>EV.6300</v>
      </c>
      <c r="I124" s="76" t="str">
        <f>+IF(TEV[[#This Row],[ITEM]]=C124,"ok","mal")</f>
        <v>ok</v>
      </c>
      <c r="J124" s="439">
        <f t="shared" ref="J124:J162" si="19">+F124</f>
        <v>18</v>
      </c>
      <c r="K124" s="169">
        <f>IF(VLOOKUP(C124,TbPiezas[],5,0)="NA",0,VLOOKUP(C124,TbPiezas[],5,0))</f>
        <v>4.5999999999999996</v>
      </c>
      <c r="L124" s="81">
        <f t="shared" ref="L124:L162" si="20">IF(F124="",0,K124*F124)</f>
        <v>82.8</v>
      </c>
      <c r="M124" s="247">
        <f>+VLOOKUP(C124,TbPiezas[],6,0)</f>
        <v>571.73</v>
      </c>
      <c r="N124" s="248">
        <f t="shared" ref="N124:N162" si="21">IF(F124="",0,ROUND(M124*F124,2))</f>
        <v>10291.14</v>
      </c>
      <c r="O124" s="247">
        <f>+VLOOKUP(C124,TbPiezas[],7,0)</f>
        <v>28.586500000000001</v>
      </c>
      <c r="P124" s="437">
        <f t="shared" ref="P124:P162" si="22">IF(F124="",0,ROUND(O124*F124,2))</f>
        <v>514.55999999999995</v>
      </c>
    </row>
    <row r="125" spans="1:16" x14ac:dyDescent="0.3">
      <c r="C125" s="244" t="s">
        <v>861</v>
      </c>
      <c r="D125" s="244" t="s">
        <v>862</v>
      </c>
      <c r="E125" s="2"/>
      <c r="F125" s="78">
        <f>IF(F$4="NUEVO",2,)</f>
        <v>2</v>
      </c>
      <c r="G125" s="2"/>
      <c r="H125" s="244" t="str">
        <f t="shared" si="18"/>
        <v>EV.6400</v>
      </c>
      <c r="I125" s="76" t="str">
        <f>+IF(TEV[[#This Row],[ITEM]]=C125,"ok","mal")</f>
        <v>ok</v>
      </c>
      <c r="J125" s="439">
        <f t="shared" si="19"/>
        <v>2</v>
      </c>
      <c r="K125" s="169">
        <f>IF(VLOOKUP(C125,TbPiezas[],5,0)="NA",0,VLOOKUP(C125,TbPiezas[],5,0))</f>
        <v>1.2</v>
      </c>
      <c r="L125" s="81">
        <f t="shared" si="20"/>
        <v>2.4</v>
      </c>
      <c r="M125" s="247">
        <f>+VLOOKUP(C125,TbPiezas[],6,0)</f>
        <v>228.69</v>
      </c>
      <c r="N125" s="248">
        <f t="shared" si="21"/>
        <v>457.38</v>
      </c>
      <c r="O125" s="247">
        <f>+VLOOKUP(C125,TbPiezas[],7,0)</f>
        <v>11.4345</v>
      </c>
      <c r="P125" s="437">
        <f t="shared" si="22"/>
        <v>22.87</v>
      </c>
    </row>
    <row r="126" spans="1:16" x14ac:dyDescent="0.3">
      <c r="C126" s="244" t="s">
        <v>863</v>
      </c>
      <c r="D126" s="244" t="s">
        <v>864</v>
      </c>
      <c r="E126" s="2"/>
      <c r="F126" s="78">
        <f>IF(F$4="NUEVO",1,)</f>
        <v>1</v>
      </c>
      <c r="G126" s="2"/>
      <c r="H126" s="244" t="str">
        <f t="shared" si="18"/>
        <v>EV.6500</v>
      </c>
      <c r="I126" s="76" t="str">
        <f>+IF(TEV[[#This Row],[ITEM]]=C126,"ok","mal")</f>
        <v>ok</v>
      </c>
      <c r="J126" s="439">
        <f t="shared" si="19"/>
        <v>1</v>
      </c>
      <c r="K126" s="169">
        <f>IF(VLOOKUP(C126,TbPiezas[],5,0)="NA",0,VLOOKUP(C126,TbPiezas[],5,0))</f>
        <v>39</v>
      </c>
      <c r="L126" s="81">
        <f t="shared" si="20"/>
        <v>39</v>
      </c>
      <c r="M126" s="247">
        <f>+VLOOKUP(C126,TbPiezas[],6,0)</f>
        <v>2032.8</v>
      </c>
      <c r="N126" s="248">
        <f t="shared" si="21"/>
        <v>2032.8</v>
      </c>
      <c r="O126" s="247">
        <f>+VLOOKUP(C126,TbPiezas[],7,0)</f>
        <v>101.64</v>
      </c>
      <c r="P126" s="437">
        <f t="shared" si="22"/>
        <v>101.64</v>
      </c>
    </row>
    <row r="127" spans="1:16" x14ac:dyDescent="0.3">
      <c r="C127" s="244" t="s">
        <v>865</v>
      </c>
      <c r="D127" s="244" t="s">
        <v>866</v>
      </c>
      <c r="E127" s="2"/>
      <c r="F127" s="78">
        <f>IF(F$4="NUEVO",1,)</f>
        <v>1</v>
      </c>
      <c r="G127" s="2"/>
      <c r="H127" s="244" t="str">
        <f t="shared" si="18"/>
        <v>EV.6600</v>
      </c>
      <c r="I127" s="76" t="str">
        <f>+IF(TEV[[#This Row],[ITEM]]=C127,"ok","mal")</f>
        <v>ok</v>
      </c>
      <c r="J127" s="439">
        <f t="shared" si="19"/>
        <v>1</v>
      </c>
      <c r="K127" s="169">
        <f>IF(VLOOKUP(C127,TbPiezas[],5,0)="NA",0,VLOOKUP(C127,TbPiezas[],5,0))</f>
        <v>104</v>
      </c>
      <c r="L127" s="81">
        <f t="shared" si="20"/>
        <v>104</v>
      </c>
      <c r="M127" s="247">
        <f>+VLOOKUP(C127,TbPiezas[],6,0)</f>
        <v>4446.75</v>
      </c>
      <c r="N127" s="248">
        <f t="shared" si="21"/>
        <v>4446.75</v>
      </c>
      <c r="O127" s="247">
        <f>+VLOOKUP(C127,TbPiezas[],7,0)</f>
        <v>222.33750000000001</v>
      </c>
      <c r="P127" s="437">
        <f t="shared" si="22"/>
        <v>222.34</v>
      </c>
    </row>
    <row r="128" spans="1:16" x14ac:dyDescent="0.3">
      <c r="C128" s="244" t="s">
        <v>867</v>
      </c>
      <c r="D128" s="244" t="s">
        <v>868</v>
      </c>
      <c r="E128" s="2"/>
      <c r="F128" s="78">
        <f>IF(F4="NUEVO",ROUNDDOWN((F8+3.5-0.1)/1.5,0)+2,IF(F4="RECRECIMIENTO",(ROUNDDOWN((F8+3.5-0.1)/1.5,0)-ROUNDDOWN((F9+3.5-0.1)/1.5,0)),))-F127-F129</f>
        <v>50</v>
      </c>
      <c r="G128" s="2"/>
      <c r="H128" s="244" t="str">
        <f t="shared" si="18"/>
        <v>EV.6700</v>
      </c>
      <c r="I128" s="76" t="str">
        <f>+IF(TEV[[#This Row],[ITEM]]=C128,"ok","mal")</f>
        <v>ok</v>
      </c>
      <c r="J128" s="439">
        <f t="shared" si="19"/>
        <v>50</v>
      </c>
      <c r="K128" s="169">
        <f>IF(VLOOKUP(C128,TbPiezas[],5,0)="NA",0,VLOOKUP(C128,TbPiezas[],5,0))</f>
        <v>154</v>
      </c>
      <c r="L128" s="81">
        <f t="shared" si="20"/>
        <v>7700</v>
      </c>
      <c r="M128" s="247">
        <f>+VLOOKUP(C128,TbPiezas[],6,0)</f>
        <v>4954.95</v>
      </c>
      <c r="N128" s="248">
        <f t="shared" si="21"/>
        <v>247747.5</v>
      </c>
      <c r="O128" s="247">
        <f>+VLOOKUP(C128,TbPiezas[],7,0)</f>
        <v>247.7475</v>
      </c>
      <c r="P128" s="437">
        <f t="shared" si="22"/>
        <v>12387.38</v>
      </c>
    </row>
    <row r="129" spans="1:16" x14ac:dyDescent="0.3">
      <c r="C129" s="244" t="s">
        <v>869</v>
      </c>
      <c r="D129" s="244" t="s">
        <v>870</v>
      </c>
      <c r="E129" s="2"/>
      <c r="F129" s="78">
        <f>IF(F$4="NUEVO",1,)</f>
        <v>1</v>
      </c>
      <c r="G129" s="2"/>
      <c r="H129" s="244" t="str">
        <f t="shared" si="18"/>
        <v>EV.6800</v>
      </c>
      <c r="I129" s="76" t="str">
        <f>+IF(TEV[[#This Row],[ITEM]]=C129,"ok","mal")</f>
        <v>ok</v>
      </c>
      <c r="J129" s="439">
        <f t="shared" si="19"/>
        <v>1</v>
      </c>
      <c r="K129" s="169">
        <f>IF(VLOOKUP(C129,TbPiezas[],5,0)="NA",0,VLOOKUP(C129,TbPiezas[],5,0))</f>
        <v>104</v>
      </c>
      <c r="L129" s="81">
        <f t="shared" si="20"/>
        <v>104</v>
      </c>
      <c r="M129" s="247">
        <f>+VLOOKUP(C129,TbPiezas[],6,0)</f>
        <v>4446.75</v>
      </c>
      <c r="N129" s="248">
        <f t="shared" si="21"/>
        <v>4446.75</v>
      </c>
      <c r="O129" s="247">
        <f>+VLOOKUP(C129,TbPiezas[],7,0)</f>
        <v>222.33750000000001</v>
      </c>
      <c r="P129" s="437">
        <f t="shared" si="22"/>
        <v>222.34</v>
      </c>
    </row>
    <row r="130" spans="1:16" hidden="1" x14ac:dyDescent="0.3">
      <c r="C130" s="244" t="s">
        <v>871</v>
      </c>
      <c r="D130" s="244" t="s">
        <v>872</v>
      </c>
      <c r="E130" s="2"/>
      <c r="F130" s="78">
        <f>IF(F12="CUADRO DE ARRIOSTRE",IF(F4="NUEVO",ROUNDUP(ROUNDDOWN((((ROUNDUP((F8+3.5-0.1)/1.5,0)+3)*1.4-$F$10-$F$11)/$F$11),0)/3,0),IF(F4="RECRECIMIENTO",(ROUNDUP(ROUNDDOWN((((ROUNDUP((F8+3.5-0.1)/1.5,0)+3)*1.5-$F$10-$F$11)/$F$11),0)/3,0)-ROUNDUP(ROUNDDOWN((((ROUNDUP((F9+3.5-0.1)/1.5,0)+3)*1.5-$F$10-$F$11)/$F$11),0)/3,0)),)),)</f>
        <v>0</v>
      </c>
      <c r="G130" s="2"/>
      <c r="H130" s="244" t="str">
        <f t="shared" si="18"/>
        <v>EV.6850</v>
      </c>
      <c r="I130" s="76" t="str">
        <f>+IF(TEV[[#This Row],[ITEM]]=C130,"ok","mal")</f>
        <v>ok</v>
      </c>
      <c r="J130" s="439">
        <f t="shared" si="19"/>
        <v>0</v>
      </c>
      <c r="K130" s="169">
        <f>IF(VLOOKUP(C130,TbPiezas[],5,0)="NA",0,VLOOKUP(C130,TbPiezas[],5,0))</f>
        <v>31.8</v>
      </c>
      <c r="L130" s="81">
        <f t="shared" si="20"/>
        <v>0</v>
      </c>
      <c r="M130" s="247">
        <f>+VLOOKUP(C130,TbPiezas[],6,0)</f>
        <v>1626.24</v>
      </c>
      <c r="N130" s="248">
        <f t="shared" si="21"/>
        <v>0</v>
      </c>
      <c r="O130" s="247">
        <f>+VLOOKUP(C130,TbPiezas[],7,0)</f>
        <v>81.312000000000012</v>
      </c>
      <c r="P130" s="437">
        <f t="shared" si="22"/>
        <v>0</v>
      </c>
    </row>
    <row r="131" spans="1:16" x14ac:dyDescent="0.3">
      <c r="B131" s="2" t="s">
        <v>1254</v>
      </c>
      <c r="C131" s="244" t="s">
        <v>873</v>
      </c>
      <c r="D131" s="244" t="s">
        <v>874</v>
      </c>
      <c r="E131" s="2"/>
      <c r="F131" s="78">
        <f>IF(F12="ARRIOSTRE PARA MASTIL",IF(F4="NUEVO",ROUNDUP(ROUNDDOWN((((ROUNDUP((F8+3.5-0.1)/1.5,0)+3)*1.5-$F$10-$F$11)/$F$11),0)/3,0),IF(F4="RECRECIMIENTO",(ROUNDUP(ROUNDDOWN((((ROUNDUP((F8+3.5-0.1)/1.5,0)+3)*1.5-$F$10-$F$11)/$F$11),0)/3,0)-ROUNDUP(ROUNDDOWN((((ROUNDUP((F9+3.5-0.1)/1.5,0)+3)*1.5-$F$10-$F$11)/$F$11),0)/3,0)),)),)</f>
        <v>9</v>
      </c>
      <c r="G131" s="2"/>
      <c r="H131" s="244" t="str">
        <f t="shared" si="18"/>
        <v>EV.6900</v>
      </c>
      <c r="I131" s="76" t="str">
        <f>+IF(TEV[[#This Row],[ITEM]]=C131,"ok","mal")</f>
        <v>ok</v>
      </c>
      <c r="J131" s="439">
        <f t="shared" si="19"/>
        <v>9</v>
      </c>
      <c r="K131" s="169">
        <f>IF(VLOOKUP(C131,TbPiezas[],5,0)="NA",0,VLOOKUP(C131,TbPiezas[],5,0))</f>
        <v>41.4</v>
      </c>
      <c r="L131" s="81">
        <f t="shared" si="20"/>
        <v>372.59999999999997</v>
      </c>
      <c r="M131" s="247">
        <f>+VLOOKUP(C131,TbPiezas[],6,0)</f>
        <v>8258.25</v>
      </c>
      <c r="N131" s="248">
        <f t="shared" si="21"/>
        <v>74324.25</v>
      </c>
      <c r="O131" s="247">
        <f>+VLOOKUP(C131,TbPiezas[],7,0)</f>
        <v>412.91250000000002</v>
      </c>
      <c r="P131" s="437">
        <f t="shared" si="22"/>
        <v>3716.21</v>
      </c>
    </row>
    <row r="132" spans="1:16" hidden="1" x14ac:dyDescent="0.3">
      <c r="C132" s="244" t="s">
        <v>875</v>
      </c>
      <c r="D132" s="244" t="s">
        <v>876</v>
      </c>
      <c r="E132" s="2"/>
      <c r="F132" s="78">
        <f>+F130*2</f>
        <v>0</v>
      </c>
      <c r="G132" s="2"/>
      <c r="H132" s="244" t="str">
        <f t="shared" si="18"/>
        <v>EV.6925</v>
      </c>
      <c r="I132" s="76" t="str">
        <f>+IF(TEV[[#This Row],[ITEM]]=C132,"ok","mal")</f>
        <v>ok</v>
      </c>
      <c r="J132" s="439">
        <f t="shared" si="19"/>
        <v>0</v>
      </c>
      <c r="K132" s="169">
        <f>IF(VLOOKUP(C132,TbPiezas[],5,0)="NA",0,VLOOKUP(C132,TbPiezas[],5,0))</f>
        <v>4.9000000000000004</v>
      </c>
      <c r="L132" s="81">
        <f t="shared" si="20"/>
        <v>0</v>
      </c>
      <c r="M132" s="247">
        <f>+VLOOKUP(C132,TbPiezas[],6,0)</f>
        <v>368.08</v>
      </c>
      <c r="N132" s="248">
        <f t="shared" si="21"/>
        <v>0</v>
      </c>
      <c r="O132" s="247">
        <f>+VLOOKUP(C132,TbPiezas[],7,0)</f>
        <v>18.404</v>
      </c>
      <c r="P132" s="437">
        <f t="shared" si="22"/>
        <v>0</v>
      </c>
    </row>
    <row r="133" spans="1:16" hidden="1" x14ac:dyDescent="0.3">
      <c r="C133" s="244" t="s">
        <v>877</v>
      </c>
      <c r="D133" s="244" t="s">
        <v>878</v>
      </c>
      <c r="E133" s="2"/>
      <c r="F133" s="78">
        <f>+F130</f>
        <v>0</v>
      </c>
      <c r="G133" s="2"/>
      <c r="H133" s="244" t="str">
        <f t="shared" si="18"/>
        <v>EV.6950</v>
      </c>
      <c r="I133" s="76" t="str">
        <f>+IF(TEV[[#This Row],[ITEM]]=C133,"ok","mal")</f>
        <v>ok</v>
      </c>
      <c r="J133" s="439">
        <f t="shared" si="19"/>
        <v>0</v>
      </c>
      <c r="K133" s="169">
        <f>IF(VLOOKUP(C133,TbPiezas[],5,0)="NA",0,VLOOKUP(C133,TbPiezas[],5,0))</f>
        <v>10</v>
      </c>
      <c r="L133" s="81">
        <f t="shared" si="20"/>
        <v>0</v>
      </c>
      <c r="M133" s="247">
        <f>+VLOOKUP(C133,TbPiezas[],6,0)</f>
        <v>329.57</v>
      </c>
      <c r="N133" s="248">
        <f t="shared" si="21"/>
        <v>0</v>
      </c>
      <c r="O133" s="247">
        <f>+VLOOKUP(C133,TbPiezas[],7,0)</f>
        <v>16.4785</v>
      </c>
      <c r="P133" s="437">
        <f t="shared" si="22"/>
        <v>0</v>
      </c>
    </row>
    <row r="134" spans="1:16" x14ac:dyDescent="0.3">
      <c r="A134" s="518"/>
      <c r="B134" s="2" t="s">
        <v>1253</v>
      </c>
      <c r="C134" s="244" t="s">
        <v>879</v>
      </c>
      <c r="D134" s="244" t="s">
        <v>880</v>
      </c>
      <c r="E134" s="2"/>
      <c r="F134" s="78">
        <f>+F131*2</f>
        <v>18</v>
      </c>
      <c r="G134" s="2"/>
      <c r="H134" s="244" t="str">
        <f t="shared" si="18"/>
        <v>EV.7000</v>
      </c>
      <c r="I134" s="76" t="str">
        <f>+IF(TEV[[#This Row],[ITEM]]=C134,"ok","mal")</f>
        <v>ok</v>
      </c>
      <c r="J134" s="439">
        <f t="shared" si="19"/>
        <v>18</v>
      </c>
      <c r="K134" s="169">
        <f>IF(VLOOKUP(C134,TbPiezas[],5,0)="NA",0,VLOOKUP(C134,TbPiezas[],5,0))</f>
        <v>13.3</v>
      </c>
      <c r="L134" s="81">
        <f t="shared" si="20"/>
        <v>239.4</v>
      </c>
      <c r="M134" s="247">
        <f>+VLOOKUP(C134,TbPiezas[],6,0)</f>
        <v>825.83</v>
      </c>
      <c r="N134" s="248">
        <f t="shared" si="21"/>
        <v>14864.94</v>
      </c>
      <c r="O134" s="247">
        <f>+VLOOKUP(C134,TbPiezas[],7,0)</f>
        <v>41.291500000000006</v>
      </c>
      <c r="P134" s="437">
        <f t="shared" si="22"/>
        <v>743.25</v>
      </c>
    </row>
    <row r="135" spans="1:16" hidden="1" x14ac:dyDescent="0.3">
      <c r="C135" s="244" t="s">
        <v>881</v>
      </c>
      <c r="D135" s="244" t="s">
        <v>882</v>
      </c>
      <c r="E135" s="2"/>
      <c r="F135" s="78">
        <f>+F130</f>
        <v>0</v>
      </c>
      <c r="G135" s="2"/>
      <c r="H135" s="244" t="str">
        <f t="shared" si="18"/>
        <v>EV.7025</v>
      </c>
      <c r="I135" s="76" t="str">
        <f>+IF(TEV[[#This Row],[ITEM]]=C135,"ok","mal")</f>
        <v>ok</v>
      </c>
      <c r="J135" s="439">
        <f t="shared" si="19"/>
        <v>0</v>
      </c>
      <c r="K135" s="169">
        <f>IF(VLOOKUP(C135,TbPiezas[],5,0)="NA",0,VLOOKUP(C135,TbPiezas[],5,0))</f>
        <v>3</v>
      </c>
      <c r="L135" s="81">
        <f t="shared" si="20"/>
        <v>0</v>
      </c>
      <c r="M135" s="247">
        <f>+VLOOKUP(C135,TbPiezas[],6,0)</f>
        <v>271.04000000000002</v>
      </c>
      <c r="N135" s="248">
        <f t="shared" si="21"/>
        <v>0</v>
      </c>
      <c r="O135" s="247">
        <f>+VLOOKUP(C135,TbPiezas[],7,0)</f>
        <v>13.552000000000001</v>
      </c>
      <c r="P135" s="437">
        <f t="shared" si="22"/>
        <v>0</v>
      </c>
    </row>
    <row r="136" spans="1:16" hidden="1" x14ac:dyDescent="0.3">
      <c r="C136" s="244" t="s">
        <v>883</v>
      </c>
      <c r="D136" s="244" t="s">
        <v>884</v>
      </c>
      <c r="E136" s="2"/>
      <c r="F136" s="78">
        <f>+F130</f>
        <v>0</v>
      </c>
      <c r="G136" s="2"/>
      <c r="H136" s="244" t="str">
        <f t="shared" si="18"/>
        <v>EV.7050</v>
      </c>
      <c r="I136" s="76" t="str">
        <f>+IF(TEV[[#This Row],[ITEM]]=C136,"ok","mal")</f>
        <v>ok</v>
      </c>
      <c r="J136" s="439">
        <f t="shared" si="19"/>
        <v>0</v>
      </c>
      <c r="K136" s="169">
        <f>IF(VLOOKUP(C136,TbPiezas[],5,0)="NA",0,VLOOKUP(C136,TbPiezas[],5,0))</f>
        <v>4</v>
      </c>
      <c r="L136" s="81">
        <f t="shared" si="20"/>
        <v>0</v>
      </c>
      <c r="M136" s="247">
        <f>+VLOOKUP(C136,TbPiezas[],6,0)</f>
        <v>298.14</v>
      </c>
      <c r="N136" s="248">
        <f t="shared" si="21"/>
        <v>0</v>
      </c>
      <c r="O136" s="247">
        <f>+VLOOKUP(C136,TbPiezas[],7,0)</f>
        <v>14.907</v>
      </c>
      <c r="P136" s="437">
        <f t="shared" si="22"/>
        <v>0</v>
      </c>
    </row>
    <row r="137" spans="1:16" x14ac:dyDescent="0.3">
      <c r="C137" s="433" t="s">
        <v>885</v>
      </c>
      <c r="D137" s="244" t="s">
        <v>886</v>
      </c>
      <c r="E137" s="2"/>
      <c r="F137" s="78">
        <f>IF(F$4="NUEVO",1,)</f>
        <v>1</v>
      </c>
      <c r="G137" s="2"/>
      <c r="H137" s="244" t="str">
        <f t="shared" si="18"/>
        <v>EV.7100</v>
      </c>
      <c r="I137" s="76" t="str">
        <f>+IF(TEV[[#This Row],[ITEM]]=C137,"ok","mal")</f>
        <v>ok</v>
      </c>
      <c r="J137" s="439">
        <f t="shared" si="19"/>
        <v>1</v>
      </c>
      <c r="K137" s="169">
        <f>IF(VLOOKUP(C137,TbPiezas[],5,0)="NA",0,VLOOKUP(C137,TbPiezas[],5,0))</f>
        <v>7.5</v>
      </c>
      <c r="L137" s="81">
        <f t="shared" si="20"/>
        <v>7.5</v>
      </c>
      <c r="M137" s="247">
        <f>+VLOOKUP(C137,TbPiezas[],6,0)</f>
        <v>1905.75</v>
      </c>
      <c r="N137" s="248">
        <f t="shared" si="21"/>
        <v>1905.75</v>
      </c>
      <c r="O137" s="247">
        <f>+VLOOKUP(C137,TbPiezas[],7,0)</f>
        <v>95.287500000000009</v>
      </c>
      <c r="P137" s="437">
        <f t="shared" si="22"/>
        <v>95.29</v>
      </c>
    </row>
    <row r="138" spans="1:16" hidden="1" x14ac:dyDescent="0.3">
      <c r="C138" s="433" t="s">
        <v>1499</v>
      </c>
      <c r="D138" s="240" t="s">
        <v>1495</v>
      </c>
      <c r="E138" s="2"/>
      <c r="F138" s="78"/>
      <c r="G138" s="2"/>
      <c r="H138" s="244"/>
      <c r="I138" s="76" t="str">
        <f>+IF(TEV[[#This Row],[ITEM]]=C138,"ok","mal")</f>
        <v>mal</v>
      </c>
      <c r="J138" s="439">
        <f>+F138</f>
        <v>0</v>
      </c>
      <c r="K138" s="440">
        <f>IF(VLOOKUP(C138,TbPiezas[],5,0)="NA",0,VLOOKUP(C138,TbPiezas[],5,0))</f>
        <v>0</v>
      </c>
      <c r="L138" s="384">
        <f>IF(F138="",0,K138*F138)</f>
        <v>0</v>
      </c>
      <c r="M138" s="385">
        <f>+VLOOKUP(C138,TbPiezas[],6,0)</f>
        <v>0</v>
      </c>
      <c r="N138" s="386">
        <f>IF(F138="",0,ROUND(M138*F138,2))</f>
        <v>0</v>
      </c>
      <c r="O138" s="385">
        <f>+VLOOKUP(C138,TbPiezas[],7,0)</f>
        <v>0</v>
      </c>
      <c r="P138" s="388">
        <f>IF(F138="",0,ROUND(O138*F138,2))</f>
        <v>0</v>
      </c>
    </row>
    <row r="139" spans="1:16" x14ac:dyDescent="0.3">
      <c r="C139" s="433" t="s">
        <v>1500</v>
      </c>
      <c r="D139" s="240" t="s">
        <v>887</v>
      </c>
      <c r="E139" s="2"/>
      <c r="F139" s="78">
        <f>IF(F$4="NUEVO",1,)</f>
        <v>1</v>
      </c>
      <c r="G139" s="2"/>
      <c r="H139" s="244" t="str">
        <f>+C139</f>
        <v>EV.7120</v>
      </c>
      <c r="I139" s="76" t="str">
        <f>+IF(TEV[[#This Row],[ITEM]]=C139,"ok","mal")</f>
        <v>ok</v>
      </c>
      <c r="J139" s="439">
        <f t="shared" si="19"/>
        <v>1</v>
      </c>
      <c r="K139" s="169">
        <f>IF(VLOOKUP(C139,TbPiezas[],5,0)="NA",0,VLOOKUP(C139,TbPiezas[],5,0))</f>
        <v>12.4</v>
      </c>
      <c r="L139" s="81">
        <f t="shared" si="20"/>
        <v>12.4</v>
      </c>
      <c r="M139" s="247">
        <f>+VLOOKUP(C139,TbPiezas[],6,0)</f>
        <v>1727.88</v>
      </c>
      <c r="N139" s="248">
        <f t="shared" si="21"/>
        <v>1727.88</v>
      </c>
      <c r="O139" s="247">
        <f>+VLOOKUP(C139,TbPiezas[],7,0)</f>
        <v>86.394000000000005</v>
      </c>
      <c r="P139" s="437">
        <f t="shared" si="22"/>
        <v>86.39</v>
      </c>
    </row>
    <row r="140" spans="1:16" hidden="1" x14ac:dyDescent="0.3">
      <c r="B140" s="2" t="s">
        <v>1255</v>
      </c>
      <c r="C140" s="433" t="s">
        <v>888</v>
      </c>
      <c r="D140" s="240" t="s">
        <v>1501</v>
      </c>
      <c r="E140" s="2"/>
      <c r="F140" s="78">
        <v>0</v>
      </c>
      <c r="G140" s="2"/>
      <c r="H140" s="244" t="str">
        <f>+C140</f>
        <v>EV.7300</v>
      </c>
      <c r="I140" s="76" t="str">
        <f>+IF(TEV[[#This Row],[ITEM]]=C140,"ok","mal")</f>
        <v>ok</v>
      </c>
      <c r="J140" s="439">
        <f t="shared" si="19"/>
        <v>0</v>
      </c>
      <c r="K140" s="169">
        <f>IF(VLOOKUP(C140,TbPiezas[],5,0)="NA",0,VLOOKUP(C140,TbPiezas[],5,0))</f>
        <v>6.8</v>
      </c>
      <c r="L140" s="81">
        <f t="shared" si="20"/>
        <v>0</v>
      </c>
      <c r="M140" s="247">
        <f>+VLOOKUP(C140,TbPiezas[],6,0)</f>
        <v>1727.88</v>
      </c>
      <c r="N140" s="248">
        <f t="shared" si="21"/>
        <v>0</v>
      </c>
      <c r="O140" s="247">
        <f>+VLOOKUP(C140,TbPiezas[],7,0)</f>
        <v>86.394000000000005</v>
      </c>
      <c r="P140" s="437">
        <f t="shared" si="22"/>
        <v>0</v>
      </c>
    </row>
    <row r="141" spans="1:16" hidden="1" x14ac:dyDescent="0.3">
      <c r="C141" s="433" t="s">
        <v>1503</v>
      </c>
      <c r="D141" s="240" t="s">
        <v>1502</v>
      </c>
      <c r="E141" s="2"/>
      <c r="F141" s="78"/>
      <c r="G141" s="2"/>
      <c r="H141" s="244"/>
      <c r="I141" s="76" t="str">
        <f>+IF(TEV[[#This Row],[ITEM]]=C141,"ok","mal")</f>
        <v>mal</v>
      </c>
      <c r="J141" s="439">
        <f>+F141</f>
        <v>0</v>
      </c>
      <c r="K141" s="440">
        <f>IF(VLOOKUP(C141,TbPiezas[],5,0)="NA",0,VLOOKUP(C141,TbPiezas[],5,0))</f>
        <v>0</v>
      </c>
      <c r="L141" s="384">
        <f>IF(F141="",0,K141*F141)</f>
        <v>0</v>
      </c>
      <c r="M141" s="385">
        <f>+VLOOKUP(C141,TbPiezas[],6,0)</f>
        <v>0</v>
      </c>
      <c r="N141" s="386">
        <f>IF(F141="",0,ROUND(M141*F141,2))</f>
        <v>0</v>
      </c>
      <c r="O141" s="385">
        <f>+VLOOKUP(C141,TbPiezas[],7,0)</f>
        <v>0</v>
      </c>
      <c r="P141" s="388">
        <f>IF(F141="",0,ROUND(O141*F141,2))</f>
        <v>0</v>
      </c>
    </row>
    <row r="142" spans="1:16" x14ac:dyDescent="0.3">
      <c r="B142" s="2" t="s">
        <v>1253</v>
      </c>
      <c r="C142" s="433" t="s">
        <v>889</v>
      </c>
      <c r="D142" s="240" t="s">
        <v>1496</v>
      </c>
      <c r="E142" s="2"/>
      <c r="F142" s="78">
        <f>+F131*2</f>
        <v>18</v>
      </c>
      <c r="G142" s="2"/>
      <c r="H142" s="244" t="str">
        <f>+C142</f>
        <v>EV.7400</v>
      </c>
      <c r="I142" s="76" t="str">
        <f>+IF(TEV[[#This Row],[ITEM]]=C142,"ok","mal")</f>
        <v>ok</v>
      </c>
      <c r="J142" s="439">
        <f t="shared" si="19"/>
        <v>18</v>
      </c>
      <c r="K142" s="169">
        <f>IF(VLOOKUP(C142,TbPiezas[],5,0)="NA",0,VLOOKUP(C142,TbPiezas[],5,0))</f>
        <v>8.4</v>
      </c>
      <c r="L142" s="81">
        <f t="shared" si="20"/>
        <v>151.20000000000002</v>
      </c>
      <c r="M142" s="247">
        <f>+VLOOKUP(C142,TbPiezas[],6,0)</f>
        <v>4446.75</v>
      </c>
      <c r="N142" s="248">
        <f t="shared" si="21"/>
        <v>80041.5</v>
      </c>
      <c r="O142" s="247">
        <f>+VLOOKUP(C142,TbPiezas[],7,0)</f>
        <v>222.33750000000001</v>
      </c>
      <c r="P142" s="437">
        <f t="shared" si="22"/>
        <v>4002.08</v>
      </c>
    </row>
    <row r="143" spans="1:16" hidden="1" x14ac:dyDescent="0.3">
      <c r="C143" s="433" t="s">
        <v>1498</v>
      </c>
      <c r="D143" s="240" t="s">
        <v>1497</v>
      </c>
      <c r="E143" s="2"/>
      <c r="F143" s="78"/>
      <c r="G143" s="2"/>
      <c r="H143" s="244"/>
      <c r="I143" s="76" t="str">
        <f>+IF(TEV[[#This Row],[ITEM]]=C143,"ok","mal")</f>
        <v>mal</v>
      </c>
      <c r="J143" s="439">
        <f>+F143</f>
        <v>0</v>
      </c>
      <c r="K143" s="440">
        <f>IF(VLOOKUP(C143,TbPiezas[],5,0)="NA",0,VLOOKUP(C143,TbPiezas[],5,0))</f>
        <v>0</v>
      </c>
      <c r="L143" s="384">
        <f>IF(F143="",0,K143*F143)</f>
        <v>0</v>
      </c>
      <c r="M143" s="385">
        <f>+VLOOKUP(C143,TbPiezas[],6,0)</f>
        <v>0</v>
      </c>
      <c r="N143" s="386">
        <f>IF(F143="",0,ROUND(M143*F143,2))</f>
        <v>0</v>
      </c>
      <c r="O143" s="385">
        <f>+VLOOKUP(C143,TbPiezas[],7,0)</f>
        <v>0</v>
      </c>
      <c r="P143" s="388">
        <f>IF(F143="",0,ROUND(O143*F143,2))</f>
        <v>0</v>
      </c>
    </row>
    <row r="144" spans="1:16" x14ac:dyDescent="0.3">
      <c r="C144" s="433" t="s">
        <v>890</v>
      </c>
      <c r="D144" s="244" t="s">
        <v>891</v>
      </c>
      <c r="E144" s="2"/>
      <c r="F144" s="78">
        <f>IF(F$4="NUEVO",1,)</f>
        <v>1</v>
      </c>
      <c r="G144" s="2"/>
      <c r="H144" s="244" t="str">
        <f t="shared" ref="H144:H149" si="23">+C144</f>
        <v>EV.7500</v>
      </c>
      <c r="I144" s="76" t="str">
        <f>+IF(TEV[[#This Row],[ITEM]]=C144,"ok","mal")</f>
        <v>ok</v>
      </c>
      <c r="J144" s="439">
        <f t="shared" si="19"/>
        <v>1</v>
      </c>
      <c r="K144" s="169">
        <f>IF(VLOOKUP(C144,TbPiezas[],5,0)="NA",0,VLOOKUP(C144,TbPiezas[],5,0))</f>
        <v>3.6</v>
      </c>
      <c r="L144" s="81">
        <f t="shared" si="20"/>
        <v>3.6</v>
      </c>
      <c r="M144" s="247">
        <f>+VLOOKUP(C144,TbPiezas[],6,0)</f>
        <v>2286.9</v>
      </c>
      <c r="N144" s="248">
        <f t="shared" si="21"/>
        <v>2286.9</v>
      </c>
      <c r="O144" s="247">
        <f>+VLOOKUP(C144,TbPiezas[],7,0)</f>
        <v>114.34500000000001</v>
      </c>
      <c r="P144" s="437">
        <f t="shared" si="22"/>
        <v>114.35</v>
      </c>
    </row>
    <row r="145" spans="1:16" x14ac:dyDescent="0.3">
      <c r="C145" s="433" t="s">
        <v>892</v>
      </c>
      <c r="D145" s="244" t="s">
        <v>893</v>
      </c>
      <c r="E145" s="2"/>
      <c r="F145" s="78">
        <f>IF(F$4="NUEVO",2,)</f>
        <v>2</v>
      </c>
      <c r="G145" s="2"/>
      <c r="H145" s="244" t="str">
        <f t="shared" si="23"/>
        <v>EV.7600</v>
      </c>
      <c r="I145" s="76" t="str">
        <f>+IF(TEV[[#This Row],[ITEM]]=C145,"ok","mal")</f>
        <v>ok</v>
      </c>
      <c r="J145" s="439">
        <f t="shared" si="19"/>
        <v>2</v>
      </c>
      <c r="K145" s="169">
        <f>IF(VLOOKUP(C145,TbPiezas[],5,0)="NA",0,VLOOKUP(C145,TbPiezas[],5,0))</f>
        <v>4.8</v>
      </c>
      <c r="L145" s="81">
        <f t="shared" si="20"/>
        <v>9.6</v>
      </c>
      <c r="M145" s="247">
        <f>+VLOOKUP(C145,TbPiezas[],6,0)</f>
        <v>444.68</v>
      </c>
      <c r="N145" s="248">
        <f t="shared" si="21"/>
        <v>889.36</v>
      </c>
      <c r="O145" s="247">
        <f>+VLOOKUP(C145,TbPiezas[],7,0)</f>
        <v>22.234000000000002</v>
      </c>
      <c r="P145" s="437">
        <f t="shared" si="22"/>
        <v>44.47</v>
      </c>
    </row>
    <row r="146" spans="1:16" x14ac:dyDescent="0.3">
      <c r="C146" s="433" t="s">
        <v>894</v>
      </c>
      <c r="D146" s="244" t="s">
        <v>895</v>
      </c>
      <c r="E146" s="2"/>
      <c r="F146" s="78">
        <f>IF(F$4="NUEVO",2,)</f>
        <v>2</v>
      </c>
      <c r="G146" s="2"/>
      <c r="H146" s="244" t="str">
        <f t="shared" si="23"/>
        <v>EV.7700</v>
      </c>
      <c r="I146" s="76" t="str">
        <f>+IF(TEV[[#This Row],[ITEM]]=C146,"ok","mal")</f>
        <v>ok</v>
      </c>
      <c r="J146" s="439">
        <f t="shared" si="19"/>
        <v>2</v>
      </c>
      <c r="K146" s="169">
        <f>IF(VLOOKUP(C146,TbPiezas[],5,0)="NA",0,VLOOKUP(C146,TbPiezas[],5,0))</f>
        <v>3.5</v>
      </c>
      <c r="L146" s="81">
        <f t="shared" si="20"/>
        <v>7</v>
      </c>
      <c r="M146" s="247">
        <f>+VLOOKUP(C146,TbPiezas[],6,0)</f>
        <v>444.68</v>
      </c>
      <c r="N146" s="248">
        <f t="shared" si="21"/>
        <v>889.36</v>
      </c>
      <c r="O146" s="247">
        <f>+VLOOKUP(C146,TbPiezas[],7,0)</f>
        <v>22.234000000000002</v>
      </c>
      <c r="P146" s="437">
        <f t="shared" si="22"/>
        <v>44.47</v>
      </c>
    </row>
    <row r="147" spans="1:16" x14ac:dyDescent="0.3">
      <c r="A147" s="518"/>
      <c r="C147" s="433" t="s">
        <v>896</v>
      </c>
      <c r="D147" s="244" t="s">
        <v>897</v>
      </c>
      <c r="E147" s="2"/>
      <c r="F147" s="78">
        <f>IF(F$4="NUEVO",2,)</f>
        <v>2</v>
      </c>
      <c r="G147" s="2"/>
      <c r="H147" s="244" t="str">
        <f t="shared" si="23"/>
        <v>EV.7800</v>
      </c>
      <c r="I147" s="76" t="str">
        <f>+IF(TEV[[#This Row],[ITEM]]=C147,"ok","mal")</f>
        <v>ok</v>
      </c>
      <c r="J147" s="439">
        <f t="shared" si="19"/>
        <v>2</v>
      </c>
      <c r="K147" s="169">
        <f>IF(VLOOKUP(C147,TbPiezas[],5,0)="NA",0,VLOOKUP(C147,TbPiezas[],5,0))</f>
        <v>4.2</v>
      </c>
      <c r="L147" s="81">
        <f t="shared" si="20"/>
        <v>8.4</v>
      </c>
      <c r="M147" s="247">
        <f>+VLOOKUP(C147,TbPiezas[],6,0)</f>
        <v>444.68</v>
      </c>
      <c r="N147" s="248">
        <f t="shared" si="21"/>
        <v>889.36</v>
      </c>
      <c r="O147" s="247">
        <f>+VLOOKUP(C147,TbPiezas[],7,0)</f>
        <v>22.234000000000002</v>
      </c>
      <c r="P147" s="437">
        <f t="shared" si="22"/>
        <v>44.47</v>
      </c>
    </row>
    <row r="148" spans="1:16" hidden="1" x14ac:dyDescent="0.3">
      <c r="B148" s="2" t="s">
        <v>1256</v>
      </c>
      <c r="C148" s="244" t="s">
        <v>898</v>
      </c>
      <c r="D148" s="244" t="s">
        <v>899</v>
      </c>
      <c r="E148" s="2"/>
      <c r="F148" s="78">
        <f>+IF(F7="SIN ESTABILIZADOR",1,)</f>
        <v>0</v>
      </c>
      <c r="G148" s="2"/>
      <c r="H148" s="244" t="str">
        <f t="shared" si="23"/>
        <v>EV.7900</v>
      </c>
      <c r="I148" s="76" t="str">
        <f>+IF(TEV[[#This Row],[ITEM]]=C148,"ok","mal")</f>
        <v>ok</v>
      </c>
      <c r="J148" s="439">
        <f t="shared" si="19"/>
        <v>0</v>
      </c>
      <c r="K148" s="169">
        <f>IF(VLOOKUP(C148,TbPiezas[],5,0)="NA",0,VLOOKUP(C148,TbPiezas[],5,0))</f>
        <v>250</v>
      </c>
      <c r="L148" s="81">
        <f t="shared" si="20"/>
        <v>0</v>
      </c>
      <c r="M148" s="247">
        <f>+VLOOKUP(C148,TbPiezas[],6,0)</f>
        <v>22869</v>
      </c>
      <c r="N148" s="248">
        <f t="shared" si="21"/>
        <v>0</v>
      </c>
      <c r="O148" s="247">
        <f>+VLOOKUP(C148,TbPiezas[],7,0)</f>
        <v>1143.45</v>
      </c>
      <c r="P148" s="437">
        <f t="shared" si="22"/>
        <v>0</v>
      </c>
    </row>
    <row r="149" spans="1:16" hidden="1" x14ac:dyDescent="0.3">
      <c r="B149" s="2" t="s">
        <v>1256</v>
      </c>
      <c r="C149" s="244" t="s">
        <v>900</v>
      </c>
      <c r="D149" s="244" t="s">
        <v>901</v>
      </c>
      <c r="E149" s="2"/>
      <c r="F149" s="78">
        <f>+IF(AND(F7="CON ESTABILIZADOR",F4="NUEVO"),1,)</f>
        <v>0</v>
      </c>
      <c r="G149" s="2"/>
      <c r="H149" s="244" t="str">
        <f t="shared" si="23"/>
        <v>EV.8000</v>
      </c>
      <c r="I149" s="76" t="str">
        <f>+IF(TEV[[#This Row],[ITEM]]=C149,"ok","mal")</f>
        <v>ok</v>
      </c>
      <c r="J149" s="439">
        <f t="shared" si="19"/>
        <v>0</v>
      </c>
      <c r="K149" s="169">
        <f>IF(VLOOKUP(C149,TbPiezas[],5,0)="NA",0,VLOOKUP(C149,TbPiezas[],5,0))</f>
        <v>300</v>
      </c>
      <c r="L149" s="81">
        <f t="shared" si="20"/>
        <v>0</v>
      </c>
      <c r="M149" s="247">
        <f>+VLOOKUP(C149,TbPiezas[],6,0)</f>
        <v>22869</v>
      </c>
      <c r="N149" s="248">
        <f t="shared" si="21"/>
        <v>0</v>
      </c>
      <c r="O149" s="247">
        <f>+VLOOKUP(C149,TbPiezas[],7,0)</f>
        <v>1143.45</v>
      </c>
      <c r="P149" s="437">
        <f t="shared" si="22"/>
        <v>0</v>
      </c>
    </row>
    <row r="150" spans="1:16" hidden="1" x14ac:dyDescent="0.3">
      <c r="C150" s="244"/>
      <c r="D150" s="240" t="s">
        <v>1504</v>
      </c>
      <c r="E150" s="2"/>
      <c r="F150" s="78"/>
      <c r="G150" s="2"/>
      <c r="H150" s="244"/>
      <c r="I150" s="76" t="str">
        <f>+IF(TEV[[#This Row],[ITEM]]=C150,"ok","mal")</f>
        <v>ok</v>
      </c>
      <c r="J150" s="439">
        <f>+F150</f>
        <v>0</v>
      </c>
      <c r="K150" s="440" t="e">
        <f>IF(VLOOKUP(C150,TbPiezas[],5,0)="NA",0,VLOOKUP(C150,TbPiezas[],5,0))</f>
        <v>#N/A</v>
      </c>
      <c r="L150" s="384">
        <f>IF(F150="",0,K150*F150)</f>
        <v>0</v>
      </c>
      <c r="M150" s="385" t="e">
        <f>+VLOOKUP(C150,TbPiezas[],6,0)</f>
        <v>#N/A</v>
      </c>
      <c r="N150" s="386">
        <f>IF(F150="",0,ROUND(M150*F150,2))</f>
        <v>0</v>
      </c>
      <c r="O150" s="385" t="e">
        <f>+VLOOKUP(C150,TbPiezas[],7,0)</f>
        <v>#N/A</v>
      </c>
      <c r="P150" s="388">
        <f>IF(F150="",0,ROUND(O150*F150,2))</f>
        <v>0</v>
      </c>
    </row>
    <row r="151" spans="1:16" hidden="1" x14ac:dyDescent="0.3">
      <c r="C151" s="234" t="s">
        <v>902</v>
      </c>
      <c r="D151" s="244" t="s">
        <v>905</v>
      </c>
      <c r="E151" s="2"/>
      <c r="F151" s="78">
        <v>0</v>
      </c>
      <c r="G151" s="2"/>
      <c r="H151" s="244" t="str">
        <f>+C151</f>
        <v>EV.8100</v>
      </c>
      <c r="I151" s="76" t="str">
        <f>+IF(TEV[[#This Row],[ITEM]]=C151,"ok","mal")</f>
        <v>ok</v>
      </c>
      <c r="J151" s="439">
        <f t="shared" si="19"/>
        <v>0</v>
      </c>
      <c r="K151" s="169">
        <f>IF(VLOOKUP(C151,TbPiezas[],5,0)="NA",0,VLOOKUP(C151,TbPiezas[],5,0))</f>
        <v>150</v>
      </c>
      <c r="L151" s="81">
        <f t="shared" si="20"/>
        <v>0</v>
      </c>
      <c r="M151" s="247">
        <f>+VLOOKUP(C151,TbPiezas[],6,0)</f>
        <v>14157</v>
      </c>
      <c r="N151" s="248">
        <f t="shared" si="21"/>
        <v>0</v>
      </c>
      <c r="O151" s="247">
        <f>+VLOOKUP(C151,TbPiezas[],7,0)</f>
        <v>707.85</v>
      </c>
      <c r="P151" s="437">
        <f t="shared" si="22"/>
        <v>0</v>
      </c>
    </row>
    <row r="152" spans="1:16" hidden="1" x14ac:dyDescent="0.3">
      <c r="C152" s="234" t="s">
        <v>904</v>
      </c>
      <c r="D152" s="240" t="s">
        <v>1505</v>
      </c>
      <c r="E152" s="2"/>
      <c r="F152" s="78"/>
      <c r="G152" s="2"/>
      <c r="H152" s="244"/>
      <c r="I152" s="76" t="str">
        <f>+IF(TEV[[#This Row],[ITEM]]=C152,"ok","mal")</f>
        <v>mal</v>
      </c>
      <c r="J152" s="439">
        <f>+F152</f>
        <v>0</v>
      </c>
      <c r="K152" s="440">
        <f>IF(VLOOKUP(C152,TbPiezas[],5,0)="NA",0,VLOOKUP(C152,TbPiezas[],5,0))</f>
        <v>0</v>
      </c>
      <c r="L152" s="384">
        <f>IF(F152="",0,K152*F152)</f>
        <v>0</v>
      </c>
      <c r="M152" s="385">
        <f>+VLOOKUP(C152,TbPiezas[],6,0)</f>
        <v>0</v>
      </c>
      <c r="N152" s="386">
        <f>IF(F152="",0,ROUND(M152*F152,2))</f>
        <v>0</v>
      </c>
      <c r="O152" s="385">
        <f>+VLOOKUP(C152,TbPiezas[],7,0)</f>
        <v>0</v>
      </c>
      <c r="P152" s="388">
        <f>IF(F152="",0,ROUND(O152*F152,2))</f>
        <v>0</v>
      </c>
    </row>
    <row r="153" spans="1:16" x14ac:dyDescent="0.3">
      <c r="C153" s="234" t="s">
        <v>1506</v>
      </c>
      <c r="D153" s="244" t="s">
        <v>907</v>
      </c>
      <c r="E153" s="2"/>
      <c r="F153" s="78">
        <f>IF(F$4="NUEVO",1,)</f>
        <v>1</v>
      </c>
      <c r="G153" s="2"/>
      <c r="H153" s="244" t="str">
        <f>+C153</f>
        <v>EV.8160</v>
      </c>
      <c r="I153" s="76" t="str">
        <f>+IF(TEV[[#This Row],[ITEM]]=C153,"ok","mal")</f>
        <v>ok</v>
      </c>
      <c r="J153" s="439">
        <f t="shared" si="19"/>
        <v>1</v>
      </c>
      <c r="K153" s="169">
        <f>IF(VLOOKUP(C153,TbPiezas[],5,0)="NA",0,VLOOKUP(C153,TbPiezas[],5,0))</f>
        <v>86.8</v>
      </c>
      <c r="L153" s="81">
        <f t="shared" si="20"/>
        <v>86.8</v>
      </c>
      <c r="M153" s="247">
        <f>+VLOOKUP(C153,TbPiezas[],6,0)</f>
        <v>8258.25</v>
      </c>
      <c r="N153" s="248">
        <f t="shared" si="21"/>
        <v>8258.25</v>
      </c>
      <c r="O153" s="247">
        <f>+VLOOKUP(C153,TbPiezas[],7,0)</f>
        <v>412.91250000000002</v>
      </c>
      <c r="P153" s="437">
        <f t="shared" si="22"/>
        <v>412.91</v>
      </c>
    </row>
    <row r="154" spans="1:16" hidden="1" x14ac:dyDescent="0.3">
      <c r="B154" s="2" t="s">
        <v>1257</v>
      </c>
      <c r="C154" s="234" t="s">
        <v>906</v>
      </c>
      <c r="D154" s="244" t="s">
        <v>909</v>
      </c>
      <c r="E154" s="2"/>
      <c r="F154" s="78">
        <v>0</v>
      </c>
      <c r="G154" s="2"/>
      <c r="H154" s="244" t="str">
        <f>+C154</f>
        <v>EV.8200</v>
      </c>
      <c r="I154" s="76" t="str">
        <f>+IF(TEV[[#This Row],[ITEM]]=C154,"ok","mal")</f>
        <v>ok</v>
      </c>
      <c r="J154" s="439">
        <f t="shared" si="19"/>
        <v>0</v>
      </c>
      <c r="K154" s="169">
        <f>IF(VLOOKUP(C154,TbPiezas[],5,0)="NA",0,VLOOKUP(C154,TbPiezas[],5,0))</f>
        <v>12.4</v>
      </c>
      <c r="L154" s="81">
        <f t="shared" si="20"/>
        <v>0</v>
      </c>
      <c r="M154" s="247">
        <f>+VLOOKUP(C154,TbPiezas[],6,0)</f>
        <v>1181.57</v>
      </c>
      <c r="N154" s="248">
        <f t="shared" si="21"/>
        <v>0</v>
      </c>
      <c r="O154" s="247">
        <f>+VLOOKUP(C154,TbPiezas[],7,0)</f>
        <v>59.078499999999998</v>
      </c>
      <c r="P154" s="437">
        <f t="shared" si="22"/>
        <v>0</v>
      </c>
    </row>
    <row r="155" spans="1:16" x14ac:dyDescent="0.3">
      <c r="C155" s="234" t="s">
        <v>908</v>
      </c>
      <c r="D155" s="244" t="s">
        <v>903</v>
      </c>
      <c r="E155" s="2"/>
      <c r="F155" s="78">
        <f>IF(F$4="NUEVO",1,)</f>
        <v>1</v>
      </c>
      <c r="G155" s="2"/>
      <c r="H155" s="244" t="str">
        <f>+C155</f>
        <v>EV.8300</v>
      </c>
      <c r="I155" s="76" t="str">
        <f>+IF(TEV[[#This Row],[ITEM]]=C155,"ok","mal")</f>
        <v>ok</v>
      </c>
      <c r="J155" s="439">
        <f>+F155</f>
        <v>1</v>
      </c>
      <c r="K155" s="169">
        <f>IF(VLOOKUP(C155,TbPiezas[],5,0)="NA",0,VLOOKUP(C155,TbPiezas[],5,0))</f>
        <v>6.2</v>
      </c>
      <c r="L155" s="81">
        <f>IF(F155="",0,K155*F155)</f>
        <v>6.2</v>
      </c>
      <c r="M155" s="247">
        <f>+VLOOKUP(C155,TbPiezas[],6,0)</f>
        <v>190.58</v>
      </c>
      <c r="N155" s="248">
        <f>IF(F155="",0,ROUND(M155*F155,2))</f>
        <v>190.58</v>
      </c>
      <c r="O155" s="247">
        <f>+VLOOKUP(C155,TbPiezas[],7,0)</f>
        <v>9.5290000000000017</v>
      </c>
      <c r="P155" s="437">
        <f>IF(F155="",0,ROUND(O155*F155,2))</f>
        <v>9.5299999999999994</v>
      </c>
    </row>
    <row r="156" spans="1:16" x14ac:dyDescent="0.3">
      <c r="C156" s="234" t="s">
        <v>910</v>
      </c>
      <c r="D156" s="244" t="s">
        <v>911</v>
      </c>
      <c r="E156" s="2"/>
      <c r="F156" s="78">
        <f t="shared" ref="F156:F163" si="24">IF(F$4="NUEVO",1,)</f>
        <v>1</v>
      </c>
      <c r="G156" s="2"/>
      <c r="H156" s="244" t="str">
        <f>+C156</f>
        <v>EV.8400</v>
      </c>
      <c r="I156" s="76" t="str">
        <f>+IF(TEV[[#This Row],[ITEM]]=C156,"ok","mal")</f>
        <v>ok</v>
      </c>
      <c r="J156" s="439">
        <f t="shared" si="19"/>
        <v>1</v>
      </c>
      <c r="K156" s="169">
        <f>IF(VLOOKUP(C156,TbPiezas[],5,0)="NA",0,VLOOKUP(C156,TbPiezas[],5,0))</f>
        <v>0</v>
      </c>
      <c r="L156" s="81">
        <f t="shared" si="20"/>
        <v>0</v>
      </c>
      <c r="M156" s="247">
        <f>+VLOOKUP(C156,TbPiezas[],6,0)</f>
        <v>171.52</v>
      </c>
      <c r="N156" s="248">
        <f t="shared" si="21"/>
        <v>171.52</v>
      </c>
      <c r="O156" s="247">
        <f>+VLOOKUP(C156,TbPiezas[],7,0)</f>
        <v>8.5760000000000005</v>
      </c>
      <c r="P156" s="437">
        <f t="shared" si="22"/>
        <v>8.58</v>
      </c>
    </row>
    <row r="157" spans="1:16" x14ac:dyDescent="0.3">
      <c r="C157" s="234" t="s">
        <v>912</v>
      </c>
      <c r="D157" s="244" t="s">
        <v>913</v>
      </c>
      <c r="E157" s="2"/>
      <c r="F157" s="78">
        <f t="shared" si="24"/>
        <v>1</v>
      </c>
      <c r="G157" s="2"/>
      <c r="H157" s="244" t="str">
        <f>+C157</f>
        <v>EV.8500</v>
      </c>
      <c r="I157" s="76" t="str">
        <f>+IF(TEV[[#This Row],[ITEM]]=C157,"ok","mal")</f>
        <v>ok</v>
      </c>
      <c r="J157" s="439">
        <f t="shared" si="19"/>
        <v>1</v>
      </c>
      <c r="K157" s="169">
        <f>IF(VLOOKUP(C157,TbPiezas[],5,0)="NA",0,VLOOKUP(C157,TbPiezas[],5,0))</f>
        <v>54.1</v>
      </c>
      <c r="L157" s="81">
        <f t="shared" si="20"/>
        <v>54.1</v>
      </c>
      <c r="M157" s="247">
        <f>+VLOOKUP(C157,TbPiezas[],6,0)</f>
        <v>1245.0899999999999</v>
      </c>
      <c r="N157" s="248">
        <f t="shared" si="21"/>
        <v>1245.0899999999999</v>
      </c>
      <c r="O157" s="247">
        <f>+VLOOKUP(C157,TbPiezas[],7,0)</f>
        <v>62.2545</v>
      </c>
      <c r="P157" s="437">
        <f t="shared" si="22"/>
        <v>62.25</v>
      </c>
    </row>
    <row r="158" spans="1:16" hidden="1" x14ac:dyDescent="0.3">
      <c r="C158" s="234" t="s">
        <v>1509</v>
      </c>
      <c r="D158" s="240" t="s">
        <v>1507</v>
      </c>
      <c r="E158" s="2"/>
      <c r="F158" s="78"/>
      <c r="G158" s="2"/>
      <c r="H158" s="244"/>
      <c r="I158" s="76" t="str">
        <f>+IF(TEV[[#This Row],[ITEM]]=C158,"ok","mal")</f>
        <v>mal</v>
      </c>
      <c r="J158" s="439">
        <f>+F158</f>
        <v>0</v>
      </c>
      <c r="K158" s="440">
        <f>IF(VLOOKUP(C158,TbPiezas[],5,0)="NA",0,VLOOKUP(C158,TbPiezas[],5,0))</f>
        <v>0</v>
      </c>
      <c r="L158" s="384">
        <f>IF(F158="",0,K158*F158)</f>
        <v>0</v>
      </c>
      <c r="M158" s="385">
        <f>+VLOOKUP(C158,TbPiezas[],6,0)</f>
        <v>0</v>
      </c>
      <c r="N158" s="386">
        <f>IF(F158="",0,ROUND(M158*F158,2))</f>
        <v>0</v>
      </c>
      <c r="O158" s="385">
        <f>+VLOOKUP(C158,TbPiezas[],7,0)</f>
        <v>0</v>
      </c>
      <c r="P158" s="388">
        <f>IF(F158="",0,ROUND(O158*F158,2))</f>
        <v>0</v>
      </c>
    </row>
    <row r="159" spans="1:16" hidden="1" x14ac:dyDescent="0.3">
      <c r="C159" s="234" t="s">
        <v>1510</v>
      </c>
      <c r="D159" s="240" t="s">
        <v>1508</v>
      </c>
      <c r="E159" s="2"/>
      <c r="F159" s="78"/>
      <c r="G159" s="2"/>
      <c r="H159" s="244"/>
      <c r="I159" s="76" t="str">
        <f>+IF(TEV[[#This Row],[ITEM]]=C159,"ok","mal")</f>
        <v>mal</v>
      </c>
      <c r="J159" s="439">
        <f>+F159</f>
        <v>0</v>
      </c>
      <c r="K159" s="440">
        <f>IF(VLOOKUP(C159,TbPiezas[],5,0)="NA",0,VLOOKUP(C159,TbPiezas[],5,0))</f>
        <v>0</v>
      </c>
      <c r="L159" s="384">
        <f>IF(F159="",0,K159*F159)</f>
        <v>0</v>
      </c>
      <c r="M159" s="385">
        <f>+VLOOKUP(C159,TbPiezas[],6,0)</f>
        <v>0</v>
      </c>
      <c r="N159" s="386">
        <f>IF(F159="",0,ROUND(M159*F159,2))</f>
        <v>0</v>
      </c>
      <c r="O159" s="385">
        <f>+VLOOKUP(C159,TbPiezas[],7,0)</f>
        <v>0</v>
      </c>
      <c r="P159" s="388">
        <f>IF(F159="",0,ROUND(O159*F159,2))</f>
        <v>0</v>
      </c>
    </row>
    <row r="160" spans="1:16" x14ac:dyDescent="0.3">
      <c r="C160" s="244" t="s">
        <v>914</v>
      </c>
      <c r="D160" s="244" t="s">
        <v>915</v>
      </c>
      <c r="E160" s="2"/>
      <c r="F160" s="78">
        <f t="shared" si="24"/>
        <v>1</v>
      </c>
      <c r="G160" s="2"/>
      <c r="H160" s="244" t="str">
        <f t="shared" ref="H160:H186" si="25">+C160</f>
        <v>EV.8600</v>
      </c>
      <c r="I160" s="76" t="str">
        <f>+IF(TEV[[#This Row],[ITEM]]=C160,"ok","mal")</f>
        <v>ok</v>
      </c>
      <c r="J160" s="439">
        <f t="shared" si="19"/>
        <v>1</v>
      </c>
      <c r="K160" s="169">
        <f>IF(VLOOKUP(C160,TbPiezas[],5,0)="NA",0,VLOOKUP(C160,TbPiezas[],5,0))</f>
        <v>3</v>
      </c>
      <c r="L160" s="81">
        <f t="shared" si="20"/>
        <v>3</v>
      </c>
      <c r="M160" s="247">
        <f>+VLOOKUP(C160,TbPiezas[],6,0)</f>
        <v>317.63</v>
      </c>
      <c r="N160" s="248">
        <f t="shared" si="21"/>
        <v>317.63</v>
      </c>
      <c r="O160" s="247">
        <f>+VLOOKUP(C160,TbPiezas[],7,0)</f>
        <v>15.881500000000001</v>
      </c>
      <c r="P160" s="437">
        <f t="shared" si="22"/>
        <v>15.88</v>
      </c>
    </row>
    <row r="161" spans="1:16" x14ac:dyDescent="0.3">
      <c r="C161" s="244" t="s">
        <v>916</v>
      </c>
      <c r="D161" s="244" t="s">
        <v>917</v>
      </c>
      <c r="E161" s="2"/>
      <c r="F161" s="78">
        <f t="shared" si="24"/>
        <v>1</v>
      </c>
      <c r="G161" s="2"/>
      <c r="H161" s="244" t="str">
        <f t="shared" si="25"/>
        <v>EV.8700</v>
      </c>
      <c r="I161" s="76" t="str">
        <f>+IF(TEV[[#This Row],[ITEM]]=C161,"ok","mal")</f>
        <v>ok</v>
      </c>
      <c r="J161" s="439">
        <f t="shared" si="19"/>
        <v>1</v>
      </c>
      <c r="K161" s="169">
        <f>IF(VLOOKUP(C161,TbPiezas[],5,0)="NA",0,VLOOKUP(C161,TbPiezas[],5,0))</f>
        <v>3</v>
      </c>
      <c r="L161" s="81">
        <f t="shared" si="20"/>
        <v>3</v>
      </c>
      <c r="M161" s="247">
        <f>+VLOOKUP(C161,TbPiezas[],6,0)</f>
        <v>190.58</v>
      </c>
      <c r="N161" s="248">
        <f t="shared" si="21"/>
        <v>190.58</v>
      </c>
      <c r="O161" s="247">
        <f>+VLOOKUP(C161,TbPiezas[],7,0)</f>
        <v>9.5290000000000017</v>
      </c>
      <c r="P161" s="437">
        <f t="shared" si="22"/>
        <v>9.5299999999999994</v>
      </c>
    </row>
    <row r="162" spans="1:16" x14ac:dyDescent="0.3">
      <c r="C162" s="244" t="s">
        <v>918</v>
      </c>
      <c r="D162" s="244" t="s">
        <v>919</v>
      </c>
      <c r="E162" s="2"/>
      <c r="F162" s="78">
        <f t="shared" si="24"/>
        <v>1</v>
      </c>
      <c r="G162" s="2"/>
      <c r="H162" s="244" t="str">
        <f t="shared" si="25"/>
        <v>EV.8800</v>
      </c>
      <c r="I162" s="76" t="str">
        <f>+IF(TEV[[#This Row],[ITEM]]=C162,"ok","mal")</f>
        <v>ok</v>
      </c>
      <c r="J162" s="439">
        <f t="shared" si="19"/>
        <v>1</v>
      </c>
      <c r="K162" s="169">
        <f>IF(VLOOKUP(C162,TbPiezas[],5,0)="NA",0,VLOOKUP(C162,TbPiezas[],5,0))</f>
        <v>1</v>
      </c>
      <c r="L162" s="81">
        <f t="shared" si="20"/>
        <v>1</v>
      </c>
      <c r="M162" s="247">
        <f>+VLOOKUP(C162,TbPiezas[],6,0)</f>
        <v>101.64</v>
      </c>
      <c r="N162" s="248">
        <f t="shared" si="21"/>
        <v>101.64</v>
      </c>
      <c r="O162" s="247">
        <f>+VLOOKUP(C162,TbPiezas[],7,0)</f>
        <v>5.0820000000000007</v>
      </c>
      <c r="P162" s="437">
        <f t="shared" si="22"/>
        <v>5.08</v>
      </c>
    </row>
    <row r="163" spans="1:16" x14ac:dyDescent="0.3">
      <c r="A163" s="518"/>
      <c r="C163" s="244" t="s">
        <v>920</v>
      </c>
      <c r="D163" s="244" t="s">
        <v>921</v>
      </c>
      <c r="E163" s="2"/>
      <c r="F163" s="78">
        <f t="shared" si="24"/>
        <v>1</v>
      </c>
      <c r="G163" s="2"/>
      <c r="H163" s="244" t="str">
        <f t="shared" si="25"/>
        <v>EV.8900</v>
      </c>
      <c r="I163" s="76" t="str">
        <f>+IF(TEV[[#This Row],[ITEM]]=C163,"ok","mal")</f>
        <v>ok</v>
      </c>
      <c r="J163" s="439">
        <f t="shared" ref="J163:J186" si="26">+F163</f>
        <v>1</v>
      </c>
      <c r="K163" s="169">
        <f>IF(VLOOKUP(C163,TbPiezas[],5,0)="NA",0,VLOOKUP(C163,TbPiezas[],5,0))</f>
        <v>0.4</v>
      </c>
      <c r="L163" s="81">
        <f t="shared" ref="L163:L186" si="27">IF(F163="",0,K163*F163)</f>
        <v>0.4</v>
      </c>
      <c r="M163" s="247">
        <f>+VLOOKUP(C163,TbPiezas[],6,0)</f>
        <v>825.83</v>
      </c>
      <c r="N163" s="248">
        <f t="shared" ref="N163:N186" si="28">IF(F163="",0,ROUND(M163*F163,2))</f>
        <v>825.83</v>
      </c>
      <c r="O163" s="247">
        <f>+VLOOKUP(C163,TbPiezas[],7,0)</f>
        <v>41.291500000000006</v>
      </c>
      <c r="P163" s="437">
        <f t="shared" ref="P163:P186" si="29">IF(F163="",0,ROUND(O163*F163,2))</f>
        <v>41.29</v>
      </c>
    </row>
    <row r="164" spans="1:16" hidden="1" x14ac:dyDescent="0.3">
      <c r="B164" s="2" t="s">
        <v>1258</v>
      </c>
      <c r="C164" s="244" t="s">
        <v>922</v>
      </c>
      <c r="D164" s="244" t="s">
        <v>923</v>
      </c>
      <c r="E164" s="2"/>
      <c r="F164" s="78">
        <v>0</v>
      </c>
      <c r="G164" s="2"/>
      <c r="H164" s="244" t="str">
        <f t="shared" si="25"/>
        <v>EV.9000</v>
      </c>
      <c r="I164" s="76" t="str">
        <f>+IF(TEV[[#This Row],[ITEM]]=C164,"ok","mal")</f>
        <v>ok</v>
      </c>
      <c r="J164" s="439">
        <f t="shared" si="26"/>
        <v>0</v>
      </c>
      <c r="K164" s="169">
        <f>IF(VLOOKUP(C164,TbPiezas[],5,0)="NA",0,VLOOKUP(C164,TbPiezas[],5,0))</f>
        <v>0.7</v>
      </c>
      <c r="L164" s="81">
        <f t="shared" si="27"/>
        <v>0</v>
      </c>
      <c r="M164" s="247">
        <f>+VLOOKUP(C164,TbPiezas[],6,0)</f>
        <v>317.63</v>
      </c>
      <c r="N164" s="248">
        <f t="shared" si="28"/>
        <v>0</v>
      </c>
      <c r="O164" s="247">
        <f>+VLOOKUP(C164,TbPiezas[],7,0)</f>
        <v>15.881500000000001</v>
      </c>
      <c r="P164" s="437">
        <f t="shared" si="29"/>
        <v>0</v>
      </c>
    </row>
    <row r="165" spans="1:16" hidden="1" x14ac:dyDescent="0.3">
      <c r="C165" s="244" t="s">
        <v>924</v>
      </c>
      <c r="D165" s="244" t="s">
        <v>925</v>
      </c>
      <c r="E165" s="2"/>
      <c r="F165" s="78">
        <f>+F130*2</f>
        <v>0</v>
      </c>
      <c r="G165" s="2"/>
      <c r="H165" s="244" t="str">
        <f t="shared" si="25"/>
        <v>EV.9050</v>
      </c>
      <c r="I165" s="76" t="str">
        <f>+IF(TEV[[#This Row],[ITEM]]=C165,"ok","mal")</f>
        <v>ok</v>
      </c>
      <c r="J165" s="439">
        <f t="shared" si="26"/>
        <v>0</v>
      </c>
      <c r="K165" s="169">
        <f>IF(VLOOKUP(C165,TbPiezas[],5,0)="NA",0,VLOOKUP(C165,TbPiezas[],5,0))</f>
        <v>2</v>
      </c>
      <c r="L165" s="81">
        <f t="shared" si="27"/>
        <v>0</v>
      </c>
      <c r="M165" s="247">
        <f>+VLOOKUP(C165,TbPiezas[],6,0)</f>
        <v>45.1</v>
      </c>
      <c r="N165" s="248">
        <f t="shared" si="28"/>
        <v>0</v>
      </c>
      <c r="O165" s="247">
        <f>+VLOOKUP(C165,TbPiezas[],7,0)</f>
        <v>2.2550000000000003</v>
      </c>
      <c r="P165" s="437">
        <f t="shared" si="29"/>
        <v>0</v>
      </c>
    </row>
    <row r="166" spans="1:16" x14ac:dyDescent="0.3">
      <c r="C166" s="244" t="s">
        <v>926</v>
      </c>
      <c r="D166" s="244" t="s">
        <v>927</v>
      </c>
      <c r="E166" s="2"/>
      <c r="F166" s="78">
        <f>IF(F$4="NUEVO",4,)</f>
        <v>4</v>
      </c>
      <c r="G166" s="2"/>
      <c r="H166" s="244" t="str">
        <f t="shared" si="25"/>
        <v>EV.9100</v>
      </c>
      <c r="I166" s="76" t="str">
        <f>+IF(TEV[[#This Row],[ITEM]]=C166,"ok","mal")</f>
        <v>ok</v>
      </c>
      <c r="J166" s="439">
        <f t="shared" si="26"/>
        <v>4</v>
      </c>
      <c r="K166" s="169">
        <f>IF(VLOOKUP(C166,TbPiezas[],5,0)="NA",0,VLOOKUP(C166,TbPiezas[],5,0))</f>
        <v>0.72899999999999998</v>
      </c>
      <c r="L166" s="81">
        <f t="shared" si="27"/>
        <v>2.9159999999999999</v>
      </c>
      <c r="M166" s="247">
        <f>+VLOOKUP(C166,TbPiezas[],6,0)</f>
        <v>19.059999999999999</v>
      </c>
      <c r="N166" s="248">
        <f t="shared" si="28"/>
        <v>76.239999999999995</v>
      </c>
      <c r="O166" s="247">
        <f>+VLOOKUP(C166,TbPiezas[],7,0)</f>
        <v>0.95299999999999996</v>
      </c>
      <c r="P166" s="437">
        <f t="shared" si="29"/>
        <v>3.81</v>
      </c>
    </row>
    <row r="167" spans="1:16" x14ac:dyDescent="0.3">
      <c r="C167" s="244" t="s">
        <v>928</v>
      </c>
      <c r="D167" s="244" t="s">
        <v>929</v>
      </c>
      <c r="E167" s="2"/>
      <c r="F167" s="78">
        <f>+F128*4</f>
        <v>200</v>
      </c>
      <c r="G167" s="2"/>
      <c r="H167" s="244" t="str">
        <f t="shared" si="25"/>
        <v>EV.9200</v>
      </c>
      <c r="I167" s="76" t="str">
        <f>+IF(TEV[[#This Row],[ITEM]]=C167,"ok","mal")</f>
        <v>ok</v>
      </c>
      <c r="J167" s="439">
        <f t="shared" si="26"/>
        <v>200</v>
      </c>
      <c r="K167" s="169">
        <f>IF(VLOOKUP(C167,TbPiezas[],5,0)="NA",0,VLOOKUP(C167,TbPiezas[],5,0))</f>
        <v>1.1000000000000001</v>
      </c>
      <c r="L167" s="81">
        <f t="shared" si="27"/>
        <v>220.00000000000003</v>
      </c>
      <c r="M167" s="247">
        <f>+VLOOKUP(C167,TbPiezas[],6,0)</f>
        <v>31.76</v>
      </c>
      <c r="N167" s="248">
        <f t="shared" si="28"/>
        <v>6352</v>
      </c>
      <c r="O167" s="247">
        <f>+VLOOKUP(C167,TbPiezas[],7,0)</f>
        <v>1.5880000000000001</v>
      </c>
      <c r="P167" s="437">
        <f t="shared" si="29"/>
        <v>317.60000000000002</v>
      </c>
    </row>
    <row r="168" spans="1:16" x14ac:dyDescent="0.3">
      <c r="B168" s="2" t="s">
        <v>1259</v>
      </c>
      <c r="C168" s="244" t="s">
        <v>930</v>
      </c>
      <c r="D168" s="244" t="s">
        <v>931</v>
      </c>
      <c r="E168" s="2"/>
      <c r="F168" s="78">
        <f>+F131*4</f>
        <v>36</v>
      </c>
      <c r="G168" s="2"/>
      <c r="H168" s="244" t="str">
        <f t="shared" si="25"/>
        <v>EV.9300</v>
      </c>
      <c r="I168" s="76" t="str">
        <f>+IF(TEV[[#This Row],[ITEM]]=C168,"ok","mal")</f>
        <v>ok</v>
      </c>
      <c r="J168" s="439">
        <f t="shared" si="26"/>
        <v>36</v>
      </c>
      <c r="K168" s="169">
        <f>IF(VLOOKUP(C168,TbPiezas[],5,0)="NA",0,VLOOKUP(C168,TbPiezas[],5,0))</f>
        <v>0.7</v>
      </c>
      <c r="L168" s="81">
        <f t="shared" si="27"/>
        <v>25.2</v>
      </c>
      <c r="M168" s="247">
        <f>+VLOOKUP(C168,TbPiezas[],6,0)</f>
        <v>19.059999999999999</v>
      </c>
      <c r="N168" s="248">
        <f t="shared" si="28"/>
        <v>686.16</v>
      </c>
      <c r="O168" s="247">
        <f>+VLOOKUP(C168,TbPiezas[],7,0)</f>
        <v>0.95299999999999996</v>
      </c>
      <c r="P168" s="437">
        <f t="shared" si="29"/>
        <v>34.31</v>
      </c>
    </row>
    <row r="169" spans="1:16" x14ac:dyDescent="0.3">
      <c r="C169" s="244" t="s">
        <v>932</v>
      </c>
      <c r="D169" s="244" t="s">
        <v>933</v>
      </c>
      <c r="E169" s="2"/>
      <c r="F169" s="78">
        <f>IF(F$4="NUEVO",8,)</f>
        <v>8</v>
      </c>
      <c r="G169" s="2"/>
      <c r="H169" s="244" t="str">
        <f t="shared" si="25"/>
        <v>EV.9400</v>
      </c>
      <c r="I169" s="76" t="str">
        <f>+IF(TEV[[#This Row],[ITEM]]=C169,"ok","mal")</f>
        <v>ok</v>
      </c>
      <c r="J169" s="439">
        <f t="shared" si="26"/>
        <v>8</v>
      </c>
      <c r="K169" s="169">
        <f>IF(VLOOKUP(C169,TbPiezas[],5,0)="NA",0,VLOOKUP(C169,TbPiezas[],5,0))</f>
        <v>0.3</v>
      </c>
      <c r="L169" s="81">
        <f t="shared" si="27"/>
        <v>2.4</v>
      </c>
      <c r="M169" s="247">
        <f>+VLOOKUP(C169,TbPiezas[],6,0)</f>
        <v>19.059999999999999</v>
      </c>
      <c r="N169" s="248">
        <f t="shared" si="28"/>
        <v>152.47999999999999</v>
      </c>
      <c r="O169" s="247">
        <f>+VLOOKUP(C169,TbPiezas[],7,0)</f>
        <v>0.95299999999999996</v>
      </c>
      <c r="P169" s="437">
        <f t="shared" si="29"/>
        <v>7.62</v>
      </c>
    </row>
    <row r="170" spans="1:16" x14ac:dyDescent="0.3">
      <c r="B170" s="2" t="s">
        <v>1259</v>
      </c>
      <c r="C170" s="244" t="s">
        <v>934</v>
      </c>
      <c r="D170" s="244" t="s">
        <v>935</v>
      </c>
      <c r="E170" s="2"/>
      <c r="F170" s="78">
        <f>+F131*4</f>
        <v>36</v>
      </c>
      <c r="G170" s="2"/>
      <c r="H170" s="244" t="str">
        <f t="shared" si="25"/>
        <v>EV.9500</v>
      </c>
      <c r="I170" s="76" t="str">
        <f>+IF(TEV[[#This Row],[ITEM]]=C170,"ok","mal")</f>
        <v>ok</v>
      </c>
      <c r="J170" s="439">
        <f t="shared" si="26"/>
        <v>36</v>
      </c>
      <c r="K170" s="169">
        <f>IF(VLOOKUP(C170,TbPiezas[],5,0)="NA",0,VLOOKUP(C170,TbPiezas[],5,0))</f>
        <v>0.5</v>
      </c>
      <c r="L170" s="81">
        <f t="shared" si="27"/>
        <v>18</v>
      </c>
      <c r="M170" s="247">
        <f>+VLOOKUP(C170,TbPiezas[],6,0)</f>
        <v>19.059999999999999</v>
      </c>
      <c r="N170" s="248">
        <f t="shared" si="28"/>
        <v>686.16</v>
      </c>
      <c r="O170" s="247">
        <f>+VLOOKUP(C170,TbPiezas[],7,0)</f>
        <v>0.95299999999999996</v>
      </c>
      <c r="P170" s="437">
        <f t="shared" si="29"/>
        <v>34.31</v>
      </c>
    </row>
    <row r="171" spans="1:16" x14ac:dyDescent="0.3">
      <c r="C171" s="244" t="s">
        <v>936</v>
      </c>
      <c r="D171" s="244" t="s">
        <v>937</v>
      </c>
      <c r="E171" s="2"/>
      <c r="F171" s="78">
        <f>IF(F$4="NUEVO",4,)</f>
        <v>4</v>
      </c>
      <c r="G171" s="2"/>
      <c r="H171" s="244" t="str">
        <f t="shared" si="25"/>
        <v>EV.9600</v>
      </c>
      <c r="I171" s="76" t="str">
        <f>+IF(TEV[[#This Row],[ITEM]]=C171,"ok","mal")</f>
        <v>ok</v>
      </c>
      <c r="J171" s="439">
        <f t="shared" si="26"/>
        <v>4</v>
      </c>
      <c r="K171" s="169">
        <f>IF(VLOOKUP(C171,TbPiezas[],5,0)="NA",0,VLOOKUP(C171,TbPiezas[],5,0))</f>
        <v>6.7000000000000004E-2</v>
      </c>
      <c r="L171" s="81">
        <f t="shared" si="27"/>
        <v>0.26800000000000002</v>
      </c>
      <c r="M171" s="247">
        <f>+VLOOKUP(C171,TbPiezas[],6,0)</f>
        <v>19.059999999999999</v>
      </c>
      <c r="N171" s="248">
        <f t="shared" si="28"/>
        <v>76.239999999999995</v>
      </c>
      <c r="O171" s="247">
        <f>+VLOOKUP(C171,TbPiezas[],7,0)</f>
        <v>0.95299999999999996</v>
      </c>
      <c r="P171" s="437">
        <f t="shared" si="29"/>
        <v>3.81</v>
      </c>
    </row>
    <row r="172" spans="1:16" x14ac:dyDescent="0.3">
      <c r="C172" s="244" t="s">
        <v>938</v>
      </c>
      <c r="D172" s="244" t="s">
        <v>939</v>
      </c>
      <c r="E172" s="2"/>
      <c r="F172" s="78">
        <f>IF(F$4="NUEVO",4,)</f>
        <v>4</v>
      </c>
      <c r="G172" s="2"/>
      <c r="H172" s="244" t="str">
        <f t="shared" si="25"/>
        <v>EV.9700</v>
      </c>
      <c r="I172" s="76" t="str">
        <f>+IF(TEV[[#This Row],[ITEM]]=C172,"ok","mal")</f>
        <v>ok</v>
      </c>
      <c r="J172" s="439">
        <f t="shared" si="26"/>
        <v>4</v>
      </c>
      <c r="K172" s="169">
        <f>IF(VLOOKUP(C172,TbPiezas[],5,0)="NA",0,VLOOKUP(C172,TbPiezas[],5,0))</f>
        <v>0.06</v>
      </c>
      <c r="L172" s="81">
        <f t="shared" si="27"/>
        <v>0.24</v>
      </c>
      <c r="M172" s="247">
        <f>+VLOOKUP(C172,TbPiezas[],6,0)</f>
        <v>19.059999999999999</v>
      </c>
      <c r="N172" s="248">
        <f t="shared" si="28"/>
        <v>76.239999999999995</v>
      </c>
      <c r="O172" s="247">
        <f>+VLOOKUP(C172,TbPiezas[],7,0)</f>
        <v>0.95299999999999996</v>
      </c>
      <c r="P172" s="437">
        <f t="shared" si="29"/>
        <v>3.81</v>
      </c>
    </row>
    <row r="173" spans="1:16" hidden="1" x14ac:dyDescent="0.3">
      <c r="B173" s="2" t="s">
        <v>1255</v>
      </c>
      <c r="C173" s="244" t="s">
        <v>940</v>
      </c>
      <c r="D173" s="244" t="s">
        <v>941</v>
      </c>
      <c r="E173" s="2"/>
      <c r="F173" s="78">
        <v>0</v>
      </c>
      <c r="G173" s="2"/>
      <c r="H173" s="244" t="str">
        <f t="shared" si="25"/>
        <v>EV.9800</v>
      </c>
      <c r="I173" s="76" t="str">
        <f>+IF(TEV[[#This Row],[ITEM]]=C173,"ok","mal")</f>
        <v>ok</v>
      </c>
      <c r="J173" s="439">
        <f t="shared" si="26"/>
        <v>0</v>
      </c>
      <c r="K173" s="169">
        <f>IF(VLOOKUP(C173,TbPiezas[],5,0)="NA",0,VLOOKUP(C173,TbPiezas[],5,0))</f>
        <v>9.5000000000000001E-2</v>
      </c>
      <c r="L173" s="81">
        <f t="shared" si="27"/>
        <v>0</v>
      </c>
      <c r="M173" s="247">
        <f>+VLOOKUP(C173,TbPiezas[],6,0)</f>
        <v>19.059999999999999</v>
      </c>
      <c r="N173" s="248">
        <f t="shared" si="28"/>
        <v>0</v>
      </c>
      <c r="O173" s="247">
        <f>+VLOOKUP(C173,TbPiezas[],7,0)</f>
        <v>0.95299999999999996</v>
      </c>
      <c r="P173" s="437">
        <f t="shared" si="29"/>
        <v>0</v>
      </c>
    </row>
    <row r="174" spans="1:16" x14ac:dyDescent="0.3">
      <c r="C174" s="244" t="s">
        <v>942</v>
      </c>
      <c r="D174" s="244" t="s">
        <v>943</v>
      </c>
      <c r="E174" s="2"/>
      <c r="F174" s="78">
        <f>IF(F$4="NUEVO",12,)</f>
        <v>12</v>
      </c>
      <c r="G174" s="2"/>
      <c r="H174" s="244" t="str">
        <f t="shared" si="25"/>
        <v>EV.9900</v>
      </c>
      <c r="I174" s="76" t="str">
        <f>+IF(TEV[[#This Row],[ITEM]]=C174,"ok","mal")</f>
        <v>ok</v>
      </c>
      <c r="J174" s="439">
        <f t="shared" si="26"/>
        <v>12</v>
      </c>
      <c r="K174" s="169">
        <f>IF(VLOOKUP(C174,TbPiezas[],5,0)="NA",0,VLOOKUP(C174,TbPiezas[],5,0))</f>
        <v>0.1</v>
      </c>
      <c r="L174" s="81">
        <f t="shared" si="27"/>
        <v>1.2000000000000002</v>
      </c>
      <c r="M174" s="247">
        <f>+VLOOKUP(C174,TbPiezas[],6,0)</f>
        <v>19.059999999999999</v>
      </c>
      <c r="N174" s="248">
        <f t="shared" si="28"/>
        <v>228.72</v>
      </c>
      <c r="O174" s="247">
        <f>+VLOOKUP(C174,TbPiezas[],7,0)</f>
        <v>0.95299999999999996</v>
      </c>
      <c r="P174" s="437">
        <f t="shared" si="29"/>
        <v>11.44</v>
      </c>
    </row>
    <row r="175" spans="1:16" x14ac:dyDescent="0.3">
      <c r="A175" s="518"/>
      <c r="C175" s="244" t="s">
        <v>944</v>
      </c>
      <c r="D175" s="244" t="s">
        <v>945</v>
      </c>
      <c r="E175" s="2"/>
      <c r="F175" s="78">
        <f>IF(F$4="NUEVO",6,)</f>
        <v>6</v>
      </c>
      <c r="G175" s="2"/>
      <c r="H175" s="244" t="str">
        <f t="shared" si="25"/>
        <v>EV.10000</v>
      </c>
      <c r="I175" s="76" t="str">
        <f>+IF(TEV[[#This Row],[ITEM]]=C175,"ok","mal")</f>
        <v>ok</v>
      </c>
      <c r="J175" s="439">
        <f t="shared" si="26"/>
        <v>6</v>
      </c>
      <c r="K175" s="169">
        <f>IF(VLOOKUP(C175,TbPiezas[],5,0)="NA",0,VLOOKUP(C175,TbPiezas[],5,0))</f>
        <v>3.5000000000000003E-2</v>
      </c>
      <c r="L175" s="81">
        <f t="shared" si="27"/>
        <v>0.21000000000000002</v>
      </c>
      <c r="M175" s="247">
        <f>+VLOOKUP(C175,TbPiezas[],6,0)</f>
        <v>31.76</v>
      </c>
      <c r="N175" s="248">
        <f t="shared" si="28"/>
        <v>190.56</v>
      </c>
      <c r="O175" s="247">
        <f>+VLOOKUP(C175,TbPiezas[],7,0)</f>
        <v>1.5880000000000001</v>
      </c>
      <c r="P175" s="437">
        <f t="shared" si="29"/>
        <v>9.5299999999999994</v>
      </c>
    </row>
    <row r="176" spans="1:16" x14ac:dyDescent="0.3">
      <c r="C176" s="244" t="s">
        <v>946</v>
      </c>
      <c r="D176" s="244" t="s">
        <v>947</v>
      </c>
      <c r="E176" s="2"/>
      <c r="F176" s="78">
        <f>IF(F$4="NUEVO",22,)</f>
        <v>22</v>
      </c>
      <c r="G176" s="2"/>
      <c r="H176" s="244" t="str">
        <f t="shared" si="25"/>
        <v>EV.10100</v>
      </c>
      <c r="I176" s="76" t="str">
        <f>+IF(TEV[[#This Row],[ITEM]]=C176,"ok","mal")</f>
        <v>ok</v>
      </c>
      <c r="J176" s="439">
        <f t="shared" si="26"/>
        <v>22</v>
      </c>
      <c r="K176" s="169">
        <f>IF(VLOOKUP(C176,TbPiezas[],5,0)="NA",0,VLOOKUP(C176,TbPiezas[],5,0))</f>
        <v>0.02</v>
      </c>
      <c r="L176" s="81">
        <f t="shared" si="27"/>
        <v>0.44</v>
      </c>
      <c r="M176" s="247">
        <f>+VLOOKUP(C176,TbPiezas[],6,0)</f>
        <v>19.059999999999999</v>
      </c>
      <c r="N176" s="248">
        <f t="shared" si="28"/>
        <v>419.32</v>
      </c>
      <c r="O176" s="247">
        <f>+VLOOKUP(C176,TbPiezas[],7,0)</f>
        <v>0.95299999999999996</v>
      </c>
      <c r="P176" s="437">
        <f t="shared" si="29"/>
        <v>20.97</v>
      </c>
    </row>
    <row r="177" spans="2:16" x14ac:dyDescent="0.3">
      <c r="C177" s="244" t="s">
        <v>948</v>
      </c>
      <c r="D177" s="244" t="s">
        <v>949</v>
      </c>
      <c r="E177" s="2"/>
      <c r="F177" s="78">
        <f>IF(F$4="NUEVO",4,)</f>
        <v>4</v>
      </c>
      <c r="G177" s="2"/>
      <c r="H177" s="244" t="str">
        <f t="shared" si="25"/>
        <v>EV.10200</v>
      </c>
      <c r="I177" s="76" t="str">
        <f>+IF(TEV[[#This Row],[ITEM]]=C177,"ok","mal")</f>
        <v>ok</v>
      </c>
      <c r="J177" s="439">
        <f t="shared" si="26"/>
        <v>4</v>
      </c>
      <c r="K177" s="169">
        <f>IF(VLOOKUP(C177,TbPiezas[],5,0)="NA",0,VLOOKUP(C177,TbPiezas[],5,0))</f>
        <v>2.3E-2</v>
      </c>
      <c r="L177" s="81">
        <f t="shared" si="27"/>
        <v>9.1999999999999998E-2</v>
      </c>
      <c r="M177" s="247">
        <f>+VLOOKUP(C177,TbPiezas[],6,0)</f>
        <v>19.059999999999999</v>
      </c>
      <c r="N177" s="248">
        <f t="shared" si="28"/>
        <v>76.239999999999995</v>
      </c>
      <c r="O177" s="247">
        <f>+VLOOKUP(C177,TbPiezas[],7,0)</f>
        <v>0.95299999999999996</v>
      </c>
      <c r="P177" s="437">
        <f t="shared" si="29"/>
        <v>3.81</v>
      </c>
    </row>
    <row r="178" spans="2:16" x14ac:dyDescent="0.3">
      <c r="C178" s="244" t="s">
        <v>950</v>
      </c>
      <c r="D178" s="244" t="s">
        <v>951</v>
      </c>
      <c r="E178" s="2"/>
      <c r="F178" s="78">
        <f>IF(F$4="NUEVO",4,)</f>
        <v>4</v>
      </c>
      <c r="G178" s="2"/>
      <c r="H178" s="244" t="str">
        <f t="shared" si="25"/>
        <v>EV.10300</v>
      </c>
      <c r="I178" s="76" t="str">
        <f>+IF(TEV[[#This Row],[ITEM]]=C178,"ok","mal")</f>
        <v>ok</v>
      </c>
      <c r="J178" s="439">
        <f t="shared" si="26"/>
        <v>4</v>
      </c>
      <c r="K178" s="169">
        <f>IF(VLOOKUP(C178,TbPiezas[],5,0)="NA",0,VLOOKUP(C178,TbPiezas[],5,0))</f>
        <v>0.72499999999999998</v>
      </c>
      <c r="L178" s="81">
        <f t="shared" si="27"/>
        <v>2.9</v>
      </c>
      <c r="M178" s="247">
        <f>+VLOOKUP(C178,TbPiezas[],6,0)</f>
        <v>19.059999999999999</v>
      </c>
      <c r="N178" s="248">
        <f t="shared" si="28"/>
        <v>76.239999999999995</v>
      </c>
      <c r="O178" s="247">
        <f>+VLOOKUP(C178,TbPiezas[],7,0)</f>
        <v>0.95299999999999996</v>
      </c>
      <c r="P178" s="437">
        <f t="shared" si="29"/>
        <v>3.81</v>
      </c>
    </row>
    <row r="179" spans="2:16" hidden="1" x14ac:dyDescent="0.3">
      <c r="C179" s="244" t="s">
        <v>952</v>
      </c>
      <c r="D179" s="244" t="s">
        <v>953</v>
      </c>
      <c r="E179" s="2"/>
      <c r="F179" s="78">
        <f>+IF(F4="BASE",IF(F5="EXPANSION",4,IF(F5="PASANTE",8,)),)</f>
        <v>0</v>
      </c>
      <c r="G179" s="2"/>
      <c r="H179" s="244" t="str">
        <f t="shared" si="25"/>
        <v>EV.10400</v>
      </c>
      <c r="I179" s="76" t="str">
        <f>+IF(TEV[[#This Row],[ITEM]]=C179,"ok","mal")</f>
        <v>ok</v>
      </c>
      <c r="J179" s="439">
        <f t="shared" si="26"/>
        <v>0</v>
      </c>
      <c r="K179" s="169">
        <f>IF(VLOOKUP(C179,TbPiezas[],5,0)="NA",0,VLOOKUP(C179,TbPiezas[],5,0))</f>
        <v>1</v>
      </c>
      <c r="L179" s="81">
        <f t="shared" si="27"/>
        <v>0</v>
      </c>
      <c r="M179" s="247">
        <f>+VLOOKUP(C179,TbPiezas[],6,0)</f>
        <v>190.58</v>
      </c>
      <c r="N179" s="248">
        <f t="shared" si="28"/>
        <v>0</v>
      </c>
      <c r="O179" s="247">
        <f>+VLOOKUP(C179,TbPiezas[],7,0)</f>
        <v>9.5290000000000017</v>
      </c>
      <c r="P179" s="437">
        <f t="shared" si="29"/>
        <v>0</v>
      </c>
    </row>
    <row r="180" spans="2:16" x14ac:dyDescent="0.3">
      <c r="B180" s="2" t="s">
        <v>1253</v>
      </c>
      <c r="C180" s="244" t="s">
        <v>954</v>
      </c>
      <c r="D180" s="244" t="s">
        <v>955</v>
      </c>
      <c r="E180" s="2"/>
      <c r="F180" s="78">
        <f>+F131*2</f>
        <v>18</v>
      </c>
      <c r="G180" s="2"/>
      <c r="H180" s="244" t="str">
        <f t="shared" si="25"/>
        <v>EV.10500</v>
      </c>
      <c r="I180" s="76" t="str">
        <f>+IF(TEV[[#This Row],[ITEM]]=C180,"ok","mal")</f>
        <v>ok</v>
      </c>
      <c r="J180" s="439">
        <f t="shared" si="26"/>
        <v>18</v>
      </c>
      <c r="K180" s="169">
        <f>IF(VLOOKUP(C180,TbPiezas[],5,0)="NA",0,VLOOKUP(C180,TbPiezas[],5,0))</f>
        <v>0.3</v>
      </c>
      <c r="L180" s="81">
        <f t="shared" si="27"/>
        <v>5.3999999999999995</v>
      </c>
      <c r="M180" s="247">
        <f>+VLOOKUP(C180,TbPiezas[],6,0)</f>
        <v>190.58</v>
      </c>
      <c r="N180" s="248">
        <f t="shared" si="28"/>
        <v>3430.44</v>
      </c>
      <c r="O180" s="247">
        <f>+VLOOKUP(C180,TbPiezas[],7,0)</f>
        <v>9.5290000000000017</v>
      </c>
      <c r="P180" s="437">
        <f t="shared" si="29"/>
        <v>171.52</v>
      </c>
    </row>
    <row r="181" spans="2:16" x14ac:dyDescent="0.3">
      <c r="C181" s="244" t="s">
        <v>956</v>
      </c>
      <c r="D181" s="244" t="s">
        <v>957</v>
      </c>
      <c r="E181" s="2"/>
      <c r="F181" s="78">
        <f>IF(F$4="NUEVO",2,)</f>
        <v>2</v>
      </c>
      <c r="G181" s="2"/>
      <c r="H181" s="244" t="str">
        <f t="shared" si="25"/>
        <v>EV.10600</v>
      </c>
      <c r="I181" s="76" t="str">
        <f>+IF(TEV[[#This Row],[ITEM]]=C181,"ok","mal")</f>
        <v>ok</v>
      </c>
      <c r="J181" s="168">
        <f t="shared" si="26"/>
        <v>2</v>
      </c>
      <c r="K181" s="169">
        <f>IF(VLOOKUP(C181,TbPiezas[],5,0)="NA",0,VLOOKUP(C181,TbPiezas[],5,0))</f>
        <v>2.5</v>
      </c>
      <c r="L181" s="81">
        <f t="shared" si="27"/>
        <v>5</v>
      </c>
      <c r="M181" s="82">
        <f>+VLOOKUP(C181,TbPiezas[],6,0)</f>
        <v>158.69</v>
      </c>
      <c r="N181" s="83">
        <f t="shared" si="28"/>
        <v>317.38</v>
      </c>
      <c r="O181" s="82">
        <f>+VLOOKUP(C181,TbPiezas[],7,0)</f>
        <v>7.9344999999999999</v>
      </c>
      <c r="P181" s="220">
        <f t="shared" si="29"/>
        <v>15.87</v>
      </c>
    </row>
    <row r="182" spans="2:16" x14ac:dyDescent="0.3">
      <c r="C182" s="244" t="s">
        <v>958</v>
      </c>
      <c r="D182" s="244" t="s">
        <v>959</v>
      </c>
      <c r="E182" s="2"/>
      <c r="F182" s="78">
        <f>IF(F$4="NUEVO",4,)</f>
        <v>4</v>
      </c>
      <c r="G182" s="2"/>
      <c r="H182" s="244" t="str">
        <f t="shared" si="25"/>
        <v>EV.10700</v>
      </c>
      <c r="I182" s="76" t="str">
        <f>+IF(TEV[[#This Row],[ITEM]]=C182,"ok","mal")</f>
        <v>ok</v>
      </c>
      <c r="J182" s="168">
        <f t="shared" si="26"/>
        <v>4</v>
      </c>
      <c r="K182" s="169">
        <f>IF(VLOOKUP(C182,TbPiezas[],5,0)="NA",0,VLOOKUP(C182,TbPiezas[],5,0))</f>
        <v>0.5</v>
      </c>
      <c r="L182" s="81">
        <f t="shared" si="27"/>
        <v>2</v>
      </c>
      <c r="M182" s="82">
        <f>+VLOOKUP(C182,TbPiezas[],6,0)</f>
        <v>158.69</v>
      </c>
      <c r="N182" s="83">
        <f t="shared" si="28"/>
        <v>634.76</v>
      </c>
      <c r="O182" s="82">
        <f>+VLOOKUP(C182,TbPiezas[],7,0)</f>
        <v>7.9344999999999999</v>
      </c>
      <c r="P182" s="220">
        <f t="shared" si="29"/>
        <v>31.74</v>
      </c>
    </row>
    <row r="183" spans="2:16" hidden="1" x14ac:dyDescent="0.3">
      <c r="C183" s="244" t="s">
        <v>960</v>
      </c>
      <c r="D183" s="244" t="s">
        <v>961</v>
      </c>
      <c r="E183" s="2"/>
      <c r="F183" s="78">
        <f>+F130*5</f>
        <v>0</v>
      </c>
      <c r="G183" s="2"/>
      <c r="H183" s="244" t="str">
        <f t="shared" si="25"/>
        <v>EV.10750</v>
      </c>
      <c r="I183" s="76" t="str">
        <f>+IF(TEV[[#This Row],[ITEM]]=C183,"ok","mal")</f>
        <v>ok</v>
      </c>
      <c r="J183" s="168">
        <f t="shared" si="26"/>
        <v>0</v>
      </c>
      <c r="K183" s="169">
        <f>IF(VLOOKUP(C183,TbPiezas[],5,0)="NA",0,VLOOKUP(C183,TbPiezas[],5,0))</f>
        <v>0.26200000000000001</v>
      </c>
      <c r="L183" s="81">
        <f t="shared" si="27"/>
        <v>0</v>
      </c>
      <c r="M183" s="82">
        <f>+VLOOKUP(C183,TbPiezas[],6,0)</f>
        <v>45.1</v>
      </c>
      <c r="N183" s="83">
        <f t="shared" si="28"/>
        <v>0</v>
      </c>
      <c r="O183" s="82">
        <f>+VLOOKUP(C183,TbPiezas[],7,0)</f>
        <v>2.2550000000000003</v>
      </c>
      <c r="P183" s="220">
        <f t="shared" si="29"/>
        <v>0</v>
      </c>
    </row>
    <row r="184" spans="2:16" hidden="1" x14ac:dyDescent="0.3">
      <c r="B184" s="2" t="s">
        <v>1260</v>
      </c>
      <c r="C184" s="244" t="s">
        <v>962</v>
      </c>
      <c r="D184" s="244" t="s">
        <v>963</v>
      </c>
      <c r="E184" s="2"/>
      <c r="F184" s="78">
        <v>0</v>
      </c>
      <c r="G184" s="2"/>
      <c r="H184" s="244" t="str">
        <f t="shared" si="25"/>
        <v>EV.10800</v>
      </c>
      <c r="I184" s="76" t="str">
        <f>+IF(TEV[[#This Row],[ITEM]]=C184,"ok","mal")</f>
        <v>ok</v>
      </c>
      <c r="J184" s="168">
        <f t="shared" si="26"/>
        <v>0</v>
      </c>
      <c r="K184" s="169">
        <f>IF(VLOOKUP(C184,TbPiezas[],5,0)="NA",0,VLOOKUP(C184,TbPiezas[],5,0))</f>
        <v>0.2</v>
      </c>
      <c r="L184" s="81">
        <f t="shared" si="27"/>
        <v>0</v>
      </c>
      <c r="M184" s="82">
        <f>+VLOOKUP(C184,TbPiezas[],6,0)</f>
        <v>45.1</v>
      </c>
      <c r="N184" s="83">
        <f t="shared" si="28"/>
        <v>0</v>
      </c>
      <c r="O184" s="82">
        <f>+VLOOKUP(C184,TbPiezas[],7,0)</f>
        <v>2.2550000000000003</v>
      </c>
      <c r="P184" s="220">
        <f t="shared" si="29"/>
        <v>0</v>
      </c>
    </row>
    <row r="185" spans="2:16" hidden="1" x14ac:dyDescent="0.3">
      <c r="B185" s="2" t="s">
        <v>1260</v>
      </c>
      <c r="C185" s="244" t="s">
        <v>964</v>
      </c>
      <c r="D185" s="244" t="s">
        <v>965</v>
      </c>
      <c r="E185" s="2"/>
      <c r="F185" s="78">
        <v>0</v>
      </c>
      <c r="G185" s="2"/>
      <c r="H185" s="244" t="str">
        <f t="shared" si="25"/>
        <v>EV.10900</v>
      </c>
      <c r="I185" s="76" t="str">
        <f>+IF(TEV[[#This Row],[ITEM]]=C185,"ok","mal")</f>
        <v>ok</v>
      </c>
      <c r="J185" s="168">
        <f t="shared" si="26"/>
        <v>0</v>
      </c>
      <c r="K185" s="169">
        <f>IF(VLOOKUP(C185,TbPiezas[],5,0)="NA",0,VLOOKUP(C185,TbPiezas[],5,0))</f>
        <v>0.2</v>
      </c>
      <c r="L185" s="81">
        <f t="shared" si="27"/>
        <v>0</v>
      </c>
      <c r="M185" s="82">
        <f>+VLOOKUP(C185,TbPiezas[],6,0)</f>
        <v>45.1</v>
      </c>
      <c r="N185" s="83">
        <f t="shared" si="28"/>
        <v>0</v>
      </c>
      <c r="O185" s="82">
        <f>+VLOOKUP(C185,TbPiezas[],7,0)</f>
        <v>2.2550000000000003</v>
      </c>
      <c r="P185" s="220">
        <f t="shared" si="29"/>
        <v>0</v>
      </c>
    </row>
    <row r="186" spans="2:16" hidden="1" x14ac:dyDescent="0.3">
      <c r="C186" s="244" t="s">
        <v>966</v>
      </c>
      <c r="D186" s="244" t="s">
        <v>967</v>
      </c>
      <c r="E186" s="2"/>
      <c r="F186" s="78">
        <f>+F130*2</f>
        <v>0</v>
      </c>
      <c r="G186" s="2"/>
      <c r="H186" s="244" t="str">
        <f t="shared" si="25"/>
        <v>EV.10950</v>
      </c>
      <c r="I186" s="76" t="str">
        <f>+IF(TEV[[#This Row],[ITEM]]=C186,"ok","mal")</f>
        <v>ok</v>
      </c>
      <c r="J186" s="168">
        <f t="shared" si="26"/>
        <v>0</v>
      </c>
      <c r="K186" s="169">
        <f>IF(VLOOKUP(C186,TbPiezas[],5,0)="NA",0,VLOOKUP(C186,TbPiezas[],5,0))</f>
        <v>0.2</v>
      </c>
      <c r="L186" s="81">
        <f t="shared" si="27"/>
        <v>0</v>
      </c>
      <c r="M186" s="82">
        <f>+VLOOKUP(C186,TbPiezas[],6,0)</f>
        <v>45.1</v>
      </c>
      <c r="N186" s="83">
        <f t="shared" si="28"/>
        <v>0</v>
      </c>
      <c r="O186" s="82">
        <f>+VLOOKUP(C186,TbPiezas[],7,0)</f>
        <v>2.2550000000000003</v>
      </c>
      <c r="P186" s="220">
        <f t="shared" si="29"/>
        <v>0</v>
      </c>
    </row>
    <row r="187" spans="2:16" ht="8.25" customHeight="1" x14ac:dyDescent="0.3">
      <c r="E187" s="2"/>
      <c r="F187" s="68"/>
      <c r="G187" s="2"/>
      <c r="H187" s="2"/>
      <c r="I187" s="2"/>
      <c r="J187" s="2"/>
      <c r="K187" s="2"/>
    </row>
    <row r="188" spans="2:16" ht="15" customHeight="1" x14ac:dyDescent="0.3">
      <c r="E188" s="2"/>
      <c r="F188" s="68"/>
      <c r="G188" s="2"/>
      <c r="H188" s="2"/>
      <c r="I188" s="2"/>
      <c r="J188" s="2"/>
      <c r="K188" s="327" t="s">
        <v>1169</v>
      </c>
      <c r="L188" s="89">
        <f>SUM(L16:L187)</f>
        <v>11894.566000000001</v>
      </c>
      <c r="M188" s="343" t="s">
        <v>1290</v>
      </c>
      <c r="N188" s="91">
        <f>SUM(N16:N187)</f>
        <v>745482.98999999964</v>
      </c>
      <c r="O188" s="347" t="s">
        <v>1170</v>
      </c>
      <c r="P188" s="93">
        <f>SUM(P16:P187)</f>
        <v>37274.149999999987</v>
      </c>
    </row>
    <row r="189" spans="2:16" x14ac:dyDescent="0.3">
      <c r="E189" s="2"/>
      <c r="F189" s="68"/>
      <c r="G189" s="2"/>
      <c r="H189" s="2"/>
      <c r="I189" s="2"/>
      <c r="J189" s="2"/>
      <c r="K189" s="491" t="s">
        <v>1171</v>
      </c>
      <c r="L189" s="448">
        <f>+L188/1000</f>
        <v>11.894566000000001</v>
      </c>
      <c r="M189" s="344" t="s">
        <v>1289</v>
      </c>
      <c r="N189" s="449">
        <f>-N188*M190</f>
        <v>0</v>
      </c>
      <c r="O189" s="348" t="s">
        <v>1289</v>
      </c>
      <c r="P189" s="450">
        <f>-P188*O190</f>
        <v>0</v>
      </c>
    </row>
    <row r="190" spans="2:16" x14ac:dyDescent="0.3">
      <c r="E190" s="2"/>
      <c r="F190" s="68"/>
      <c r="G190" s="2"/>
      <c r="H190" s="2"/>
      <c r="I190" s="2"/>
      <c r="J190" s="2"/>
      <c r="K190" s="491"/>
      <c r="L190" s="448"/>
      <c r="M190" s="345"/>
      <c r="N190" s="449"/>
      <c r="O190" s="97"/>
      <c r="P190" s="450"/>
    </row>
    <row r="191" spans="2:16" ht="7.5" customHeight="1" x14ac:dyDescent="0.3">
      <c r="E191" s="2"/>
      <c r="F191" s="68"/>
      <c r="G191" s="2"/>
      <c r="H191" s="2"/>
      <c r="I191" s="2"/>
      <c r="J191" s="2"/>
      <c r="K191" s="2"/>
      <c r="L191" s="2"/>
    </row>
    <row r="192" spans="2:16" ht="15" customHeight="1" x14ac:dyDescent="0.3">
      <c r="E192" s="2"/>
      <c r="F192" s="68"/>
      <c r="G192" s="2"/>
      <c r="H192" s="2"/>
      <c r="I192" s="2"/>
      <c r="J192" s="2"/>
      <c r="K192" s="503" t="s">
        <v>1173</v>
      </c>
      <c r="L192" s="83">
        <v>0</v>
      </c>
      <c r="M192" s="98" t="s">
        <v>1170</v>
      </c>
      <c r="N192" s="83">
        <f>N188+N189</f>
        <v>745482.98999999964</v>
      </c>
      <c r="O192" s="82" t="s">
        <v>1170</v>
      </c>
      <c r="P192" s="84">
        <f>P188+P189</f>
        <v>37274.149999999987</v>
      </c>
    </row>
    <row r="193" spans="5:16" x14ac:dyDescent="0.3">
      <c r="E193" s="2"/>
      <c r="F193" s="68"/>
      <c r="G193" s="2"/>
      <c r="H193" s="2"/>
      <c r="I193" s="2"/>
      <c r="J193" s="2"/>
      <c r="K193" s="503"/>
      <c r="L193" s="83">
        <v>0</v>
      </c>
      <c r="M193" s="98" t="s">
        <v>1174</v>
      </c>
      <c r="N193" s="83">
        <f>0.18*N192</f>
        <v>134186.93819999992</v>
      </c>
      <c r="O193" s="82" t="s">
        <v>1174</v>
      </c>
      <c r="P193" s="84">
        <f>0.18*P192</f>
        <v>6709.346999999997</v>
      </c>
    </row>
    <row r="194" spans="5:16" ht="7.5" customHeight="1" x14ac:dyDescent="0.3">
      <c r="E194" s="2"/>
      <c r="F194" s="68"/>
      <c r="G194" s="2"/>
      <c r="H194" s="2"/>
      <c r="I194" s="2"/>
      <c r="J194" s="2"/>
      <c r="K194" s="2"/>
      <c r="L194" s="2"/>
    </row>
    <row r="195" spans="5:16" x14ac:dyDescent="0.3">
      <c r="E195" s="2"/>
      <c r="F195" s="68"/>
      <c r="G195" s="2"/>
      <c r="H195" s="2"/>
      <c r="I195" s="2"/>
      <c r="J195" s="2"/>
      <c r="K195" s="2"/>
      <c r="L195" s="99"/>
      <c r="M195" s="100" t="s">
        <v>1162</v>
      </c>
      <c r="N195" s="101">
        <f>+N192+N193</f>
        <v>879669.9281999995</v>
      </c>
      <c r="O195" s="100" t="s">
        <v>1162</v>
      </c>
      <c r="P195" s="102">
        <f>+P192+P193</f>
        <v>43983.496999999981</v>
      </c>
    </row>
  </sheetData>
  <mergeCells count="10">
    <mergeCell ref="K192:K193"/>
    <mergeCell ref="C15:C16"/>
    <mergeCell ref="D15:D16"/>
    <mergeCell ref="K15:L15"/>
    <mergeCell ref="M15:N15"/>
    <mergeCell ref="O15:P15"/>
    <mergeCell ref="K189:K190"/>
    <mergeCell ref="L189:L190"/>
    <mergeCell ref="N189:N190"/>
    <mergeCell ref="P189:P190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870DF5C0-4989-4A0D-9680-AB31D5AE5F11}">
          <x14:formula1>
            <xm:f>Apoyo1Despiece!$C$81:$C$83</xm:f>
          </x14:formula1>
          <xm:sqref>F4</xm:sqref>
        </x14:dataValidation>
        <x14:dataValidation type="list" allowBlank="1" showInputMessage="1" showErrorMessage="1" xr:uid="{5B47FDB6-C296-41F2-804D-40BD71C7B4AB}">
          <x14:formula1>
            <xm:f>Apoyo1Despiece!$D$81:$D$82</xm:f>
          </x14:formula1>
          <xm:sqref>F6:F7</xm:sqref>
        </x14:dataValidation>
        <x14:dataValidation type="list" allowBlank="1" showInputMessage="1" showErrorMessage="1" xr:uid="{D9C1AB05-AC60-4F8C-9F21-FD40D38F0FE3}">
          <x14:formula1>
            <xm:f>Apoyo1Despiece!$E$81:$E$82</xm:f>
          </x14:formula1>
          <xm:sqref>F12</xm:sqref>
        </x14:dataValidation>
        <x14:dataValidation type="list" allowBlank="1" showInputMessage="1" showErrorMessage="1" xr:uid="{A8B3C1B9-1735-4D18-B2B3-88762A3498EA}">
          <x14:formula1>
            <xm:f>Apoyo1Despiece!$F$81:$F$83</xm:f>
          </x14:formula1>
          <xm:sqref>F7</xm:sqref>
        </x14:dataValidation>
        <x14:dataValidation type="list" allowBlank="1" showInputMessage="1" showErrorMessage="1" xr:uid="{F579061F-2466-4778-B6F4-FD2C3532C584}">
          <x14:formula1>
            <xm:f>Apoyo1Despiece!$G$81:$G$82</xm:f>
          </x14:formula1>
          <xm:sqref>F5</xm:sqref>
        </x14:dataValidation>
        <x14:dataValidation type="list" allowBlank="1" showInputMessage="1" showErrorMessage="1" xr:uid="{D7DC125E-6954-45B4-92F5-960B934D04A2}">
          <x14:formula1>
            <xm:f>Apoyo1Despiece!$H$81:$H$82</xm:f>
          </x14:formula1>
          <xm:sqref>F13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2947D-DECF-432B-A70F-79162B2425FF}">
  <sheetPr codeName="Hoja17">
    <tabColor theme="6"/>
  </sheetPr>
  <dimension ref="B2:P84"/>
  <sheetViews>
    <sheetView workbookViewId="0">
      <selection activeCell="C3" sqref="C3"/>
    </sheetView>
  </sheetViews>
  <sheetFormatPr baseColWidth="10" defaultRowHeight="14.4" outlineLevelRow="1" x14ac:dyDescent="0.3"/>
  <cols>
    <col min="1" max="1" width="4.5546875" customWidth="1"/>
    <col min="2" max="2" width="5.6640625" style="1" customWidth="1"/>
    <col min="3" max="3" width="19.33203125" customWidth="1"/>
    <col min="4" max="5" width="15.6640625" customWidth="1"/>
    <col min="6" max="6" width="19" customWidth="1"/>
    <col min="7" max="7" width="15.6640625" customWidth="1"/>
    <col min="8" max="8" width="19" customWidth="1"/>
    <col min="9" max="15" width="15.6640625" customWidth="1"/>
  </cols>
  <sheetData>
    <row r="2" spans="2:16" s="2" customFormat="1" ht="20.100000000000001" customHeight="1" x14ac:dyDescent="0.3">
      <c r="B2" s="9" t="s">
        <v>997</v>
      </c>
      <c r="C2" s="10"/>
      <c r="D2" s="10"/>
      <c r="E2" s="10"/>
      <c r="F2" s="10"/>
      <c r="G2" s="10"/>
      <c r="H2" s="10"/>
      <c r="I2" s="10"/>
      <c r="J2" s="11"/>
      <c r="K2"/>
      <c r="L2"/>
      <c r="M2"/>
      <c r="N2"/>
    </row>
    <row r="3" spans="2:16" s="12" customFormat="1" outlineLevel="1" x14ac:dyDescent="0.3">
      <c r="C3" s="13" t="s">
        <v>998</v>
      </c>
      <c r="D3" s="13" t="s">
        <v>1282</v>
      </c>
      <c r="E3" s="13"/>
      <c r="F3" s="13"/>
      <c r="G3" s="13"/>
      <c r="H3" s="13"/>
      <c r="I3" s="13"/>
      <c r="J3" s="13"/>
      <c r="K3"/>
      <c r="L3"/>
      <c r="M3"/>
      <c r="N3"/>
    </row>
    <row r="4" spans="2:16" outlineLevel="1" x14ac:dyDescent="0.3">
      <c r="C4" s="14" t="s">
        <v>999</v>
      </c>
      <c r="D4" s="14" t="s">
        <v>1158</v>
      </c>
      <c r="E4" s="14"/>
      <c r="F4" s="14"/>
      <c r="G4" s="14"/>
      <c r="H4" s="14"/>
      <c r="I4" s="14"/>
      <c r="J4" s="14"/>
      <c r="M4" s="15"/>
    </row>
    <row r="5" spans="2:16" outlineLevel="1" x14ac:dyDescent="0.3">
      <c r="C5" s="14" t="s">
        <v>1000</v>
      </c>
      <c r="D5" s="14" t="s">
        <v>1159</v>
      </c>
      <c r="E5" s="14"/>
      <c r="F5" s="14"/>
      <c r="G5" s="14"/>
      <c r="H5" s="14"/>
      <c r="I5" s="14"/>
      <c r="J5" s="16"/>
      <c r="M5" s="15"/>
    </row>
    <row r="6" spans="2:16" outlineLevel="1" x14ac:dyDescent="0.3">
      <c r="C6" s="14" t="s">
        <v>1001</v>
      </c>
      <c r="D6" s="14" t="s">
        <v>1277</v>
      </c>
      <c r="E6" s="17"/>
      <c r="F6" s="14"/>
      <c r="G6" s="14"/>
      <c r="H6" s="14"/>
      <c r="I6" s="14"/>
      <c r="J6" s="14"/>
      <c r="M6" s="15"/>
    </row>
    <row r="7" spans="2:16" outlineLevel="1" x14ac:dyDescent="0.3">
      <c r="C7" s="14" t="s">
        <v>1002</v>
      </c>
      <c r="D7" s="14"/>
      <c r="E7" s="14"/>
      <c r="F7" s="14"/>
      <c r="G7" s="18"/>
      <c r="H7" s="18"/>
      <c r="I7" s="18"/>
      <c r="J7" s="18"/>
      <c r="M7" s="15"/>
    </row>
    <row r="8" spans="2:16" outlineLevel="1" x14ac:dyDescent="0.3"/>
    <row r="9" spans="2:16" s="2" customFormat="1" ht="20.100000000000001" customHeight="1" x14ac:dyDescent="0.3">
      <c r="B9" s="9" t="s">
        <v>1003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1"/>
      <c r="O9" s="11"/>
      <c r="P9" s="11"/>
    </row>
    <row r="10" spans="2:16" s="12" customFormat="1" ht="28.8" outlineLevel="1" x14ac:dyDescent="0.3">
      <c r="C10" s="19" t="s">
        <v>1004</v>
      </c>
      <c r="D10" s="19" t="s">
        <v>1005</v>
      </c>
      <c r="E10" s="19" t="s">
        <v>1006</v>
      </c>
      <c r="F10" s="19" t="s">
        <v>1007</v>
      </c>
      <c r="G10" s="19" t="s">
        <v>1008</v>
      </c>
      <c r="H10" s="19" t="s">
        <v>1009</v>
      </c>
      <c r="I10" s="19" t="s">
        <v>1010</v>
      </c>
      <c r="J10" s="19" t="s">
        <v>1011</v>
      </c>
      <c r="K10" s="19" t="s">
        <v>1012</v>
      </c>
      <c r="L10" s="19" t="s">
        <v>1013</v>
      </c>
      <c r="M10" s="19" t="s">
        <v>1014</v>
      </c>
      <c r="N10" s="19" t="s">
        <v>1015</v>
      </c>
      <c r="O10" s="19" t="s">
        <v>1016</v>
      </c>
      <c r="P10" s="19" t="s">
        <v>1017</v>
      </c>
    </row>
    <row r="11" spans="2:16" outlineLevel="1" x14ac:dyDescent="0.3">
      <c r="C11" t="s">
        <v>1018</v>
      </c>
      <c r="D11" s="14">
        <v>3072</v>
      </c>
      <c r="E11" s="14">
        <v>1090</v>
      </c>
      <c r="F11" s="14" t="s">
        <v>1266</v>
      </c>
      <c r="G11" s="14" t="s">
        <v>1080</v>
      </c>
      <c r="H11" s="14" t="s">
        <v>1019</v>
      </c>
      <c r="I11" s="14" t="s">
        <v>1019</v>
      </c>
      <c r="J11" s="14" t="s">
        <v>1019</v>
      </c>
      <c r="K11" s="14" t="s">
        <v>1019</v>
      </c>
      <c r="L11" s="14" t="s">
        <v>1020</v>
      </c>
      <c r="M11" s="14" t="s">
        <v>1020</v>
      </c>
      <c r="N11" s="16">
        <v>0.5</v>
      </c>
      <c r="O11" s="14" t="s">
        <v>1019</v>
      </c>
      <c r="P11" s="14" t="s">
        <v>1021</v>
      </c>
    </row>
    <row r="12" spans="2:16" outlineLevel="1" x14ac:dyDescent="0.3">
      <c r="C12" t="s">
        <v>1269</v>
      </c>
      <c r="D12" s="14">
        <v>2572</v>
      </c>
      <c r="E12" s="14">
        <v>1020</v>
      </c>
      <c r="F12" s="14" t="s">
        <v>1265</v>
      </c>
      <c r="G12" s="14" t="s">
        <v>1267</v>
      </c>
      <c r="H12" s="14" t="s">
        <v>1023</v>
      </c>
      <c r="I12" s="14" t="s">
        <v>1023</v>
      </c>
      <c r="J12" s="14" t="s">
        <v>1023</v>
      </c>
      <c r="K12" s="14" t="s">
        <v>1023</v>
      </c>
      <c r="L12" s="14" t="s">
        <v>1024</v>
      </c>
      <c r="M12" s="14" t="s">
        <v>1024</v>
      </c>
      <c r="N12" s="16">
        <v>1</v>
      </c>
      <c r="O12" s="14" t="s">
        <v>1023</v>
      </c>
      <c r="P12" s="14" t="s">
        <v>1025</v>
      </c>
    </row>
    <row r="13" spans="2:16" outlineLevel="1" x14ac:dyDescent="0.3">
      <c r="D13" s="14">
        <v>2072</v>
      </c>
      <c r="E13" s="14">
        <v>732</v>
      </c>
      <c r="F13" s="14"/>
      <c r="G13" s="14"/>
      <c r="H13" s="14"/>
      <c r="I13" s="14"/>
      <c r="J13" s="14"/>
      <c r="K13" s="14"/>
      <c r="L13" s="14"/>
      <c r="M13" s="14" t="s">
        <v>1026</v>
      </c>
      <c r="N13" s="14"/>
      <c r="O13" s="14"/>
      <c r="P13" s="14" t="s">
        <v>1027</v>
      </c>
    </row>
    <row r="14" spans="2:16" outlineLevel="1" x14ac:dyDescent="0.3">
      <c r="D14" s="14">
        <v>1572</v>
      </c>
      <c r="E14" s="18"/>
      <c r="F14" s="14"/>
      <c r="G14" s="14"/>
      <c r="H14" s="18"/>
      <c r="I14" s="18"/>
      <c r="J14" s="18"/>
      <c r="K14" s="18"/>
      <c r="L14" s="18"/>
      <c r="M14" s="18"/>
      <c r="N14" s="18"/>
      <c r="O14" s="18"/>
      <c r="P14" s="18"/>
    </row>
    <row r="15" spans="2:16" outlineLevel="1" x14ac:dyDescent="0.3">
      <c r="D15" s="14">
        <v>1090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outlineLevel="1" x14ac:dyDescent="0.3">
      <c r="D16" s="14">
        <v>1020</v>
      </c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2:16" outlineLevel="1" x14ac:dyDescent="0.3">
      <c r="D17" s="14">
        <v>732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2:16" outlineLevel="1" x14ac:dyDescent="0.3"/>
    <row r="19" spans="2:16" s="2" customFormat="1" ht="20.100000000000001" customHeight="1" x14ac:dyDescent="0.3">
      <c r="B19" s="9" t="s">
        <v>1028</v>
      </c>
      <c r="C19" s="10"/>
      <c r="D19" s="10"/>
      <c r="E19" s="10"/>
      <c r="F19" s="10"/>
      <c r="G19" s="10"/>
      <c r="H19" s="10"/>
      <c r="I19" s="10"/>
      <c r="J19" s="11"/>
      <c r="K19"/>
      <c r="L19"/>
      <c r="M19"/>
      <c r="N19"/>
    </row>
    <row r="20" spans="2:16" s="12" customFormat="1" ht="28.8" outlineLevel="1" x14ac:dyDescent="0.3">
      <c r="C20" s="13" t="s">
        <v>1029</v>
      </c>
      <c r="D20" s="13" t="s">
        <v>1030</v>
      </c>
      <c r="E20" s="13" t="s">
        <v>1356</v>
      </c>
      <c r="F20" s="13" t="s">
        <v>1357</v>
      </c>
      <c r="G20" s="13" t="s">
        <v>1031</v>
      </c>
      <c r="H20" s="13" t="s">
        <v>1032</v>
      </c>
      <c r="I20" s="13" t="s">
        <v>1033</v>
      </c>
      <c r="J20" s="13" t="s">
        <v>1034</v>
      </c>
      <c r="K20" s="13" t="s">
        <v>1035</v>
      </c>
      <c r="L20" s="13" t="s">
        <v>1352</v>
      </c>
      <c r="M20"/>
      <c r="N20"/>
    </row>
    <row r="21" spans="2:16" outlineLevel="1" x14ac:dyDescent="0.3">
      <c r="C21" s="14">
        <v>3072</v>
      </c>
      <c r="D21" s="14" t="s">
        <v>1349</v>
      </c>
      <c r="E21" s="14" t="s">
        <v>1019</v>
      </c>
      <c r="F21" s="14" t="s">
        <v>1019</v>
      </c>
      <c r="G21" s="14" t="s">
        <v>1019</v>
      </c>
      <c r="H21" s="14" t="s">
        <v>1036</v>
      </c>
      <c r="I21" s="14" t="s">
        <v>1020</v>
      </c>
      <c r="J21" s="14" t="s">
        <v>1020</v>
      </c>
      <c r="K21" s="14">
        <v>0.5</v>
      </c>
      <c r="L21" s="14" t="s">
        <v>1019</v>
      </c>
      <c r="M21" s="15"/>
    </row>
    <row r="22" spans="2:16" outlineLevel="1" x14ac:dyDescent="0.3">
      <c r="C22" s="14">
        <v>2572</v>
      </c>
      <c r="D22" s="14" t="s">
        <v>1350</v>
      </c>
      <c r="E22" s="14" t="s">
        <v>1023</v>
      </c>
      <c r="F22" s="14" t="s">
        <v>1023</v>
      </c>
      <c r="G22" s="14" t="s">
        <v>1023</v>
      </c>
      <c r="H22" s="14" t="s">
        <v>1037</v>
      </c>
      <c r="I22" s="14" t="s">
        <v>1024</v>
      </c>
      <c r="J22" s="14" t="s">
        <v>1026</v>
      </c>
      <c r="K22" s="16">
        <v>1</v>
      </c>
      <c r="L22" s="16" t="s">
        <v>1023</v>
      </c>
      <c r="M22" s="15"/>
    </row>
    <row r="23" spans="2:16" outlineLevel="1" x14ac:dyDescent="0.3">
      <c r="C23" s="14">
        <v>2072</v>
      </c>
      <c r="D23" s="14"/>
      <c r="E23" s="17"/>
      <c r="G23" s="14"/>
      <c r="H23" s="14"/>
      <c r="I23" s="14"/>
      <c r="J23" s="14"/>
      <c r="K23" s="14" t="s">
        <v>1023</v>
      </c>
      <c r="M23" s="15"/>
    </row>
    <row r="24" spans="2:16" outlineLevel="1" x14ac:dyDescent="0.3">
      <c r="C24" s="14">
        <v>1572</v>
      </c>
      <c r="D24" s="14"/>
      <c r="E24" s="14"/>
      <c r="F24" s="14"/>
      <c r="G24" s="18"/>
      <c r="H24" s="18"/>
      <c r="I24" s="18"/>
      <c r="J24" s="18"/>
      <c r="M24" s="15"/>
    </row>
    <row r="25" spans="2:16" outlineLevel="1" x14ac:dyDescent="0.3">
      <c r="C25" s="14">
        <v>1090</v>
      </c>
      <c r="D25" s="18"/>
      <c r="E25" s="14"/>
      <c r="F25" s="14"/>
      <c r="G25" s="18"/>
      <c r="H25" s="18"/>
      <c r="I25" s="18"/>
      <c r="J25" s="18"/>
    </row>
    <row r="26" spans="2:16" outlineLevel="1" x14ac:dyDescent="0.3">
      <c r="C26" s="14">
        <v>732</v>
      </c>
      <c r="D26" s="18"/>
      <c r="E26" s="14"/>
      <c r="F26" s="14"/>
      <c r="G26" s="18"/>
      <c r="H26" s="18"/>
      <c r="I26" s="18"/>
      <c r="J26" s="18"/>
    </row>
    <row r="27" spans="2:16" outlineLevel="1" x14ac:dyDescent="0.3"/>
    <row r="28" spans="2:16" s="2" customFormat="1" ht="20.100000000000001" customHeight="1" x14ac:dyDescent="0.3">
      <c r="B28" s="9" t="s">
        <v>1038</v>
      </c>
      <c r="C28" s="10"/>
      <c r="D28" s="10"/>
      <c r="E28" s="10"/>
      <c r="F28" s="11"/>
      <c r="G28"/>
      <c r="H28"/>
      <c r="I28"/>
      <c r="J28"/>
      <c r="K28"/>
      <c r="L28"/>
      <c r="M28"/>
      <c r="N28"/>
      <c r="O28"/>
    </row>
    <row r="29" spans="2:16" s="15" customFormat="1" ht="28.8" outlineLevel="1" x14ac:dyDescent="0.3">
      <c r="C29" s="13"/>
      <c r="D29" s="13" t="s">
        <v>1039</v>
      </c>
      <c r="E29" s="13" t="s">
        <v>1040</v>
      </c>
      <c r="F29" s="13" t="s">
        <v>1041</v>
      </c>
      <c r="G29" s="13" t="s">
        <v>1042</v>
      </c>
      <c r="H29" s="14"/>
      <c r="I29"/>
      <c r="J29"/>
      <c r="K29"/>
      <c r="L29"/>
      <c r="M29"/>
      <c r="N29"/>
      <c r="O29"/>
    </row>
    <row r="30" spans="2:16" outlineLevel="1" x14ac:dyDescent="0.3">
      <c r="C30" s="14"/>
      <c r="D30" s="20" t="s">
        <v>1301</v>
      </c>
      <c r="E30" s="14" t="s">
        <v>1297</v>
      </c>
      <c r="F30" s="20" t="s">
        <v>1301</v>
      </c>
      <c r="G30" s="20">
        <v>1572</v>
      </c>
      <c r="H30" s="14"/>
    </row>
    <row r="31" spans="2:16" outlineLevel="1" x14ac:dyDescent="0.3">
      <c r="C31" s="14"/>
      <c r="D31" s="20" t="s">
        <v>1302</v>
      </c>
      <c r="E31" s="14" t="s">
        <v>1298</v>
      </c>
      <c r="F31" s="20" t="s">
        <v>1307</v>
      </c>
      <c r="G31" s="20">
        <v>1090</v>
      </c>
      <c r="H31" s="14"/>
      <c r="I31" s="14"/>
    </row>
    <row r="32" spans="2:16" outlineLevel="1" x14ac:dyDescent="0.3">
      <c r="C32" s="14"/>
      <c r="D32" s="20" t="s">
        <v>1303</v>
      </c>
      <c r="E32" s="14" t="s">
        <v>1299</v>
      </c>
      <c r="F32" s="20" t="s">
        <v>1308</v>
      </c>
      <c r="G32" s="14">
        <v>732</v>
      </c>
      <c r="H32" s="14"/>
      <c r="I32" s="14"/>
    </row>
    <row r="33" spans="2:15" outlineLevel="1" x14ac:dyDescent="0.3">
      <c r="C33" s="18"/>
      <c r="D33" s="20" t="s">
        <v>1304</v>
      </c>
      <c r="E33" s="1" t="s">
        <v>1300</v>
      </c>
      <c r="F33" s="20" t="s">
        <v>657</v>
      </c>
      <c r="G33" s="14"/>
      <c r="H33" s="14"/>
      <c r="I33" s="14"/>
    </row>
    <row r="34" spans="2:15" outlineLevel="1" x14ac:dyDescent="0.3">
      <c r="B34"/>
      <c r="C34" s="18"/>
      <c r="D34" s="20" t="s">
        <v>1305</v>
      </c>
      <c r="E34" s="1" t="s">
        <v>1393</v>
      </c>
      <c r="F34" s="14"/>
      <c r="G34" s="18"/>
      <c r="H34" s="14"/>
      <c r="I34" s="14"/>
    </row>
    <row r="35" spans="2:15" outlineLevel="1" x14ac:dyDescent="0.3">
      <c r="B35"/>
      <c r="D35" s="1"/>
      <c r="E35" s="1"/>
    </row>
    <row r="36" spans="2:15" s="2" customFormat="1" ht="20.100000000000001" customHeight="1" x14ac:dyDescent="0.3">
      <c r="B36" s="9" t="s">
        <v>1044</v>
      </c>
      <c r="C36" s="21"/>
      <c r="D36" s="21"/>
      <c r="E36" s="21"/>
      <c r="F36" s="22"/>
      <c r="G36" s="22"/>
      <c r="H36"/>
      <c r="I36"/>
      <c r="J36"/>
      <c r="K36"/>
      <c r="L36"/>
      <c r="M36"/>
      <c r="N36"/>
      <c r="O36"/>
    </row>
    <row r="37" spans="2:15" s="15" customFormat="1" ht="28.8" outlineLevel="1" x14ac:dyDescent="0.3">
      <c r="C37" s="13" t="s">
        <v>1005</v>
      </c>
      <c r="D37" s="13" t="s">
        <v>1045</v>
      </c>
      <c r="E37" s="13" t="s">
        <v>1046</v>
      </c>
      <c r="F37" s="23" t="s">
        <v>1047</v>
      </c>
      <c r="G37" s="23" t="s">
        <v>1005</v>
      </c>
      <c r="H37"/>
      <c r="I37"/>
      <c r="M37"/>
      <c r="N37"/>
      <c r="O37"/>
    </row>
    <row r="38" spans="2:15" outlineLevel="1" x14ac:dyDescent="0.3">
      <c r="C38" s="14">
        <v>3</v>
      </c>
      <c r="D38" s="14">
        <v>180</v>
      </c>
      <c r="E38" s="14" t="s">
        <v>1020</v>
      </c>
      <c r="F38" s="14" t="s">
        <v>1048</v>
      </c>
      <c r="G38" s="14">
        <v>3072</v>
      </c>
    </row>
    <row r="39" spans="2:15" outlineLevel="1" x14ac:dyDescent="0.3">
      <c r="C39" s="14">
        <v>1</v>
      </c>
      <c r="D39" s="14">
        <v>400</v>
      </c>
      <c r="E39" s="14" t="s">
        <v>1024</v>
      </c>
      <c r="F39" s="14" t="s">
        <v>1049</v>
      </c>
      <c r="G39" s="14">
        <v>2572</v>
      </c>
    </row>
    <row r="40" spans="2:15" outlineLevel="1" x14ac:dyDescent="0.3">
      <c r="C40" s="14"/>
      <c r="D40" s="14"/>
      <c r="E40" s="14"/>
      <c r="F40" s="14"/>
      <c r="G40" s="14">
        <v>2072</v>
      </c>
    </row>
    <row r="41" spans="2:15" outlineLevel="1" x14ac:dyDescent="0.3">
      <c r="C41" s="14"/>
      <c r="D41" s="18"/>
      <c r="E41" s="18"/>
      <c r="F41" s="14"/>
      <c r="G41" s="14">
        <v>1572</v>
      </c>
    </row>
    <row r="42" spans="2:15" outlineLevel="1" x14ac:dyDescent="0.3">
      <c r="C42" s="14"/>
      <c r="D42" s="18"/>
      <c r="E42" s="18"/>
      <c r="F42" s="18"/>
      <c r="G42" s="14">
        <v>1090</v>
      </c>
    </row>
    <row r="43" spans="2:15" outlineLevel="1" x14ac:dyDescent="0.3">
      <c r="C43" s="14"/>
      <c r="D43" s="18"/>
      <c r="E43" s="18"/>
      <c r="F43" s="18"/>
      <c r="G43" s="14">
        <v>1020</v>
      </c>
    </row>
    <row r="44" spans="2:15" outlineLevel="1" x14ac:dyDescent="0.3">
      <c r="C44" s="14"/>
      <c r="D44" s="18"/>
      <c r="E44" s="18"/>
      <c r="F44" s="18"/>
      <c r="G44" s="14">
        <v>732</v>
      </c>
    </row>
    <row r="45" spans="2:15" outlineLevel="1" x14ac:dyDescent="0.3">
      <c r="M45" s="15"/>
    </row>
    <row r="46" spans="2:15" s="2" customFormat="1" ht="20.100000000000001" customHeight="1" x14ac:dyDescent="0.3">
      <c r="B46" s="9" t="s">
        <v>1050</v>
      </c>
      <c r="C46" s="21"/>
      <c r="D46" s="21"/>
      <c r="E46" s="21"/>
      <c r="F46" s="22"/>
      <c r="G46" s="22"/>
      <c r="H46"/>
      <c r="I46"/>
      <c r="J46"/>
      <c r="K46"/>
      <c r="L46"/>
      <c r="M46"/>
      <c r="N46"/>
      <c r="O46"/>
    </row>
    <row r="47" spans="2:15" s="15" customFormat="1" outlineLevel="1" x14ac:dyDescent="0.3">
      <c r="C47" s="24" t="s">
        <v>1051</v>
      </c>
      <c r="D47" s="25" t="s">
        <v>1052</v>
      </c>
      <c r="G47" s="25" t="s">
        <v>995</v>
      </c>
      <c r="M47"/>
      <c r="N47"/>
      <c r="O47"/>
    </row>
    <row r="48" spans="2:15" outlineLevel="1" x14ac:dyDescent="0.3">
      <c r="C48" s="20">
        <v>2</v>
      </c>
      <c r="D48" s="20" t="s">
        <v>1053</v>
      </c>
      <c r="E48" s="15"/>
      <c r="F48" s="15"/>
      <c r="G48" s="20" t="s">
        <v>1019</v>
      </c>
      <c r="H48" s="15"/>
      <c r="I48" s="15"/>
      <c r="J48" s="15"/>
      <c r="K48" s="15"/>
      <c r="L48" s="15"/>
    </row>
    <row r="49" spans="2:15" outlineLevel="1" x14ac:dyDescent="0.3">
      <c r="C49" s="20">
        <v>1.5</v>
      </c>
      <c r="D49" s="20" t="s">
        <v>1054</v>
      </c>
      <c r="E49" s="15"/>
      <c r="F49" s="15"/>
      <c r="G49" s="20" t="s">
        <v>1023</v>
      </c>
      <c r="H49" s="15"/>
      <c r="I49" s="15"/>
      <c r="J49" s="15"/>
      <c r="K49" s="15"/>
      <c r="L49" s="15"/>
    </row>
    <row r="50" spans="2:15" outlineLevel="1" x14ac:dyDescent="0.3">
      <c r="H50" s="15"/>
      <c r="I50" s="15"/>
      <c r="J50" s="15"/>
      <c r="K50" s="15"/>
      <c r="L50" s="15"/>
    </row>
    <row r="51" spans="2:15" s="2" customFormat="1" ht="20.100000000000001" customHeight="1" x14ac:dyDescent="0.3">
      <c r="B51" s="9" t="s">
        <v>1055</v>
      </c>
      <c r="C51" s="21"/>
      <c r="D51" s="21"/>
      <c r="E51" s="21"/>
      <c r="F51" s="22"/>
      <c r="G51" s="22"/>
      <c r="H51"/>
      <c r="I51"/>
      <c r="J51"/>
      <c r="K51"/>
      <c r="L51"/>
      <c r="M51"/>
      <c r="N51"/>
      <c r="O51"/>
    </row>
    <row r="52" spans="2:15" s="12" customFormat="1" ht="28.8" outlineLevel="1" x14ac:dyDescent="0.3">
      <c r="C52" s="19" t="s">
        <v>1056</v>
      </c>
      <c r="D52" s="19" t="s">
        <v>1057</v>
      </c>
      <c r="E52" s="19" t="s">
        <v>1058</v>
      </c>
      <c r="F52" s="19" t="s">
        <v>1059</v>
      </c>
      <c r="G52" s="19" t="s">
        <v>1060</v>
      </c>
      <c r="H52" s="19" t="s">
        <v>1061</v>
      </c>
      <c r="I52" s="19" t="s">
        <v>1062</v>
      </c>
      <c r="J52" s="19" t="s">
        <v>1063</v>
      </c>
      <c r="K52" s="19" t="s">
        <v>1064</v>
      </c>
      <c r="L52" s="19" t="s">
        <v>1065</v>
      </c>
      <c r="M52" s="19" t="s">
        <v>1066</v>
      </c>
      <c r="N52" s="19" t="s">
        <v>1006</v>
      </c>
    </row>
    <row r="53" spans="2:15" outlineLevel="1" x14ac:dyDescent="0.3">
      <c r="C53" s="14" t="s">
        <v>1067</v>
      </c>
      <c r="D53" s="14" t="s">
        <v>1019</v>
      </c>
      <c r="E53" s="14">
        <v>10</v>
      </c>
      <c r="F53" s="14" t="s">
        <v>1068</v>
      </c>
      <c r="G53" s="14" t="s">
        <v>1068</v>
      </c>
      <c r="H53" s="14" t="s">
        <v>1019</v>
      </c>
      <c r="I53" s="14" t="s">
        <v>1019</v>
      </c>
      <c r="J53" s="14" t="s">
        <v>1069</v>
      </c>
      <c r="K53" s="14">
        <v>70</v>
      </c>
      <c r="L53" s="14">
        <v>20</v>
      </c>
      <c r="M53" s="14">
        <v>1</v>
      </c>
      <c r="N53" s="14" t="s">
        <v>1070</v>
      </c>
    </row>
    <row r="54" spans="2:15" outlineLevel="1" x14ac:dyDescent="0.3">
      <c r="C54" s="14" t="s">
        <v>1071</v>
      </c>
      <c r="D54" s="14" t="s">
        <v>1023</v>
      </c>
      <c r="E54" s="14">
        <v>15</v>
      </c>
      <c r="F54" s="14" t="s">
        <v>1072</v>
      </c>
      <c r="G54" s="14" t="s">
        <v>1073</v>
      </c>
      <c r="H54" s="14" t="s">
        <v>1023</v>
      </c>
      <c r="I54" s="14" t="s">
        <v>1023</v>
      </c>
      <c r="J54" s="14" t="s">
        <v>1074</v>
      </c>
      <c r="K54" s="14">
        <v>80</v>
      </c>
      <c r="L54" s="14">
        <v>30</v>
      </c>
      <c r="M54" s="14">
        <v>1.5</v>
      </c>
      <c r="N54" s="14" t="s">
        <v>1075</v>
      </c>
    </row>
    <row r="55" spans="2:15" outlineLevel="1" x14ac:dyDescent="0.3">
      <c r="C55" s="14" t="s">
        <v>1076</v>
      </c>
      <c r="D55" s="14"/>
      <c r="E55" s="14">
        <v>20</v>
      </c>
      <c r="F55" s="14" t="s">
        <v>1077</v>
      </c>
      <c r="G55" s="14" t="s">
        <v>1078</v>
      </c>
      <c r="H55" s="14"/>
      <c r="I55" s="14"/>
      <c r="J55" s="14"/>
      <c r="K55" s="14">
        <v>100</v>
      </c>
      <c r="L55" s="14">
        <v>40</v>
      </c>
      <c r="M55" s="14">
        <v>2</v>
      </c>
      <c r="N55" s="14"/>
    </row>
    <row r="56" spans="2:15" outlineLevel="1" x14ac:dyDescent="0.3">
      <c r="C56" s="14" t="s">
        <v>1079</v>
      </c>
      <c r="D56" s="18"/>
      <c r="E56" s="14">
        <v>25</v>
      </c>
      <c r="F56" s="14" t="s">
        <v>1080</v>
      </c>
      <c r="G56" s="18"/>
      <c r="H56" s="18"/>
      <c r="I56" s="18"/>
      <c r="J56" s="18"/>
      <c r="K56" s="18"/>
      <c r="L56" s="18">
        <v>50</v>
      </c>
      <c r="M56" s="18">
        <v>3</v>
      </c>
      <c r="N56" s="18"/>
    </row>
    <row r="57" spans="2:15" outlineLevel="1" x14ac:dyDescent="0.3">
      <c r="C57" s="14"/>
      <c r="D57" s="18"/>
      <c r="E57" s="14">
        <v>30</v>
      </c>
      <c r="F57" s="14"/>
      <c r="G57" s="18"/>
      <c r="H57" s="18"/>
      <c r="I57" s="18"/>
      <c r="J57" s="18"/>
      <c r="K57" s="18"/>
      <c r="L57" s="18">
        <v>60</v>
      </c>
      <c r="M57" s="18" t="s">
        <v>1081</v>
      </c>
      <c r="N57" s="18"/>
    </row>
    <row r="58" spans="2:15" outlineLevel="1" x14ac:dyDescent="0.3">
      <c r="C58" s="14"/>
      <c r="D58" s="18"/>
      <c r="E58" s="14">
        <v>35</v>
      </c>
      <c r="F58" s="14"/>
      <c r="G58" s="18"/>
      <c r="H58" s="18"/>
      <c r="I58" s="18"/>
      <c r="J58" s="18"/>
      <c r="K58" s="18"/>
      <c r="L58" s="18">
        <v>70</v>
      </c>
      <c r="M58" s="18"/>
      <c r="N58" s="18"/>
    </row>
    <row r="59" spans="2:15" outlineLevel="1" x14ac:dyDescent="0.3">
      <c r="C59" s="14"/>
      <c r="D59" s="18"/>
      <c r="E59" s="14">
        <v>40</v>
      </c>
      <c r="F59" s="14"/>
      <c r="G59" s="18"/>
      <c r="H59" s="18"/>
      <c r="I59" s="18"/>
      <c r="J59" s="18"/>
      <c r="K59" s="18"/>
      <c r="L59" s="18">
        <v>80</v>
      </c>
      <c r="M59" s="18"/>
      <c r="N59" s="18"/>
    </row>
    <row r="60" spans="2:15" outlineLevel="1" x14ac:dyDescent="0.3">
      <c r="C60" s="14"/>
      <c r="D60" s="18"/>
      <c r="E60" s="14">
        <v>45</v>
      </c>
      <c r="F60" s="14"/>
      <c r="G60" s="18"/>
      <c r="H60" s="18"/>
      <c r="I60" s="18"/>
      <c r="J60" s="18"/>
      <c r="K60" s="18"/>
      <c r="L60" s="18">
        <v>90</v>
      </c>
      <c r="M60" s="18"/>
      <c r="N60" s="18"/>
    </row>
    <row r="61" spans="2:15" outlineLevel="1" x14ac:dyDescent="0.3">
      <c r="C61" s="14"/>
      <c r="D61" s="18"/>
      <c r="E61" s="14">
        <v>50</v>
      </c>
      <c r="F61" s="14"/>
      <c r="G61" s="18"/>
      <c r="H61" s="18"/>
      <c r="I61" s="18"/>
      <c r="J61" s="18"/>
      <c r="K61" s="18"/>
      <c r="L61" s="18">
        <v>100</v>
      </c>
      <c r="M61" s="18"/>
      <c r="N61" s="18"/>
    </row>
    <row r="62" spans="2:15" outlineLevel="1" x14ac:dyDescent="0.3">
      <c r="C62" s="14"/>
      <c r="D62" s="18"/>
      <c r="E62" s="14">
        <v>55</v>
      </c>
      <c r="F62" s="14"/>
      <c r="G62" s="18"/>
      <c r="H62" s="18"/>
      <c r="I62" s="18"/>
      <c r="J62" s="18"/>
      <c r="K62" s="18"/>
      <c r="L62" s="18"/>
      <c r="M62" s="18"/>
      <c r="N62" s="18"/>
    </row>
    <row r="63" spans="2:15" outlineLevel="1" x14ac:dyDescent="0.3">
      <c r="C63" s="14"/>
      <c r="D63" s="18"/>
      <c r="E63" s="14">
        <v>60</v>
      </c>
      <c r="F63" s="14"/>
      <c r="G63" s="18"/>
      <c r="H63" s="18"/>
      <c r="I63" s="18"/>
      <c r="J63" s="18"/>
      <c r="K63" s="18"/>
      <c r="L63" s="18"/>
      <c r="M63" s="18"/>
      <c r="N63" s="18"/>
    </row>
    <row r="64" spans="2:15" outlineLevel="1" x14ac:dyDescent="0.3">
      <c r="C64" s="14"/>
      <c r="D64" s="18"/>
      <c r="E64" s="14">
        <v>65</v>
      </c>
      <c r="F64" s="14"/>
      <c r="G64" s="18"/>
      <c r="H64" s="18"/>
      <c r="I64" s="18"/>
      <c r="J64" s="18"/>
      <c r="K64" s="18"/>
      <c r="L64" s="18"/>
      <c r="M64" s="18"/>
      <c r="N64" s="18"/>
    </row>
    <row r="65" spans="2:15" outlineLevel="1" x14ac:dyDescent="0.3">
      <c r="C65" s="14"/>
      <c r="D65" s="18"/>
      <c r="E65" s="14">
        <v>70</v>
      </c>
      <c r="F65" s="14"/>
      <c r="G65" s="18"/>
      <c r="H65" s="18"/>
      <c r="I65" s="18"/>
      <c r="J65" s="18"/>
      <c r="K65" s="18"/>
      <c r="L65" s="18"/>
      <c r="M65" s="18"/>
      <c r="N65" s="18"/>
    </row>
    <row r="66" spans="2:15" outlineLevel="1" x14ac:dyDescent="0.3">
      <c r="C66" s="14"/>
      <c r="D66" s="18"/>
      <c r="E66" s="14">
        <v>75</v>
      </c>
      <c r="F66" s="14"/>
      <c r="G66" s="18"/>
      <c r="H66" s="18"/>
      <c r="I66" s="18"/>
      <c r="J66" s="18"/>
      <c r="K66" s="18"/>
      <c r="L66" s="18"/>
      <c r="M66" s="18"/>
      <c r="N66" s="18"/>
    </row>
    <row r="67" spans="2:15" outlineLevel="1" x14ac:dyDescent="0.3">
      <c r="C67" s="14"/>
      <c r="D67" s="18"/>
      <c r="E67" s="14">
        <v>80</v>
      </c>
      <c r="F67" s="18"/>
      <c r="G67" s="18"/>
      <c r="H67" s="18"/>
      <c r="I67" s="18"/>
      <c r="J67" s="18"/>
      <c r="K67" s="18"/>
      <c r="L67" s="18"/>
      <c r="M67" s="18"/>
      <c r="N67" s="18"/>
    </row>
    <row r="68" spans="2:15" outlineLevel="1" x14ac:dyDescent="0.3">
      <c r="H68" s="15"/>
      <c r="I68" s="15"/>
      <c r="J68" s="15"/>
      <c r="K68" s="15"/>
      <c r="L68" s="15"/>
    </row>
    <row r="69" spans="2:15" s="2" customFormat="1" ht="20.100000000000001" customHeight="1" x14ac:dyDescent="0.3">
      <c r="B69" s="9" t="s">
        <v>1082</v>
      </c>
      <c r="C69" s="21"/>
      <c r="D69" s="21"/>
      <c r="E69" s="21"/>
      <c r="F69" s="22"/>
      <c r="G69" s="22"/>
      <c r="H69"/>
      <c r="I69"/>
      <c r="J69"/>
      <c r="K69"/>
      <c r="L69"/>
      <c r="M69"/>
      <c r="N69"/>
      <c r="O69"/>
    </row>
    <row r="70" spans="2:15" s="15" customFormat="1" outlineLevel="1" x14ac:dyDescent="0.3">
      <c r="C70" s="26" t="s">
        <v>1052</v>
      </c>
      <c r="D70" s="27" t="s">
        <v>334</v>
      </c>
      <c r="E70" s="27"/>
      <c r="F70" s="27"/>
      <c r="G70" s="20"/>
      <c r="H70" s="26"/>
      <c r="I70" s="510" t="s">
        <v>1083</v>
      </c>
      <c r="J70" s="511"/>
      <c r="K70" s="512"/>
      <c r="L70" s="28" t="s">
        <v>1084</v>
      </c>
      <c r="M70"/>
      <c r="N70"/>
      <c r="O70"/>
    </row>
    <row r="71" spans="2:15" outlineLevel="1" x14ac:dyDescent="0.3">
      <c r="C71" s="29" t="s">
        <v>1085</v>
      </c>
      <c r="D71" s="27" t="s">
        <v>1019</v>
      </c>
      <c r="E71" s="27"/>
      <c r="F71" s="27"/>
      <c r="G71" s="20"/>
      <c r="H71" s="20"/>
      <c r="I71" s="26">
        <v>3</v>
      </c>
      <c r="J71" s="26">
        <v>4</v>
      </c>
      <c r="K71" s="26">
        <v>5</v>
      </c>
      <c r="L71" s="26"/>
    </row>
    <row r="72" spans="2:15" outlineLevel="1" x14ac:dyDescent="0.3">
      <c r="C72" s="29" t="s">
        <v>1086</v>
      </c>
      <c r="D72" s="27" t="s">
        <v>1023</v>
      </c>
      <c r="E72" s="27"/>
      <c r="F72" s="27"/>
      <c r="G72" s="20"/>
      <c r="H72" s="20"/>
      <c r="I72" s="20">
        <v>1.65</v>
      </c>
      <c r="J72" s="20">
        <v>2.5</v>
      </c>
      <c r="K72" s="20">
        <v>3.5</v>
      </c>
      <c r="L72" s="20"/>
    </row>
    <row r="73" spans="2:15" outlineLevel="1" x14ac:dyDescent="0.3">
      <c r="C73" s="29" t="s">
        <v>1087</v>
      </c>
      <c r="D73" s="27"/>
      <c r="E73" s="27"/>
      <c r="F73" s="27"/>
      <c r="G73" s="20"/>
      <c r="H73" s="20"/>
      <c r="I73" s="20">
        <v>2.2999999999999998</v>
      </c>
      <c r="J73" s="20">
        <v>3.15</v>
      </c>
      <c r="K73" s="20">
        <v>4.5</v>
      </c>
      <c r="L73" s="20"/>
    </row>
    <row r="74" spans="2:15" outlineLevel="1" x14ac:dyDescent="0.3">
      <c r="C74" s="29" t="s">
        <v>1398</v>
      </c>
      <c r="D74" s="27"/>
      <c r="E74" s="27"/>
      <c r="F74" s="27"/>
      <c r="G74" s="20"/>
      <c r="H74" s="20"/>
      <c r="I74" s="20"/>
      <c r="J74" s="20"/>
      <c r="K74" s="20"/>
      <c r="L74" s="20"/>
    </row>
    <row r="75" spans="2:15" outlineLevel="1" x14ac:dyDescent="0.3">
      <c r="C75" s="29" t="s">
        <v>1088</v>
      </c>
      <c r="D75" s="27"/>
      <c r="E75" s="27"/>
      <c r="F75" s="27"/>
      <c r="G75" s="20"/>
      <c r="H75" s="20"/>
      <c r="I75" s="20"/>
      <c r="J75" s="20"/>
      <c r="K75" s="20"/>
      <c r="L75" s="20"/>
    </row>
    <row r="76" spans="2:15" outlineLevel="1" x14ac:dyDescent="0.3">
      <c r="C76" s="29" t="s">
        <v>1089</v>
      </c>
      <c r="D76" s="27"/>
      <c r="E76" s="27"/>
      <c r="F76" s="27"/>
      <c r="G76" s="20"/>
      <c r="H76" s="20"/>
      <c r="I76" s="20"/>
      <c r="J76" s="20"/>
      <c r="K76" s="20"/>
      <c r="L76" s="20"/>
    </row>
    <row r="77" spans="2:15" outlineLevel="1" x14ac:dyDescent="0.3">
      <c r="C77" s="29" t="s">
        <v>1090</v>
      </c>
      <c r="D77" s="27"/>
      <c r="E77" s="27"/>
      <c r="F77" s="27"/>
      <c r="G77" s="20"/>
      <c r="H77" s="20"/>
      <c r="I77" s="20"/>
      <c r="J77" s="20"/>
      <c r="K77" s="20"/>
      <c r="L77" s="20"/>
    </row>
    <row r="79" spans="2:15" s="2" customFormat="1" ht="20.100000000000001" customHeight="1" x14ac:dyDescent="0.3">
      <c r="B79" s="9" t="s">
        <v>1091</v>
      </c>
      <c r="C79" s="21"/>
      <c r="D79" s="21"/>
      <c r="E79" s="21"/>
      <c r="F79" s="22"/>
      <c r="G79" s="22"/>
      <c r="H79" s="22"/>
      <c r="I79" s="22"/>
      <c r="J79"/>
      <c r="K79"/>
      <c r="L79"/>
      <c r="M79"/>
      <c r="N79"/>
      <c r="O79"/>
    </row>
    <row r="80" spans="2:15" s="15" customFormat="1" ht="28.8" outlineLevel="1" x14ac:dyDescent="0.3">
      <c r="C80" s="24" t="s">
        <v>1403</v>
      </c>
      <c r="D80" s="25" t="s">
        <v>1092</v>
      </c>
      <c r="E80" s="25" t="s">
        <v>1376</v>
      </c>
      <c r="F80" s="25" t="s">
        <v>1057</v>
      </c>
      <c r="G80" s="382" t="s">
        <v>1380</v>
      </c>
      <c r="H80" s="382" t="s">
        <v>1400</v>
      </c>
      <c r="I80" s="382" t="s">
        <v>1057</v>
      </c>
      <c r="M80"/>
      <c r="N80"/>
      <c r="O80"/>
    </row>
    <row r="81" spans="3:12" outlineLevel="1" x14ac:dyDescent="0.3">
      <c r="C81" s="20" t="s">
        <v>1374</v>
      </c>
      <c r="D81" s="20" t="s">
        <v>1094</v>
      </c>
      <c r="E81" s="260" t="s">
        <v>1377</v>
      </c>
      <c r="F81" s="20" t="s">
        <v>1378</v>
      </c>
      <c r="G81" s="20" t="s">
        <v>1381</v>
      </c>
      <c r="H81" s="20" t="s">
        <v>1381</v>
      </c>
      <c r="I81" s="20" t="s">
        <v>1381</v>
      </c>
      <c r="J81" s="15"/>
      <c r="K81" s="15"/>
      <c r="L81" s="15"/>
    </row>
    <row r="82" spans="3:12" outlineLevel="1" x14ac:dyDescent="0.3">
      <c r="C82" s="20" t="s">
        <v>1093</v>
      </c>
      <c r="D82" s="20" t="s">
        <v>1095</v>
      </c>
      <c r="E82" s="260" t="s">
        <v>1375</v>
      </c>
      <c r="F82" s="20" t="s">
        <v>1379</v>
      </c>
      <c r="G82" s="20" t="s">
        <v>1382</v>
      </c>
      <c r="H82" s="20" t="s">
        <v>1382</v>
      </c>
      <c r="I82" s="20" t="s">
        <v>1382</v>
      </c>
      <c r="J82" s="15"/>
      <c r="K82" s="15"/>
      <c r="L82" s="15"/>
    </row>
    <row r="83" spans="3:12" outlineLevel="1" x14ac:dyDescent="0.3">
      <c r="C83" s="20" t="s">
        <v>1043</v>
      </c>
      <c r="D83" s="20" t="str">
        <f>""</f>
        <v/>
      </c>
      <c r="E83" s="20"/>
      <c r="F83" s="20" t="s">
        <v>1023</v>
      </c>
      <c r="G83" s="20"/>
      <c r="H83" s="20"/>
      <c r="I83" s="20"/>
      <c r="J83" s="15"/>
      <c r="K83" s="15"/>
      <c r="L83" s="15"/>
    </row>
    <row r="84" spans="3:12" outlineLevel="1" x14ac:dyDescent="0.3">
      <c r="I84" s="15"/>
      <c r="J84" s="15"/>
      <c r="K84" s="15"/>
      <c r="L84" s="15"/>
    </row>
  </sheetData>
  <mergeCells count="1">
    <mergeCell ref="I70:K7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99BB-C373-4363-B6C3-7B4A7E40D63E}">
  <sheetPr codeName="Hoja31">
    <tabColor theme="6"/>
  </sheetPr>
  <dimension ref="A2:AG35"/>
  <sheetViews>
    <sheetView zoomScale="85" zoomScaleNormal="85" workbookViewId="0">
      <selection activeCell="C15" sqref="C15"/>
    </sheetView>
  </sheetViews>
  <sheetFormatPr baseColWidth="10" defaultRowHeight="14.4" x14ac:dyDescent="0.3"/>
  <cols>
    <col min="1" max="1" width="2.44140625" customWidth="1"/>
    <col min="2" max="2" width="18.88671875" style="7" customWidth="1"/>
    <col min="3" max="3" width="8.5546875" bestFit="1" customWidth="1"/>
    <col min="4" max="4" width="5" customWidth="1"/>
    <col min="5" max="33" width="5.6640625" customWidth="1"/>
  </cols>
  <sheetData>
    <row r="2" spans="1:33" ht="131.25" customHeight="1" x14ac:dyDescent="0.3">
      <c r="C2" s="403" t="s">
        <v>990</v>
      </c>
      <c r="D2" s="404" t="s">
        <v>1312</v>
      </c>
      <c r="E2" s="404" t="s">
        <v>1313</v>
      </c>
      <c r="F2" s="404" t="s">
        <v>1314</v>
      </c>
      <c r="G2" s="404" t="s">
        <v>1315</v>
      </c>
      <c r="H2" s="404" t="s">
        <v>1394</v>
      </c>
      <c r="I2" s="405" t="s">
        <v>1321</v>
      </c>
      <c r="J2" s="405" t="s">
        <v>1322</v>
      </c>
      <c r="K2" s="405" t="s">
        <v>1323</v>
      </c>
      <c r="L2" s="405" t="s">
        <v>1324</v>
      </c>
      <c r="M2" s="406" t="s">
        <v>1316</v>
      </c>
      <c r="N2" s="406" t="s">
        <v>1317</v>
      </c>
      <c r="O2" s="406" t="s">
        <v>1318</v>
      </c>
      <c r="P2" s="407" t="s">
        <v>1319</v>
      </c>
      <c r="Q2" s="407" t="s">
        <v>1395</v>
      </c>
      <c r="R2" s="404" t="s">
        <v>1332</v>
      </c>
      <c r="S2" s="404" t="s">
        <v>1333</v>
      </c>
      <c r="T2" s="404" t="s">
        <v>1334</v>
      </c>
      <c r="U2" s="404" t="s">
        <v>1335</v>
      </c>
      <c r="V2" s="405" t="s">
        <v>1337</v>
      </c>
      <c r="W2" s="405" t="s">
        <v>1338</v>
      </c>
      <c r="X2" s="405" t="s">
        <v>1339</v>
      </c>
      <c r="Y2" s="405" t="s">
        <v>1340</v>
      </c>
      <c r="Z2" s="406" t="s">
        <v>1341</v>
      </c>
      <c r="AA2" s="406" t="s">
        <v>1342</v>
      </c>
      <c r="AB2" s="406" t="s">
        <v>1343</v>
      </c>
      <c r="AC2" s="406" t="s">
        <v>1344</v>
      </c>
      <c r="AD2" s="404" t="s">
        <v>1345</v>
      </c>
      <c r="AE2" s="404" t="s">
        <v>1346</v>
      </c>
      <c r="AF2" s="404" t="s">
        <v>1347</v>
      </c>
      <c r="AG2" s="404" t="s">
        <v>1348</v>
      </c>
    </row>
    <row r="3" spans="1:33" x14ac:dyDescent="0.3">
      <c r="A3">
        <v>1</v>
      </c>
      <c r="B3" s="368" t="s">
        <v>20</v>
      </c>
      <c r="C3" s="76" t="s">
        <v>19</v>
      </c>
      <c r="D3" s="314">
        <v>5</v>
      </c>
      <c r="E3" s="314">
        <v>5</v>
      </c>
      <c r="F3" s="314">
        <v>5</v>
      </c>
      <c r="G3" s="314">
        <v>6</v>
      </c>
      <c r="H3" s="314">
        <v>6</v>
      </c>
      <c r="I3" s="314">
        <v>5</v>
      </c>
      <c r="J3" s="314">
        <v>5</v>
      </c>
      <c r="K3" s="314">
        <v>5</v>
      </c>
      <c r="L3" s="314">
        <v>6</v>
      </c>
      <c r="M3" s="314">
        <v>5</v>
      </c>
      <c r="N3" s="314">
        <v>5</v>
      </c>
      <c r="O3" s="314">
        <v>5</v>
      </c>
      <c r="P3" s="314">
        <v>6</v>
      </c>
      <c r="Q3" s="314">
        <v>6</v>
      </c>
      <c r="R3" s="314">
        <v>7</v>
      </c>
      <c r="S3" s="314">
        <v>7</v>
      </c>
      <c r="T3" s="314">
        <v>6</v>
      </c>
      <c r="U3" s="314">
        <v>10</v>
      </c>
      <c r="V3" s="314">
        <v>7</v>
      </c>
      <c r="W3" s="314">
        <v>8</v>
      </c>
      <c r="X3" s="314">
        <v>7</v>
      </c>
      <c r="Y3" s="314">
        <v>10</v>
      </c>
      <c r="Z3" s="314">
        <v>7</v>
      </c>
      <c r="AA3" s="314">
        <v>8</v>
      </c>
      <c r="AB3" s="314">
        <v>7</v>
      </c>
      <c r="AC3" s="314">
        <v>10</v>
      </c>
      <c r="AD3" s="314">
        <v>7</v>
      </c>
      <c r="AE3" s="314">
        <v>8</v>
      </c>
      <c r="AF3" s="314">
        <v>7</v>
      </c>
      <c r="AG3" s="314">
        <v>10</v>
      </c>
    </row>
    <row r="4" spans="1:33" x14ac:dyDescent="0.3">
      <c r="A4">
        <v>1</v>
      </c>
      <c r="B4" s="368" t="s">
        <v>28</v>
      </c>
      <c r="C4" s="76" t="s">
        <v>27</v>
      </c>
      <c r="D4" s="314">
        <v>4</v>
      </c>
      <c r="E4" s="314">
        <v>2</v>
      </c>
      <c r="F4" s="314">
        <v>2</v>
      </c>
      <c r="G4" s="314">
        <v>2</v>
      </c>
      <c r="H4" s="314">
        <v>4</v>
      </c>
      <c r="I4" s="314">
        <v>4</v>
      </c>
      <c r="J4" s="314">
        <v>2</v>
      </c>
      <c r="K4" s="314">
        <v>2</v>
      </c>
      <c r="L4" s="314">
        <v>2</v>
      </c>
      <c r="M4" s="314">
        <v>4</v>
      </c>
      <c r="N4" s="314">
        <v>2</v>
      </c>
      <c r="O4" s="314">
        <v>2</v>
      </c>
      <c r="P4" s="314">
        <v>2</v>
      </c>
      <c r="Q4" s="314">
        <v>4</v>
      </c>
      <c r="R4" s="314">
        <v>0</v>
      </c>
      <c r="S4" s="314">
        <v>0</v>
      </c>
      <c r="T4" s="314">
        <v>0</v>
      </c>
      <c r="U4" s="314">
        <v>0</v>
      </c>
      <c r="V4" s="314">
        <v>0</v>
      </c>
      <c r="W4" s="314">
        <v>0</v>
      </c>
      <c r="X4" s="314">
        <v>0</v>
      </c>
      <c r="Y4" s="314">
        <v>0</v>
      </c>
      <c r="Z4" s="314">
        <v>0</v>
      </c>
      <c r="AA4" s="314">
        <v>0</v>
      </c>
      <c r="AB4" s="314">
        <v>0</v>
      </c>
      <c r="AC4" s="314">
        <v>0</v>
      </c>
      <c r="AD4" s="314">
        <v>0</v>
      </c>
      <c r="AE4" s="314">
        <v>0</v>
      </c>
      <c r="AF4" s="314">
        <v>0</v>
      </c>
      <c r="AG4" s="314">
        <v>0</v>
      </c>
    </row>
    <row r="5" spans="1:33" x14ac:dyDescent="0.3">
      <c r="A5">
        <v>1</v>
      </c>
      <c r="B5" s="368" t="s">
        <v>30</v>
      </c>
      <c r="C5" s="515" t="s">
        <v>29</v>
      </c>
      <c r="D5" s="314">
        <v>0</v>
      </c>
      <c r="E5" s="314">
        <v>0</v>
      </c>
      <c r="F5" s="314">
        <v>0</v>
      </c>
      <c r="G5" s="314">
        <v>0</v>
      </c>
      <c r="H5" s="314">
        <v>0</v>
      </c>
      <c r="I5" s="314">
        <v>0</v>
      </c>
      <c r="J5" s="314">
        <v>0</v>
      </c>
      <c r="K5" s="314">
        <v>0</v>
      </c>
      <c r="L5" s="314">
        <v>0</v>
      </c>
      <c r="M5" s="314">
        <v>0</v>
      </c>
      <c r="N5" s="314">
        <v>0</v>
      </c>
      <c r="O5" s="314">
        <v>0</v>
      </c>
      <c r="P5" s="314">
        <v>2</v>
      </c>
      <c r="Q5" s="314">
        <v>2</v>
      </c>
      <c r="R5" s="314">
        <v>0</v>
      </c>
      <c r="S5" s="314">
        <v>0</v>
      </c>
      <c r="T5" s="314">
        <v>0</v>
      </c>
      <c r="U5" s="314">
        <v>0</v>
      </c>
      <c r="V5" s="314">
        <v>0</v>
      </c>
      <c r="W5" s="314">
        <v>0</v>
      </c>
      <c r="X5" s="314">
        <v>0</v>
      </c>
      <c r="Y5" s="314">
        <v>0</v>
      </c>
      <c r="Z5" s="314">
        <v>0</v>
      </c>
      <c r="AA5" s="314">
        <v>0</v>
      </c>
      <c r="AB5" s="314">
        <v>0</v>
      </c>
      <c r="AC5" s="314">
        <v>0</v>
      </c>
      <c r="AD5" s="314">
        <v>0</v>
      </c>
      <c r="AE5" s="314">
        <v>0</v>
      </c>
      <c r="AF5" s="314">
        <v>0</v>
      </c>
      <c r="AG5" s="314">
        <v>0</v>
      </c>
    </row>
    <row r="6" spans="1:33" x14ac:dyDescent="0.3">
      <c r="A6">
        <v>1</v>
      </c>
      <c r="B6" s="368" t="s">
        <v>32</v>
      </c>
      <c r="C6" s="515" t="s">
        <v>31</v>
      </c>
      <c r="D6" s="314">
        <v>0</v>
      </c>
      <c r="E6" s="314">
        <v>2</v>
      </c>
      <c r="F6" s="314">
        <v>2</v>
      </c>
      <c r="G6" s="314">
        <v>4</v>
      </c>
      <c r="H6" s="314">
        <v>2</v>
      </c>
      <c r="I6" s="314">
        <v>0</v>
      </c>
      <c r="J6" s="314">
        <v>2</v>
      </c>
      <c r="K6" s="314">
        <v>2</v>
      </c>
      <c r="L6" s="314">
        <v>4</v>
      </c>
      <c r="M6" s="314">
        <v>0</v>
      </c>
      <c r="N6" s="314">
        <v>2</v>
      </c>
      <c r="O6" s="314">
        <v>2</v>
      </c>
      <c r="P6" s="314">
        <v>2</v>
      </c>
      <c r="Q6" s="314">
        <v>0</v>
      </c>
      <c r="R6" s="314">
        <v>4</v>
      </c>
      <c r="S6" s="314">
        <v>4</v>
      </c>
      <c r="T6" s="314">
        <v>4</v>
      </c>
      <c r="U6" s="314">
        <v>6</v>
      </c>
      <c r="V6" s="314">
        <v>4</v>
      </c>
      <c r="W6" s="314">
        <v>4</v>
      </c>
      <c r="X6" s="314">
        <v>4</v>
      </c>
      <c r="Y6" s="314">
        <v>6</v>
      </c>
      <c r="Z6" s="314">
        <v>4</v>
      </c>
      <c r="AA6" s="314">
        <v>4</v>
      </c>
      <c r="AB6" s="314">
        <v>4</v>
      </c>
      <c r="AC6" s="314">
        <v>6</v>
      </c>
      <c r="AD6" s="314">
        <v>4</v>
      </c>
      <c r="AE6" s="314">
        <v>4</v>
      </c>
      <c r="AF6" s="314">
        <v>4</v>
      </c>
      <c r="AG6" s="314">
        <v>6</v>
      </c>
    </row>
    <row r="7" spans="1:33" x14ac:dyDescent="0.3">
      <c r="A7">
        <v>1</v>
      </c>
      <c r="B7" s="368" t="s">
        <v>34</v>
      </c>
      <c r="C7" s="515" t="s">
        <v>33</v>
      </c>
      <c r="D7" s="314">
        <v>0</v>
      </c>
      <c r="E7" s="314">
        <v>0</v>
      </c>
      <c r="F7" s="314">
        <v>0</v>
      </c>
      <c r="G7" s="314">
        <v>0</v>
      </c>
      <c r="H7" s="314">
        <v>0</v>
      </c>
      <c r="I7" s="314">
        <v>0</v>
      </c>
      <c r="J7" s="314">
        <v>0</v>
      </c>
      <c r="K7" s="314">
        <v>0</v>
      </c>
      <c r="L7" s="314">
        <v>0</v>
      </c>
      <c r="M7" s="314">
        <v>0</v>
      </c>
      <c r="N7" s="314">
        <v>0</v>
      </c>
      <c r="O7" s="314">
        <v>0</v>
      </c>
      <c r="P7" s="314">
        <v>0</v>
      </c>
      <c r="Q7" s="314">
        <v>0</v>
      </c>
      <c r="R7" s="314">
        <v>0</v>
      </c>
      <c r="S7" s="314">
        <v>0</v>
      </c>
      <c r="T7" s="314">
        <v>0</v>
      </c>
      <c r="U7" s="314">
        <v>0</v>
      </c>
      <c r="V7" s="314">
        <v>7</v>
      </c>
      <c r="W7" s="314">
        <v>9</v>
      </c>
      <c r="X7" s="314">
        <v>7</v>
      </c>
      <c r="Y7" s="314">
        <v>10</v>
      </c>
      <c r="Z7" s="314">
        <v>3</v>
      </c>
      <c r="AA7" s="314">
        <v>3</v>
      </c>
      <c r="AB7" s="314">
        <v>3</v>
      </c>
      <c r="AC7" s="314">
        <v>2</v>
      </c>
      <c r="AD7" s="314">
        <v>3</v>
      </c>
      <c r="AE7" s="314">
        <v>3</v>
      </c>
      <c r="AF7" s="314">
        <v>3</v>
      </c>
      <c r="AG7" s="314">
        <v>2</v>
      </c>
    </row>
    <row r="8" spans="1:33" x14ac:dyDescent="0.3">
      <c r="A8">
        <v>1</v>
      </c>
      <c r="B8" s="368" t="s">
        <v>38</v>
      </c>
      <c r="C8" s="515" t="s">
        <v>37</v>
      </c>
      <c r="D8" s="314">
        <v>2</v>
      </c>
      <c r="E8" s="314">
        <v>0</v>
      </c>
      <c r="F8" s="314">
        <v>2</v>
      </c>
      <c r="G8" s="314">
        <v>0</v>
      </c>
      <c r="H8" s="314">
        <v>0</v>
      </c>
      <c r="I8" s="314">
        <v>2</v>
      </c>
      <c r="J8" s="314">
        <v>0</v>
      </c>
      <c r="K8" s="314">
        <v>2</v>
      </c>
      <c r="L8" s="314">
        <v>0</v>
      </c>
      <c r="M8" s="314">
        <v>1</v>
      </c>
      <c r="N8" s="314">
        <v>3</v>
      </c>
      <c r="O8" s="314">
        <v>1</v>
      </c>
      <c r="P8" s="314">
        <v>0</v>
      </c>
      <c r="Q8" s="314">
        <v>0</v>
      </c>
      <c r="R8" s="314">
        <v>0</v>
      </c>
      <c r="S8" s="314">
        <v>0</v>
      </c>
      <c r="T8" s="314">
        <v>0</v>
      </c>
      <c r="U8" s="314">
        <v>2</v>
      </c>
      <c r="V8" s="314">
        <v>0</v>
      </c>
      <c r="W8" s="314">
        <v>0</v>
      </c>
      <c r="X8" s="314">
        <v>0</v>
      </c>
      <c r="Y8" s="314">
        <v>0</v>
      </c>
      <c r="Z8" s="314">
        <v>4</v>
      </c>
      <c r="AA8" s="314">
        <v>6</v>
      </c>
      <c r="AB8" s="314">
        <v>4</v>
      </c>
      <c r="AC8" s="314">
        <v>8</v>
      </c>
      <c r="AD8" s="314">
        <v>0</v>
      </c>
      <c r="AE8" s="314">
        <v>0</v>
      </c>
      <c r="AF8" s="314">
        <v>0</v>
      </c>
      <c r="AG8" s="314">
        <v>0</v>
      </c>
    </row>
    <row r="9" spans="1:33" x14ac:dyDescent="0.3">
      <c r="A9">
        <v>1</v>
      </c>
      <c r="B9" s="368" t="s">
        <v>42</v>
      </c>
      <c r="C9" s="515" t="s">
        <v>41</v>
      </c>
      <c r="D9" s="314">
        <v>1</v>
      </c>
      <c r="E9" s="314">
        <v>3</v>
      </c>
      <c r="F9" s="314">
        <v>1</v>
      </c>
      <c r="G9" s="314">
        <v>2</v>
      </c>
      <c r="H9" s="314">
        <v>2</v>
      </c>
      <c r="I9" s="314">
        <v>1</v>
      </c>
      <c r="J9" s="314">
        <v>3</v>
      </c>
      <c r="K9" s="314">
        <v>1</v>
      </c>
      <c r="L9" s="314">
        <v>2</v>
      </c>
      <c r="M9" s="314">
        <v>2</v>
      </c>
      <c r="N9" s="314">
        <v>0</v>
      </c>
      <c r="O9" s="314">
        <v>2</v>
      </c>
      <c r="P9" s="314">
        <v>2</v>
      </c>
      <c r="Q9" s="314">
        <v>2</v>
      </c>
      <c r="R9" s="314">
        <v>7</v>
      </c>
      <c r="S9" s="314">
        <v>7</v>
      </c>
      <c r="T9" s="314">
        <v>5</v>
      </c>
      <c r="U9" s="314">
        <v>8</v>
      </c>
      <c r="V9" s="314">
        <v>0</v>
      </c>
      <c r="W9" s="314">
        <v>0</v>
      </c>
      <c r="X9" s="314">
        <v>0</v>
      </c>
      <c r="Y9" s="314">
        <v>0</v>
      </c>
      <c r="Z9" s="314">
        <v>0</v>
      </c>
      <c r="AA9" s="314">
        <v>0</v>
      </c>
      <c r="AB9" s="314">
        <v>0</v>
      </c>
      <c r="AC9" s="314">
        <v>0</v>
      </c>
      <c r="AD9" s="314">
        <v>4</v>
      </c>
      <c r="AE9" s="314">
        <v>6</v>
      </c>
      <c r="AF9" s="314">
        <v>4</v>
      </c>
      <c r="AG9" s="314">
        <v>8</v>
      </c>
    </row>
    <row r="10" spans="1:33" x14ac:dyDescent="0.3">
      <c r="A10">
        <v>1</v>
      </c>
      <c r="B10" s="368" t="s">
        <v>110</v>
      </c>
      <c r="C10" s="515" t="s">
        <v>109</v>
      </c>
      <c r="D10" s="314">
        <v>0</v>
      </c>
      <c r="E10" s="314">
        <v>0</v>
      </c>
      <c r="F10" s="314">
        <v>0</v>
      </c>
      <c r="G10" s="314">
        <v>1</v>
      </c>
      <c r="H10" s="314">
        <v>1</v>
      </c>
      <c r="I10" s="314">
        <v>0</v>
      </c>
      <c r="J10" s="314">
        <v>0</v>
      </c>
      <c r="K10" s="314">
        <v>0</v>
      </c>
      <c r="L10" s="314">
        <v>1</v>
      </c>
      <c r="M10" s="314">
        <v>0</v>
      </c>
      <c r="N10" s="314">
        <v>0</v>
      </c>
      <c r="O10" s="314">
        <v>0</v>
      </c>
      <c r="P10" s="314">
        <v>1</v>
      </c>
      <c r="Q10" s="314">
        <v>1</v>
      </c>
      <c r="R10" s="314">
        <v>0</v>
      </c>
      <c r="S10" s="314">
        <v>0</v>
      </c>
      <c r="T10" s="314">
        <v>0</v>
      </c>
      <c r="U10" s="314">
        <v>0</v>
      </c>
      <c r="V10" s="314">
        <v>0</v>
      </c>
      <c r="W10" s="314">
        <v>0</v>
      </c>
      <c r="X10" s="314">
        <v>0</v>
      </c>
      <c r="Y10" s="314">
        <v>0</v>
      </c>
      <c r="Z10" s="314">
        <v>0</v>
      </c>
      <c r="AA10" s="314">
        <v>0</v>
      </c>
      <c r="AB10" s="314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</row>
    <row r="11" spans="1:33" x14ac:dyDescent="0.3">
      <c r="A11">
        <v>1</v>
      </c>
      <c r="B11" s="368" t="s">
        <v>142</v>
      </c>
      <c r="C11" s="515" t="s">
        <v>141</v>
      </c>
      <c r="D11" s="314">
        <v>0</v>
      </c>
      <c r="E11" s="314">
        <v>0</v>
      </c>
      <c r="F11" s="314">
        <v>0</v>
      </c>
      <c r="G11" s="314">
        <v>2</v>
      </c>
      <c r="H11" s="314">
        <v>2</v>
      </c>
      <c r="I11" s="314">
        <v>0</v>
      </c>
      <c r="J11" s="314">
        <v>0</v>
      </c>
      <c r="K11" s="314">
        <v>0</v>
      </c>
      <c r="L11" s="314">
        <v>2</v>
      </c>
      <c r="M11" s="314">
        <v>0</v>
      </c>
      <c r="N11" s="314">
        <v>0</v>
      </c>
      <c r="O11" s="314">
        <v>0</v>
      </c>
      <c r="P11" s="314">
        <v>2</v>
      </c>
      <c r="Q11" s="314">
        <v>2</v>
      </c>
      <c r="R11" s="314">
        <v>0</v>
      </c>
      <c r="S11" s="314">
        <v>0</v>
      </c>
      <c r="T11" s="314">
        <v>0</v>
      </c>
      <c r="U11" s="314">
        <v>0</v>
      </c>
      <c r="V11" s="314">
        <v>0</v>
      </c>
      <c r="W11" s="314">
        <v>0</v>
      </c>
      <c r="X11" s="314">
        <v>0</v>
      </c>
      <c r="Y11" s="314">
        <v>0</v>
      </c>
      <c r="Z11" s="314">
        <v>0</v>
      </c>
      <c r="AA11" s="314">
        <v>0</v>
      </c>
      <c r="AB11" s="314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</row>
    <row r="12" spans="1:33" x14ac:dyDescent="0.3">
      <c r="A12">
        <v>1</v>
      </c>
      <c r="B12" s="368" t="s">
        <v>144</v>
      </c>
      <c r="C12" s="515" t="s">
        <v>143</v>
      </c>
      <c r="D12" s="314">
        <v>0</v>
      </c>
      <c r="E12" s="314">
        <v>0</v>
      </c>
      <c r="F12" s="314">
        <v>0</v>
      </c>
      <c r="G12" s="314">
        <v>0</v>
      </c>
      <c r="H12" s="314">
        <v>0</v>
      </c>
      <c r="I12" s="314">
        <v>0</v>
      </c>
      <c r="J12" s="314">
        <v>0</v>
      </c>
      <c r="K12" s="314">
        <v>0</v>
      </c>
      <c r="L12" s="314">
        <v>0</v>
      </c>
      <c r="M12" s="314">
        <v>0</v>
      </c>
      <c r="N12" s="314">
        <v>0</v>
      </c>
      <c r="O12" s="314">
        <v>0</v>
      </c>
      <c r="P12" s="314">
        <v>0</v>
      </c>
      <c r="Q12" s="314">
        <v>0</v>
      </c>
      <c r="R12" s="314">
        <v>0</v>
      </c>
      <c r="S12" s="314">
        <v>0</v>
      </c>
      <c r="T12" s="314">
        <v>0</v>
      </c>
      <c r="U12" s="314">
        <v>0</v>
      </c>
      <c r="V12" s="314">
        <v>0</v>
      </c>
      <c r="W12" s="314">
        <v>0</v>
      </c>
      <c r="X12" s="314">
        <v>0</v>
      </c>
      <c r="Y12" s="314">
        <v>3</v>
      </c>
      <c r="Z12" s="314">
        <v>0</v>
      </c>
      <c r="AA12" s="314">
        <v>0</v>
      </c>
      <c r="AB12" s="314">
        <v>0</v>
      </c>
      <c r="AC12" s="314">
        <v>3</v>
      </c>
      <c r="AD12" s="314">
        <v>0</v>
      </c>
      <c r="AE12" s="314">
        <v>0</v>
      </c>
      <c r="AF12" s="314">
        <v>0</v>
      </c>
      <c r="AG12" s="314">
        <v>3</v>
      </c>
    </row>
    <row r="13" spans="1:33" x14ac:dyDescent="0.3">
      <c r="A13">
        <v>1</v>
      </c>
      <c r="B13" s="368" t="s">
        <v>146</v>
      </c>
      <c r="C13" s="515" t="s">
        <v>145</v>
      </c>
      <c r="D13" s="314">
        <v>0</v>
      </c>
      <c r="E13" s="314">
        <v>0</v>
      </c>
      <c r="F13" s="314">
        <v>0</v>
      </c>
      <c r="G13" s="314">
        <v>0</v>
      </c>
      <c r="H13" s="314">
        <v>0</v>
      </c>
      <c r="I13" s="314">
        <v>0</v>
      </c>
      <c r="J13" s="314">
        <v>0</v>
      </c>
      <c r="K13" s="314">
        <v>0</v>
      </c>
      <c r="L13" s="314">
        <v>0</v>
      </c>
      <c r="M13" s="314">
        <v>0</v>
      </c>
      <c r="N13" s="314">
        <v>0</v>
      </c>
      <c r="O13" s="314">
        <v>0</v>
      </c>
      <c r="P13" s="314">
        <v>0</v>
      </c>
      <c r="Q13" s="314">
        <v>0</v>
      </c>
      <c r="R13" s="314">
        <v>0</v>
      </c>
      <c r="S13" s="314">
        <v>0</v>
      </c>
      <c r="T13" s="314">
        <v>0</v>
      </c>
      <c r="U13" s="314">
        <v>2</v>
      </c>
      <c r="V13" s="314">
        <v>0</v>
      </c>
      <c r="W13" s="314">
        <v>0</v>
      </c>
      <c r="X13" s="314">
        <v>0</v>
      </c>
      <c r="Y13" s="314">
        <v>3</v>
      </c>
      <c r="Z13" s="314">
        <v>0</v>
      </c>
      <c r="AA13" s="314">
        <v>0</v>
      </c>
      <c r="AB13" s="314">
        <v>0</v>
      </c>
      <c r="AC13" s="314">
        <v>3</v>
      </c>
      <c r="AD13" s="314">
        <v>0</v>
      </c>
      <c r="AE13" s="314">
        <v>0</v>
      </c>
      <c r="AF13" s="314">
        <v>0</v>
      </c>
      <c r="AG13" s="314">
        <v>3</v>
      </c>
    </row>
    <row r="14" spans="1:33" x14ac:dyDescent="0.3">
      <c r="A14">
        <v>1</v>
      </c>
      <c r="B14" s="368" t="s">
        <v>148</v>
      </c>
      <c r="C14" s="515" t="s">
        <v>147</v>
      </c>
      <c r="D14" s="314">
        <v>0</v>
      </c>
      <c r="E14" s="314">
        <v>0</v>
      </c>
      <c r="F14" s="314">
        <v>0</v>
      </c>
      <c r="G14" s="314">
        <v>0</v>
      </c>
      <c r="H14" s="314">
        <v>0</v>
      </c>
      <c r="I14" s="314">
        <v>0</v>
      </c>
      <c r="J14" s="314">
        <v>0</v>
      </c>
      <c r="K14" s="314">
        <v>0</v>
      </c>
      <c r="L14" s="314">
        <v>0</v>
      </c>
      <c r="M14" s="314">
        <v>0</v>
      </c>
      <c r="N14" s="314">
        <v>0</v>
      </c>
      <c r="O14" s="314">
        <v>0</v>
      </c>
      <c r="P14" s="314">
        <v>0</v>
      </c>
      <c r="Q14" s="314">
        <v>0</v>
      </c>
      <c r="R14" s="314">
        <v>0</v>
      </c>
      <c r="S14" s="314">
        <v>0</v>
      </c>
      <c r="T14" s="314">
        <v>0</v>
      </c>
      <c r="U14" s="314">
        <v>2</v>
      </c>
      <c r="V14" s="314">
        <v>0</v>
      </c>
      <c r="W14" s="314">
        <v>0</v>
      </c>
      <c r="X14" s="314">
        <v>0</v>
      </c>
      <c r="Y14" s="314">
        <v>0</v>
      </c>
      <c r="Z14" s="314">
        <v>0</v>
      </c>
      <c r="AA14" s="314">
        <v>0</v>
      </c>
      <c r="AB14" s="314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</row>
    <row r="15" spans="1:33" x14ac:dyDescent="0.3">
      <c r="A15">
        <v>1</v>
      </c>
      <c r="B15" s="368" t="s">
        <v>202</v>
      </c>
      <c r="C15" s="515" t="s">
        <v>201</v>
      </c>
      <c r="D15" s="314">
        <v>4</v>
      </c>
      <c r="E15" s="314">
        <v>0</v>
      </c>
      <c r="F15" s="314">
        <v>4</v>
      </c>
      <c r="G15" s="314">
        <v>2</v>
      </c>
      <c r="H15" s="314">
        <v>2</v>
      </c>
      <c r="I15" s="314">
        <v>4</v>
      </c>
      <c r="J15" s="314">
        <v>0</v>
      </c>
      <c r="K15" s="314">
        <v>4</v>
      </c>
      <c r="L15" s="314">
        <v>2</v>
      </c>
      <c r="M15" s="314">
        <v>2</v>
      </c>
      <c r="N15" s="314">
        <v>6</v>
      </c>
      <c r="O15" s="314">
        <v>2</v>
      </c>
      <c r="P15" s="314">
        <v>2</v>
      </c>
      <c r="Q15" s="314">
        <v>2</v>
      </c>
      <c r="R15" s="314">
        <v>0</v>
      </c>
      <c r="S15" s="314">
        <v>0</v>
      </c>
      <c r="T15" s="314">
        <v>0</v>
      </c>
      <c r="U15" s="314">
        <v>4</v>
      </c>
      <c r="V15" s="314">
        <v>0</v>
      </c>
      <c r="W15" s="314">
        <v>0</v>
      </c>
      <c r="X15" s="314">
        <v>0</v>
      </c>
      <c r="Y15" s="314">
        <v>0</v>
      </c>
      <c r="Z15" s="314">
        <v>0</v>
      </c>
      <c r="AA15" s="314">
        <v>0</v>
      </c>
      <c r="AB15" s="314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</row>
    <row r="16" spans="1:33" x14ac:dyDescent="0.3">
      <c r="A16">
        <v>1</v>
      </c>
      <c r="B16" s="368" t="s">
        <v>204</v>
      </c>
      <c r="C16" s="515" t="s">
        <v>203</v>
      </c>
      <c r="D16" s="314">
        <v>0</v>
      </c>
      <c r="E16" s="314">
        <v>0</v>
      </c>
      <c r="F16" s="314">
        <v>0</v>
      </c>
      <c r="G16" s="314">
        <v>2</v>
      </c>
      <c r="H16" s="314">
        <v>2</v>
      </c>
      <c r="I16" s="314">
        <v>0</v>
      </c>
      <c r="J16" s="314">
        <v>0</v>
      </c>
      <c r="K16" s="314">
        <v>0</v>
      </c>
      <c r="L16" s="314">
        <v>2</v>
      </c>
      <c r="M16" s="314">
        <v>0</v>
      </c>
      <c r="N16" s="314">
        <v>0</v>
      </c>
      <c r="O16" s="314">
        <v>0</v>
      </c>
      <c r="P16" s="314">
        <v>2</v>
      </c>
      <c r="Q16" s="314">
        <v>2</v>
      </c>
      <c r="R16" s="314">
        <v>0</v>
      </c>
      <c r="S16" s="314">
        <v>0</v>
      </c>
      <c r="T16" s="314">
        <v>0</v>
      </c>
      <c r="U16" s="314">
        <v>4</v>
      </c>
      <c r="V16" s="314">
        <v>6</v>
      </c>
      <c r="W16" s="314">
        <v>6</v>
      </c>
      <c r="X16" s="314">
        <v>6</v>
      </c>
      <c r="Y16" s="314">
        <v>4</v>
      </c>
      <c r="Z16" s="314">
        <v>6</v>
      </c>
      <c r="AA16" s="314">
        <v>6</v>
      </c>
      <c r="AB16" s="314">
        <v>6</v>
      </c>
      <c r="AC16" s="314">
        <v>4</v>
      </c>
      <c r="AD16" s="314">
        <v>6</v>
      </c>
      <c r="AE16" s="314">
        <v>6</v>
      </c>
      <c r="AF16" s="314">
        <v>6</v>
      </c>
      <c r="AG16" s="314">
        <v>4</v>
      </c>
    </row>
    <row r="17" spans="1:33" x14ac:dyDescent="0.3">
      <c r="A17">
        <v>1</v>
      </c>
      <c r="B17" s="368" t="s">
        <v>206</v>
      </c>
      <c r="C17" s="515" t="s">
        <v>205</v>
      </c>
      <c r="D17" s="314">
        <v>2</v>
      </c>
      <c r="E17" s="314">
        <v>3</v>
      </c>
      <c r="F17" s="314">
        <v>3</v>
      </c>
      <c r="G17" s="314">
        <v>3</v>
      </c>
      <c r="H17" s="314">
        <v>2</v>
      </c>
      <c r="I17" s="314">
        <v>2</v>
      </c>
      <c r="J17" s="314">
        <v>3</v>
      </c>
      <c r="K17" s="314">
        <v>3</v>
      </c>
      <c r="L17" s="314">
        <v>3</v>
      </c>
      <c r="M17" s="314">
        <v>2</v>
      </c>
      <c r="N17" s="314">
        <v>3</v>
      </c>
      <c r="O17" s="314">
        <v>3</v>
      </c>
      <c r="P17" s="314">
        <v>3</v>
      </c>
      <c r="Q17" s="314">
        <v>2</v>
      </c>
      <c r="R17" s="314">
        <v>3</v>
      </c>
      <c r="S17" s="314">
        <v>3</v>
      </c>
      <c r="T17" s="314">
        <v>3</v>
      </c>
      <c r="U17" s="314">
        <v>2</v>
      </c>
      <c r="V17" s="314">
        <v>3</v>
      </c>
      <c r="W17" s="314">
        <v>3</v>
      </c>
      <c r="X17" s="314">
        <v>3</v>
      </c>
      <c r="Y17" s="314">
        <v>2</v>
      </c>
      <c r="Z17" s="314">
        <v>3</v>
      </c>
      <c r="AA17" s="314">
        <v>3</v>
      </c>
      <c r="AB17" s="314">
        <v>3</v>
      </c>
      <c r="AC17" s="314">
        <v>2</v>
      </c>
      <c r="AD17" s="314">
        <v>3</v>
      </c>
      <c r="AE17" s="314">
        <v>3</v>
      </c>
      <c r="AF17" s="314">
        <v>3</v>
      </c>
      <c r="AG17" s="314">
        <v>2</v>
      </c>
    </row>
    <row r="18" spans="1:33" x14ac:dyDescent="0.3">
      <c r="A18">
        <v>1</v>
      </c>
      <c r="B18" s="368" t="s">
        <v>210</v>
      </c>
      <c r="C18" s="390" t="s">
        <v>209</v>
      </c>
      <c r="D18" s="314">
        <f t="shared" ref="D18:AG18" si="0">+D3</f>
        <v>5</v>
      </c>
      <c r="E18" s="314">
        <f t="shared" si="0"/>
        <v>5</v>
      </c>
      <c r="F18" s="314">
        <f t="shared" si="0"/>
        <v>5</v>
      </c>
      <c r="G18" s="314">
        <f t="shared" si="0"/>
        <v>6</v>
      </c>
      <c r="H18" s="314">
        <f t="shared" si="0"/>
        <v>6</v>
      </c>
      <c r="I18" s="314">
        <f t="shared" si="0"/>
        <v>5</v>
      </c>
      <c r="J18" s="314">
        <f t="shared" si="0"/>
        <v>5</v>
      </c>
      <c r="K18" s="314">
        <f t="shared" si="0"/>
        <v>5</v>
      </c>
      <c r="L18" s="314">
        <f t="shared" si="0"/>
        <v>6</v>
      </c>
      <c r="M18" s="314">
        <f t="shared" si="0"/>
        <v>5</v>
      </c>
      <c r="N18" s="314">
        <f t="shared" si="0"/>
        <v>5</v>
      </c>
      <c r="O18" s="314">
        <f t="shared" si="0"/>
        <v>5</v>
      </c>
      <c r="P18" s="314">
        <f t="shared" si="0"/>
        <v>6</v>
      </c>
      <c r="Q18" s="314">
        <f t="shared" si="0"/>
        <v>6</v>
      </c>
      <c r="R18" s="314">
        <f t="shared" si="0"/>
        <v>7</v>
      </c>
      <c r="S18" s="314">
        <f t="shared" si="0"/>
        <v>7</v>
      </c>
      <c r="T18" s="314">
        <f t="shared" si="0"/>
        <v>6</v>
      </c>
      <c r="U18" s="314">
        <f t="shared" si="0"/>
        <v>10</v>
      </c>
      <c r="V18" s="314">
        <f t="shared" si="0"/>
        <v>7</v>
      </c>
      <c r="W18" s="314">
        <f t="shared" si="0"/>
        <v>8</v>
      </c>
      <c r="X18" s="314">
        <f t="shared" si="0"/>
        <v>7</v>
      </c>
      <c r="Y18" s="314">
        <f t="shared" si="0"/>
        <v>10</v>
      </c>
      <c r="Z18" s="314">
        <f t="shared" si="0"/>
        <v>7</v>
      </c>
      <c r="AA18" s="314">
        <f t="shared" si="0"/>
        <v>8</v>
      </c>
      <c r="AB18" s="314">
        <f t="shared" si="0"/>
        <v>7</v>
      </c>
      <c r="AC18" s="314">
        <f t="shared" si="0"/>
        <v>10</v>
      </c>
      <c r="AD18" s="314">
        <f t="shared" si="0"/>
        <v>7</v>
      </c>
      <c r="AE18" s="314">
        <f t="shared" si="0"/>
        <v>8</v>
      </c>
      <c r="AF18" s="314">
        <f t="shared" si="0"/>
        <v>7</v>
      </c>
      <c r="AG18" s="314">
        <f t="shared" si="0"/>
        <v>10</v>
      </c>
    </row>
    <row r="19" spans="1:33" x14ac:dyDescent="0.3">
      <c r="B19" s="41"/>
      <c r="C19" s="2"/>
      <c r="D19" s="369">
        <f>SUM(D3:D18)</f>
        <v>23</v>
      </c>
      <c r="E19" s="369">
        <f t="shared" ref="E19:AG19" si="1">SUM(E3:E18)</f>
        <v>20</v>
      </c>
      <c r="F19" s="369">
        <f t="shared" si="1"/>
        <v>24</v>
      </c>
      <c r="G19" s="369">
        <f t="shared" si="1"/>
        <v>30</v>
      </c>
      <c r="H19" s="369">
        <f>SUM(H3:H18)</f>
        <v>29</v>
      </c>
      <c r="I19" s="369">
        <f t="shared" si="1"/>
        <v>23</v>
      </c>
      <c r="J19" s="369">
        <f t="shared" si="1"/>
        <v>20</v>
      </c>
      <c r="K19" s="369">
        <f t="shared" si="1"/>
        <v>24</v>
      </c>
      <c r="L19" s="369">
        <f t="shared" si="1"/>
        <v>30</v>
      </c>
      <c r="M19" s="369">
        <f t="shared" si="1"/>
        <v>21</v>
      </c>
      <c r="N19" s="369">
        <f t="shared" si="1"/>
        <v>26</v>
      </c>
      <c r="O19" s="369">
        <f t="shared" si="1"/>
        <v>22</v>
      </c>
      <c r="P19" s="369">
        <f t="shared" si="1"/>
        <v>30</v>
      </c>
      <c r="Q19" s="369">
        <f>SUM(Q3:Q18)</f>
        <v>29</v>
      </c>
      <c r="R19" s="369">
        <f t="shared" si="1"/>
        <v>28</v>
      </c>
      <c r="S19" s="369">
        <f t="shared" si="1"/>
        <v>28</v>
      </c>
      <c r="T19" s="369">
        <f t="shared" si="1"/>
        <v>24</v>
      </c>
      <c r="U19" s="369">
        <f t="shared" si="1"/>
        <v>50</v>
      </c>
      <c r="V19" s="369">
        <f t="shared" si="1"/>
        <v>34</v>
      </c>
      <c r="W19" s="369">
        <f t="shared" si="1"/>
        <v>38</v>
      </c>
      <c r="X19" s="369">
        <f t="shared" si="1"/>
        <v>34</v>
      </c>
      <c r="Y19" s="369">
        <f t="shared" si="1"/>
        <v>48</v>
      </c>
      <c r="Z19" s="369">
        <f t="shared" si="1"/>
        <v>34</v>
      </c>
      <c r="AA19" s="369">
        <f t="shared" si="1"/>
        <v>38</v>
      </c>
      <c r="AB19" s="369">
        <f t="shared" si="1"/>
        <v>34</v>
      </c>
      <c r="AC19" s="369">
        <f t="shared" si="1"/>
        <v>48</v>
      </c>
      <c r="AD19" s="369">
        <f t="shared" si="1"/>
        <v>34</v>
      </c>
      <c r="AE19" s="369">
        <f t="shared" si="1"/>
        <v>38</v>
      </c>
      <c r="AF19" s="369">
        <f t="shared" si="1"/>
        <v>34</v>
      </c>
      <c r="AG19" s="369">
        <f t="shared" si="1"/>
        <v>48</v>
      </c>
    </row>
    <row r="20" spans="1:33" x14ac:dyDescent="0.3">
      <c r="D20" t="s">
        <v>1336</v>
      </c>
      <c r="E20" t="s">
        <v>1336</v>
      </c>
      <c r="F20" t="s">
        <v>1336</v>
      </c>
      <c r="G20" t="s">
        <v>1336</v>
      </c>
      <c r="H20" t="s">
        <v>1336</v>
      </c>
      <c r="I20" t="s">
        <v>1336</v>
      </c>
      <c r="J20" t="s">
        <v>1336</v>
      </c>
      <c r="K20" t="s">
        <v>1336</v>
      </c>
      <c r="L20" t="s">
        <v>1336</v>
      </c>
      <c r="M20" t="s">
        <v>1336</v>
      </c>
      <c r="N20" t="s">
        <v>1336</v>
      </c>
      <c r="O20" t="s">
        <v>1336</v>
      </c>
      <c r="P20" t="s">
        <v>1336</v>
      </c>
      <c r="Q20" t="s">
        <v>1336</v>
      </c>
      <c r="R20" t="s">
        <v>1336</v>
      </c>
      <c r="S20" t="s">
        <v>1336</v>
      </c>
      <c r="T20" t="s">
        <v>1336</v>
      </c>
      <c r="U20" t="s">
        <v>1336</v>
      </c>
      <c r="V20" t="s">
        <v>1336</v>
      </c>
      <c r="W20" t="s">
        <v>1336</v>
      </c>
      <c r="X20" t="s">
        <v>1336</v>
      </c>
      <c r="Y20" t="s">
        <v>1336</v>
      </c>
      <c r="Z20" t="s">
        <v>1336</v>
      </c>
      <c r="AA20" t="s">
        <v>1336</v>
      </c>
      <c r="AB20" t="s">
        <v>1336</v>
      </c>
      <c r="AC20" t="s">
        <v>1336</v>
      </c>
      <c r="AD20" t="s">
        <v>1336</v>
      </c>
      <c r="AE20" t="s">
        <v>1336</v>
      </c>
      <c r="AF20" t="s">
        <v>1336</v>
      </c>
      <c r="AG20" t="s">
        <v>1336</v>
      </c>
    </row>
    <row r="34" spans="13:17" x14ac:dyDescent="0.3">
      <c r="M34" s="2"/>
      <c r="N34" s="2"/>
      <c r="O34" s="2"/>
      <c r="P34" s="2"/>
      <c r="Q34" s="2"/>
    </row>
    <row r="35" spans="13:17" x14ac:dyDescent="0.3">
      <c r="M35" s="15"/>
      <c r="N35" s="15"/>
      <c r="O35" s="15"/>
      <c r="P35" s="15"/>
      <c r="Q35" s="15"/>
    </row>
  </sheetData>
  <autoFilter ref="A2:AG2" xr:uid="{369299BB-C373-4363-B6C3-7B4A7E40D63E}"/>
  <conditionalFormatting sqref="D19:AG19">
    <cfRule type="containsBlanks" dxfId="30" priority="55">
      <formula>LEN(TRIM(D19))=0</formula>
    </cfRule>
  </conditionalFormatting>
  <conditionalFormatting sqref="D15:H18 D3:H11">
    <cfRule type="containsBlanks" dxfId="29" priority="30">
      <formula>LEN(TRIM(D3))=0</formula>
    </cfRule>
  </conditionalFormatting>
  <conditionalFormatting sqref="D12:H14">
    <cfRule type="containsBlanks" dxfId="28" priority="29">
      <formula>LEN(TRIM(D12))=0</formula>
    </cfRule>
  </conditionalFormatting>
  <conditionalFormatting sqref="I15:L18 I3:L11">
    <cfRule type="containsBlanks" dxfId="27" priority="28">
      <formula>LEN(TRIM(I3))=0</formula>
    </cfRule>
  </conditionalFormatting>
  <conditionalFormatting sqref="I12:L14">
    <cfRule type="containsBlanks" dxfId="26" priority="27">
      <formula>LEN(TRIM(I12))=0</formula>
    </cfRule>
  </conditionalFormatting>
  <conditionalFormatting sqref="M15:Q18 M3:Q11">
    <cfRule type="containsBlanks" dxfId="25" priority="26">
      <formula>LEN(TRIM(M3))=0</formula>
    </cfRule>
  </conditionalFormatting>
  <conditionalFormatting sqref="M12:Q14">
    <cfRule type="containsBlanks" dxfId="24" priority="25">
      <formula>LEN(TRIM(M12))=0</formula>
    </cfRule>
  </conditionalFormatting>
  <conditionalFormatting sqref="S7:U7 R18:U18 R15:R17 R3:R10">
    <cfRule type="containsBlanks" dxfId="23" priority="24">
      <formula>LEN(TRIM(R3))=0</formula>
    </cfRule>
  </conditionalFormatting>
  <conditionalFormatting sqref="S8:U10 S17:U17 S3:U6 U11:U16">
    <cfRule type="containsBlanks" dxfId="22" priority="23">
      <formula>LEN(TRIM(S3))=0</formula>
    </cfRule>
  </conditionalFormatting>
  <conditionalFormatting sqref="S15:T16">
    <cfRule type="containsBlanks" dxfId="21" priority="22">
      <formula>LEN(TRIM(S15))=0</formula>
    </cfRule>
  </conditionalFormatting>
  <conditionalFormatting sqref="R11:T14">
    <cfRule type="containsBlanks" dxfId="20" priority="21">
      <formula>LEN(TRIM(R11))=0</formula>
    </cfRule>
  </conditionalFormatting>
  <conditionalFormatting sqref="V18:Y18">
    <cfRule type="containsBlanks" dxfId="19" priority="20">
      <formula>LEN(TRIM(V18))=0</formula>
    </cfRule>
  </conditionalFormatting>
  <conditionalFormatting sqref="V3:Y3 V5:Y8 V15:Y17">
    <cfRule type="containsBlanks" dxfId="18" priority="19">
      <formula>LEN(TRIM(V3))=0</formula>
    </cfRule>
  </conditionalFormatting>
  <conditionalFormatting sqref="V4:Y4">
    <cfRule type="containsBlanks" dxfId="17" priority="18">
      <formula>LEN(TRIM(V4))=0</formula>
    </cfRule>
  </conditionalFormatting>
  <conditionalFormatting sqref="V9:Y10 V11:X14">
    <cfRule type="containsBlanks" dxfId="16" priority="17">
      <formula>LEN(TRIM(V9))=0</formula>
    </cfRule>
  </conditionalFormatting>
  <conditionalFormatting sqref="Y11:Y13">
    <cfRule type="containsBlanks" dxfId="15" priority="16">
      <formula>LEN(TRIM(Y11))=0</formula>
    </cfRule>
  </conditionalFormatting>
  <conditionalFormatting sqref="Y14">
    <cfRule type="containsBlanks" dxfId="14" priority="15">
      <formula>LEN(TRIM(Y14))=0</formula>
    </cfRule>
  </conditionalFormatting>
  <conditionalFormatting sqref="Z18:AC18">
    <cfRule type="containsBlanks" dxfId="13" priority="14">
      <formula>LEN(TRIM(Z18))=0</formula>
    </cfRule>
  </conditionalFormatting>
  <conditionalFormatting sqref="Z3:AC3 Z5:AC8 Z15:AC17">
    <cfRule type="containsBlanks" dxfId="12" priority="13">
      <formula>LEN(TRIM(Z3))=0</formula>
    </cfRule>
  </conditionalFormatting>
  <conditionalFormatting sqref="Z4:AC4">
    <cfRule type="containsBlanks" dxfId="11" priority="12">
      <formula>LEN(TRIM(Z4))=0</formula>
    </cfRule>
  </conditionalFormatting>
  <conditionalFormatting sqref="Z9:AC10 Z11:AB14">
    <cfRule type="containsBlanks" dxfId="10" priority="11">
      <formula>LEN(TRIM(Z9))=0</formula>
    </cfRule>
  </conditionalFormatting>
  <conditionalFormatting sqref="AC11:AC13">
    <cfRule type="containsBlanks" dxfId="9" priority="10">
      <formula>LEN(TRIM(AC11))=0</formula>
    </cfRule>
  </conditionalFormatting>
  <conditionalFormatting sqref="AC14">
    <cfRule type="containsBlanks" dxfId="8" priority="9">
      <formula>LEN(TRIM(AC14))=0</formula>
    </cfRule>
  </conditionalFormatting>
  <conditionalFormatting sqref="AD18:AG18">
    <cfRule type="containsBlanks" dxfId="7" priority="8">
      <formula>LEN(TRIM(AD18))=0</formula>
    </cfRule>
  </conditionalFormatting>
  <conditionalFormatting sqref="AD3:AG3 AD5:AG7 AD15:AG17">
    <cfRule type="containsBlanks" dxfId="6" priority="7">
      <formula>LEN(TRIM(AD3))=0</formula>
    </cfRule>
  </conditionalFormatting>
  <conditionalFormatting sqref="AD4:AG4">
    <cfRule type="containsBlanks" dxfId="5" priority="6">
      <formula>LEN(TRIM(AD4))=0</formula>
    </cfRule>
  </conditionalFormatting>
  <conditionalFormatting sqref="AD10:AG10 AD11:AF14">
    <cfRule type="containsBlanks" dxfId="4" priority="5">
      <formula>LEN(TRIM(AD10))=0</formula>
    </cfRule>
  </conditionalFormatting>
  <conditionalFormatting sqref="AG11:AG13">
    <cfRule type="containsBlanks" dxfId="3" priority="4">
      <formula>LEN(TRIM(AG11))=0</formula>
    </cfRule>
  </conditionalFormatting>
  <conditionalFormatting sqref="AG14">
    <cfRule type="containsBlanks" dxfId="2" priority="3">
      <formula>LEN(TRIM(AG14))=0</formula>
    </cfRule>
  </conditionalFormatting>
  <conditionalFormatting sqref="AD9:AG9">
    <cfRule type="containsBlanks" dxfId="1" priority="2">
      <formula>LEN(TRIM(AD9))=0</formula>
    </cfRule>
  </conditionalFormatting>
  <conditionalFormatting sqref="AD8:AG8">
    <cfRule type="containsBlanks" dxfId="0" priority="1">
      <formula>LEN(TRIM(AD8))=0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CC41-3BA3-4C2F-A020-EB5CC796287E}">
  <sheetPr codeName="Hoja32">
    <tabColor theme="6"/>
  </sheetPr>
  <dimension ref="A2:A82"/>
  <sheetViews>
    <sheetView workbookViewId="0"/>
  </sheetViews>
  <sheetFormatPr baseColWidth="10" defaultRowHeight="14.4" x14ac:dyDescent="0.3"/>
  <sheetData>
    <row r="2" s="2" customFormat="1" ht="20.100000000000001" customHeight="1" x14ac:dyDescent="0.3"/>
    <row r="3" s="12" customFormat="1" x14ac:dyDescent="0.3"/>
    <row r="9" s="2" customFormat="1" ht="20.100000000000001" customHeight="1" x14ac:dyDescent="0.3"/>
    <row r="10" s="12" customFormat="1" x14ac:dyDescent="0.3"/>
    <row r="19" s="2" customFormat="1" ht="20.100000000000001" customHeight="1" x14ac:dyDescent="0.3"/>
    <row r="20" s="12" customFormat="1" x14ac:dyDescent="0.3"/>
    <row r="29" s="2" customFormat="1" ht="20.100000000000001" customHeight="1" x14ac:dyDescent="0.3"/>
    <row r="30" s="15" customFormat="1" x14ac:dyDescent="0.3"/>
    <row r="37" s="2" customFormat="1" ht="20.100000000000001" customHeight="1" x14ac:dyDescent="0.3"/>
    <row r="38" s="15" customFormat="1" x14ac:dyDescent="0.3"/>
    <row r="47" s="2" customFormat="1" ht="20.100000000000001" customHeight="1" x14ac:dyDescent="0.3"/>
    <row r="48" s="15" customFormat="1" x14ac:dyDescent="0.3"/>
    <row r="54" s="2" customFormat="1" ht="20.100000000000001" customHeight="1" x14ac:dyDescent="0.3"/>
    <row r="55" s="12" customFormat="1" x14ac:dyDescent="0.3"/>
    <row r="72" s="2" customFormat="1" ht="20.100000000000001" customHeight="1" x14ac:dyDescent="0.3"/>
    <row r="73" s="15" customFormat="1" x14ac:dyDescent="0.3"/>
    <row r="81" s="2" customFormat="1" ht="20.100000000000001" customHeight="1" x14ac:dyDescent="0.3"/>
    <row r="82" s="15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BDPIEZAS</vt:lpstr>
      <vt:lpstr>ALQUILER</vt:lpstr>
      <vt:lpstr>VENTA</vt:lpstr>
      <vt:lpstr>PRESTAMO</vt:lpstr>
      <vt:lpstr>General</vt:lpstr>
      <vt:lpstr>Fachada</vt:lpstr>
      <vt:lpstr>Escalera</vt:lpstr>
      <vt:lpstr>Trabajo</vt:lpstr>
      <vt:lpstr>Escuadras</vt:lpstr>
      <vt:lpstr>Puntales</vt:lpstr>
      <vt:lpstr>Encofrado</vt:lpstr>
      <vt:lpstr>Descarga</vt:lpstr>
      <vt:lpstr>Colgante</vt:lpstr>
      <vt:lpstr>Elevador</vt:lpstr>
      <vt:lpstr>Apoyo1Despiece</vt:lpstr>
      <vt:lpstr>Apoyo2Despiece</vt:lpstr>
      <vt:lpstr>Apoyo3Despiece</vt:lpstr>
      <vt:lpstr>ALQUILER!Área_de_impresión</vt:lpstr>
      <vt:lpstr>PRESTAMO!Área_de_impresión</vt:lpstr>
      <vt:lpstr>VENTA!Área_de_impresión</vt:lpstr>
      <vt:lpstr>ALQUILER!Títulos_a_imprimir</vt:lpstr>
      <vt:lpstr>PRESTAMO!Títulos_a_imprimir</vt:lpstr>
      <vt:lpstr>VENTA!Títulos_a_imprimir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Calderon Perez</dc:creator>
  <cp:lastModifiedBy>Elsa Edelisa Huashuayo Olaza</cp:lastModifiedBy>
  <cp:lastPrinted>2024-11-20T02:30:56Z</cp:lastPrinted>
  <dcterms:created xsi:type="dcterms:W3CDTF">2024-09-29T19:46:36Z</dcterms:created>
  <dcterms:modified xsi:type="dcterms:W3CDTF">2025-05-29T21:21:13Z</dcterms:modified>
</cp:coreProperties>
</file>